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effreyMatthijs\Desktop\Dashboard deelmobiliteit\"/>
    </mc:Choice>
  </mc:AlternateContent>
  <xr:revisionPtr revIDLastSave="0" documentId="8_{A94DA38D-E362-453C-8849-E60DC77909CD}" xr6:coauthVersionLast="47" xr6:coauthVersionMax="47" xr10:uidLastSave="{00000000-0000-0000-0000-000000000000}"/>
  <bookViews>
    <workbookView xWindow="-110" yWindow="-110" windowWidth="19420" windowHeight="10300" xr2:uid="{00000000-000D-0000-FFFF-FFFF00000000}"/>
  </bookViews>
  <sheets>
    <sheet name="OVERZICHT" sheetId="1" r:id="rId1"/>
    <sheet name="overzicht voor jun 25" sheetId="2" state="hidden" r:id="rId2"/>
    <sheet name="Prognoses LEKP" sheetId="3" r:id="rId3"/>
    <sheet name="KERNCIJFERS" sheetId="4" r:id="rId4"/>
    <sheet name="BattMobility" sheetId="5" r:id="rId5"/>
    <sheet name="cambio" sheetId="6" r:id="rId6"/>
    <sheet name="Claus2you" sheetId="7" r:id="rId7"/>
    <sheet name="CoopStroom" sheetId="8" r:id="rId8"/>
    <sheet name="Cozywheels" sheetId="9" r:id="rId9"/>
    <sheet name="Dégage" sheetId="10" r:id="rId10"/>
    <sheet name="Flexigo" sheetId="11" r:id="rId11"/>
    <sheet name="GreenMobility" sheetId="12" state="hidden" r:id="rId12"/>
    <sheet name="Klimaan" sheetId="13" r:id="rId13"/>
    <sheet name="Mobilize Share" sheetId="14" r:id="rId14"/>
    <sheet name="Moovee" sheetId="15" state="hidden" r:id="rId15"/>
    <sheet name="Partago" sheetId="16" state="hidden" r:id="rId16"/>
    <sheet name="Poppy" sheetId="17" r:id="rId17"/>
    <sheet name="Stapp.in" sheetId="18" r:id="rId18"/>
  </sheets>
  <definedNames>
    <definedName name="_xlnm._FilterDatabase" localSheetId="4" hidden="1">BattMobility!$A$1:$G$287</definedName>
    <definedName name="_xlnm._FilterDatabase" localSheetId="5" hidden="1">cambio!$A$1:$G$287</definedName>
    <definedName name="_xlnm._FilterDatabase" localSheetId="6" hidden="1">Claus2you!$A$1:$G$287</definedName>
    <definedName name="_xlnm._FilterDatabase" localSheetId="7" hidden="1">CoopStroom!$A$1:$G$287</definedName>
    <definedName name="_xlnm._FilterDatabase" localSheetId="9" hidden="1">Dégage!$A$1:$G$287</definedName>
    <definedName name="_xlnm._FilterDatabase" localSheetId="12" hidden="1">Klimaan!$A$1:$G$287</definedName>
    <definedName name="_xlnm._FilterDatabase" localSheetId="13" hidden="1">'Mobilize Share'!$A$1:$G$287</definedName>
    <definedName name="_xlnm._FilterDatabase" localSheetId="0" hidden="1">OVERZICHT!$A$1:$AV$286</definedName>
    <definedName name="_xlnm._FilterDatabase" localSheetId="17" hidden="1">Stapp.in!$A$1:$G$287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FYtSZgsLNHUxvklsY0mj/YAt+q8hSWQnTmRcrm9+EPI="/>
    </ext>
  </extLst>
</workbook>
</file>

<file path=xl/calcChain.xml><?xml version="1.0" encoding="utf-8"?>
<calcChain xmlns="http://schemas.openxmlformats.org/spreadsheetml/2006/main">
  <c r="E287" i="18" l="1"/>
  <c r="D287" i="18"/>
  <c r="I303" i="16"/>
  <c r="H303" i="16"/>
  <c r="G303" i="16"/>
  <c r="F303" i="16"/>
  <c r="E303" i="16"/>
  <c r="D303" i="16"/>
  <c r="G287" i="14"/>
  <c r="F287" i="14"/>
  <c r="E287" i="14"/>
  <c r="D287" i="14"/>
  <c r="G287" i="13"/>
  <c r="F287" i="13"/>
  <c r="E287" i="13"/>
  <c r="D287" i="13"/>
  <c r="K302" i="12"/>
  <c r="J302" i="12"/>
  <c r="I302" i="12"/>
  <c r="H302" i="12"/>
  <c r="G302" i="12"/>
  <c r="F302" i="12"/>
  <c r="E302" i="12"/>
  <c r="D302" i="12"/>
  <c r="G287" i="10"/>
  <c r="F287" i="10"/>
  <c r="E287" i="10"/>
  <c r="D287" i="10"/>
  <c r="G287" i="9"/>
  <c r="F287" i="9"/>
  <c r="E287" i="9"/>
  <c r="D287" i="9"/>
  <c r="G287" i="8"/>
  <c r="F287" i="8"/>
  <c r="E287" i="8"/>
  <c r="D287" i="8"/>
  <c r="G287" i="7"/>
  <c r="F287" i="7"/>
  <c r="E287" i="7"/>
  <c r="D287" i="7"/>
  <c r="G287" i="6"/>
  <c r="F287" i="6"/>
  <c r="E287" i="6"/>
  <c r="D287" i="6"/>
  <c r="G287" i="5"/>
  <c r="F287" i="5"/>
  <c r="E287" i="5"/>
  <c r="D287" i="5"/>
  <c r="D38" i="4"/>
  <c r="C38" i="4"/>
  <c r="N31" i="4"/>
  <c r="M31" i="4"/>
  <c r="J31" i="4"/>
  <c r="I31" i="4"/>
  <c r="H31" i="4"/>
  <c r="G31" i="4"/>
  <c r="F31" i="4"/>
  <c r="E31" i="4"/>
  <c r="D31" i="4"/>
  <c r="C31" i="4"/>
  <c r="N30" i="4"/>
  <c r="M29" i="4"/>
  <c r="J29" i="4"/>
  <c r="N29" i="4" s="1"/>
  <c r="I29" i="4"/>
  <c r="H29" i="4"/>
  <c r="G29" i="4"/>
  <c r="F29" i="4"/>
  <c r="E29" i="4"/>
  <c r="N28" i="4"/>
  <c r="M28" i="4"/>
  <c r="N27" i="4"/>
  <c r="M27" i="4"/>
  <c r="L27" i="4"/>
  <c r="K27" i="4"/>
  <c r="N26" i="4"/>
  <c r="M26" i="4"/>
  <c r="J26" i="4"/>
  <c r="I26" i="4"/>
  <c r="H26" i="4"/>
  <c r="G26" i="4"/>
  <c r="F26" i="4"/>
  <c r="E26" i="4"/>
  <c r="D26" i="4"/>
  <c r="C26" i="4"/>
  <c r="N25" i="4"/>
  <c r="N24" i="4"/>
  <c r="M24" i="4"/>
  <c r="J24" i="4"/>
  <c r="I24" i="4"/>
  <c r="H24" i="4"/>
  <c r="G24" i="4"/>
  <c r="F24" i="4"/>
  <c r="E24" i="4"/>
  <c r="N23" i="4"/>
  <c r="M23" i="4"/>
  <c r="N22" i="4"/>
  <c r="M22" i="4"/>
  <c r="L22" i="4"/>
  <c r="K22" i="4"/>
  <c r="N21" i="4"/>
  <c r="M21" i="4"/>
  <c r="J21" i="4"/>
  <c r="I21" i="4"/>
  <c r="H21" i="4"/>
  <c r="G21" i="4"/>
  <c r="F21" i="4"/>
  <c r="E21" i="4"/>
  <c r="D21" i="4"/>
  <c r="C21" i="4"/>
  <c r="N20" i="4"/>
  <c r="N19" i="4"/>
  <c r="M19" i="4"/>
  <c r="J19" i="4"/>
  <c r="I19" i="4"/>
  <c r="H19" i="4"/>
  <c r="G19" i="4"/>
  <c r="F19" i="4"/>
  <c r="E19" i="4"/>
  <c r="N18" i="4"/>
  <c r="M18" i="4"/>
  <c r="N17" i="4"/>
  <c r="M17" i="4"/>
  <c r="L17" i="4"/>
  <c r="K17" i="4"/>
  <c r="N16" i="4"/>
  <c r="M16" i="4"/>
  <c r="J16" i="4"/>
  <c r="I16" i="4"/>
  <c r="H16" i="4"/>
  <c r="G16" i="4"/>
  <c r="F16" i="4"/>
  <c r="E16" i="4"/>
  <c r="D16" i="4"/>
  <c r="C16" i="4"/>
  <c r="N15" i="4"/>
  <c r="N14" i="4"/>
  <c r="M14" i="4"/>
  <c r="J14" i="4"/>
  <c r="I14" i="4"/>
  <c r="H14" i="4"/>
  <c r="G14" i="4"/>
  <c r="F14" i="4"/>
  <c r="E14" i="4"/>
  <c r="N13" i="4"/>
  <c r="M13" i="4"/>
  <c r="N12" i="4"/>
  <c r="M12" i="4"/>
  <c r="L12" i="4"/>
  <c r="K12" i="4"/>
  <c r="N11" i="4"/>
  <c r="M11" i="4"/>
  <c r="J11" i="4"/>
  <c r="I11" i="4"/>
  <c r="H11" i="4"/>
  <c r="G11" i="4"/>
  <c r="F11" i="4"/>
  <c r="E11" i="4"/>
  <c r="D11" i="4"/>
  <c r="C11" i="4"/>
  <c r="N10" i="4"/>
  <c r="N9" i="4"/>
  <c r="M9" i="4"/>
  <c r="J9" i="4"/>
  <c r="I9" i="4"/>
  <c r="H9" i="4"/>
  <c r="G9" i="4"/>
  <c r="F9" i="4"/>
  <c r="E9" i="4"/>
  <c r="N8" i="4"/>
  <c r="M8" i="4"/>
  <c r="N7" i="4"/>
  <c r="M7" i="4"/>
  <c r="L7" i="4"/>
  <c r="K7" i="4"/>
  <c r="N6" i="4"/>
  <c r="M6" i="4"/>
  <c r="J6" i="4"/>
  <c r="I6" i="4"/>
  <c r="H6" i="4"/>
  <c r="G6" i="4"/>
  <c r="F6" i="4"/>
  <c r="E6" i="4"/>
  <c r="D6" i="4"/>
  <c r="C6" i="4"/>
  <c r="N5" i="4"/>
  <c r="N4" i="4"/>
  <c r="M4" i="4"/>
  <c r="J4" i="4"/>
  <c r="I4" i="4"/>
  <c r="H4" i="4"/>
  <c r="G4" i="4"/>
  <c r="F4" i="4"/>
  <c r="E4" i="4"/>
  <c r="N3" i="4"/>
  <c r="M3" i="4"/>
  <c r="N2" i="4"/>
  <c r="M2" i="4"/>
  <c r="L2" i="4"/>
  <c r="K2" i="4"/>
  <c r="I301" i="3"/>
  <c r="G301" i="3"/>
  <c r="H301" i="3" s="1"/>
  <c r="E301" i="3"/>
  <c r="F301" i="3" s="1"/>
  <c r="V300" i="3"/>
  <c r="M300" i="3"/>
  <c r="J300" i="3"/>
  <c r="I300" i="3"/>
  <c r="G300" i="3"/>
  <c r="H300" i="3" s="1"/>
  <c r="E300" i="3"/>
  <c r="F300" i="3" s="1"/>
  <c r="P299" i="3"/>
  <c r="K299" i="3"/>
  <c r="I299" i="3"/>
  <c r="J299" i="3" s="1"/>
  <c r="G299" i="3"/>
  <c r="H299" i="3" s="1"/>
  <c r="E299" i="3"/>
  <c r="F299" i="3" s="1"/>
  <c r="N298" i="3"/>
  <c r="M298" i="3"/>
  <c r="J298" i="3"/>
  <c r="I298" i="3"/>
  <c r="G298" i="3"/>
  <c r="H298" i="3" s="1"/>
  <c r="E298" i="3"/>
  <c r="F298" i="3" s="1"/>
  <c r="Q297" i="3"/>
  <c r="K297" i="3"/>
  <c r="I297" i="3"/>
  <c r="J297" i="3" s="1"/>
  <c r="G297" i="3"/>
  <c r="H297" i="3" s="1"/>
  <c r="E297" i="3"/>
  <c r="F297" i="3" s="1"/>
  <c r="I296" i="3"/>
  <c r="G296" i="3"/>
  <c r="H296" i="3" s="1"/>
  <c r="E296" i="3"/>
  <c r="F296" i="3" s="1"/>
  <c r="S295" i="3"/>
  <c r="Q295" i="3"/>
  <c r="P295" i="3"/>
  <c r="I295" i="3"/>
  <c r="J295" i="3" s="1"/>
  <c r="T295" i="3" s="1"/>
  <c r="G295" i="3"/>
  <c r="H295" i="3" s="1"/>
  <c r="E295" i="3"/>
  <c r="F295" i="3" s="1"/>
  <c r="I294" i="3"/>
  <c r="G294" i="3"/>
  <c r="H294" i="3" s="1"/>
  <c r="E294" i="3"/>
  <c r="F294" i="3" s="1"/>
  <c r="I293" i="3"/>
  <c r="J293" i="3" s="1"/>
  <c r="H293" i="3"/>
  <c r="G293" i="3"/>
  <c r="E293" i="3"/>
  <c r="F293" i="3" s="1"/>
  <c r="I292" i="3"/>
  <c r="G292" i="3"/>
  <c r="E292" i="3"/>
  <c r="F292" i="3" s="1"/>
  <c r="Q291" i="3"/>
  <c r="K291" i="3"/>
  <c r="I291" i="3"/>
  <c r="J291" i="3" s="1"/>
  <c r="H291" i="3"/>
  <c r="G291" i="3"/>
  <c r="E291" i="3"/>
  <c r="F291" i="3" s="1"/>
  <c r="I290" i="3"/>
  <c r="G290" i="3"/>
  <c r="H290" i="3" s="1"/>
  <c r="E290" i="3"/>
  <c r="F290" i="3" s="1"/>
  <c r="S289" i="3"/>
  <c r="Q289" i="3"/>
  <c r="P289" i="3"/>
  <c r="I289" i="3"/>
  <c r="J289" i="3" s="1"/>
  <c r="T289" i="3" s="1"/>
  <c r="G289" i="3"/>
  <c r="H289" i="3" s="1"/>
  <c r="E289" i="3"/>
  <c r="F289" i="3" s="1"/>
  <c r="I288" i="3"/>
  <c r="G288" i="3"/>
  <c r="H288" i="3" s="1"/>
  <c r="E288" i="3"/>
  <c r="F288" i="3" s="1"/>
  <c r="S287" i="3"/>
  <c r="K287" i="3"/>
  <c r="I287" i="3"/>
  <c r="J287" i="3" s="1"/>
  <c r="H287" i="3"/>
  <c r="G287" i="3"/>
  <c r="E287" i="3"/>
  <c r="F287" i="3" s="1"/>
  <c r="I286" i="3"/>
  <c r="G286" i="3"/>
  <c r="E286" i="3"/>
  <c r="F286" i="3" s="1"/>
  <c r="Q285" i="3"/>
  <c r="K285" i="3"/>
  <c r="I285" i="3"/>
  <c r="J285" i="3" s="1"/>
  <c r="H285" i="3"/>
  <c r="G285" i="3"/>
  <c r="E285" i="3"/>
  <c r="F285" i="3" s="1"/>
  <c r="I284" i="3"/>
  <c r="G284" i="3"/>
  <c r="H284" i="3" s="1"/>
  <c r="E284" i="3"/>
  <c r="F284" i="3" s="1"/>
  <c r="S283" i="3"/>
  <c r="Q283" i="3"/>
  <c r="P283" i="3"/>
  <c r="I283" i="3"/>
  <c r="J283" i="3" s="1"/>
  <c r="T283" i="3" s="1"/>
  <c r="H283" i="3"/>
  <c r="G283" i="3"/>
  <c r="E283" i="3"/>
  <c r="F283" i="3" s="1"/>
  <c r="I282" i="3"/>
  <c r="G282" i="3"/>
  <c r="H282" i="3" s="1"/>
  <c r="E282" i="3"/>
  <c r="F282" i="3" s="1"/>
  <c r="K281" i="3"/>
  <c r="I281" i="3"/>
  <c r="J281" i="3" s="1"/>
  <c r="H281" i="3"/>
  <c r="G281" i="3"/>
  <c r="E281" i="3"/>
  <c r="F281" i="3" s="1"/>
  <c r="I280" i="3"/>
  <c r="G280" i="3"/>
  <c r="E280" i="3"/>
  <c r="F280" i="3" s="1"/>
  <c r="I279" i="3"/>
  <c r="G279" i="3"/>
  <c r="H279" i="3" s="1"/>
  <c r="E279" i="3"/>
  <c r="F279" i="3" s="1"/>
  <c r="S278" i="3"/>
  <c r="K278" i="3"/>
  <c r="J278" i="3"/>
  <c r="I278" i="3"/>
  <c r="G278" i="3"/>
  <c r="H278" i="3" s="1"/>
  <c r="E278" i="3"/>
  <c r="F278" i="3" s="1"/>
  <c r="I277" i="3"/>
  <c r="G277" i="3"/>
  <c r="H277" i="3" s="1"/>
  <c r="E277" i="3"/>
  <c r="F277" i="3" s="1"/>
  <c r="Q276" i="3"/>
  <c r="K276" i="3"/>
  <c r="J276" i="3"/>
  <c r="I276" i="3"/>
  <c r="G276" i="3"/>
  <c r="H276" i="3" s="1"/>
  <c r="E276" i="3"/>
  <c r="F276" i="3" s="1"/>
  <c r="I275" i="3"/>
  <c r="H275" i="3"/>
  <c r="G275" i="3"/>
  <c r="E275" i="3"/>
  <c r="F275" i="3" s="1"/>
  <c r="S274" i="3"/>
  <c r="Q274" i="3"/>
  <c r="N274" i="3"/>
  <c r="J274" i="3"/>
  <c r="I274" i="3"/>
  <c r="G274" i="3"/>
  <c r="H274" i="3" s="1"/>
  <c r="E274" i="3"/>
  <c r="F274" i="3" s="1"/>
  <c r="I273" i="3"/>
  <c r="G273" i="3"/>
  <c r="H273" i="3" s="1"/>
  <c r="E273" i="3"/>
  <c r="F273" i="3" s="1"/>
  <c r="S272" i="3"/>
  <c r="K272" i="3"/>
  <c r="J272" i="3"/>
  <c r="I272" i="3"/>
  <c r="G272" i="3"/>
  <c r="H272" i="3" s="1"/>
  <c r="E272" i="3"/>
  <c r="F272" i="3" s="1"/>
  <c r="I271" i="3"/>
  <c r="G271" i="3"/>
  <c r="H271" i="3" s="1"/>
  <c r="E271" i="3"/>
  <c r="F271" i="3" s="1"/>
  <c r="Q270" i="3"/>
  <c r="K270" i="3"/>
  <c r="J270" i="3"/>
  <c r="I270" i="3"/>
  <c r="G270" i="3"/>
  <c r="H270" i="3" s="1"/>
  <c r="E270" i="3"/>
  <c r="F270" i="3" s="1"/>
  <c r="I269" i="3"/>
  <c r="H269" i="3"/>
  <c r="G269" i="3"/>
  <c r="E269" i="3"/>
  <c r="F269" i="3" s="1"/>
  <c r="S268" i="3"/>
  <c r="J268" i="3"/>
  <c r="I268" i="3"/>
  <c r="G268" i="3"/>
  <c r="H268" i="3" s="1"/>
  <c r="E268" i="3"/>
  <c r="F268" i="3" s="1"/>
  <c r="I267" i="3"/>
  <c r="G267" i="3"/>
  <c r="H267" i="3" s="1"/>
  <c r="E267" i="3"/>
  <c r="F267" i="3" s="1"/>
  <c r="J266" i="3"/>
  <c r="I266" i="3"/>
  <c r="G266" i="3"/>
  <c r="H266" i="3" s="1"/>
  <c r="E266" i="3"/>
  <c r="F266" i="3" s="1"/>
  <c r="I265" i="3"/>
  <c r="G265" i="3"/>
  <c r="H265" i="3" s="1"/>
  <c r="E265" i="3"/>
  <c r="F265" i="3" s="1"/>
  <c r="Q264" i="3"/>
  <c r="K264" i="3"/>
  <c r="J264" i="3"/>
  <c r="I264" i="3"/>
  <c r="G264" i="3"/>
  <c r="H264" i="3" s="1"/>
  <c r="E264" i="3"/>
  <c r="F264" i="3" s="1"/>
  <c r="I263" i="3"/>
  <c r="H263" i="3"/>
  <c r="G263" i="3"/>
  <c r="E263" i="3"/>
  <c r="F263" i="3" s="1"/>
  <c r="J262" i="3"/>
  <c r="I262" i="3"/>
  <c r="G262" i="3"/>
  <c r="H262" i="3" s="1"/>
  <c r="E262" i="3"/>
  <c r="F262" i="3" s="1"/>
  <c r="I261" i="3"/>
  <c r="G261" i="3"/>
  <c r="H261" i="3" s="1"/>
  <c r="E261" i="3"/>
  <c r="F261" i="3" s="1"/>
  <c r="J260" i="3"/>
  <c r="I260" i="3"/>
  <c r="G260" i="3"/>
  <c r="H260" i="3" s="1"/>
  <c r="E260" i="3"/>
  <c r="F260" i="3" s="1"/>
  <c r="I259" i="3"/>
  <c r="H259" i="3"/>
  <c r="G259" i="3"/>
  <c r="E259" i="3"/>
  <c r="F259" i="3" s="1"/>
  <c r="Q258" i="3"/>
  <c r="K258" i="3"/>
  <c r="J258" i="3"/>
  <c r="I258" i="3"/>
  <c r="G258" i="3"/>
  <c r="H258" i="3" s="1"/>
  <c r="E258" i="3"/>
  <c r="F258" i="3" s="1"/>
  <c r="I257" i="3"/>
  <c r="H257" i="3"/>
  <c r="G257" i="3"/>
  <c r="E257" i="3"/>
  <c r="F257" i="3" s="1"/>
  <c r="Q256" i="3"/>
  <c r="J256" i="3"/>
  <c r="I256" i="3"/>
  <c r="G256" i="3"/>
  <c r="H256" i="3" s="1"/>
  <c r="E256" i="3"/>
  <c r="F256" i="3" s="1"/>
  <c r="I255" i="3"/>
  <c r="G255" i="3"/>
  <c r="H255" i="3" s="1"/>
  <c r="E255" i="3"/>
  <c r="F255" i="3" s="1"/>
  <c r="S254" i="3"/>
  <c r="J254" i="3"/>
  <c r="I254" i="3"/>
  <c r="G254" i="3"/>
  <c r="H254" i="3" s="1"/>
  <c r="E254" i="3"/>
  <c r="F254" i="3" s="1"/>
  <c r="I253" i="3"/>
  <c r="G253" i="3"/>
  <c r="H253" i="3" s="1"/>
  <c r="E253" i="3"/>
  <c r="F253" i="3" s="1"/>
  <c r="Q252" i="3"/>
  <c r="K252" i="3"/>
  <c r="J252" i="3"/>
  <c r="I252" i="3"/>
  <c r="G252" i="3"/>
  <c r="H252" i="3" s="1"/>
  <c r="E252" i="3"/>
  <c r="F252" i="3" s="1"/>
  <c r="I251" i="3"/>
  <c r="H251" i="3"/>
  <c r="G251" i="3"/>
  <c r="E251" i="3"/>
  <c r="F251" i="3" s="1"/>
  <c r="J250" i="3"/>
  <c r="I250" i="3"/>
  <c r="G250" i="3"/>
  <c r="H250" i="3" s="1"/>
  <c r="E250" i="3"/>
  <c r="F250" i="3" s="1"/>
  <c r="I249" i="3"/>
  <c r="G249" i="3"/>
  <c r="H249" i="3" s="1"/>
  <c r="E249" i="3"/>
  <c r="F249" i="3" s="1"/>
  <c r="Q248" i="3"/>
  <c r="K248" i="3"/>
  <c r="J248" i="3"/>
  <c r="I248" i="3"/>
  <c r="G248" i="3"/>
  <c r="H248" i="3" s="1"/>
  <c r="E248" i="3"/>
  <c r="F248" i="3" s="1"/>
  <c r="I247" i="3"/>
  <c r="H247" i="3"/>
  <c r="G247" i="3"/>
  <c r="E247" i="3"/>
  <c r="F247" i="3" s="1"/>
  <c r="J246" i="3"/>
  <c r="I246" i="3"/>
  <c r="G246" i="3"/>
  <c r="H246" i="3" s="1"/>
  <c r="E246" i="3"/>
  <c r="F246" i="3" s="1"/>
  <c r="S245" i="3"/>
  <c r="I245" i="3"/>
  <c r="J245" i="3" s="1"/>
  <c r="H245" i="3"/>
  <c r="G245" i="3"/>
  <c r="E245" i="3"/>
  <c r="F245" i="3" s="1"/>
  <c r="I244" i="3"/>
  <c r="J244" i="3" s="1"/>
  <c r="G244" i="3"/>
  <c r="H244" i="3" s="1"/>
  <c r="F244" i="3"/>
  <c r="E244" i="3"/>
  <c r="U243" i="3"/>
  <c r="R243" i="3"/>
  <c r="Q243" i="3"/>
  <c r="I243" i="3"/>
  <c r="J243" i="3" s="1"/>
  <c r="H243" i="3"/>
  <c r="G243" i="3"/>
  <c r="F243" i="3"/>
  <c r="E243" i="3"/>
  <c r="I242" i="3"/>
  <c r="G242" i="3"/>
  <c r="H242" i="3" s="1"/>
  <c r="F242" i="3"/>
  <c r="E242" i="3"/>
  <c r="U241" i="3"/>
  <c r="R241" i="3"/>
  <c r="Q241" i="3"/>
  <c r="N241" i="3"/>
  <c r="M241" i="3"/>
  <c r="L241" i="3"/>
  <c r="I241" i="3"/>
  <c r="J241" i="3" s="1"/>
  <c r="H241" i="3"/>
  <c r="G241" i="3"/>
  <c r="F241" i="3"/>
  <c r="E241" i="3"/>
  <c r="I240" i="3"/>
  <c r="G240" i="3"/>
  <c r="H240" i="3" s="1"/>
  <c r="F240" i="3"/>
  <c r="E240" i="3"/>
  <c r="I239" i="3"/>
  <c r="J239" i="3" s="1"/>
  <c r="H239" i="3"/>
  <c r="G239" i="3"/>
  <c r="E239" i="3"/>
  <c r="F239" i="3" s="1"/>
  <c r="I238" i="3"/>
  <c r="J238" i="3" s="1"/>
  <c r="H238" i="3"/>
  <c r="G238" i="3"/>
  <c r="F238" i="3"/>
  <c r="E238" i="3"/>
  <c r="I237" i="3"/>
  <c r="J237" i="3" s="1"/>
  <c r="H237" i="3"/>
  <c r="G237" i="3"/>
  <c r="F237" i="3"/>
  <c r="E237" i="3"/>
  <c r="I236" i="3"/>
  <c r="J236" i="3" s="1"/>
  <c r="G236" i="3"/>
  <c r="H236" i="3" s="1"/>
  <c r="F236" i="3"/>
  <c r="E236" i="3"/>
  <c r="N235" i="3"/>
  <c r="L235" i="3"/>
  <c r="I235" i="3"/>
  <c r="J235" i="3" s="1"/>
  <c r="H235" i="3"/>
  <c r="G235" i="3"/>
  <c r="F235" i="3"/>
  <c r="E235" i="3"/>
  <c r="I234" i="3"/>
  <c r="G234" i="3"/>
  <c r="H234" i="3" s="1"/>
  <c r="F234" i="3"/>
  <c r="E234" i="3"/>
  <c r="U233" i="3"/>
  <c r="M233" i="3"/>
  <c r="L233" i="3"/>
  <c r="I233" i="3"/>
  <c r="J233" i="3" s="1"/>
  <c r="H233" i="3"/>
  <c r="G233" i="3"/>
  <c r="E233" i="3"/>
  <c r="F233" i="3" s="1"/>
  <c r="I232" i="3"/>
  <c r="J232" i="3" s="1"/>
  <c r="G232" i="3"/>
  <c r="H232" i="3" s="1"/>
  <c r="F232" i="3"/>
  <c r="E232" i="3"/>
  <c r="U231" i="3"/>
  <c r="R231" i="3"/>
  <c r="Q231" i="3"/>
  <c r="I231" i="3"/>
  <c r="J231" i="3" s="1"/>
  <c r="H231" i="3"/>
  <c r="G231" i="3"/>
  <c r="E231" i="3"/>
  <c r="F231" i="3" s="1"/>
  <c r="I230" i="3"/>
  <c r="G230" i="3"/>
  <c r="H230" i="3" s="1"/>
  <c r="F230" i="3"/>
  <c r="E230" i="3"/>
  <c r="U229" i="3"/>
  <c r="R229" i="3"/>
  <c r="Q229" i="3"/>
  <c r="N229" i="3"/>
  <c r="M229" i="3"/>
  <c r="I229" i="3"/>
  <c r="J229" i="3" s="1"/>
  <c r="H229" i="3"/>
  <c r="G229" i="3"/>
  <c r="E229" i="3"/>
  <c r="F229" i="3" s="1"/>
  <c r="I228" i="3"/>
  <c r="G228" i="3"/>
  <c r="H228" i="3" s="1"/>
  <c r="E228" i="3"/>
  <c r="F228" i="3" s="1"/>
  <c r="U227" i="3"/>
  <c r="R227" i="3"/>
  <c r="Q227" i="3"/>
  <c r="N227" i="3"/>
  <c r="M227" i="3"/>
  <c r="I227" i="3"/>
  <c r="J227" i="3" s="1"/>
  <c r="H227" i="3"/>
  <c r="G227" i="3"/>
  <c r="E227" i="3"/>
  <c r="F227" i="3" s="1"/>
  <c r="I226" i="3"/>
  <c r="G226" i="3"/>
  <c r="H226" i="3" s="1"/>
  <c r="E226" i="3"/>
  <c r="F226" i="3" s="1"/>
  <c r="U225" i="3"/>
  <c r="R225" i="3"/>
  <c r="Q225" i="3"/>
  <c r="N225" i="3"/>
  <c r="M225" i="3"/>
  <c r="I225" i="3"/>
  <c r="J225" i="3" s="1"/>
  <c r="H225" i="3"/>
  <c r="G225" i="3"/>
  <c r="E225" i="3"/>
  <c r="F225" i="3" s="1"/>
  <c r="I224" i="3"/>
  <c r="G224" i="3"/>
  <c r="H224" i="3" s="1"/>
  <c r="E224" i="3"/>
  <c r="F224" i="3" s="1"/>
  <c r="U223" i="3"/>
  <c r="R223" i="3"/>
  <c r="Q223" i="3"/>
  <c r="N223" i="3"/>
  <c r="M223" i="3"/>
  <c r="I223" i="3"/>
  <c r="J223" i="3" s="1"/>
  <c r="H223" i="3"/>
  <c r="G223" i="3"/>
  <c r="E223" i="3"/>
  <c r="F223" i="3" s="1"/>
  <c r="I222" i="3"/>
  <c r="G222" i="3"/>
  <c r="H222" i="3" s="1"/>
  <c r="E222" i="3"/>
  <c r="F222" i="3" s="1"/>
  <c r="U221" i="3"/>
  <c r="R221" i="3"/>
  <c r="Q221" i="3"/>
  <c r="N221" i="3"/>
  <c r="M221" i="3"/>
  <c r="I221" i="3"/>
  <c r="J221" i="3" s="1"/>
  <c r="H221" i="3"/>
  <c r="G221" i="3"/>
  <c r="E221" i="3"/>
  <c r="F221" i="3" s="1"/>
  <c r="U220" i="3"/>
  <c r="T220" i="3"/>
  <c r="S220" i="3"/>
  <c r="R220" i="3"/>
  <c r="Q220" i="3"/>
  <c r="I220" i="3"/>
  <c r="J220" i="3" s="1"/>
  <c r="H220" i="3"/>
  <c r="G220" i="3"/>
  <c r="F220" i="3"/>
  <c r="E220" i="3"/>
  <c r="U219" i="3"/>
  <c r="R219" i="3"/>
  <c r="Q219" i="3"/>
  <c r="O219" i="3"/>
  <c r="I219" i="3"/>
  <c r="J219" i="3" s="1"/>
  <c r="H219" i="3"/>
  <c r="G219" i="3"/>
  <c r="E219" i="3"/>
  <c r="F219" i="3" s="1"/>
  <c r="I218" i="3"/>
  <c r="G218" i="3"/>
  <c r="H218" i="3" s="1"/>
  <c r="E218" i="3"/>
  <c r="F218" i="3" s="1"/>
  <c r="I217" i="3"/>
  <c r="J217" i="3" s="1"/>
  <c r="H217" i="3"/>
  <c r="G217" i="3"/>
  <c r="F217" i="3"/>
  <c r="E217" i="3"/>
  <c r="I216" i="3"/>
  <c r="J216" i="3" s="1"/>
  <c r="H216" i="3"/>
  <c r="G216" i="3"/>
  <c r="E216" i="3"/>
  <c r="F216" i="3" s="1"/>
  <c r="U215" i="3"/>
  <c r="T215" i="3"/>
  <c r="R215" i="3"/>
  <c r="Q215" i="3"/>
  <c r="O215" i="3"/>
  <c r="N215" i="3"/>
  <c r="M215" i="3"/>
  <c r="L215" i="3"/>
  <c r="K215" i="3"/>
  <c r="I215" i="3"/>
  <c r="J215" i="3" s="1"/>
  <c r="H215" i="3"/>
  <c r="G215" i="3"/>
  <c r="E215" i="3"/>
  <c r="F215" i="3" s="1"/>
  <c r="I214" i="3"/>
  <c r="G214" i="3"/>
  <c r="H214" i="3" s="1"/>
  <c r="E214" i="3"/>
  <c r="F214" i="3" s="1"/>
  <c r="T213" i="3"/>
  <c r="R213" i="3"/>
  <c r="I213" i="3"/>
  <c r="J213" i="3" s="1"/>
  <c r="H213" i="3"/>
  <c r="G213" i="3"/>
  <c r="E213" i="3"/>
  <c r="F213" i="3" s="1"/>
  <c r="I212" i="3"/>
  <c r="G212" i="3"/>
  <c r="H212" i="3" s="1"/>
  <c r="E212" i="3"/>
  <c r="F212" i="3" s="1"/>
  <c r="U211" i="3"/>
  <c r="N211" i="3"/>
  <c r="I211" i="3"/>
  <c r="J211" i="3" s="1"/>
  <c r="H211" i="3"/>
  <c r="G211" i="3"/>
  <c r="F211" i="3"/>
  <c r="E211" i="3"/>
  <c r="R210" i="3"/>
  <c r="M210" i="3"/>
  <c r="L210" i="3"/>
  <c r="I210" i="3"/>
  <c r="J210" i="3" s="1"/>
  <c r="H210" i="3"/>
  <c r="G210" i="3"/>
  <c r="E210" i="3"/>
  <c r="F210" i="3" s="1"/>
  <c r="I209" i="3"/>
  <c r="J209" i="3" s="1"/>
  <c r="G209" i="3"/>
  <c r="H209" i="3" s="1"/>
  <c r="E209" i="3"/>
  <c r="F209" i="3" s="1"/>
  <c r="I208" i="3"/>
  <c r="J208" i="3" s="1"/>
  <c r="H208" i="3"/>
  <c r="G208" i="3"/>
  <c r="F208" i="3"/>
  <c r="E208" i="3"/>
  <c r="T207" i="3"/>
  <c r="O207" i="3"/>
  <c r="N207" i="3"/>
  <c r="M207" i="3"/>
  <c r="I207" i="3"/>
  <c r="J207" i="3" s="1"/>
  <c r="H207" i="3"/>
  <c r="G207" i="3"/>
  <c r="F207" i="3"/>
  <c r="E207" i="3"/>
  <c r="V206" i="3"/>
  <c r="U206" i="3"/>
  <c r="T206" i="3"/>
  <c r="J206" i="3"/>
  <c r="I206" i="3"/>
  <c r="G206" i="3"/>
  <c r="H206" i="3" s="1"/>
  <c r="F206" i="3"/>
  <c r="E206" i="3"/>
  <c r="T205" i="3"/>
  <c r="P205" i="3"/>
  <c r="O205" i="3"/>
  <c r="N205" i="3"/>
  <c r="I205" i="3"/>
  <c r="J205" i="3" s="1"/>
  <c r="H205" i="3"/>
  <c r="G205" i="3"/>
  <c r="F205" i="3"/>
  <c r="E205" i="3"/>
  <c r="U204" i="3"/>
  <c r="N204" i="3"/>
  <c r="J204" i="3"/>
  <c r="I204" i="3"/>
  <c r="G204" i="3"/>
  <c r="H204" i="3" s="1"/>
  <c r="F204" i="3"/>
  <c r="E204" i="3"/>
  <c r="M203" i="3"/>
  <c r="I203" i="3"/>
  <c r="J203" i="3" s="1"/>
  <c r="H203" i="3"/>
  <c r="G203" i="3"/>
  <c r="F203" i="3"/>
  <c r="E203" i="3"/>
  <c r="I202" i="3"/>
  <c r="J202" i="3" s="1"/>
  <c r="H202" i="3"/>
  <c r="G202" i="3"/>
  <c r="F202" i="3"/>
  <c r="E202" i="3"/>
  <c r="I201" i="3"/>
  <c r="J201" i="3" s="1"/>
  <c r="H201" i="3"/>
  <c r="G201" i="3"/>
  <c r="F201" i="3"/>
  <c r="E201" i="3"/>
  <c r="I200" i="3"/>
  <c r="J200" i="3" s="1"/>
  <c r="H200" i="3"/>
  <c r="G200" i="3"/>
  <c r="F200" i="3"/>
  <c r="E200" i="3"/>
  <c r="I199" i="3"/>
  <c r="H199" i="3"/>
  <c r="G199" i="3"/>
  <c r="J199" i="3" s="1"/>
  <c r="F199" i="3"/>
  <c r="E199" i="3"/>
  <c r="J198" i="3"/>
  <c r="I198" i="3"/>
  <c r="H198" i="3"/>
  <c r="G198" i="3"/>
  <c r="E198" i="3"/>
  <c r="F198" i="3" s="1"/>
  <c r="P197" i="3"/>
  <c r="O197" i="3"/>
  <c r="I197" i="3"/>
  <c r="H197" i="3"/>
  <c r="G197" i="3"/>
  <c r="J197" i="3" s="1"/>
  <c r="F197" i="3"/>
  <c r="E197" i="3"/>
  <c r="I196" i="3"/>
  <c r="J196" i="3" s="1"/>
  <c r="H196" i="3"/>
  <c r="G196" i="3"/>
  <c r="E196" i="3"/>
  <c r="F196" i="3" s="1"/>
  <c r="I195" i="3"/>
  <c r="H195" i="3"/>
  <c r="G195" i="3"/>
  <c r="J195" i="3" s="1"/>
  <c r="F195" i="3"/>
  <c r="E195" i="3"/>
  <c r="I194" i="3"/>
  <c r="J194" i="3" s="1"/>
  <c r="G194" i="3"/>
  <c r="H194" i="3" s="1"/>
  <c r="E194" i="3"/>
  <c r="F194" i="3" s="1"/>
  <c r="T193" i="3"/>
  <c r="P193" i="3"/>
  <c r="O193" i="3"/>
  <c r="N193" i="3"/>
  <c r="M193" i="3"/>
  <c r="I193" i="3"/>
  <c r="H193" i="3"/>
  <c r="G193" i="3"/>
  <c r="J193" i="3" s="1"/>
  <c r="R193" i="3" s="1"/>
  <c r="E193" i="3"/>
  <c r="F193" i="3" s="1"/>
  <c r="N192" i="3"/>
  <c r="I192" i="3"/>
  <c r="J192" i="3" s="1"/>
  <c r="G192" i="3"/>
  <c r="H192" i="3" s="1"/>
  <c r="E192" i="3"/>
  <c r="F192" i="3" s="1"/>
  <c r="T191" i="3"/>
  <c r="P191" i="3"/>
  <c r="O191" i="3"/>
  <c r="N191" i="3"/>
  <c r="M191" i="3"/>
  <c r="I191" i="3"/>
  <c r="H191" i="3"/>
  <c r="G191" i="3"/>
  <c r="J191" i="3" s="1"/>
  <c r="R191" i="3" s="1"/>
  <c r="E191" i="3"/>
  <c r="F191" i="3" s="1"/>
  <c r="I190" i="3"/>
  <c r="G190" i="3"/>
  <c r="H190" i="3" s="1"/>
  <c r="E190" i="3"/>
  <c r="F190" i="3" s="1"/>
  <c r="I189" i="3"/>
  <c r="G189" i="3"/>
  <c r="H189" i="3" s="1"/>
  <c r="F189" i="3"/>
  <c r="E189" i="3"/>
  <c r="M188" i="3"/>
  <c r="I188" i="3"/>
  <c r="J188" i="3" s="1"/>
  <c r="H188" i="3"/>
  <c r="G188" i="3"/>
  <c r="E188" i="3"/>
  <c r="F188" i="3" s="1"/>
  <c r="T187" i="3"/>
  <c r="S187" i="3"/>
  <c r="P187" i="3"/>
  <c r="I187" i="3"/>
  <c r="J187" i="3" s="1"/>
  <c r="H187" i="3"/>
  <c r="G187" i="3"/>
  <c r="E187" i="3"/>
  <c r="F187" i="3" s="1"/>
  <c r="J186" i="3"/>
  <c r="I186" i="3"/>
  <c r="G186" i="3"/>
  <c r="H186" i="3" s="1"/>
  <c r="E186" i="3"/>
  <c r="F186" i="3" s="1"/>
  <c r="I185" i="3"/>
  <c r="G185" i="3"/>
  <c r="H185" i="3" s="1"/>
  <c r="E185" i="3"/>
  <c r="F185" i="3" s="1"/>
  <c r="Q184" i="3"/>
  <c r="J184" i="3"/>
  <c r="I184" i="3"/>
  <c r="G184" i="3"/>
  <c r="H184" i="3" s="1"/>
  <c r="E184" i="3"/>
  <c r="F184" i="3" s="1"/>
  <c r="I183" i="3"/>
  <c r="H183" i="3"/>
  <c r="G183" i="3"/>
  <c r="E183" i="3"/>
  <c r="F183" i="3" s="1"/>
  <c r="I182" i="3"/>
  <c r="G182" i="3"/>
  <c r="E182" i="3"/>
  <c r="F182" i="3" s="1"/>
  <c r="R181" i="3"/>
  <c r="Q181" i="3"/>
  <c r="I181" i="3"/>
  <c r="G181" i="3"/>
  <c r="J181" i="3" s="1"/>
  <c r="S181" i="3" s="1"/>
  <c r="E181" i="3"/>
  <c r="F181" i="3" s="1"/>
  <c r="V180" i="3"/>
  <c r="Q180" i="3"/>
  <c r="K180" i="3"/>
  <c r="J180" i="3"/>
  <c r="I180" i="3"/>
  <c r="H180" i="3"/>
  <c r="G180" i="3"/>
  <c r="E180" i="3"/>
  <c r="F180" i="3" s="1"/>
  <c r="I179" i="3"/>
  <c r="G179" i="3"/>
  <c r="H179" i="3" s="1"/>
  <c r="E179" i="3"/>
  <c r="F179" i="3" s="1"/>
  <c r="I178" i="3"/>
  <c r="G178" i="3"/>
  <c r="E178" i="3"/>
  <c r="F178" i="3" s="1"/>
  <c r="I177" i="3"/>
  <c r="H177" i="3"/>
  <c r="G177" i="3"/>
  <c r="E177" i="3"/>
  <c r="F177" i="3" s="1"/>
  <c r="I176" i="3"/>
  <c r="G176" i="3"/>
  <c r="F176" i="3"/>
  <c r="E176" i="3"/>
  <c r="I175" i="3"/>
  <c r="G175" i="3"/>
  <c r="E175" i="3"/>
  <c r="F175" i="3" s="1"/>
  <c r="R174" i="3"/>
  <c r="Q174" i="3"/>
  <c r="O174" i="3"/>
  <c r="M174" i="3"/>
  <c r="J174" i="3"/>
  <c r="I174" i="3"/>
  <c r="G174" i="3"/>
  <c r="H174" i="3" s="1"/>
  <c r="F174" i="3"/>
  <c r="E174" i="3"/>
  <c r="I173" i="3"/>
  <c r="G173" i="3"/>
  <c r="H173" i="3" s="1"/>
  <c r="E173" i="3"/>
  <c r="F173" i="3" s="1"/>
  <c r="J172" i="3"/>
  <c r="I172" i="3"/>
  <c r="G172" i="3"/>
  <c r="H172" i="3" s="1"/>
  <c r="E172" i="3"/>
  <c r="F172" i="3" s="1"/>
  <c r="I171" i="3"/>
  <c r="J171" i="3" s="1"/>
  <c r="H171" i="3"/>
  <c r="G171" i="3"/>
  <c r="E171" i="3"/>
  <c r="F171" i="3" s="1"/>
  <c r="I170" i="3"/>
  <c r="J170" i="3" s="1"/>
  <c r="G170" i="3"/>
  <c r="H170" i="3" s="1"/>
  <c r="E170" i="3"/>
  <c r="F170" i="3" s="1"/>
  <c r="I169" i="3"/>
  <c r="H169" i="3"/>
  <c r="G169" i="3"/>
  <c r="E169" i="3"/>
  <c r="F169" i="3" s="1"/>
  <c r="U168" i="3"/>
  <c r="M168" i="3"/>
  <c r="J168" i="3"/>
  <c r="V168" i="3" s="1"/>
  <c r="I168" i="3"/>
  <c r="G168" i="3"/>
  <c r="H168" i="3" s="1"/>
  <c r="F168" i="3"/>
  <c r="E168" i="3"/>
  <c r="I167" i="3"/>
  <c r="J167" i="3" s="1"/>
  <c r="H167" i="3"/>
  <c r="G167" i="3"/>
  <c r="E167" i="3"/>
  <c r="F167" i="3" s="1"/>
  <c r="J166" i="3"/>
  <c r="I166" i="3"/>
  <c r="G166" i="3"/>
  <c r="H166" i="3" s="1"/>
  <c r="E166" i="3"/>
  <c r="F166" i="3" s="1"/>
  <c r="I165" i="3"/>
  <c r="G165" i="3"/>
  <c r="E165" i="3"/>
  <c r="F165" i="3" s="1"/>
  <c r="Q164" i="3"/>
  <c r="I164" i="3"/>
  <c r="J164" i="3" s="1"/>
  <c r="G164" i="3"/>
  <c r="H164" i="3" s="1"/>
  <c r="F164" i="3"/>
  <c r="E164" i="3"/>
  <c r="Q163" i="3"/>
  <c r="I163" i="3"/>
  <c r="J163" i="3" s="1"/>
  <c r="G163" i="3"/>
  <c r="H163" i="3" s="1"/>
  <c r="E163" i="3"/>
  <c r="F163" i="3" s="1"/>
  <c r="R162" i="3"/>
  <c r="N162" i="3"/>
  <c r="I162" i="3"/>
  <c r="J162" i="3" s="1"/>
  <c r="G162" i="3"/>
  <c r="H162" i="3" s="1"/>
  <c r="F162" i="3"/>
  <c r="E162" i="3"/>
  <c r="I161" i="3"/>
  <c r="J161" i="3" s="1"/>
  <c r="G161" i="3"/>
  <c r="H161" i="3" s="1"/>
  <c r="E161" i="3"/>
  <c r="F161" i="3" s="1"/>
  <c r="R160" i="3"/>
  <c r="M160" i="3"/>
  <c r="K160" i="3"/>
  <c r="I160" i="3"/>
  <c r="J160" i="3" s="1"/>
  <c r="G160" i="3"/>
  <c r="H160" i="3" s="1"/>
  <c r="E160" i="3"/>
  <c r="F160" i="3" s="1"/>
  <c r="I159" i="3"/>
  <c r="G159" i="3"/>
  <c r="E159" i="3"/>
  <c r="F159" i="3" s="1"/>
  <c r="J158" i="3"/>
  <c r="I158" i="3"/>
  <c r="G158" i="3"/>
  <c r="H158" i="3" s="1"/>
  <c r="E158" i="3"/>
  <c r="F158" i="3" s="1"/>
  <c r="U157" i="3"/>
  <c r="I157" i="3"/>
  <c r="J157" i="3" s="1"/>
  <c r="H157" i="3"/>
  <c r="G157" i="3"/>
  <c r="E157" i="3"/>
  <c r="F157" i="3" s="1"/>
  <c r="Q156" i="3"/>
  <c r="K156" i="3"/>
  <c r="J156" i="3"/>
  <c r="I156" i="3"/>
  <c r="G156" i="3"/>
  <c r="H156" i="3" s="1"/>
  <c r="F156" i="3"/>
  <c r="E156" i="3"/>
  <c r="U155" i="3"/>
  <c r="O155" i="3"/>
  <c r="L155" i="3"/>
  <c r="J155" i="3"/>
  <c r="I155" i="3"/>
  <c r="G155" i="3"/>
  <c r="H155" i="3" s="1"/>
  <c r="E155" i="3"/>
  <c r="F155" i="3" s="1"/>
  <c r="I154" i="3"/>
  <c r="J154" i="3" s="1"/>
  <c r="G154" i="3"/>
  <c r="H154" i="3" s="1"/>
  <c r="E154" i="3"/>
  <c r="F154" i="3" s="1"/>
  <c r="T153" i="3"/>
  <c r="S153" i="3"/>
  <c r="J153" i="3"/>
  <c r="I153" i="3"/>
  <c r="H153" i="3"/>
  <c r="G153" i="3"/>
  <c r="E153" i="3"/>
  <c r="F153" i="3" s="1"/>
  <c r="V152" i="3"/>
  <c r="U152" i="3"/>
  <c r="R152" i="3"/>
  <c r="Q152" i="3"/>
  <c r="P152" i="3"/>
  <c r="O152" i="3"/>
  <c r="N152" i="3"/>
  <c r="M152" i="3"/>
  <c r="J152" i="3"/>
  <c r="I152" i="3"/>
  <c r="G152" i="3"/>
  <c r="H152" i="3" s="1"/>
  <c r="E152" i="3"/>
  <c r="F152" i="3" s="1"/>
  <c r="I151" i="3"/>
  <c r="G151" i="3"/>
  <c r="H151" i="3" s="1"/>
  <c r="E151" i="3"/>
  <c r="F151" i="3" s="1"/>
  <c r="K150" i="3"/>
  <c r="I150" i="3"/>
  <c r="J150" i="3" s="1"/>
  <c r="G150" i="3"/>
  <c r="H150" i="3" s="1"/>
  <c r="F150" i="3"/>
  <c r="E150" i="3"/>
  <c r="U149" i="3"/>
  <c r="J149" i="3"/>
  <c r="I149" i="3"/>
  <c r="G149" i="3"/>
  <c r="H149" i="3" s="1"/>
  <c r="E149" i="3"/>
  <c r="F149" i="3" s="1"/>
  <c r="P148" i="3"/>
  <c r="O148" i="3"/>
  <c r="N148" i="3"/>
  <c r="M148" i="3"/>
  <c r="I148" i="3"/>
  <c r="J148" i="3" s="1"/>
  <c r="G148" i="3"/>
  <c r="H148" i="3" s="1"/>
  <c r="E148" i="3"/>
  <c r="F148" i="3" s="1"/>
  <c r="U147" i="3"/>
  <c r="T147" i="3"/>
  <c r="S147" i="3"/>
  <c r="Q147" i="3"/>
  <c r="J147" i="3"/>
  <c r="I147" i="3"/>
  <c r="H147" i="3"/>
  <c r="G147" i="3"/>
  <c r="E147" i="3"/>
  <c r="F147" i="3" s="1"/>
  <c r="V146" i="3"/>
  <c r="U146" i="3"/>
  <c r="R146" i="3"/>
  <c r="Q146" i="3"/>
  <c r="P146" i="3"/>
  <c r="N146" i="3"/>
  <c r="M146" i="3"/>
  <c r="J146" i="3"/>
  <c r="O146" i="3" s="1"/>
  <c r="I146" i="3"/>
  <c r="G146" i="3"/>
  <c r="H146" i="3" s="1"/>
  <c r="E146" i="3"/>
  <c r="F146" i="3" s="1"/>
  <c r="U145" i="3"/>
  <c r="J145" i="3"/>
  <c r="I145" i="3"/>
  <c r="G145" i="3"/>
  <c r="H145" i="3" s="1"/>
  <c r="E145" i="3"/>
  <c r="F145" i="3" s="1"/>
  <c r="J144" i="3"/>
  <c r="I144" i="3"/>
  <c r="G144" i="3"/>
  <c r="H144" i="3" s="1"/>
  <c r="F144" i="3"/>
  <c r="E144" i="3"/>
  <c r="P143" i="3"/>
  <c r="J143" i="3"/>
  <c r="I143" i="3"/>
  <c r="G143" i="3"/>
  <c r="H143" i="3" s="1"/>
  <c r="E143" i="3"/>
  <c r="F143" i="3" s="1"/>
  <c r="Q142" i="3"/>
  <c r="J142" i="3"/>
  <c r="I142" i="3"/>
  <c r="G142" i="3"/>
  <c r="H142" i="3" s="1"/>
  <c r="E142" i="3"/>
  <c r="F142" i="3" s="1"/>
  <c r="I141" i="3"/>
  <c r="H141" i="3"/>
  <c r="G141" i="3"/>
  <c r="E141" i="3"/>
  <c r="F141" i="3" s="1"/>
  <c r="M140" i="3"/>
  <c r="I140" i="3"/>
  <c r="J140" i="3" s="1"/>
  <c r="G140" i="3"/>
  <c r="H140" i="3" s="1"/>
  <c r="F140" i="3"/>
  <c r="E140" i="3"/>
  <c r="V139" i="3"/>
  <c r="L139" i="3"/>
  <c r="I139" i="3"/>
  <c r="G139" i="3"/>
  <c r="J139" i="3" s="1"/>
  <c r="U139" i="3" s="1"/>
  <c r="E139" i="3"/>
  <c r="F139" i="3" s="1"/>
  <c r="S138" i="3"/>
  <c r="R138" i="3"/>
  <c r="P138" i="3"/>
  <c r="O138" i="3"/>
  <c r="N138" i="3"/>
  <c r="K138" i="3"/>
  <c r="J138" i="3"/>
  <c r="I138" i="3"/>
  <c r="G138" i="3"/>
  <c r="H138" i="3" s="1"/>
  <c r="E138" i="3"/>
  <c r="F138" i="3" s="1"/>
  <c r="I137" i="3"/>
  <c r="G137" i="3"/>
  <c r="H137" i="3" s="1"/>
  <c r="E137" i="3"/>
  <c r="F137" i="3" s="1"/>
  <c r="V136" i="3"/>
  <c r="U136" i="3"/>
  <c r="R136" i="3"/>
  <c r="Q136" i="3"/>
  <c r="I136" i="3"/>
  <c r="J136" i="3" s="1"/>
  <c r="G136" i="3"/>
  <c r="H136" i="3" s="1"/>
  <c r="F136" i="3"/>
  <c r="E136" i="3"/>
  <c r="V135" i="3"/>
  <c r="U135" i="3"/>
  <c r="P135" i="3"/>
  <c r="O135" i="3"/>
  <c r="M135" i="3"/>
  <c r="J135" i="3"/>
  <c r="I135" i="3"/>
  <c r="H135" i="3"/>
  <c r="G135" i="3"/>
  <c r="E135" i="3"/>
  <c r="F135" i="3" s="1"/>
  <c r="S134" i="3"/>
  <c r="R134" i="3"/>
  <c r="Q134" i="3"/>
  <c r="P134" i="3"/>
  <c r="O134" i="3"/>
  <c r="J134" i="3"/>
  <c r="I134" i="3"/>
  <c r="G134" i="3"/>
  <c r="H134" i="3" s="1"/>
  <c r="E134" i="3"/>
  <c r="F134" i="3" s="1"/>
  <c r="R133" i="3"/>
  <c r="P133" i="3"/>
  <c r="I133" i="3"/>
  <c r="J133" i="3" s="1"/>
  <c r="H133" i="3"/>
  <c r="G133" i="3"/>
  <c r="E133" i="3"/>
  <c r="F133" i="3" s="1"/>
  <c r="I132" i="3"/>
  <c r="G132" i="3"/>
  <c r="H132" i="3" s="1"/>
  <c r="F132" i="3"/>
  <c r="E132" i="3"/>
  <c r="I131" i="3"/>
  <c r="J131" i="3" s="1"/>
  <c r="G131" i="3"/>
  <c r="H131" i="3" s="1"/>
  <c r="E131" i="3"/>
  <c r="F131" i="3" s="1"/>
  <c r="V130" i="3"/>
  <c r="U130" i="3"/>
  <c r="S130" i="3"/>
  <c r="Q130" i="3"/>
  <c r="J130" i="3"/>
  <c r="I130" i="3"/>
  <c r="G130" i="3"/>
  <c r="H130" i="3" s="1"/>
  <c r="F130" i="3"/>
  <c r="E130" i="3"/>
  <c r="V129" i="3"/>
  <c r="U129" i="3"/>
  <c r="S129" i="3"/>
  <c r="Q129" i="3"/>
  <c r="O129" i="3"/>
  <c r="M129" i="3"/>
  <c r="L129" i="3"/>
  <c r="K129" i="3"/>
  <c r="I129" i="3"/>
  <c r="J129" i="3" s="1"/>
  <c r="H129" i="3"/>
  <c r="G129" i="3"/>
  <c r="F129" i="3"/>
  <c r="E129" i="3"/>
  <c r="I128" i="3"/>
  <c r="J128" i="3" s="1"/>
  <c r="G128" i="3"/>
  <c r="H128" i="3" s="1"/>
  <c r="E128" i="3"/>
  <c r="F128" i="3" s="1"/>
  <c r="I127" i="3"/>
  <c r="J127" i="3" s="1"/>
  <c r="H127" i="3"/>
  <c r="G127" i="3"/>
  <c r="F127" i="3"/>
  <c r="E127" i="3"/>
  <c r="I126" i="3"/>
  <c r="G126" i="3"/>
  <c r="E126" i="3"/>
  <c r="F126" i="3" s="1"/>
  <c r="J125" i="3"/>
  <c r="I125" i="3"/>
  <c r="H125" i="3"/>
  <c r="G125" i="3"/>
  <c r="E125" i="3"/>
  <c r="F125" i="3" s="1"/>
  <c r="N124" i="3"/>
  <c r="M124" i="3"/>
  <c r="K124" i="3"/>
  <c r="J124" i="3"/>
  <c r="I124" i="3"/>
  <c r="G124" i="3"/>
  <c r="H124" i="3" s="1"/>
  <c r="F124" i="3"/>
  <c r="E124" i="3"/>
  <c r="I123" i="3"/>
  <c r="G123" i="3"/>
  <c r="H123" i="3" s="1"/>
  <c r="F123" i="3"/>
  <c r="E123" i="3"/>
  <c r="I122" i="3"/>
  <c r="G122" i="3"/>
  <c r="H122" i="3" s="1"/>
  <c r="F122" i="3"/>
  <c r="E122" i="3"/>
  <c r="S121" i="3"/>
  <c r="P121" i="3"/>
  <c r="O121" i="3"/>
  <c r="I121" i="3"/>
  <c r="J121" i="3" s="1"/>
  <c r="U121" i="3" s="1"/>
  <c r="H121" i="3"/>
  <c r="G121" i="3"/>
  <c r="F121" i="3"/>
  <c r="E121" i="3"/>
  <c r="I120" i="3"/>
  <c r="G120" i="3"/>
  <c r="H120" i="3" s="1"/>
  <c r="E120" i="3"/>
  <c r="F120" i="3" s="1"/>
  <c r="S119" i="3"/>
  <c r="L119" i="3"/>
  <c r="I119" i="3"/>
  <c r="J119" i="3" s="1"/>
  <c r="H119" i="3"/>
  <c r="G119" i="3"/>
  <c r="E119" i="3"/>
  <c r="F119" i="3" s="1"/>
  <c r="I118" i="3"/>
  <c r="G118" i="3"/>
  <c r="E118" i="3"/>
  <c r="F118" i="3" s="1"/>
  <c r="J117" i="3"/>
  <c r="I117" i="3"/>
  <c r="H117" i="3"/>
  <c r="G117" i="3"/>
  <c r="E117" i="3"/>
  <c r="F117" i="3" s="1"/>
  <c r="V116" i="3"/>
  <c r="Q116" i="3"/>
  <c r="O116" i="3"/>
  <c r="M116" i="3"/>
  <c r="I116" i="3"/>
  <c r="J116" i="3" s="1"/>
  <c r="G116" i="3"/>
  <c r="H116" i="3" s="1"/>
  <c r="F116" i="3"/>
  <c r="E116" i="3"/>
  <c r="Q115" i="3"/>
  <c r="O115" i="3"/>
  <c r="K115" i="3"/>
  <c r="I115" i="3"/>
  <c r="J115" i="3" s="1"/>
  <c r="T115" i="3" s="1"/>
  <c r="G115" i="3"/>
  <c r="H115" i="3" s="1"/>
  <c r="E115" i="3"/>
  <c r="F115" i="3" s="1"/>
  <c r="I114" i="3"/>
  <c r="G114" i="3"/>
  <c r="H114" i="3" s="1"/>
  <c r="F114" i="3"/>
  <c r="E114" i="3"/>
  <c r="I113" i="3"/>
  <c r="J113" i="3" s="1"/>
  <c r="H113" i="3"/>
  <c r="G113" i="3"/>
  <c r="F113" i="3"/>
  <c r="E113" i="3"/>
  <c r="R112" i="3"/>
  <c r="Q112" i="3"/>
  <c r="N112" i="3"/>
  <c r="M112" i="3"/>
  <c r="I112" i="3"/>
  <c r="J112" i="3" s="1"/>
  <c r="G112" i="3"/>
  <c r="H112" i="3" s="1"/>
  <c r="E112" i="3"/>
  <c r="F112" i="3" s="1"/>
  <c r="I111" i="3"/>
  <c r="G111" i="3"/>
  <c r="F111" i="3"/>
  <c r="E111" i="3"/>
  <c r="J110" i="3"/>
  <c r="I110" i="3"/>
  <c r="G110" i="3"/>
  <c r="H110" i="3" s="1"/>
  <c r="E110" i="3"/>
  <c r="F110" i="3" s="1"/>
  <c r="U109" i="3"/>
  <c r="R109" i="3"/>
  <c r="Q109" i="3"/>
  <c r="J109" i="3"/>
  <c r="V109" i="3" s="1"/>
  <c r="I109" i="3"/>
  <c r="G109" i="3"/>
  <c r="H109" i="3" s="1"/>
  <c r="E109" i="3"/>
  <c r="F109" i="3" s="1"/>
  <c r="I108" i="3"/>
  <c r="J108" i="3" s="1"/>
  <c r="G108" i="3"/>
  <c r="H108" i="3" s="1"/>
  <c r="F108" i="3"/>
  <c r="E108" i="3"/>
  <c r="O107" i="3"/>
  <c r="K107" i="3"/>
  <c r="I107" i="3"/>
  <c r="J107" i="3" s="1"/>
  <c r="G107" i="3"/>
  <c r="H107" i="3" s="1"/>
  <c r="E107" i="3"/>
  <c r="F107" i="3" s="1"/>
  <c r="I106" i="3"/>
  <c r="J106" i="3" s="1"/>
  <c r="G106" i="3"/>
  <c r="H106" i="3" s="1"/>
  <c r="E106" i="3"/>
  <c r="F106" i="3" s="1"/>
  <c r="S105" i="3"/>
  <c r="M105" i="3"/>
  <c r="L105" i="3"/>
  <c r="I105" i="3"/>
  <c r="J105" i="3" s="1"/>
  <c r="V105" i="3" s="1"/>
  <c r="H105" i="3"/>
  <c r="G105" i="3"/>
  <c r="E105" i="3"/>
  <c r="F105" i="3" s="1"/>
  <c r="I104" i="3"/>
  <c r="J104" i="3" s="1"/>
  <c r="G104" i="3"/>
  <c r="H104" i="3" s="1"/>
  <c r="E104" i="3"/>
  <c r="F104" i="3" s="1"/>
  <c r="O103" i="3"/>
  <c r="K103" i="3"/>
  <c r="I103" i="3"/>
  <c r="J103" i="3" s="1"/>
  <c r="G103" i="3"/>
  <c r="H103" i="3" s="1"/>
  <c r="F103" i="3"/>
  <c r="E103" i="3"/>
  <c r="I102" i="3"/>
  <c r="G102" i="3"/>
  <c r="F102" i="3"/>
  <c r="E102" i="3"/>
  <c r="Q101" i="3"/>
  <c r="O101" i="3"/>
  <c r="K101" i="3"/>
  <c r="I101" i="3"/>
  <c r="J101" i="3" s="1"/>
  <c r="T101" i="3" s="1"/>
  <c r="H101" i="3"/>
  <c r="G101" i="3"/>
  <c r="F101" i="3"/>
  <c r="E101" i="3"/>
  <c r="J100" i="3"/>
  <c r="I100" i="3"/>
  <c r="G100" i="3"/>
  <c r="H100" i="3" s="1"/>
  <c r="F100" i="3"/>
  <c r="E100" i="3"/>
  <c r="T99" i="3"/>
  <c r="I99" i="3"/>
  <c r="J99" i="3" s="1"/>
  <c r="H99" i="3"/>
  <c r="G99" i="3"/>
  <c r="E99" i="3"/>
  <c r="F99" i="3" s="1"/>
  <c r="N98" i="3"/>
  <c r="K98" i="3"/>
  <c r="J98" i="3"/>
  <c r="I98" i="3"/>
  <c r="G98" i="3"/>
  <c r="H98" i="3" s="1"/>
  <c r="E98" i="3"/>
  <c r="F98" i="3" s="1"/>
  <c r="I97" i="3"/>
  <c r="G97" i="3"/>
  <c r="F97" i="3"/>
  <c r="E97" i="3"/>
  <c r="I96" i="3"/>
  <c r="G96" i="3"/>
  <c r="F96" i="3"/>
  <c r="E96" i="3"/>
  <c r="I95" i="3"/>
  <c r="G95" i="3"/>
  <c r="J95" i="3" s="1"/>
  <c r="E95" i="3"/>
  <c r="F95" i="3" s="1"/>
  <c r="U94" i="3"/>
  <c r="P94" i="3"/>
  <c r="M94" i="3"/>
  <c r="L94" i="3"/>
  <c r="I94" i="3"/>
  <c r="J94" i="3" s="1"/>
  <c r="S94" i="3" s="1"/>
  <c r="G94" i="3"/>
  <c r="H94" i="3" s="1"/>
  <c r="F94" i="3"/>
  <c r="E94" i="3"/>
  <c r="I93" i="3"/>
  <c r="J93" i="3" s="1"/>
  <c r="H93" i="3"/>
  <c r="G93" i="3"/>
  <c r="E93" i="3"/>
  <c r="F93" i="3" s="1"/>
  <c r="I92" i="3"/>
  <c r="J92" i="3" s="1"/>
  <c r="G92" i="3"/>
  <c r="H92" i="3" s="1"/>
  <c r="F92" i="3"/>
  <c r="E92" i="3"/>
  <c r="I91" i="3"/>
  <c r="J91" i="3" s="1"/>
  <c r="H91" i="3"/>
  <c r="G91" i="3"/>
  <c r="E91" i="3"/>
  <c r="F91" i="3" s="1"/>
  <c r="I90" i="3"/>
  <c r="J90" i="3" s="1"/>
  <c r="G90" i="3"/>
  <c r="H90" i="3" s="1"/>
  <c r="F90" i="3"/>
  <c r="E90" i="3"/>
  <c r="I89" i="3"/>
  <c r="G89" i="3"/>
  <c r="J89" i="3" s="1"/>
  <c r="F89" i="3"/>
  <c r="E89" i="3"/>
  <c r="R88" i="3"/>
  <c r="J88" i="3"/>
  <c r="I88" i="3"/>
  <c r="G88" i="3"/>
  <c r="H88" i="3" s="1"/>
  <c r="E88" i="3"/>
  <c r="F88" i="3" s="1"/>
  <c r="I87" i="3"/>
  <c r="G87" i="3"/>
  <c r="H87" i="3" s="1"/>
  <c r="E87" i="3"/>
  <c r="F87" i="3" s="1"/>
  <c r="I86" i="3"/>
  <c r="G86" i="3"/>
  <c r="H86" i="3" s="1"/>
  <c r="F86" i="3"/>
  <c r="E86" i="3"/>
  <c r="I85" i="3"/>
  <c r="G85" i="3"/>
  <c r="H85" i="3" s="1"/>
  <c r="F85" i="3"/>
  <c r="E85" i="3"/>
  <c r="I84" i="3"/>
  <c r="H84" i="3"/>
  <c r="G84" i="3"/>
  <c r="F84" i="3"/>
  <c r="E84" i="3"/>
  <c r="I83" i="3"/>
  <c r="J83" i="3" s="1"/>
  <c r="H83" i="3"/>
  <c r="G83" i="3"/>
  <c r="F83" i="3"/>
  <c r="E83" i="3"/>
  <c r="I82" i="3"/>
  <c r="J82" i="3" s="1"/>
  <c r="G82" i="3"/>
  <c r="H82" i="3" s="1"/>
  <c r="F82" i="3"/>
  <c r="E82" i="3"/>
  <c r="I81" i="3"/>
  <c r="J81" i="3" s="1"/>
  <c r="G81" i="3"/>
  <c r="H81" i="3" s="1"/>
  <c r="F81" i="3"/>
  <c r="E81" i="3"/>
  <c r="I80" i="3"/>
  <c r="G80" i="3"/>
  <c r="H80" i="3" s="1"/>
  <c r="F80" i="3"/>
  <c r="E80" i="3"/>
  <c r="J79" i="3"/>
  <c r="I79" i="3"/>
  <c r="H79" i="3"/>
  <c r="G79" i="3"/>
  <c r="E79" i="3"/>
  <c r="F79" i="3" s="1"/>
  <c r="I78" i="3"/>
  <c r="H78" i="3"/>
  <c r="G78" i="3"/>
  <c r="F78" i="3"/>
  <c r="E78" i="3"/>
  <c r="J77" i="3"/>
  <c r="I77" i="3"/>
  <c r="H77" i="3"/>
  <c r="G77" i="3"/>
  <c r="E77" i="3"/>
  <c r="F77" i="3" s="1"/>
  <c r="S76" i="3"/>
  <c r="R76" i="3"/>
  <c r="Q76" i="3"/>
  <c r="M76" i="3"/>
  <c r="K76" i="3"/>
  <c r="I76" i="3"/>
  <c r="J76" i="3" s="1"/>
  <c r="G76" i="3"/>
  <c r="H76" i="3" s="1"/>
  <c r="E76" i="3"/>
  <c r="F76" i="3" s="1"/>
  <c r="I75" i="3"/>
  <c r="G75" i="3"/>
  <c r="E75" i="3"/>
  <c r="F75" i="3" s="1"/>
  <c r="I74" i="3"/>
  <c r="G74" i="3"/>
  <c r="H74" i="3" s="1"/>
  <c r="F74" i="3"/>
  <c r="E74" i="3"/>
  <c r="I73" i="3"/>
  <c r="J73" i="3" s="1"/>
  <c r="H73" i="3"/>
  <c r="G73" i="3"/>
  <c r="F73" i="3"/>
  <c r="E73" i="3"/>
  <c r="K72" i="3"/>
  <c r="I72" i="3"/>
  <c r="J72" i="3" s="1"/>
  <c r="H72" i="3"/>
  <c r="G72" i="3"/>
  <c r="E72" i="3"/>
  <c r="F72" i="3" s="1"/>
  <c r="I71" i="3"/>
  <c r="J71" i="3" s="1"/>
  <c r="H71" i="3"/>
  <c r="G71" i="3"/>
  <c r="E71" i="3"/>
  <c r="F71" i="3" s="1"/>
  <c r="P70" i="3"/>
  <c r="O70" i="3"/>
  <c r="N70" i="3"/>
  <c r="I70" i="3"/>
  <c r="J70" i="3" s="1"/>
  <c r="U70" i="3" s="1"/>
  <c r="G70" i="3"/>
  <c r="H70" i="3" s="1"/>
  <c r="F70" i="3"/>
  <c r="E70" i="3"/>
  <c r="I69" i="3"/>
  <c r="H69" i="3"/>
  <c r="G69" i="3"/>
  <c r="J69" i="3" s="1"/>
  <c r="E69" i="3"/>
  <c r="F69" i="3" s="1"/>
  <c r="Q68" i="3"/>
  <c r="P68" i="3"/>
  <c r="I68" i="3"/>
  <c r="J68" i="3" s="1"/>
  <c r="S68" i="3" s="1"/>
  <c r="G68" i="3"/>
  <c r="H68" i="3" s="1"/>
  <c r="E68" i="3"/>
  <c r="F68" i="3" s="1"/>
  <c r="T67" i="3"/>
  <c r="R67" i="3"/>
  <c r="J67" i="3"/>
  <c r="V67" i="3" s="1"/>
  <c r="I67" i="3"/>
  <c r="G67" i="3"/>
  <c r="H67" i="3" s="1"/>
  <c r="E67" i="3"/>
  <c r="F67" i="3" s="1"/>
  <c r="I66" i="3"/>
  <c r="G66" i="3"/>
  <c r="H66" i="3" s="1"/>
  <c r="F66" i="3"/>
  <c r="E66" i="3"/>
  <c r="I65" i="3"/>
  <c r="G65" i="3"/>
  <c r="H65" i="3" s="1"/>
  <c r="E65" i="3"/>
  <c r="F65" i="3" s="1"/>
  <c r="U64" i="3"/>
  <c r="S64" i="3"/>
  <c r="R64" i="3"/>
  <c r="Q64" i="3"/>
  <c r="P64" i="3"/>
  <c r="M64" i="3"/>
  <c r="L64" i="3"/>
  <c r="K64" i="3"/>
  <c r="I64" i="3"/>
  <c r="J64" i="3" s="1"/>
  <c r="H64" i="3"/>
  <c r="G64" i="3"/>
  <c r="F64" i="3"/>
  <c r="E64" i="3"/>
  <c r="J63" i="3"/>
  <c r="I63" i="3"/>
  <c r="H63" i="3"/>
  <c r="G63" i="3"/>
  <c r="E63" i="3"/>
  <c r="F63" i="3" s="1"/>
  <c r="U62" i="3"/>
  <c r="O62" i="3"/>
  <c r="N62" i="3"/>
  <c r="M62" i="3"/>
  <c r="I62" i="3"/>
  <c r="J62" i="3" s="1"/>
  <c r="T62" i="3" s="1"/>
  <c r="G62" i="3"/>
  <c r="H62" i="3" s="1"/>
  <c r="F62" i="3"/>
  <c r="E62" i="3"/>
  <c r="O61" i="3"/>
  <c r="N61" i="3"/>
  <c r="I61" i="3"/>
  <c r="H61" i="3"/>
  <c r="G61" i="3"/>
  <c r="J61" i="3" s="1"/>
  <c r="F61" i="3"/>
  <c r="E61" i="3"/>
  <c r="I60" i="3"/>
  <c r="G60" i="3"/>
  <c r="H60" i="3" s="1"/>
  <c r="E60" i="3"/>
  <c r="F60" i="3" s="1"/>
  <c r="I59" i="3"/>
  <c r="G59" i="3"/>
  <c r="E59" i="3"/>
  <c r="F59" i="3" s="1"/>
  <c r="I58" i="3"/>
  <c r="G58" i="3"/>
  <c r="H58" i="3" s="1"/>
  <c r="F58" i="3"/>
  <c r="E58" i="3"/>
  <c r="T57" i="3"/>
  <c r="Q57" i="3"/>
  <c r="M57" i="3"/>
  <c r="L57" i="3"/>
  <c r="K57" i="3"/>
  <c r="I57" i="3"/>
  <c r="J57" i="3" s="1"/>
  <c r="V57" i="3" s="1"/>
  <c r="H57" i="3"/>
  <c r="G57" i="3"/>
  <c r="E57" i="3"/>
  <c r="F57" i="3" s="1"/>
  <c r="U56" i="3"/>
  <c r="S56" i="3"/>
  <c r="R56" i="3"/>
  <c r="P56" i="3"/>
  <c r="N56" i="3"/>
  <c r="M56" i="3"/>
  <c r="L56" i="3"/>
  <c r="K56" i="3"/>
  <c r="I56" i="3"/>
  <c r="J56" i="3" s="1"/>
  <c r="Q56" i="3" s="1"/>
  <c r="H56" i="3"/>
  <c r="G56" i="3"/>
  <c r="E56" i="3"/>
  <c r="F56" i="3" s="1"/>
  <c r="R55" i="3"/>
  <c r="J55" i="3"/>
  <c r="I55" i="3"/>
  <c r="H55" i="3"/>
  <c r="G55" i="3"/>
  <c r="E55" i="3"/>
  <c r="F55" i="3" s="1"/>
  <c r="I54" i="3"/>
  <c r="G54" i="3"/>
  <c r="H54" i="3" s="1"/>
  <c r="F54" i="3"/>
  <c r="E54" i="3"/>
  <c r="O53" i="3"/>
  <c r="J53" i="3"/>
  <c r="I53" i="3"/>
  <c r="H53" i="3"/>
  <c r="G53" i="3"/>
  <c r="F53" i="3"/>
  <c r="E53" i="3"/>
  <c r="S52" i="3"/>
  <c r="P52" i="3"/>
  <c r="M52" i="3"/>
  <c r="L52" i="3"/>
  <c r="K52" i="3"/>
  <c r="I52" i="3"/>
  <c r="J52" i="3" s="1"/>
  <c r="T52" i="3" s="1"/>
  <c r="G52" i="3"/>
  <c r="H52" i="3" s="1"/>
  <c r="E52" i="3"/>
  <c r="F52" i="3" s="1"/>
  <c r="I51" i="3"/>
  <c r="G51" i="3"/>
  <c r="E51" i="3"/>
  <c r="F51" i="3" s="1"/>
  <c r="I50" i="3"/>
  <c r="H50" i="3"/>
  <c r="G50" i="3"/>
  <c r="F50" i="3"/>
  <c r="E50" i="3"/>
  <c r="U49" i="3"/>
  <c r="T49" i="3"/>
  <c r="S49" i="3"/>
  <c r="R49" i="3"/>
  <c r="Q49" i="3"/>
  <c r="L49" i="3"/>
  <c r="K49" i="3"/>
  <c r="I49" i="3"/>
  <c r="J49" i="3" s="1"/>
  <c r="V49" i="3" s="1"/>
  <c r="H49" i="3"/>
  <c r="G49" i="3"/>
  <c r="E49" i="3"/>
  <c r="F49" i="3" s="1"/>
  <c r="U48" i="3"/>
  <c r="S48" i="3"/>
  <c r="R48" i="3"/>
  <c r="Q48" i="3"/>
  <c r="P48" i="3"/>
  <c r="N48" i="3"/>
  <c r="M48" i="3"/>
  <c r="L48" i="3"/>
  <c r="K48" i="3"/>
  <c r="I48" i="3"/>
  <c r="J48" i="3" s="1"/>
  <c r="H48" i="3"/>
  <c r="G48" i="3"/>
  <c r="F48" i="3"/>
  <c r="E48" i="3"/>
  <c r="J47" i="3"/>
  <c r="R47" i="3" s="1"/>
  <c r="I47" i="3"/>
  <c r="H47" i="3"/>
  <c r="G47" i="3"/>
  <c r="E47" i="3"/>
  <c r="F47" i="3" s="1"/>
  <c r="U46" i="3"/>
  <c r="O46" i="3"/>
  <c r="N46" i="3"/>
  <c r="M46" i="3"/>
  <c r="K46" i="3"/>
  <c r="I46" i="3"/>
  <c r="J46" i="3" s="1"/>
  <c r="T46" i="3" s="1"/>
  <c r="G46" i="3"/>
  <c r="H46" i="3" s="1"/>
  <c r="F46" i="3"/>
  <c r="E46" i="3"/>
  <c r="I45" i="3"/>
  <c r="H45" i="3"/>
  <c r="G45" i="3"/>
  <c r="J45" i="3" s="1"/>
  <c r="F45" i="3"/>
  <c r="E45" i="3"/>
  <c r="I44" i="3"/>
  <c r="G44" i="3"/>
  <c r="H44" i="3" s="1"/>
  <c r="E44" i="3"/>
  <c r="F44" i="3" s="1"/>
  <c r="I43" i="3"/>
  <c r="G43" i="3"/>
  <c r="E43" i="3"/>
  <c r="F43" i="3" s="1"/>
  <c r="I42" i="3"/>
  <c r="G42" i="3"/>
  <c r="H42" i="3" s="1"/>
  <c r="F42" i="3"/>
  <c r="E42" i="3"/>
  <c r="T41" i="3"/>
  <c r="M41" i="3"/>
  <c r="L41" i="3"/>
  <c r="K41" i="3"/>
  <c r="I41" i="3"/>
  <c r="J41" i="3" s="1"/>
  <c r="V41" i="3" s="1"/>
  <c r="H41" i="3"/>
  <c r="G41" i="3"/>
  <c r="E41" i="3"/>
  <c r="F41" i="3" s="1"/>
  <c r="U40" i="3"/>
  <c r="S40" i="3"/>
  <c r="R40" i="3"/>
  <c r="P40" i="3"/>
  <c r="N40" i="3"/>
  <c r="M40" i="3"/>
  <c r="L40" i="3"/>
  <c r="K40" i="3"/>
  <c r="I40" i="3"/>
  <c r="J40" i="3" s="1"/>
  <c r="Q40" i="3" s="1"/>
  <c r="H40" i="3"/>
  <c r="G40" i="3"/>
  <c r="E40" i="3"/>
  <c r="F40" i="3" s="1"/>
  <c r="R39" i="3"/>
  <c r="Q39" i="3"/>
  <c r="J39" i="3"/>
  <c r="I39" i="3"/>
  <c r="H39" i="3"/>
  <c r="G39" i="3"/>
  <c r="E39" i="3"/>
  <c r="F39" i="3" s="1"/>
  <c r="I38" i="3"/>
  <c r="G38" i="3"/>
  <c r="H38" i="3" s="1"/>
  <c r="E38" i="3"/>
  <c r="F38" i="3" s="1"/>
  <c r="J37" i="3"/>
  <c r="I37" i="3"/>
  <c r="H37" i="3"/>
  <c r="G37" i="3"/>
  <c r="E37" i="3"/>
  <c r="F37" i="3" s="1"/>
  <c r="I36" i="3"/>
  <c r="G36" i="3"/>
  <c r="H36" i="3" s="1"/>
  <c r="E36" i="3"/>
  <c r="F36" i="3" s="1"/>
  <c r="I35" i="3"/>
  <c r="J35" i="3" s="1"/>
  <c r="H35" i="3"/>
  <c r="G35" i="3"/>
  <c r="E35" i="3"/>
  <c r="F35" i="3" s="1"/>
  <c r="I34" i="3"/>
  <c r="G34" i="3"/>
  <c r="H34" i="3" s="1"/>
  <c r="F34" i="3"/>
  <c r="E34" i="3"/>
  <c r="K33" i="3"/>
  <c r="J33" i="3"/>
  <c r="I33" i="3"/>
  <c r="H33" i="3"/>
  <c r="G33" i="3"/>
  <c r="E33" i="3"/>
  <c r="F33" i="3" s="1"/>
  <c r="U32" i="3"/>
  <c r="S32" i="3"/>
  <c r="R32" i="3"/>
  <c r="P32" i="3"/>
  <c r="O32" i="3"/>
  <c r="N32" i="3"/>
  <c r="M32" i="3"/>
  <c r="L32" i="3"/>
  <c r="I32" i="3"/>
  <c r="J32" i="3" s="1"/>
  <c r="Q32" i="3" s="1"/>
  <c r="H32" i="3"/>
  <c r="G32" i="3"/>
  <c r="E32" i="3"/>
  <c r="F32" i="3" s="1"/>
  <c r="T31" i="3"/>
  <c r="S31" i="3"/>
  <c r="M31" i="3"/>
  <c r="I31" i="3"/>
  <c r="J31" i="3" s="1"/>
  <c r="G31" i="3"/>
  <c r="H31" i="3" s="1"/>
  <c r="E31" i="3"/>
  <c r="F31" i="3" s="1"/>
  <c r="I30" i="3"/>
  <c r="J30" i="3" s="1"/>
  <c r="H30" i="3"/>
  <c r="G30" i="3"/>
  <c r="F30" i="3"/>
  <c r="E30" i="3"/>
  <c r="I29" i="3"/>
  <c r="G29" i="3"/>
  <c r="E29" i="3"/>
  <c r="F29" i="3" s="1"/>
  <c r="I28" i="3"/>
  <c r="G28" i="3"/>
  <c r="H28" i="3" s="1"/>
  <c r="E28" i="3"/>
  <c r="F28" i="3" s="1"/>
  <c r="I27" i="3"/>
  <c r="G27" i="3"/>
  <c r="H27" i="3" s="1"/>
  <c r="E27" i="3"/>
  <c r="F27" i="3" s="1"/>
  <c r="I26" i="3"/>
  <c r="J26" i="3" s="1"/>
  <c r="H26" i="3"/>
  <c r="G26" i="3"/>
  <c r="E26" i="3"/>
  <c r="F26" i="3" s="1"/>
  <c r="V25" i="3"/>
  <c r="I25" i="3"/>
  <c r="J25" i="3" s="1"/>
  <c r="H25" i="3"/>
  <c r="G25" i="3"/>
  <c r="E25" i="3"/>
  <c r="F25" i="3" s="1"/>
  <c r="S24" i="3"/>
  <c r="R24" i="3"/>
  <c r="Q24" i="3"/>
  <c r="P24" i="3"/>
  <c r="L24" i="3"/>
  <c r="I24" i="3"/>
  <c r="J24" i="3" s="1"/>
  <c r="U24" i="3" s="1"/>
  <c r="H24" i="3"/>
  <c r="G24" i="3"/>
  <c r="E24" i="3"/>
  <c r="F24" i="3" s="1"/>
  <c r="V23" i="3"/>
  <c r="I23" i="3"/>
  <c r="J23" i="3" s="1"/>
  <c r="H23" i="3"/>
  <c r="G23" i="3"/>
  <c r="F23" i="3"/>
  <c r="E23" i="3"/>
  <c r="T22" i="3"/>
  <c r="P22" i="3"/>
  <c r="N22" i="3"/>
  <c r="M22" i="3"/>
  <c r="L22" i="3"/>
  <c r="K22" i="3"/>
  <c r="I22" i="3"/>
  <c r="J22" i="3" s="1"/>
  <c r="U22" i="3" s="1"/>
  <c r="G22" i="3"/>
  <c r="H22" i="3" s="1"/>
  <c r="F22" i="3"/>
  <c r="E22" i="3"/>
  <c r="J21" i="3"/>
  <c r="I21" i="3"/>
  <c r="G21" i="3"/>
  <c r="H21" i="3" s="1"/>
  <c r="E21" i="3"/>
  <c r="F21" i="3" s="1"/>
  <c r="I20" i="3"/>
  <c r="G20" i="3"/>
  <c r="H20" i="3" s="1"/>
  <c r="F20" i="3"/>
  <c r="E20" i="3"/>
  <c r="J19" i="3"/>
  <c r="I19" i="3"/>
  <c r="H19" i="3"/>
  <c r="G19" i="3"/>
  <c r="E19" i="3"/>
  <c r="F19" i="3" s="1"/>
  <c r="I18" i="3"/>
  <c r="G18" i="3"/>
  <c r="H18" i="3" s="1"/>
  <c r="E18" i="3"/>
  <c r="F18" i="3" s="1"/>
  <c r="S17" i="3"/>
  <c r="R17" i="3"/>
  <c r="I17" i="3"/>
  <c r="J17" i="3" s="1"/>
  <c r="H17" i="3"/>
  <c r="G17" i="3"/>
  <c r="E17" i="3"/>
  <c r="F17" i="3" s="1"/>
  <c r="U16" i="3"/>
  <c r="S16" i="3"/>
  <c r="O16" i="3"/>
  <c r="I16" i="3"/>
  <c r="J16" i="3" s="1"/>
  <c r="H16" i="3"/>
  <c r="G16" i="3"/>
  <c r="F16" i="3"/>
  <c r="E16" i="3"/>
  <c r="T15" i="3"/>
  <c r="M15" i="3"/>
  <c r="K15" i="3"/>
  <c r="J15" i="3"/>
  <c r="V15" i="3" s="1"/>
  <c r="I15" i="3"/>
  <c r="G15" i="3"/>
  <c r="H15" i="3" s="1"/>
  <c r="F15" i="3"/>
  <c r="E15" i="3"/>
  <c r="Q14" i="3"/>
  <c r="P14" i="3"/>
  <c r="K14" i="3"/>
  <c r="I14" i="3"/>
  <c r="J14" i="3" s="1"/>
  <c r="H14" i="3"/>
  <c r="G14" i="3"/>
  <c r="E14" i="3"/>
  <c r="F14" i="3" s="1"/>
  <c r="I13" i="3"/>
  <c r="G13" i="3"/>
  <c r="H13" i="3" s="1"/>
  <c r="F13" i="3"/>
  <c r="E13" i="3"/>
  <c r="I12" i="3"/>
  <c r="J12" i="3" s="1"/>
  <c r="H12" i="3"/>
  <c r="G12" i="3"/>
  <c r="E12" i="3"/>
  <c r="F12" i="3" s="1"/>
  <c r="I11" i="3"/>
  <c r="G11" i="3"/>
  <c r="H11" i="3" s="1"/>
  <c r="E11" i="3"/>
  <c r="F11" i="3" s="1"/>
  <c r="I10" i="3"/>
  <c r="J10" i="3" s="1"/>
  <c r="H10" i="3"/>
  <c r="G10" i="3"/>
  <c r="E10" i="3"/>
  <c r="F10" i="3" s="1"/>
  <c r="J9" i="3"/>
  <c r="I9" i="3"/>
  <c r="G9" i="3"/>
  <c r="H9" i="3" s="1"/>
  <c r="E9" i="3"/>
  <c r="F9" i="3" s="1"/>
  <c r="U8" i="3"/>
  <c r="I8" i="3"/>
  <c r="J8" i="3" s="1"/>
  <c r="H8" i="3"/>
  <c r="G8" i="3"/>
  <c r="E8" i="3"/>
  <c r="F8" i="3" s="1"/>
  <c r="I7" i="3"/>
  <c r="G7" i="3"/>
  <c r="E7" i="3"/>
  <c r="F7" i="3" s="1"/>
  <c r="I6" i="3"/>
  <c r="J6" i="3" s="1"/>
  <c r="G6" i="3"/>
  <c r="H6" i="3" s="1"/>
  <c r="E6" i="3"/>
  <c r="F6" i="3" s="1"/>
  <c r="I5" i="3"/>
  <c r="J5" i="3" s="1"/>
  <c r="H5" i="3"/>
  <c r="G5" i="3"/>
  <c r="E5" i="3"/>
  <c r="F5" i="3" s="1"/>
  <c r="V4" i="3"/>
  <c r="S4" i="3"/>
  <c r="P4" i="3"/>
  <c r="O4" i="3"/>
  <c r="N4" i="3"/>
  <c r="I4" i="3"/>
  <c r="J4" i="3" s="1"/>
  <c r="G4" i="3"/>
  <c r="H4" i="3" s="1"/>
  <c r="E4" i="3"/>
  <c r="F4" i="3" s="1"/>
  <c r="J3" i="3"/>
  <c r="I3" i="3"/>
  <c r="H3" i="3"/>
  <c r="G3" i="3"/>
  <c r="E3" i="3"/>
  <c r="F3" i="3" s="1"/>
  <c r="S2" i="3"/>
  <c r="L2" i="3"/>
  <c r="K2" i="3"/>
  <c r="J2" i="3"/>
  <c r="I2" i="3"/>
  <c r="G2" i="3"/>
  <c r="H2" i="3" s="1"/>
  <c r="E2" i="3"/>
  <c r="F2" i="3" s="1"/>
  <c r="G288" i="1"/>
  <c r="AQ286" i="1"/>
  <c r="AS286" i="1" s="1"/>
  <c r="AP286" i="1"/>
  <c r="AT286" i="1" s="1"/>
  <c r="AK286" i="1"/>
  <c r="AM286" i="1" s="1"/>
  <c r="AJ286" i="1"/>
  <c r="AN286" i="1" s="1"/>
  <c r="AO286" i="1" s="1"/>
  <c r="AQ285" i="1"/>
  <c r="AS285" i="1" s="1"/>
  <c r="AP285" i="1"/>
  <c r="AM285" i="1"/>
  <c r="AK285" i="1"/>
  <c r="AJ285" i="1"/>
  <c r="AL285" i="1" s="1"/>
  <c r="AS284" i="1"/>
  <c r="AR284" i="1"/>
  <c r="AQ284" i="1"/>
  <c r="AP284" i="1"/>
  <c r="AT284" i="1" s="1"/>
  <c r="AN284" i="1"/>
  <c r="AO284" i="1" s="1"/>
  <c r="AM284" i="1"/>
  <c r="AK284" i="1"/>
  <c r="AJ284" i="1"/>
  <c r="AL284" i="1" s="1"/>
  <c r="AT283" i="1"/>
  <c r="AR283" i="1"/>
  <c r="AQ283" i="1"/>
  <c r="AS283" i="1" s="1"/>
  <c r="AP283" i="1"/>
  <c r="AN283" i="1"/>
  <c r="AO283" i="1" s="1"/>
  <c r="AM283" i="1"/>
  <c r="AL283" i="1"/>
  <c r="AK283" i="1"/>
  <c r="AJ283" i="1"/>
  <c r="AS282" i="1"/>
  <c r="AQ282" i="1"/>
  <c r="AP282" i="1"/>
  <c r="AT282" i="1" s="1"/>
  <c r="AK282" i="1"/>
  <c r="AM282" i="1" s="1"/>
  <c r="AJ282" i="1"/>
  <c r="AQ281" i="1"/>
  <c r="AS281" i="1" s="1"/>
  <c r="AP281" i="1"/>
  <c r="AT281" i="1" s="1"/>
  <c r="AL281" i="1"/>
  <c r="AK281" i="1"/>
  <c r="AM281" i="1" s="1"/>
  <c r="AJ281" i="1"/>
  <c r="AN281" i="1" s="1"/>
  <c r="AO281" i="1" s="1"/>
  <c r="AT280" i="1"/>
  <c r="AR280" i="1"/>
  <c r="AQ280" i="1"/>
  <c r="AS280" i="1" s="1"/>
  <c r="AP280" i="1"/>
  <c r="AN280" i="1"/>
  <c r="AO280" i="1" s="1"/>
  <c r="AL280" i="1"/>
  <c r="AK280" i="1"/>
  <c r="AM280" i="1" s="1"/>
  <c r="AJ280" i="1"/>
  <c r="AS279" i="1"/>
  <c r="AQ279" i="1"/>
  <c r="AP279" i="1"/>
  <c r="AR279" i="1" s="1"/>
  <c r="AN279" i="1"/>
  <c r="AO279" i="1" s="1"/>
  <c r="AK279" i="1"/>
  <c r="AM279" i="1" s="1"/>
  <c r="AJ279" i="1"/>
  <c r="AL279" i="1" s="1"/>
  <c r="AS278" i="1"/>
  <c r="AQ278" i="1"/>
  <c r="AP278" i="1"/>
  <c r="AT278" i="1" s="1"/>
  <c r="AN278" i="1"/>
  <c r="AO278" i="1" s="1"/>
  <c r="AM278" i="1"/>
  <c r="AL278" i="1"/>
  <c r="AK278" i="1"/>
  <c r="AJ278" i="1"/>
  <c r="AS277" i="1"/>
  <c r="AQ277" i="1"/>
  <c r="AP277" i="1"/>
  <c r="AT277" i="1" s="1"/>
  <c r="AO277" i="1"/>
  <c r="AN277" i="1"/>
  <c r="AL277" i="1"/>
  <c r="AK277" i="1"/>
  <c r="AM277" i="1" s="1"/>
  <c r="AJ277" i="1"/>
  <c r="AR276" i="1"/>
  <c r="AQ276" i="1"/>
  <c r="AS276" i="1" s="1"/>
  <c r="AP276" i="1"/>
  <c r="AT276" i="1" s="1"/>
  <c r="AK276" i="1"/>
  <c r="AM276" i="1" s="1"/>
  <c r="AJ276" i="1"/>
  <c r="AQ275" i="1"/>
  <c r="AS275" i="1" s="1"/>
  <c r="AP275" i="1"/>
  <c r="AT275" i="1" s="1"/>
  <c r="AK275" i="1"/>
  <c r="AM275" i="1" s="1"/>
  <c r="AJ275" i="1"/>
  <c r="AT274" i="1"/>
  <c r="AQ274" i="1"/>
  <c r="AS274" i="1" s="1"/>
  <c r="AP274" i="1"/>
  <c r="AR274" i="1" s="1"/>
  <c r="AM274" i="1"/>
  <c r="AK274" i="1"/>
  <c r="AJ274" i="1"/>
  <c r="AN274" i="1" s="1"/>
  <c r="AO274" i="1" s="1"/>
  <c r="AT273" i="1"/>
  <c r="AS273" i="1"/>
  <c r="AQ273" i="1"/>
  <c r="AP273" i="1"/>
  <c r="AR273" i="1" s="1"/>
  <c r="AL273" i="1"/>
  <c r="AK273" i="1"/>
  <c r="AM273" i="1" s="1"/>
  <c r="AJ273" i="1"/>
  <c r="AN273" i="1" s="1"/>
  <c r="AO273" i="1" s="1"/>
  <c r="AT272" i="1"/>
  <c r="AS272" i="1"/>
  <c r="AR272" i="1"/>
  <c r="AQ272" i="1"/>
  <c r="AP272" i="1"/>
  <c r="AK272" i="1"/>
  <c r="AM272" i="1" s="1"/>
  <c r="AJ272" i="1"/>
  <c r="AN272" i="1" s="1"/>
  <c r="AO272" i="1" s="1"/>
  <c r="AT271" i="1"/>
  <c r="AR271" i="1"/>
  <c r="AQ271" i="1"/>
  <c r="AS271" i="1" s="1"/>
  <c r="AP271" i="1"/>
  <c r="AM271" i="1"/>
  <c r="AK271" i="1"/>
  <c r="AJ271" i="1"/>
  <c r="AN271" i="1" s="1"/>
  <c r="AO271" i="1" s="1"/>
  <c r="AQ270" i="1"/>
  <c r="AS270" i="1" s="1"/>
  <c r="AP270" i="1"/>
  <c r="AL270" i="1"/>
  <c r="AK270" i="1"/>
  <c r="AM270" i="1" s="1"/>
  <c r="AJ270" i="1"/>
  <c r="AN270" i="1" s="1"/>
  <c r="AO270" i="1" s="1"/>
  <c r="AQ269" i="1"/>
  <c r="AS269" i="1" s="1"/>
  <c r="AP269" i="1"/>
  <c r="AK269" i="1"/>
  <c r="AM269" i="1" s="1"/>
  <c r="AJ269" i="1"/>
  <c r="AN269" i="1" s="1"/>
  <c r="AO269" i="1" s="1"/>
  <c r="AS268" i="1"/>
  <c r="AQ268" i="1"/>
  <c r="AP268" i="1"/>
  <c r="AT268" i="1" s="1"/>
  <c r="AN268" i="1"/>
  <c r="AO268" i="1" s="1"/>
  <c r="AK268" i="1"/>
  <c r="AM268" i="1" s="1"/>
  <c r="AJ268" i="1"/>
  <c r="AL268" i="1" s="1"/>
  <c r="AR267" i="1"/>
  <c r="AQ267" i="1"/>
  <c r="AS267" i="1" s="1"/>
  <c r="AP267" i="1"/>
  <c r="AT267" i="1" s="1"/>
  <c r="AN267" i="1"/>
  <c r="AO267" i="1" s="1"/>
  <c r="AM267" i="1"/>
  <c r="AK267" i="1"/>
  <c r="AJ267" i="1"/>
  <c r="AL267" i="1" s="1"/>
  <c r="AQ266" i="1"/>
  <c r="AS266" i="1" s="1"/>
  <c r="AP266" i="1"/>
  <c r="AT266" i="1" s="1"/>
  <c r="AN266" i="1"/>
  <c r="AO266" i="1" s="1"/>
  <c r="AM266" i="1"/>
  <c r="AL266" i="1"/>
  <c r="AK266" i="1"/>
  <c r="AJ266" i="1"/>
  <c r="AS265" i="1"/>
  <c r="AQ265" i="1"/>
  <c r="AP265" i="1"/>
  <c r="AT265" i="1" s="1"/>
  <c r="AO265" i="1"/>
  <c r="AN265" i="1"/>
  <c r="AL265" i="1"/>
  <c r="AK265" i="1"/>
  <c r="AM265" i="1" s="1"/>
  <c r="AJ265" i="1"/>
  <c r="AT264" i="1"/>
  <c r="AR264" i="1"/>
  <c r="AQ264" i="1"/>
  <c r="AS264" i="1" s="1"/>
  <c r="AP264" i="1"/>
  <c r="AK264" i="1"/>
  <c r="AM264" i="1" s="1"/>
  <c r="AJ264" i="1"/>
  <c r="AQ263" i="1"/>
  <c r="AS263" i="1" s="1"/>
  <c r="AP263" i="1"/>
  <c r="AT263" i="1" s="1"/>
  <c r="AK263" i="1"/>
  <c r="AM263" i="1" s="1"/>
  <c r="AJ263" i="1"/>
  <c r="AT262" i="1"/>
  <c r="AQ262" i="1"/>
  <c r="AS262" i="1" s="1"/>
  <c r="AP262" i="1"/>
  <c r="AR262" i="1" s="1"/>
  <c r="AM262" i="1"/>
  <c r="AK262" i="1"/>
  <c r="AJ262" i="1"/>
  <c r="AN262" i="1" s="1"/>
  <c r="AO262" i="1" s="1"/>
  <c r="AT261" i="1"/>
  <c r="AS261" i="1"/>
  <c r="AQ261" i="1"/>
  <c r="AP261" i="1"/>
  <c r="AR261" i="1" s="1"/>
  <c r="AL261" i="1"/>
  <c r="AK261" i="1"/>
  <c r="AM261" i="1" s="1"/>
  <c r="AJ261" i="1"/>
  <c r="AN261" i="1" s="1"/>
  <c r="AO261" i="1" s="1"/>
  <c r="AT260" i="1"/>
  <c r="AS260" i="1"/>
  <c r="AR260" i="1"/>
  <c r="AQ260" i="1"/>
  <c r="AP260" i="1"/>
  <c r="AK260" i="1"/>
  <c r="AM260" i="1" s="1"/>
  <c r="AJ260" i="1"/>
  <c r="AN260" i="1" s="1"/>
  <c r="AO260" i="1" s="1"/>
  <c r="AT259" i="1"/>
  <c r="AR259" i="1"/>
  <c r="AQ259" i="1"/>
  <c r="AS259" i="1" s="1"/>
  <c r="AP259" i="1"/>
  <c r="AM259" i="1"/>
  <c r="AK259" i="1"/>
  <c r="AJ259" i="1"/>
  <c r="AN259" i="1" s="1"/>
  <c r="AO259" i="1" s="1"/>
  <c r="AQ258" i="1"/>
  <c r="AS258" i="1" s="1"/>
  <c r="AP258" i="1"/>
  <c r="AN258" i="1"/>
  <c r="AO258" i="1" s="1"/>
  <c r="AL258" i="1"/>
  <c r="AK258" i="1"/>
  <c r="AM258" i="1" s="1"/>
  <c r="AJ258" i="1"/>
  <c r="AQ257" i="1"/>
  <c r="AS257" i="1" s="1"/>
  <c r="AP257" i="1"/>
  <c r="AK257" i="1"/>
  <c r="AM257" i="1" s="1"/>
  <c r="AJ257" i="1"/>
  <c r="AN257" i="1" s="1"/>
  <c r="AO257" i="1" s="1"/>
  <c r="AS256" i="1"/>
  <c r="AQ256" i="1"/>
  <c r="AP256" i="1"/>
  <c r="AT256" i="1" s="1"/>
  <c r="AO256" i="1"/>
  <c r="AN256" i="1"/>
  <c r="AK256" i="1"/>
  <c r="AM256" i="1" s="1"/>
  <c r="AJ256" i="1"/>
  <c r="AL256" i="1" s="1"/>
  <c r="AR255" i="1"/>
  <c r="AQ255" i="1"/>
  <c r="AS255" i="1" s="1"/>
  <c r="AP255" i="1"/>
  <c r="AT255" i="1" s="1"/>
  <c r="AN255" i="1"/>
  <c r="AO255" i="1" s="1"/>
  <c r="AM255" i="1"/>
  <c r="AK255" i="1"/>
  <c r="AJ255" i="1"/>
  <c r="AL255" i="1" s="1"/>
  <c r="AQ254" i="1"/>
  <c r="AS254" i="1" s="1"/>
  <c r="AP254" i="1"/>
  <c r="AT254" i="1" s="1"/>
  <c r="AN254" i="1"/>
  <c r="AO254" i="1" s="1"/>
  <c r="AM254" i="1"/>
  <c r="AL254" i="1"/>
  <c r="AK254" i="1"/>
  <c r="AJ254" i="1"/>
  <c r="AS253" i="1"/>
  <c r="AQ253" i="1"/>
  <c r="AP253" i="1"/>
  <c r="AT253" i="1" s="1"/>
  <c r="AO253" i="1"/>
  <c r="AN253" i="1"/>
  <c r="AL253" i="1"/>
  <c r="AK253" i="1"/>
  <c r="AM253" i="1" s="1"/>
  <c r="AJ253" i="1"/>
  <c r="AT252" i="1"/>
  <c r="AR252" i="1"/>
  <c r="AQ252" i="1"/>
  <c r="AS252" i="1" s="1"/>
  <c r="AP252" i="1"/>
  <c r="AK252" i="1"/>
  <c r="AM252" i="1" s="1"/>
  <c r="AJ252" i="1"/>
  <c r="AQ251" i="1"/>
  <c r="AS251" i="1" s="1"/>
  <c r="AP251" i="1"/>
  <c r="AT251" i="1" s="1"/>
  <c r="AK251" i="1"/>
  <c r="AM251" i="1" s="1"/>
  <c r="AJ251" i="1"/>
  <c r="AT250" i="1"/>
  <c r="AQ250" i="1"/>
  <c r="AS250" i="1" s="1"/>
  <c r="AP250" i="1"/>
  <c r="AR250" i="1" s="1"/>
  <c r="AM250" i="1"/>
  <c r="AK250" i="1"/>
  <c r="AJ250" i="1"/>
  <c r="AN250" i="1" s="1"/>
  <c r="AO250" i="1" s="1"/>
  <c r="AT249" i="1"/>
  <c r="AS249" i="1"/>
  <c r="AQ249" i="1"/>
  <c r="AP249" i="1"/>
  <c r="AR249" i="1" s="1"/>
  <c r="AL249" i="1"/>
  <c r="AK249" i="1"/>
  <c r="AM249" i="1" s="1"/>
  <c r="AJ249" i="1"/>
  <c r="AN249" i="1" s="1"/>
  <c r="AO249" i="1" s="1"/>
  <c r="AT248" i="1"/>
  <c r="AS248" i="1"/>
  <c r="AR248" i="1"/>
  <c r="AQ248" i="1"/>
  <c r="AP248" i="1"/>
  <c r="AK248" i="1"/>
  <c r="AM248" i="1" s="1"/>
  <c r="AJ248" i="1"/>
  <c r="AN248" i="1" s="1"/>
  <c r="AO248" i="1" s="1"/>
  <c r="AT247" i="1"/>
  <c r="AR247" i="1"/>
  <c r="AQ247" i="1"/>
  <c r="AS247" i="1" s="1"/>
  <c r="AP247" i="1"/>
  <c r="AM247" i="1"/>
  <c r="AK247" i="1"/>
  <c r="AJ247" i="1"/>
  <c r="AN247" i="1" s="1"/>
  <c r="AO247" i="1" s="1"/>
  <c r="AQ246" i="1"/>
  <c r="AS246" i="1" s="1"/>
  <c r="AP246" i="1"/>
  <c r="AN246" i="1"/>
  <c r="AO246" i="1" s="1"/>
  <c r="AL246" i="1"/>
  <c r="AK246" i="1"/>
  <c r="AM246" i="1" s="1"/>
  <c r="AJ246" i="1"/>
  <c r="AQ245" i="1"/>
  <c r="AS245" i="1" s="1"/>
  <c r="AP245" i="1"/>
  <c r="AO245" i="1"/>
  <c r="AK245" i="1"/>
  <c r="AM245" i="1" s="1"/>
  <c r="AJ245" i="1"/>
  <c r="AN245" i="1" s="1"/>
  <c r="AS244" i="1"/>
  <c r="AQ244" i="1"/>
  <c r="AP244" i="1"/>
  <c r="AT244" i="1" s="1"/>
  <c r="AN244" i="1"/>
  <c r="AO244" i="1" s="1"/>
  <c r="AK244" i="1"/>
  <c r="AM244" i="1" s="1"/>
  <c r="AJ244" i="1"/>
  <c r="AL244" i="1" s="1"/>
  <c r="AR243" i="1"/>
  <c r="AQ243" i="1"/>
  <c r="AS243" i="1" s="1"/>
  <c r="AP243" i="1"/>
  <c r="AT243" i="1" s="1"/>
  <c r="AN243" i="1"/>
  <c r="AO243" i="1" s="1"/>
  <c r="AM243" i="1"/>
  <c r="AK243" i="1"/>
  <c r="AJ243" i="1"/>
  <c r="AL243" i="1" s="1"/>
  <c r="AC243" i="1"/>
  <c r="AB243" i="1"/>
  <c r="AS242" i="1"/>
  <c r="AQ242" i="1"/>
  <c r="AP242" i="1"/>
  <c r="AT242" i="1" s="1"/>
  <c r="AN242" i="1"/>
  <c r="AO242" i="1" s="1"/>
  <c r="AK242" i="1"/>
  <c r="AM242" i="1" s="1"/>
  <c r="AJ242" i="1"/>
  <c r="AL242" i="1" s="1"/>
  <c r="AR241" i="1"/>
  <c r="AQ241" i="1"/>
  <c r="AS241" i="1" s="1"/>
  <c r="AP241" i="1"/>
  <c r="AT241" i="1" s="1"/>
  <c r="AN241" i="1"/>
  <c r="AO241" i="1" s="1"/>
  <c r="AM241" i="1"/>
  <c r="AK241" i="1"/>
  <c r="AJ241" i="1"/>
  <c r="AL241" i="1" s="1"/>
  <c r="AQ240" i="1"/>
  <c r="AS240" i="1" s="1"/>
  <c r="AP240" i="1"/>
  <c r="AT240" i="1" s="1"/>
  <c r="AN240" i="1"/>
  <c r="AO240" i="1" s="1"/>
  <c r="AM240" i="1"/>
  <c r="AL240" i="1"/>
  <c r="AK240" i="1"/>
  <c r="AJ240" i="1"/>
  <c r="AS239" i="1"/>
  <c r="AQ239" i="1"/>
  <c r="AP239" i="1"/>
  <c r="AT239" i="1" s="1"/>
  <c r="AO239" i="1"/>
  <c r="AN239" i="1"/>
  <c r="AL239" i="1"/>
  <c r="AK239" i="1"/>
  <c r="AM239" i="1" s="1"/>
  <c r="AJ239" i="1"/>
  <c r="AT238" i="1"/>
  <c r="AR238" i="1"/>
  <c r="AQ238" i="1"/>
  <c r="AS238" i="1" s="1"/>
  <c r="AP238" i="1"/>
  <c r="AK238" i="1"/>
  <c r="AM238" i="1" s="1"/>
  <c r="AJ238" i="1"/>
  <c r="AQ237" i="1"/>
  <c r="AS237" i="1" s="1"/>
  <c r="AP237" i="1"/>
  <c r="AT237" i="1" s="1"/>
  <c r="AK237" i="1"/>
  <c r="AM237" i="1" s="1"/>
  <c r="AJ237" i="1"/>
  <c r="AT236" i="1"/>
  <c r="AQ236" i="1"/>
  <c r="AS236" i="1" s="1"/>
  <c r="AP236" i="1"/>
  <c r="AR236" i="1" s="1"/>
  <c r="AM236" i="1"/>
  <c r="AK236" i="1"/>
  <c r="AJ236" i="1"/>
  <c r="AN236" i="1" s="1"/>
  <c r="AO236" i="1" s="1"/>
  <c r="AT235" i="1"/>
  <c r="AS235" i="1"/>
  <c r="AQ235" i="1"/>
  <c r="AP235" i="1"/>
  <c r="AR235" i="1" s="1"/>
  <c r="AL235" i="1"/>
  <c r="AK235" i="1"/>
  <c r="AM235" i="1" s="1"/>
  <c r="AJ235" i="1"/>
  <c r="AN235" i="1" s="1"/>
  <c r="AO235" i="1" s="1"/>
  <c r="AT234" i="1"/>
  <c r="AS234" i="1"/>
  <c r="AR234" i="1"/>
  <c r="AQ234" i="1"/>
  <c r="AP234" i="1"/>
  <c r="AK234" i="1"/>
  <c r="AM234" i="1" s="1"/>
  <c r="AJ234" i="1"/>
  <c r="AN234" i="1" s="1"/>
  <c r="AO234" i="1" s="1"/>
  <c r="AT233" i="1"/>
  <c r="AR233" i="1"/>
  <c r="AQ233" i="1"/>
  <c r="AS233" i="1" s="1"/>
  <c r="AP233" i="1"/>
  <c r="AM233" i="1"/>
  <c r="AK233" i="1"/>
  <c r="AJ233" i="1"/>
  <c r="AN233" i="1" s="1"/>
  <c r="AO233" i="1" s="1"/>
  <c r="AQ232" i="1"/>
  <c r="AS232" i="1" s="1"/>
  <c r="AP232" i="1"/>
  <c r="AN232" i="1"/>
  <c r="AO232" i="1" s="1"/>
  <c r="AL232" i="1"/>
  <c r="AK232" i="1"/>
  <c r="AM232" i="1" s="1"/>
  <c r="AJ232" i="1"/>
  <c r="AQ231" i="1"/>
  <c r="AS231" i="1" s="1"/>
  <c r="AP231" i="1"/>
  <c r="AK231" i="1"/>
  <c r="AM231" i="1" s="1"/>
  <c r="AJ231" i="1"/>
  <c r="AN231" i="1" s="1"/>
  <c r="AO231" i="1" s="1"/>
  <c r="AS230" i="1"/>
  <c r="AQ230" i="1"/>
  <c r="AP230" i="1"/>
  <c r="AT230" i="1" s="1"/>
  <c r="AN230" i="1"/>
  <c r="AO230" i="1" s="1"/>
  <c r="AK230" i="1"/>
  <c r="AM230" i="1" s="1"/>
  <c r="AJ230" i="1"/>
  <c r="AL230" i="1" s="1"/>
  <c r="AR229" i="1"/>
  <c r="AQ229" i="1"/>
  <c r="AS229" i="1" s="1"/>
  <c r="AP229" i="1"/>
  <c r="AT229" i="1" s="1"/>
  <c r="AN229" i="1"/>
  <c r="AO229" i="1" s="1"/>
  <c r="AM229" i="1"/>
  <c r="AK229" i="1"/>
  <c r="AJ229" i="1"/>
  <c r="AL229" i="1" s="1"/>
  <c r="AQ228" i="1"/>
  <c r="AS228" i="1" s="1"/>
  <c r="AP228" i="1"/>
  <c r="AT228" i="1" s="1"/>
  <c r="AN228" i="1"/>
  <c r="AO228" i="1" s="1"/>
  <c r="AM228" i="1"/>
  <c r="AL228" i="1"/>
  <c r="AK228" i="1"/>
  <c r="AJ228" i="1"/>
  <c r="AS227" i="1"/>
  <c r="AQ227" i="1"/>
  <c r="AP227" i="1"/>
  <c r="AT227" i="1" s="1"/>
  <c r="AO227" i="1"/>
  <c r="AN227" i="1"/>
  <c r="AL227" i="1"/>
  <c r="AK227" i="1"/>
  <c r="AM227" i="1" s="1"/>
  <c r="AJ227" i="1"/>
  <c r="AT226" i="1"/>
  <c r="AR226" i="1"/>
  <c r="AQ226" i="1"/>
  <c r="AS226" i="1" s="1"/>
  <c r="AP226" i="1"/>
  <c r="AK226" i="1"/>
  <c r="AM226" i="1" s="1"/>
  <c r="AJ226" i="1"/>
  <c r="AQ225" i="1"/>
  <c r="AS225" i="1" s="1"/>
  <c r="AP225" i="1"/>
  <c r="AT225" i="1" s="1"/>
  <c r="AK225" i="1"/>
  <c r="AM225" i="1" s="1"/>
  <c r="AJ225" i="1"/>
  <c r="AT224" i="1"/>
  <c r="AQ224" i="1"/>
  <c r="AS224" i="1" s="1"/>
  <c r="AP224" i="1"/>
  <c r="AR224" i="1" s="1"/>
  <c r="AM224" i="1"/>
  <c r="AK224" i="1"/>
  <c r="AJ224" i="1"/>
  <c r="AN224" i="1" s="1"/>
  <c r="AO224" i="1" s="1"/>
  <c r="AT223" i="1"/>
  <c r="AS223" i="1"/>
  <c r="AQ223" i="1"/>
  <c r="AP223" i="1"/>
  <c r="AR223" i="1" s="1"/>
  <c r="AL223" i="1"/>
  <c r="AK223" i="1"/>
  <c r="AM223" i="1" s="1"/>
  <c r="AJ223" i="1"/>
  <c r="AN223" i="1" s="1"/>
  <c r="AO223" i="1" s="1"/>
  <c r="AT222" i="1"/>
  <c r="AS222" i="1"/>
  <c r="AR222" i="1"/>
  <c r="AQ222" i="1"/>
  <c r="AP222" i="1"/>
  <c r="AK222" i="1"/>
  <c r="AM222" i="1" s="1"/>
  <c r="AJ222" i="1"/>
  <c r="AN222" i="1" s="1"/>
  <c r="AO222" i="1" s="1"/>
  <c r="AT221" i="1"/>
  <c r="AR221" i="1"/>
  <c r="AQ221" i="1"/>
  <c r="AS221" i="1" s="1"/>
  <c r="AP221" i="1"/>
  <c r="AM221" i="1"/>
  <c r="AK221" i="1"/>
  <c r="AJ221" i="1"/>
  <c r="AN221" i="1" s="1"/>
  <c r="AO221" i="1" s="1"/>
  <c r="AQ220" i="1"/>
  <c r="AS220" i="1" s="1"/>
  <c r="AP220" i="1"/>
  <c r="AN220" i="1"/>
  <c r="AO220" i="1" s="1"/>
  <c r="AL220" i="1"/>
  <c r="AK220" i="1"/>
  <c r="AM220" i="1" s="1"/>
  <c r="AJ220" i="1"/>
  <c r="AQ219" i="1"/>
  <c r="AS219" i="1" s="1"/>
  <c r="AP219" i="1"/>
  <c r="AK219" i="1"/>
  <c r="AM219" i="1" s="1"/>
  <c r="AJ219" i="1"/>
  <c r="AN219" i="1" s="1"/>
  <c r="AO219" i="1" s="1"/>
  <c r="AS218" i="1"/>
  <c r="AQ218" i="1"/>
  <c r="AP218" i="1"/>
  <c r="AT218" i="1" s="1"/>
  <c r="AN218" i="1"/>
  <c r="AO218" i="1" s="1"/>
  <c r="AK218" i="1"/>
  <c r="AM218" i="1" s="1"/>
  <c r="AJ218" i="1"/>
  <c r="AL218" i="1" s="1"/>
  <c r="AR217" i="1"/>
  <c r="AQ217" i="1"/>
  <c r="AS217" i="1" s="1"/>
  <c r="AP217" i="1"/>
  <c r="AT217" i="1" s="1"/>
  <c r="AN217" i="1"/>
  <c r="AO217" i="1" s="1"/>
  <c r="AM217" i="1"/>
  <c r="AK217" i="1"/>
  <c r="AJ217" i="1"/>
  <c r="AL217" i="1" s="1"/>
  <c r="AQ216" i="1"/>
  <c r="AS216" i="1" s="1"/>
  <c r="AP216" i="1"/>
  <c r="AT216" i="1" s="1"/>
  <c r="AN216" i="1"/>
  <c r="AO216" i="1" s="1"/>
  <c r="AM216" i="1"/>
  <c r="AL216" i="1"/>
  <c r="AK216" i="1"/>
  <c r="AJ216" i="1"/>
  <c r="AS215" i="1"/>
  <c r="AQ215" i="1"/>
  <c r="AP215" i="1"/>
  <c r="AT215" i="1" s="1"/>
  <c r="AO215" i="1"/>
  <c r="AN215" i="1"/>
  <c r="AL215" i="1"/>
  <c r="AK215" i="1"/>
  <c r="AM215" i="1" s="1"/>
  <c r="AJ215" i="1"/>
  <c r="AT214" i="1"/>
  <c r="AR214" i="1"/>
  <c r="AQ214" i="1"/>
  <c r="AS214" i="1" s="1"/>
  <c r="AP214" i="1"/>
  <c r="AK214" i="1"/>
  <c r="AM214" i="1" s="1"/>
  <c r="AJ214" i="1"/>
  <c r="AQ213" i="1"/>
  <c r="AS213" i="1" s="1"/>
  <c r="AP213" i="1"/>
  <c r="AT213" i="1" s="1"/>
  <c r="AK213" i="1"/>
  <c r="AM213" i="1" s="1"/>
  <c r="AJ213" i="1"/>
  <c r="AT212" i="1"/>
  <c r="AQ212" i="1"/>
  <c r="AS212" i="1" s="1"/>
  <c r="AP212" i="1"/>
  <c r="AR212" i="1" s="1"/>
  <c r="AM212" i="1"/>
  <c r="AK212" i="1"/>
  <c r="AJ212" i="1"/>
  <c r="AN212" i="1" s="1"/>
  <c r="AO212" i="1" s="1"/>
  <c r="AT211" i="1"/>
  <c r="AS211" i="1"/>
  <c r="AQ211" i="1"/>
  <c r="AP211" i="1"/>
  <c r="AR211" i="1" s="1"/>
  <c r="AL211" i="1"/>
  <c r="AK211" i="1"/>
  <c r="AM211" i="1" s="1"/>
  <c r="AJ211" i="1"/>
  <c r="AN211" i="1" s="1"/>
  <c r="AO211" i="1" s="1"/>
  <c r="AT210" i="1"/>
  <c r="AS210" i="1"/>
  <c r="AR210" i="1"/>
  <c r="AQ210" i="1"/>
  <c r="AP210" i="1"/>
  <c r="AK210" i="1"/>
  <c r="AM210" i="1" s="1"/>
  <c r="AJ210" i="1"/>
  <c r="AN210" i="1" s="1"/>
  <c r="AO210" i="1" s="1"/>
  <c r="AT209" i="1"/>
  <c r="AR209" i="1"/>
  <c r="AQ209" i="1"/>
  <c r="AS209" i="1" s="1"/>
  <c r="AP209" i="1"/>
  <c r="AM209" i="1"/>
  <c r="AK209" i="1"/>
  <c r="AJ209" i="1"/>
  <c r="AN209" i="1" s="1"/>
  <c r="AO209" i="1" s="1"/>
  <c r="AQ208" i="1"/>
  <c r="AS208" i="1" s="1"/>
  <c r="AP208" i="1"/>
  <c r="AN208" i="1"/>
  <c r="AO208" i="1" s="1"/>
  <c r="AL208" i="1"/>
  <c r="AK208" i="1"/>
  <c r="AM208" i="1" s="1"/>
  <c r="AJ208" i="1"/>
  <c r="AQ207" i="1"/>
  <c r="AS207" i="1" s="1"/>
  <c r="AP207" i="1"/>
  <c r="AK207" i="1"/>
  <c r="AM207" i="1" s="1"/>
  <c r="AJ207" i="1"/>
  <c r="AN207" i="1" s="1"/>
  <c r="AO207" i="1" s="1"/>
  <c r="AS206" i="1"/>
  <c r="AQ206" i="1"/>
  <c r="AP206" i="1"/>
  <c r="AT206" i="1" s="1"/>
  <c r="AO206" i="1"/>
  <c r="AN206" i="1"/>
  <c r="AK206" i="1"/>
  <c r="AM206" i="1" s="1"/>
  <c r="AJ206" i="1"/>
  <c r="AL206" i="1" s="1"/>
  <c r="AR205" i="1"/>
  <c r="AQ205" i="1"/>
  <c r="AS205" i="1" s="1"/>
  <c r="AP205" i="1"/>
  <c r="AT205" i="1" s="1"/>
  <c r="AN205" i="1"/>
  <c r="AO205" i="1" s="1"/>
  <c r="AM205" i="1"/>
  <c r="AK205" i="1"/>
  <c r="AJ205" i="1"/>
  <c r="AL205" i="1" s="1"/>
  <c r="AQ204" i="1"/>
  <c r="AS204" i="1" s="1"/>
  <c r="AP204" i="1"/>
  <c r="AT204" i="1" s="1"/>
  <c r="AN204" i="1"/>
  <c r="AO204" i="1" s="1"/>
  <c r="AM204" i="1"/>
  <c r="AL204" i="1"/>
  <c r="AK204" i="1"/>
  <c r="AJ204" i="1"/>
  <c r="AS203" i="1"/>
  <c r="AQ203" i="1"/>
  <c r="AP203" i="1"/>
  <c r="AT203" i="1" s="1"/>
  <c r="AO203" i="1"/>
  <c r="AN203" i="1"/>
  <c r="AL203" i="1"/>
  <c r="AK203" i="1"/>
  <c r="AM203" i="1" s="1"/>
  <c r="AJ203" i="1"/>
  <c r="AT202" i="1"/>
  <c r="AR202" i="1"/>
  <c r="AQ202" i="1"/>
  <c r="AS202" i="1" s="1"/>
  <c r="AP202" i="1"/>
  <c r="AK202" i="1"/>
  <c r="AM202" i="1" s="1"/>
  <c r="AJ202" i="1"/>
  <c r="AQ201" i="1"/>
  <c r="AS201" i="1" s="1"/>
  <c r="AP201" i="1"/>
  <c r="AT201" i="1" s="1"/>
  <c r="AK201" i="1"/>
  <c r="AM201" i="1" s="1"/>
  <c r="AJ201" i="1"/>
  <c r="AT200" i="1"/>
  <c r="AQ200" i="1"/>
  <c r="AS200" i="1" s="1"/>
  <c r="AP200" i="1"/>
  <c r="AR200" i="1" s="1"/>
  <c r="AM200" i="1"/>
  <c r="AK200" i="1"/>
  <c r="AJ200" i="1"/>
  <c r="AN200" i="1" s="1"/>
  <c r="AO200" i="1" s="1"/>
  <c r="AT199" i="1"/>
  <c r="AS199" i="1"/>
  <c r="AQ199" i="1"/>
  <c r="AP199" i="1"/>
  <c r="AR199" i="1" s="1"/>
  <c r="AL199" i="1"/>
  <c r="AK199" i="1"/>
  <c r="AM199" i="1" s="1"/>
  <c r="AJ199" i="1"/>
  <c r="AN199" i="1" s="1"/>
  <c r="AO199" i="1" s="1"/>
  <c r="AT198" i="1"/>
  <c r="AS198" i="1"/>
  <c r="AR198" i="1"/>
  <c r="AQ198" i="1"/>
  <c r="AP198" i="1"/>
  <c r="AK198" i="1"/>
  <c r="AM198" i="1" s="1"/>
  <c r="AJ198" i="1"/>
  <c r="AN198" i="1" s="1"/>
  <c r="AO198" i="1" s="1"/>
  <c r="AT197" i="1"/>
  <c r="AR197" i="1"/>
  <c r="AQ197" i="1"/>
  <c r="AS197" i="1" s="1"/>
  <c r="AP197" i="1"/>
  <c r="AM197" i="1"/>
  <c r="AK197" i="1"/>
  <c r="AJ197" i="1"/>
  <c r="AN197" i="1" s="1"/>
  <c r="AO197" i="1" s="1"/>
  <c r="AR196" i="1"/>
  <c r="AQ196" i="1"/>
  <c r="AS196" i="1" s="1"/>
  <c r="AP196" i="1"/>
  <c r="AT196" i="1" s="1"/>
  <c r="AN196" i="1"/>
  <c r="AO196" i="1" s="1"/>
  <c r="AL196" i="1"/>
  <c r="AK196" i="1"/>
  <c r="AM196" i="1" s="1"/>
  <c r="AJ196" i="1"/>
  <c r="AQ195" i="1"/>
  <c r="AS195" i="1" s="1"/>
  <c r="AP195" i="1"/>
  <c r="AK195" i="1"/>
  <c r="AM195" i="1" s="1"/>
  <c r="AJ195" i="1"/>
  <c r="AN195" i="1" s="1"/>
  <c r="AO195" i="1" s="1"/>
  <c r="AS194" i="1"/>
  <c r="AQ194" i="1"/>
  <c r="AP194" i="1"/>
  <c r="AO194" i="1"/>
  <c r="AN194" i="1"/>
  <c r="AK194" i="1"/>
  <c r="AM194" i="1" s="1"/>
  <c r="AJ194" i="1"/>
  <c r="AL194" i="1" s="1"/>
  <c r="AR193" i="1"/>
  <c r="AQ193" i="1"/>
  <c r="AS193" i="1" s="1"/>
  <c r="AP193" i="1"/>
  <c r="AT193" i="1" s="1"/>
  <c r="AO193" i="1"/>
  <c r="AN193" i="1"/>
  <c r="AM193" i="1"/>
  <c r="AK193" i="1"/>
  <c r="AJ193" i="1"/>
  <c r="AL193" i="1" s="1"/>
  <c r="AQ192" i="1"/>
  <c r="AS192" i="1" s="1"/>
  <c r="AP192" i="1"/>
  <c r="AT192" i="1" s="1"/>
  <c r="AN192" i="1"/>
  <c r="AO192" i="1" s="1"/>
  <c r="AM192" i="1"/>
  <c r="AL192" i="1"/>
  <c r="AK192" i="1"/>
  <c r="AJ192" i="1"/>
  <c r="AS191" i="1"/>
  <c r="AQ191" i="1"/>
  <c r="AP191" i="1"/>
  <c r="AT191" i="1" s="1"/>
  <c r="AO191" i="1"/>
  <c r="AN191" i="1"/>
  <c r="AM191" i="1"/>
  <c r="AL191" i="1"/>
  <c r="AK191" i="1"/>
  <c r="AJ191" i="1"/>
  <c r="AT190" i="1"/>
  <c r="AR190" i="1"/>
  <c r="AQ190" i="1"/>
  <c r="AS190" i="1" s="1"/>
  <c r="AP190" i="1"/>
  <c r="AK190" i="1"/>
  <c r="AM190" i="1" s="1"/>
  <c r="AJ190" i="1"/>
  <c r="AN190" i="1" s="1"/>
  <c r="AO190" i="1" s="1"/>
  <c r="AQ189" i="1"/>
  <c r="AS189" i="1" s="1"/>
  <c r="AP189" i="1"/>
  <c r="AT189" i="1" s="1"/>
  <c r="AK189" i="1"/>
  <c r="AM189" i="1" s="1"/>
  <c r="AJ189" i="1"/>
  <c r="AT188" i="1"/>
  <c r="AQ188" i="1"/>
  <c r="AS188" i="1" s="1"/>
  <c r="AP188" i="1"/>
  <c r="AR188" i="1" s="1"/>
  <c r="AM188" i="1"/>
  <c r="AK188" i="1"/>
  <c r="AJ188" i="1"/>
  <c r="AT187" i="1"/>
  <c r="AS187" i="1"/>
  <c r="AQ187" i="1"/>
  <c r="AP187" i="1"/>
  <c r="AR187" i="1" s="1"/>
  <c r="AL187" i="1"/>
  <c r="AK187" i="1"/>
  <c r="AM187" i="1" s="1"/>
  <c r="AJ187" i="1"/>
  <c r="AN187" i="1" s="1"/>
  <c r="AO187" i="1" s="1"/>
  <c r="AT186" i="1"/>
  <c r="AS186" i="1"/>
  <c r="AR186" i="1"/>
  <c r="AQ186" i="1"/>
  <c r="AP186" i="1"/>
  <c r="AK186" i="1"/>
  <c r="AM186" i="1" s="1"/>
  <c r="AJ186" i="1"/>
  <c r="AN186" i="1" s="1"/>
  <c r="AO186" i="1" s="1"/>
  <c r="AT185" i="1"/>
  <c r="AR185" i="1"/>
  <c r="AQ185" i="1"/>
  <c r="AS185" i="1" s="1"/>
  <c r="AP185" i="1"/>
  <c r="AM185" i="1"/>
  <c r="AK185" i="1"/>
  <c r="AJ185" i="1"/>
  <c r="AN185" i="1" s="1"/>
  <c r="AO185" i="1" s="1"/>
  <c r="AQ184" i="1"/>
  <c r="AS184" i="1" s="1"/>
  <c r="AP184" i="1"/>
  <c r="AT184" i="1" s="1"/>
  <c r="AN184" i="1"/>
  <c r="AO184" i="1" s="1"/>
  <c r="AL184" i="1"/>
  <c r="AK184" i="1"/>
  <c r="AM184" i="1" s="1"/>
  <c r="AJ184" i="1"/>
  <c r="AQ183" i="1"/>
  <c r="AS183" i="1" s="1"/>
  <c r="AP183" i="1"/>
  <c r="AO183" i="1"/>
  <c r="AK183" i="1"/>
  <c r="AM183" i="1" s="1"/>
  <c r="AJ183" i="1"/>
  <c r="AN183" i="1" s="1"/>
  <c r="AB183" i="1"/>
  <c r="AQ182" i="1"/>
  <c r="AS182" i="1" s="1"/>
  <c r="AP182" i="1"/>
  <c r="AK182" i="1"/>
  <c r="AM182" i="1" s="1"/>
  <c r="AJ182" i="1"/>
  <c r="AN182" i="1" s="1"/>
  <c r="AO182" i="1" s="1"/>
  <c r="AS181" i="1"/>
  <c r="AQ181" i="1"/>
  <c r="AP181" i="1"/>
  <c r="AN181" i="1"/>
  <c r="AO181" i="1" s="1"/>
  <c r="AK181" i="1"/>
  <c r="AM181" i="1" s="1"/>
  <c r="AJ181" i="1"/>
  <c r="AL181" i="1" s="1"/>
  <c r="AT180" i="1"/>
  <c r="AR180" i="1"/>
  <c r="AQ180" i="1"/>
  <c r="AS180" i="1" s="1"/>
  <c r="AP180" i="1"/>
  <c r="AO180" i="1"/>
  <c r="AN180" i="1"/>
  <c r="AM180" i="1"/>
  <c r="AK180" i="1"/>
  <c r="AJ180" i="1"/>
  <c r="AL180" i="1" s="1"/>
  <c r="AQ179" i="1"/>
  <c r="AS179" i="1" s="1"/>
  <c r="AP179" i="1"/>
  <c r="AT179" i="1" s="1"/>
  <c r="AN179" i="1"/>
  <c r="AO179" i="1" s="1"/>
  <c r="AM179" i="1"/>
  <c r="AL179" i="1"/>
  <c r="AK179" i="1"/>
  <c r="AJ179" i="1"/>
  <c r="AS178" i="1"/>
  <c r="AQ178" i="1"/>
  <c r="AP178" i="1"/>
  <c r="AT178" i="1" s="1"/>
  <c r="AO178" i="1"/>
  <c r="AN178" i="1"/>
  <c r="AM178" i="1"/>
  <c r="AL178" i="1"/>
  <c r="AK178" i="1"/>
  <c r="AJ178" i="1"/>
  <c r="AT177" i="1"/>
  <c r="AR177" i="1"/>
  <c r="AQ177" i="1"/>
  <c r="AS177" i="1" s="1"/>
  <c r="AP177" i="1"/>
  <c r="AK177" i="1"/>
  <c r="AM177" i="1" s="1"/>
  <c r="AJ177" i="1"/>
  <c r="AN177" i="1" s="1"/>
  <c r="AO177" i="1" s="1"/>
  <c r="AQ176" i="1"/>
  <c r="AS176" i="1" s="1"/>
  <c r="AP176" i="1"/>
  <c r="AT176" i="1" s="1"/>
  <c r="AK176" i="1"/>
  <c r="AM176" i="1" s="1"/>
  <c r="AJ176" i="1"/>
  <c r="AT175" i="1"/>
  <c r="AQ175" i="1"/>
  <c r="AS175" i="1" s="1"/>
  <c r="AP175" i="1"/>
  <c r="AR175" i="1" s="1"/>
  <c r="AM175" i="1"/>
  <c r="AK175" i="1"/>
  <c r="AJ175" i="1"/>
  <c r="AT174" i="1"/>
  <c r="AS174" i="1"/>
  <c r="AQ174" i="1"/>
  <c r="AP174" i="1"/>
  <c r="AR174" i="1" s="1"/>
  <c r="AO174" i="1"/>
  <c r="AN174" i="1"/>
  <c r="AL174" i="1"/>
  <c r="AK174" i="1"/>
  <c r="AM174" i="1" s="1"/>
  <c r="AJ174" i="1"/>
  <c r="AT173" i="1"/>
  <c r="AS173" i="1"/>
  <c r="AR173" i="1"/>
  <c r="AQ173" i="1"/>
  <c r="AP173" i="1"/>
  <c r="AK173" i="1"/>
  <c r="AM173" i="1" s="1"/>
  <c r="AJ173" i="1"/>
  <c r="AN173" i="1" s="1"/>
  <c r="AO173" i="1" s="1"/>
  <c r="AT172" i="1"/>
  <c r="AR172" i="1"/>
  <c r="AQ172" i="1"/>
  <c r="AS172" i="1" s="1"/>
  <c r="AP172" i="1"/>
  <c r="AM172" i="1"/>
  <c r="AK172" i="1"/>
  <c r="AJ172" i="1"/>
  <c r="AN172" i="1" s="1"/>
  <c r="AO172" i="1" s="1"/>
  <c r="AQ171" i="1"/>
  <c r="AS171" i="1" s="1"/>
  <c r="AP171" i="1"/>
  <c r="AT171" i="1" s="1"/>
  <c r="AN171" i="1"/>
  <c r="AO171" i="1" s="1"/>
  <c r="AL171" i="1"/>
  <c r="AK171" i="1"/>
  <c r="AM171" i="1" s="1"/>
  <c r="AJ171" i="1"/>
  <c r="AQ170" i="1"/>
  <c r="AS170" i="1" s="1"/>
  <c r="AP170" i="1"/>
  <c r="AK170" i="1"/>
  <c r="AM170" i="1" s="1"/>
  <c r="AJ170" i="1"/>
  <c r="AN170" i="1" s="1"/>
  <c r="AO170" i="1" s="1"/>
  <c r="AS169" i="1"/>
  <c r="AQ169" i="1"/>
  <c r="AP169" i="1"/>
  <c r="AO169" i="1"/>
  <c r="AN169" i="1"/>
  <c r="AK169" i="1"/>
  <c r="AM169" i="1" s="1"/>
  <c r="AJ169" i="1"/>
  <c r="AL169" i="1" s="1"/>
  <c r="AT168" i="1"/>
  <c r="AR168" i="1"/>
  <c r="AQ168" i="1"/>
  <c r="AS168" i="1" s="1"/>
  <c r="AP168" i="1"/>
  <c r="AN168" i="1"/>
  <c r="AO168" i="1" s="1"/>
  <c r="AM168" i="1"/>
  <c r="AK168" i="1"/>
  <c r="AJ168" i="1"/>
  <c r="AL168" i="1" s="1"/>
  <c r="AQ167" i="1"/>
  <c r="AS167" i="1" s="1"/>
  <c r="AP167" i="1"/>
  <c r="AT167" i="1" s="1"/>
  <c r="AN167" i="1"/>
  <c r="AO167" i="1" s="1"/>
  <c r="AM167" i="1"/>
  <c r="AL167" i="1"/>
  <c r="AK167" i="1"/>
  <c r="AJ167" i="1"/>
  <c r="AS166" i="1"/>
  <c r="AQ166" i="1"/>
  <c r="AP166" i="1"/>
  <c r="AT166" i="1" s="1"/>
  <c r="AO166" i="1"/>
  <c r="AN166" i="1"/>
  <c r="AL166" i="1"/>
  <c r="AK166" i="1"/>
  <c r="AM166" i="1" s="1"/>
  <c r="AJ166" i="1"/>
  <c r="AT165" i="1"/>
  <c r="AR165" i="1"/>
  <c r="AQ165" i="1"/>
  <c r="AS165" i="1" s="1"/>
  <c r="AP165" i="1"/>
  <c r="AK165" i="1"/>
  <c r="AM165" i="1" s="1"/>
  <c r="AJ165" i="1"/>
  <c r="AN165" i="1" s="1"/>
  <c r="AO165" i="1" s="1"/>
  <c r="AQ164" i="1"/>
  <c r="AS164" i="1" s="1"/>
  <c r="AP164" i="1"/>
  <c r="AT164" i="1" s="1"/>
  <c r="AK164" i="1"/>
  <c r="AM164" i="1" s="1"/>
  <c r="AJ164" i="1"/>
  <c r="AT163" i="1"/>
  <c r="AQ163" i="1"/>
  <c r="AS163" i="1" s="1"/>
  <c r="AP163" i="1"/>
  <c r="AR163" i="1" s="1"/>
  <c r="AM163" i="1"/>
  <c r="AK163" i="1"/>
  <c r="AJ163" i="1"/>
  <c r="AT162" i="1"/>
  <c r="AS162" i="1"/>
  <c r="AQ162" i="1"/>
  <c r="AP162" i="1"/>
  <c r="AR162" i="1" s="1"/>
  <c r="AO162" i="1"/>
  <c r="AN162" i="1"/>
  <c r="AL162" i="1"/>
  <c r="AK162" i="1"/>
  <c r="AM162" i="1" s="1"/>
  <c r="AJ162" i="1"/>
  <c r="AT161" i="1"/>
  <c r="AS161" i="1"/>
  <c r="AR161" i="1"/>
  <c r="AQ161" i="1"/>
  <c r="AP161" i="1"/>
  <c r="AK161" i="1"/>
  <c r="AM161" i="1" s="1"/>
  <c r="AJ161" i="1"/>
  <c r="AN161" i="1" s="1"/>
  <c r="AO161" i="1" s="1"/>
  <c r="AT160" i="1"/>
  <c r="AR160" i="1"/>
  <c r="AQ160" i="1"/>
  <c r="AS160" i="1" s="1"/>
  <c r="AP160" i="1"/>
  <c r="AM160" i="1"/>
  <c r="AK160" i="1"/>
  <c r="AJ160" i="1"/>
  <c r="AN160" i="1" s="1"/>
  <c r="AO160" i="1" s="1"/>
  <c r="AQ159" i="1"/>
  <c r="AS159" i="1" s="1"/>
  <c r="AP159" i="1"/>
  <c r="AT159" i="1" s="1"/>
  <c r="AN159" i="1"/>
  <c r="AO159" i="1" s="1"/>
  <c r="AL159" i="1"/>
  <c r="AK159" i="1"/>
  <c r="AM159" i="1" s="1"/>
  <c r="AJ159" i="1"/>
  <c r="AQ158" i="1"/>
  <c r="AS158" i="1" s="1"/>
  <c r="AP158" i="1"/>
  <c r="AO158" i="1"/>
  <c r="AK158" i="1"/>
  <c r="AM158" i="1" s="1"/>
  <c r="AJ158" i="1"/>
  <c r="AN158" i="1" s="1"/>
  <c r="AS157" i="1"/>
  <c r="AQ157" i="1"/>
  <c r="AP157" i="1"/>
  <c r="AN157" i="1"/>
  <c r="AO157" i="1" s="1"/>
  <c r="AK157" i="1"/>
  <c r="AM157" i="1" s="1"/>
  <c r="AJ157" i="1"/>
  <c r="AL157" i="1" s="1"/>
  <c r="AT156" i="1"/>
  <c r="AR156" i="1"/>
  <c r="AQ156" i="1"/>
  <c r="AS156" i="1" s="1"/>
  <c r="AP156" i="1"/>
  <c r="AN156" i="1"/>
  <c r="AO156" i="1" s="1"/>
  <c r="AM156" i="1"/>
  <c r="AK156" i="1"/>
  <c r="AJ156" i="1"/>
  <c r="AL156" i="1" s="1"/>
  <c r="AQ155" i="1"/>
  <c r="AS155" i="1" s="1"/>
  <c r="AP155" i="1"/>
  <c r="AT155" i="1" s="1"/>
  <c r="AN155" i="1"/>
  <c r="AO155" i="1" s="1"/>
  <c r="AM155" i="1"/>
  <c r="AL155" i="1"/>
  <c r="AK155" i="1"/>
  <c r="AJ155" i="1"/>
  <c r="AS154" i="1"/>
  <c r="AQ154" i="1"/>
  <c r="AP154" i="1"/>
  <c r="AT154" i="1" s="1"/>
  <c r="AO154" i="1"/>
  <c r="AN154" i="1"/>
  <c r="AL154" i="1"/>
  <c r="AK154" i="1"/>
  <c r="AM154" i="1" s="1"/>
  <c r="AJ154" i="1"/>
  <c r="AT153" i="1"/>
  <c r="AR153" i="1"/>
  <c r="AQ153" i="1"/>
  <c r="AS153" i="1" s="1"/>
  <c r="AP153" i="1"/>
  <c r="AK153" i="1"/>
  <c r="AM153" i="1" s="1"/>
  <c r="AJ153" i="1"/>
  <c r="AN153" i="1" s="1"/>
  <c r="AO153" i="1" s="1"/>
  <c r="AQ152" i="1"/>
  <c r="AS152" i="1" s="1"/>
  <c r="AP152" i="1"/>
  <c r="AT152" i="1" s="1"/>
  <c r="AK152" i="1"/>
  <c r="AM152" i="1" s="1"/>
  <c r="AJ152" i="1"/>
  <c r="AT151" i="1"/>
  <c r="AQ151" i="1"/>
  <c r="AS151" i="1" s="1"/>
  <c r="AP151" i="1"/>
  <c r="AR151" i="1" s="1"/>
  <c r="AM151" i="1"/>
  <c r="AK151" i="1"/>
  <c r="AJ151" i="1"/>
  <c r="AT150" i="1"/>
  <c r="AS150" i="1"/>
  <c r="AQ150" i="1"/>
  <c r="AP150" i="1"/>
  <c r="AR150" i="1" s="1"/>
  <c r="AO150" i="1"/>
  <c r="AN150" i="1"/>
  <c r="AL150" i="1"/>
  <c r="AK150" i="1"/>
  <c r="AM150" i="1" s="1"/>
  <c r="AJ150" i="1"/>
  <c r="AT149" i="1"/>
  <c r="AS149" i="1"/>
  <c r="AR149" i="1"/>
  <c r="AQ149" i="1"/>
  <c r="AP149" i="1"/>
  <c r="AK149" i="1"/>
  <c r="AM149" i="1" s="1"/>
  <c r="AJ149" i="1"/>
  <c r="AN149" i="1" s="1"/>
  <c r="AO149" i="1" s="1"/>
  <c r="AT148" i="1"/>
  <c r="AS148" i="1"/>
  <c r="AR148" i="1"/>
  <c r="AQ148" i="1"/>
  <c r="AP148" i="1"/>
  <c r="AM148" i="1"/>
  <c r="AK148" i="1"/>
  <c r="AJ148" i="1"/>
  <c r="AN148" i="1" s="1"/>
  <c r="AO148" i="1" s="1"/>
  <c r="AR147" i="1"/>
  <c r="AQ147" i="1"/>
  <c r="AS147" i="1" s="1"/>
  <c r="AP147" i="1"/>
  <c r="AT147" i="1" s="1"/>
  <c r="AN147" i="1"/>
  <c r="AO147" i="1" s="1"/>
  <c r="AL147" i="1"/>
  <c r="AK147" i="1"/>
  <c r="AM147" i="1" s="1"/>
  <c r="AJ147" i="1"/>
  <c r="AQ146" i="1"/>
  <c r="AS146" i="1" s="1"/>
  <c r="AP146" i="1"/>
  <c r="AK146" i="1"/>
  <c r="AM146" i="1" s="1"/>
  <c r="AJ146" i="1"/>
  <c r="AN146" i="1" s="1"/>
  <c r="AO146" i="1" s="1"/>
  <c r="AS145" i="1"/>
  <c r="AQ145" i="1"/>
  <c r="AP145" i="1"/>
  <c r="AN145" i="1"/>
  <c r="AO145" i="1" s="1"/>
  <c r="AK145" i="1"/>
  <c r="AM145" i="1" s="1"/>
  <c r="AJ145" i="1"/>
  <c r="AL145" i="1" s="1"/>
  <c r="AT144" i="1"/>
  <c r="AR144" i="1"/>
  <c r="AQ144" i="1"/>
  <c r="AS144" i="1" s="1"/>
  <c r="AP144" i="1"/>
  <c r="AN144" i="1"/>
  <c r="AO144" i="1" s="1"/>
  <c r="AM144" i="1"/>
  <c r="AK144" i="1"/>
  <c r="AJ144" i="1"/>
  <c r="AL144" i="1" s="1"/>
  <c r="AQ143" i="1"/>
  <c r="AS143" i="1" s="1"/>
  <c r="AP143" i="1"/>
  <c r="AT143" i="1" s="1"/>
  <c r="AN143" i="1"/>
  <c r="AO143" i="1" s="1"/>
  <c r="AM143" i="1"/>
  <c r="AL143" i="1"/>
  <c r="AK143" i="1"/>
  <c r="AJ143" i="1"/>
  <c r="AS142" i="1"/>
  <c r="AQ142" i="1"/>
  <c r="AP142" i="1"/>
  <c r="AT142" i="1" s="1"/>
  <c r="AO142" i="1"/>
  <c r="AN142" i="1"/>
  <c r="AL142" i="1"/>
  <c r="AK142" i="1"/>
  <c r="AM142" i="1" s="1"/>
  <c r="AJ142" i="1"/>
  <c r="AT141" i="1"/>
  <c r="AR141" i="1"/>
  <c r="AQ141" i="1"/>
  <c r="AS141" i="1" s="1"/>
  <c r="AP141" i="1"/>
  <c r="AL141" i="1"/>
  <c r="AK141" i="1"/>
  <c r="AM141" i="1" s="1"/>
  <c r="AJ141" i="1"/>
  <c r="AN141" i="1" s="1"/>
  <c r="AO141" i="1" s="1"/>
  <c r="AQ140" i="1"/>
  <c r="AS140" i="1" s="1"/>
  <c r="AP140" i="1"/>
  <c r="AT140" i="1" s="1"/>
  <c r="AK140" i="1"/>
  <c r="AM140" i="1" s="1"/>
  <c r="AJ140" i="1"/>
  <c r="AT139" i="1"/>
  <c r="AQ139" i="1"/>
  <c r="AS139" i="1" s="1"/>
  <c r="AP139" i="1"/>
  <c r="AR139" i="1" s="1"/>
  <c r="AM139" i="1"/>
  <c r="AK139" i="1"/>
  <c r="AJ139" i="1"/>
  <c r="AT138" i="1"/>
  <c r="AS138" i="1"/>
  <c r="AQ138" i="1"/>
  <c r="AP138" i="1"/>
  <c r="AR138" i="1" s="1"/>
  <c r="AO138" i="1"/>
  <c r="AN138" i="1"/>
  <c r="AL138" i="1"/>
  <c r="AK138" i="1"/>
  <c r="AM138" i="1" s="1"/>
  <c r="AJ138" i="1"/>
  <c r="AT137" i="1"/>
  <c r="AS137" i="1"/>
  <c r="AR137" i="1"/>
  <c r="AQ137" i="1"/>
  <c r="AP137" i="1"/>
  <c r="AK137" i="1"/>
  <c r="AM137" i="1" s="1"/>
  <c r="AJ137" i="1"/>
  <c r="AT136" i="1"/>
  <c r="AR136" i="1"/>
  <c r="AQ136" i="1"/>
  <c r="AS136" i="1" s="1"/>
  <c r="AP136" i="1"/>
  <c r="AM136" i="1"/>
  <c r="AK136" i="1"/>
  <c r="AJ136" i="1"/>
  <c r="AN136" i="1" s="1"/>
  <c r="AO136" i="1" s="1"/>
  <c r="AT135" i="1"/>
  <c r="AQ135" i="1"/>
  <c r="AS135" i="1" s="1"/>
  <c r="AP135" i="1"/>
  <c r="AR135" i="1" s="1"/>
  <c r="AN135" i="1"/>
  <c r="AO135" i="1" s="1"/>
  <c r="AL135" i="1"/>
  <c r="AK135" i="1"/>
  <c r="AM135" i="1" s="1"/>
  <c r="AJ135" i="1"/>
  <c r="AQ134" i="1"/>
  <c r="AS134" i="1" s="1"/>
  <c r="AP134" i="1"/>
  <c r="AO134" i="1"/>
  <c r="AK134" i="1"/>
  <c r="AM134" i="1" s="1"/>
  <c r="AJ134" i="1"/>
  <c r="AN134" i="1" s="1"/>
  <c r="AS133" i="1"/>
  <c r="AQ133" i="1"/>
  <c r="AP133" i="1"/>
  <c r="AT133" i="1" s="1"/>
  <c r="AN133" i="1"/>
  <c r="AO133" i="1" s="1"/>
  <c r="AK133" i="1"/>
  <c r="AM133" i="1" s="1"/>
  <c r="AJ133" i="1"/>
  <c r="AL133" i="1" s="1"/>
  <c r="AT132" i="1"/>
  <c r="AR132" i="1"/>
  <c r="AQ132" i="1"/>
  <c r="AS132" i="1" s="1"/>
  <c r="AP132" i="1"/>
  <c r="AN132" i="1"/>
  <c r="AO132" i="1" s="1"/>
  <c r="AM132" i="1"/>
  <c r="AK132" i="1"/>
  <c r="AJ132" i="1"/>
  <c r="AL132" i="1" s="1"/>
  <c r="AQ131" i="1"/>
  <c r="AS131" i="1" s="1"/>
  <c r="AP131" i="1"/>
  <c r="AN131" i="1"/>
  <c r="AO131" i="1" s="1"/>
  <c r="AM131" i="1"/>
  <c r="AL131" i="1"/>
  <c r="AK131" i="1"/>
  <c r="AJ131" i="1"/>
  <c r="AS130" i="1"/>
  <c r="AQ130" i="1"/>
  <c r="AP130" i="1"/>
  <c r="AT130" i="1" s="1"/>
  <c r="AO130" i="1"/>
  <c r="AN130" i="1"/>
  <c r="AM130" i="1"/>
  <c r="AL130" i="1"/>
  <c r="AK130" i="1"/>
  <c r="AJ130" i="1"/>
  <c r="AT129" i="1"/>
  <c r="AR129" i="1"/>
  <c r="AQ129" i="1"/>
  <c r="AS129" i="1" s="1"/>
  <c r="AP129" i="1"/>
  <c r="AN129" i="1"/>
  <c r="AO129" i="1" s="1"/>
  <c r="AL129" i="1"/>
  <c r="AK129" i="1"/>
  <c r="AM129" i="1" s="1"/>
  <c r="AJ129" i="1"/>
  <c r="AQ128" i="1"/>
  <c r="AS128" i="1" s="1"/>
  <c r="AP128" i="1"/>
  <c r="AT128" i="1" s="1"/>
  <c r="AK128" i="1"/>
  <c r="AM128" i="1" s="1"/>
  <c r="AJ128" i="1"/>
  <c r="AT127" i="1"/>
  <c r="AQ127" i="1"/>
  <c r="AS127" i="1" s="1"/>
  <c r="AP127" i="1"/>
  <c r="AR127" i="1" s="1"/>
  <c r="AM127" i="1"/>
  <c r="AL127" i="1"/>
  <c r="AK127" i="1"/>
  <c r="AJ127" i="1"/>
  <c r="AN127" i="1" s="1"/>
  <c r="AO127" i="1" s="1"/>
  <c r="AT126" i="1"/>
  <c r="AS126" i="1"/>
  <c r="AQ126" i="1"/>
  <c r="AP126" i="1"/>
  <c r="AR126" i="1" s="1"/>
  <c r="AO126" i="1"/>
  <c r="AN126" i="1"/>
  <c r="AL126" i="1"/>
  <c r="AK126" i="1"/>
  <c r="AM126" i="1" s="1"/>
  <c r="AJ126" i="1"/>
  <c r="AT125" i="1"/>
  <c r="AS125" i="1"/>
  <c r="AR125" i="1"/>
  <c r="AQ125" i="1"/>
  <c r="AP125" i="1"/>
  <c r="AK125" i="1"/>
  <c r="AM125" i="1" s="1"/>
  <c r="AJ125" i="1"/>
  <c r="AL125" i="1" s="1"/>
  <c r="AT124" i="1"/>
  <c r="AR124" i="1"/>
  <c r="AQ124" i="1"/>
  <c r="AS124" i="1" s="1"/>
  <c r="AP124" i="1"/>
  <c r="AM124" i="1"/>
  <c r="AK124" i="1"/>
  <c r="AJ124" i="1"/>
  <c r="AN124" i="1" s="1"/>
  <c r="AO124" i="1" s="1"/>
  <c r="AQ123" i="1"/>
  <c r="AS123" i="1" s="1"/>
  <c r="AP123" i="1"/>
  <c r="AT123" i="1" s="1"/>
  <c r="AN123" i="1"/>
  <c r="AO123" i="1" s="1"/>
  <c r="AL123" i="1"/>
  <c r="AK123" i="1"/>
  <c r="AM123" i="1" s="1"/>
  <c r="AJ123" i="1"/>
  <c r="AS122" i="1"/>
  <c r="AQ122" i="1"/>
  <c r="AP122" i="1"/>
  <c r="AO122" i="1"/>
  <c r="AK122" i="1"/>
  <c r="AM122" i="1" s="1"/>
  <c r="AJ122" i="1"/>
  <c r="AN122" i="1" s="1"/>
  <c r="AS121" i="1"/>
  <c r="AR121" i="1"/>
  <c r="AQ121" i="1"/>
  <c r="AP121" i="1"/>
  <c r="AT121" i="1" s="1"/>
  <c r="AK121" i="1"/>
  <c r="AM121" i="1" s="1"/>
  <c r="AJ121" i="1"/>
  <c r="AL121" i="1" s="1"/>
  <c r="AT120" i="1"/>
  <c r="AR120" i="1"/>
  <c r="AQ120" i="1"/>
  <c r="AS120" i="1" s="1"/>
  <c r="AP120" i="1"/>
  <c r="AN120" i="1"/>
  <c r="AO120" i="1" s="1"/>
  <c r="AM120" i="1"/>
  <c r="AK120" i="1"/>
  <c r="AJ120" i="1"/>
  <c r="AL120" i="1" s="1"/>
  <c r="AQ119" i="1"/>
  <c r="AS119" i="1" s="1"/>
  <c r="AP119" i="1"/>
  <c r="AR119" i="1" s="1"/>
  <c r="AN119" i="1"/>
  <c r="AO119" i="1" s="1"/>
  <c r="AM119" i="1"/>
  <c r="AL119" i="1"/>
  <c r="AK119" i="1"/>
  <c r="AJ119" i="1"/>
  <c r="AS118" i="1"/>
  <c r="AQ118" i="1"/>
  <c r="AP118" i="1"/>
  <c r="AO118" i="1"/>
  <c r="AN118" i="1"/>
  <c r="AM118" i="1"/>
  <c r="AL118" i="1"/>
  <c r="AK118" i="1"/>
  <c r="AJ118" i="1"/>
  <c r="AT117" i="1"/>
  <c r="AR117" i="1"/>
  <c r="AQ117" i="1"/>
  <c r="AS117" i="1" s="1"/>
  <c r="AP117" i="1"/>
  <c r="AK117" i="1"/>
  <c r="AM117" i="1" s="1"/>
  <c r="AJ117" i="1"/>
  <c r="AN117" i="1" s="1"/>
  <c r="AO117" i="1" s="1"/>
  <c r="AQ116" i="1"/>
  <c r="AS116" i="1" s="1"/>
  <c r="AP116" i="1"/>
  <c r="AT116" i="1" s="1"/>
  <c r="AK116" i="1"/>
  <c r="AM116" i="1" s="1"/>
  <c r="AJ116" i="1"/>
  <c r="AL116" i="1" s="1"/>
  <c r="AT115" i="1"/>
  <c r="AQ115" i="1"/>
  <c r="AS115" i="1" s="1"/>
  <c r="AP115" i="1"/>
  <c r="AR115" i="1" s="1"/>
  <c r="AM115" i="1"/>
  <c r="AK115" i="1"/>
  <c r="AJ115" i="1"/>
  <c r="AN115" i="1" s="1"/>
  <c r="AO115" i="1" s="1"/>
  <c r="AT114" i="1"/>
  <c r="AS114" i="1"/>
  <c r="AQ114" i="1"/>
  <c r="AP114" i="1"/>
  <c r="AR114" i="1" s="1"/>
  <c r="AO114" i="1"/>
  <c r="AN114" i="1"/>
  <c r="AL114" i="1"/>
  <c r="AK114" i="1"/>
  <c r="AM114" i="1" s="1"/>
  <c r="AJ114" i="1"/>
  <c r="AT113" i="1"/>
  <c r="AS113" i="1"/>
  <c r="AR113" i="1"/>
  <c r="AQ113" i="1"/>
  <c r="AP113" i="1"/>
  <c r="AK113" i="1"/>
  <c r="AM113" i="1" s="1"/>
  <c r="AJ113" i="1"/>
  <c r="AL113" i="1" s="1"/>
  <c r="AT112" i="1"/>
  <c r="AS112" i="1"/>
  <c r="AR112" i="1"/>
  <c r="AQ112" i="1"/>
  <c r="AP112" i="1"/>
  <c r="AM112" i="1"/>
  <c r="AK112" i="1"/>
  <c r="AJ112" i="1"/>
  <c r="AQ111" i="1"/>
  <c r="AS111" i="1" s="1"/>
  <c r="AP111" i="1"/>
  <c r="AT111" i="1" s="1"/>
  <c r="AN111" i="1"/>
  <c r="AO111" i="1" s="1"/>
  <c r="AL111" i="1"/>
  <c r="AK111" i="1"/>
  <c r="AM111" i="1" s="1"/>
  <c r="AJ111" i="1"/>
  <c r="AT110" i="1"/>
  <c r="AS110" i="1"/>
  <c r="AQ110" i="1"/>
  <c r="AP110" i="1"/>
  <c r="AR110" i="1" s="1"/>
  <c r="AO110" i="1"/>
  <c r="AK110" i="1"/>
  <c r="AM110" i="1" s="1"/>
  <c r="AJ110" i="1"/>
  <c r="AN110" i="1" s="1"/>
  <c r="AS109" i="1"/>
  <c r="AR109" i="1"/>
  <c r="AQ109" i="1"/>
  <c r="AP109" i="1"/>
  <c r="AT109" i="1" s="1"/>
  <c r="AK109" i="1"/>
  <c r="AM109" i="1" s="1"/>
  <c r="AJ109" i="1"/>
  <c r="AL109" i="1" s="1"/>
  <c r="AT108" i="1"/>
  <c r="AR108" i="1"/>
  <c r="AQ108" i="1"/>
  <c r="AS108" i="1" s="1"/>
  <c r="AP108" i="1"/>
  <c r="AN108" i="1"/>
  <c r="AO108" i="1" s="1"/>
  <c r="AM108" i="1"/>
  <c r="AK108" i="1"/>
  <c r="AJ108" i="1"/>
  <c r="AL108" i="1" s="1"/>
  <c r="AQ107" i="1"/>
  <c r="AS107" i="1" s="1"/>
  <c r="AP107" i="1"/>
  <c r="AR107" i="1" s="1"/>
  <c r="AN107" i="1"/>
  <c r="AO107" i="1" s="1"/>
  <c r="AM107" i="1"/>
  <c r="AL107" i="1"/>
  <c r="AK107" i="1"/>
  <c r="AJ107" i="1"/>
  <c r="AS106" i="1"/>
  <c r="AQ106" i="1"/>
  <c r="AP106" i="1"/>
  <c r="AO106" i="1"/>
  <c r="AN106" i="1"/>
  <c r="AM106" i="1"/>
  <c r="AL106" i="1"/>
  <c r="AK106" i="1"/>
  <c r="AJ106" i="1"/>
  <c r="AT105" i="1"/>
  <c r="AR105" i="1"/>
  <c r="AQ105" i="1"/>
  <c r="AS105" i="1" s="1"/>
  <c r="AP105" i="1"/>
  <c r="AK105" i="1"/>
  <c r="AM105" i="1" s="1"/>
  <c r="AJ105" i="1"/>
  <c r="AN105" i="1" s="1"/>
  <c r="AO105" i="1" s="1"/>
  <c r="AQ104" i="1"/>
  <c r="AS104" i="1" s="1"/>
  <c r="AP104" i="1"/>
  <c r="AK104" i="1"/>
  <c r="AM104" i="1" s="1"/>
  <c r="AJ104" i="1"/>
  <c r="AL104" i="1" s="1"/>
  <c r="AT103" i="1"/>
  <c r="AQ103" i="1"/>
  <c r="AS103" i="1" s="1"/>
  <c r="AP103" i="1"/>
  <c r="AR103" i="1" s="1"/>
  <c r="AO103" i="1"/>
  <c r="AM103" i="1"/>
  <c r="AL103" i="1"/>
  <c r="AK103" i="1"/>
  <c r="AJ103" i="1"/>
  <c r="AN103" i="1" s="1"/>
  <c r="AT102" i="1"/>
  <c r="AS102" i="1"/>
  <c r="AQ102" i="1"/>
  <c r="AP102" i="1"/>
  <c r="AR102" i="1" s="1"/>
  <c r="AN102" i="1"/>
  <c r="AO102" i="1" s="1"/>
  <c r="AL102" i="1"/>
  <c r="AK102" i="1"/>
  <c r="AM102" i="1" s="1"/>
  <c r="AJ102" i="1"/>
  <c r="AT101" i="1"/>
  <c r="AS101" i="1"/>
  <c r="AR101" i="1"/>
  <c r="AQ101" i="1"/>
  <c r="AP101" i="1"/>
  <c r="AK101" i="1"/>
  <c r="AM101" i="1" s="1"/>
  <c r="AJ101" i="1"/>
  <c r="AL101" i="1" s="1"/>
  <c r="AT100" i="1"/>
  <c r="AR100" i="1"/>
  <c r="AQ100" i="1"/>
  <c r="AS100" i="1" s="1"/>
  <c r="AP100" i="1"/>
  <c r="AM100" i="1"/>
  <c r="AK100" i="1"/>
  <c r="AJ100" i="1"/>
  <c r="AN100" i="1" s="1"/>
  <c r="AO100" i="1" s="1"/>
  <c r="AT99" i="1"/>
  <c r="AR99" i="1"/>
  <c r="AQ99" i="1"/>
  <c r="AS99" i="1" s="1"/>
  <c r="AP99" i="1"/>
  <c r="AN99" i="1"/>
  <c r="AO99" i="1" s="1"/>
  <c r="AL99" i="1"/>
  <c r="AK99" i="1"/>
  <c r="AM99" i="1" s="1"/>
  <c r="AJ99" i="1"/>
  <c r="AS98" i="1"/>
  <c r="AQ98" i="1"/>
  <c r="AP98" i="1"/>
  <c r="AR98" i="1" s="1"/>
  <c r="AK98" i="1"/>
  <c r="AM98" i="1" s="1"/>
  <c r="AJ98" i="1"/>
  <c r="AS97" i="1"/>
  <c r="AQ97" i="1"/>
  <c r="AP97" i="1"/>
  <c r="AT97" i="1" s="1"/>
  <c r="AK97" i="1"/>
  <c r="AM97" i="1" s="1"/>
  <c r="AJ97" i="1"/>
  <c r="AL97" i="1" s="1"/>
  <c r="AB97" i="1"/>
  <c r="AS96" i="1"/>
  <c r="AR96" i="1"/>
  <c r="AQ96" i="1"/>
  <c r="AP96" i="1"/>
  <c r="AT96" i="1" s="1"/>
  <c r="AK96" i="1"/>
  <c r="AM96" i="1" s="1"/>
  <c r="AJ96" i="1"/>
  <c r="AL96" i="1" s="1"/>
  <c r="AT95" i="1"/>
  <c r="AR95" i="1"/>
  <c r="AQ95" i="1"/>
  <c r="AS95" i="1" s="1"/>
  <c r="AP95" i="1"/>
  <c r="AN95" i="1"/>
  <c r="AO95" i="1" s="1"/>
  <c r="AM95" i="1"/>
  <c r="AK95" i="1"/>
  <c r="AJ95" i="1"/>
  <c r="AL95" i="1" s="1"/>
  <c r="AT94" i="1"/>
  <c r="AS94" i="1"/>
  <c r="AQ94" i="1"/>
  <c r="AP94" i="1"/>
  <c r="AR94" i="1" s="1"/>
  <c r="AO94" i="1"/>
  <c r="AN94" i="1"/>
  <c r="AM94" i="1"/>
  <c r="AL94" i="1"/>
  <c r="AK94" i="1"/>
  <c r="AJ94" i="1"/>
  <c r="AS93" i="1"/>
  <c r="AQ93" i="1"/>
  <c r="AP93" i="1"/>
  <c r="AT93" i="1" s="1"/>
  <c r="AO93" i="1"/>
  <c r="AN93" i="1"/>
  <c r="AL93" i="1"/>
  <c r="AK93" i="1"/>
  <c r="AM93" i="1" s="1"/>
  <c r="AJ93" i="1"/>
  <c r="AT92" i="1"/>
  <c r="AR92" i="1"/>
  <c r="AQ92" i="1"/>
  <c r="AS92" i="1" s="1"/>
  <c r="AP92" i="1"/>
  <c r="AN92" i="1"/>
  <c r="AO92" i="1" s="1"/>
  <c r="AM92" i="1"/>
  <c r="AK92" i="1"/>
  <c r="AJ92" i="1"/>
  <c r="AL92" i="1" s="1"/>
  <c r="AQ91" i="1"/>
  <c r="AS91" i="1" s="1"/>
  <c r="AP91" i="1"/>
  <c r="AN91" i="1"/>
  <c r="AO91" i="1" s="1"/>
  <c r="AM91" i="1"/>
  <c r="AK91" i="1"/>
  <c r="AJ91" i="1"/>
  <c r="AL91" i="1" s="1"/>
  <c r="AT90" i="1"/>
  <c r="AQ90" i="1"/>
  <c r="AS90" i="1" s="1"/>
  <c r="AP90" i="1"/>
  <c r="AR90" i="1" s="1"/>
  <c r="AK90" i="1"/>
  <c r="AM90" i="1" s="1"/>
  <c r="AJ90" i="1"/>
  <c r="AN90" i="1" s="1"/>
  <c r="AO90" i="1" s="1"/>
  <c r="AT89" i="1"/>
  <c r="AS89" i="1"/>
  <c r="AQ89" i="1"/>
  <c r="AP89" i="1"/>
  <c r="AR89" i="1" s="1"/>
  <c r="AO89" i="1"/>
  <c r="AN89" i="1"/>
  <c r="AK89" i="1"/>
  <c r="AM89" i="1" s="1"/>
  <c r="AJ89" i="1"/>
  <c r="AL89" i="1" s="1"/>
  <c r="AT88" i="1"/>
  <c r="AS88" i="1"/>
  <c r="AR88" i="1"/>
  <c r="AQ88" i="1"/>
  <c r="AP88" i="1"/>
  <c r="AK88" i="1"/>
  <c r="AM88" i="1" s="1"/>
  <c r="AJ88" i="1"/>
  <c r="AL88" i="1" s="1"/>
  <c r="AT87" i="1"/>
  <c r="AR87" i="1"/>
  <c r="AQ87" i="1"/>
  <c r="AS87" i="1" s="1"/>
  <c r="AP87" i="1"/>
  <c r="AN87" i="1"/>
  <c r="AO87" i="1" s="1"/>
  <c r="AM87" i="1"/>
  <c r="AK87" i="1"/>
  <c r="AJ87" i="1"/>
  <c r="AL87" i="1" s="1"/>
  <c r="AT86" i="1"/>
  <c r="AS86" i="1"/>
  <c r="AQ86" i="1"/>
  <c r="AP86" i="1"/>
  <c r="AR86" i="1" s="1"/>
  <c r="AN86" i="1"/>
  <c r="AO86" i="1" s="1"/>
  <c r="AL86" i="1"/>
  <c r="AK86" i="1"/>
  <c r="AM86" i="1" s="1"/>
  <c r="AJ86" i="1"/>
  <c r="AT85" i="1"/>
  <c r="AR85" i="1"/>
  <c r="AQ85" i="1"/>
  <c r="AS85" i="1" s="1"/>
  <c r="AP85" i="1"/>
  <c r="AK85" i="1"/>
  <c r="AM85" i="1" s="1"/>
  <c r="AJ85" i="1"/>
  <c r="AN85" i="1" s="1"/>
  <c r="AO85" i="1" s="1"/>
  <c r="AS84" i="1"/>
  <c r="AR84" i="1"/>
  <c r="AQ84" i="1"/>
  <c r="AP84" i="1"/>
  <c r="AT84" i="1" s="1"/>
  <c r="AN84" i="1"/>
  <c r="AO84" i="1" s="1"/>
  <c r="AK84" i="1"/>
  <c r="AM84" i="1" s="1"/>
  <c r="AJ84" i="1"/>
  <c r="AL84" i="1" s="1"/>
  <c r="AQ83" i="1"/>
  <c r="AS83" i="1" s="1"/>
  <c r="AP83" i="1"/>
  <c r="AT83" i="1" s="1"/>
  <c r="AN83" i="1"/>
  <c r="AO83" i="1" s="1"/>
  <c r="AM83" i="1"/>
  <c r="AK83" i="1"/>
  <c r="AJ83" i="1"/>
  <c r="AL83" i="1" s="1"/>
  <c r="AB83" i="1"/>
  <c r="AT82" i="1"/>
  <c r="AQ82" i="1"/>
  <c r="AS82" i="1" s="1"/>
  <c r="AP82" i="1"/>
  <c r="AR82" i="1" s="1"/>
  <c r="AN82" i="1"/>
  <c r="AO82" i="1" s="1"/>
  <c r="AK82" i="1"/>
  <c r="AM82" i="1" s="1"/>
  <c r="AJ82" i="1"/>
  <c r="AL82" i="1" s="1"/>
  <c r="AQ81" i="1"/>
  <c r="AS81" i="1" s="1"/>
  <c r="AP81" i="1"/>
  <c r="AR81" i="1" s="1"/>
  <c r="AM81" i="1"/>
  <c r="AK81" i="1"/>
  <c r="AJ81" i="1"/>
  <c r="AN81" i="1" s="1"/>
  <c r="AO81" i="1" s="1"/>
  <c r="AT80" i="1"/>
  <c r="AS80" i="1"/>
  <c r="AQ80" i="1"/>
  <c r="AP80" i="1"/>
  <c r="AR80" i="1" s="1"/>
  <c r="AO80" i="1"/>
  <c r="AN80" i="1"/>
  <c r="AL80" i="1"/>
  <c r="AK80" i="1"/>
  <c r="AM80" i="1" s="1"/>
  <c r="AJ80" i="1"/>
  <c r="AT79" i="1"/>
  <c r="AS79" i="1"/>
  <c r="AR79" i="1"/>
  <c r="AQ79" i="1"/>
  <c r="AP79" i="1"/>
  <c r="AO79" i="1"/>
  <c r="AN79" i="1"/>
  <c r="AK79" i="1"/>
  <c r="AM79" i="1" s="1"/>
  <c r="AJ79" i="1"/>
  <c r="AL79" i="1" s="1"/>
  <c r="AR78" i="1"/>
  <c r="AQ78" i="1"/>
  <c r="AS78" i="1" s="1"/>
  <c r="AP78" i="1"/>
  <c r="AT78" i="1" s="1"/>
  <c r="AN78" i="1"/>
  <c r="AO78" i="1" s="1"/>
  <c r="AL78" i="1"/>
  <c r="AK78" i="1"/>
  <c r="AM78" i="1" s="1"/>
  <c r="AJ78" i="1"/>
  <c r="AQ77" i="1"/>
  <c r="AS77" i="1" s="1"/>
  <c r="AP77" i="1"/>
  <c r="AT77" i="1" s="1"/>
  <c r="AO77" i="1"/>
  <c r="AM77" i="1"/>
  <c r="AK77" i="1"/>
  <c r="AJ77" i="1"/>
  <c r="AN77" i="1" s="1"/>
  <c r="AT76" i="1"/>
  <c r="AS76" i="1"/>
  <c r="AQ76" i="1"/>
  <c r="AP76" i="1"/>
  <c r="AR76" i="1" s="1"/>
  <c r="AK76" i="1"/>
  <c r="AM76" i="1" s="1"/>
  <c r="AJ76" i="1"/>
  <c r="AL76" i="1" s="1"/>
  <c r="AS75" i="1"/>
  <c r="AQ75" i="1"/>
  <c r="AP75" i="1"/>
  <c r="AT75" i="1" s="1"/>
  <c r="AK75" i="1"/>
  <c r="AM75" i="1" s="1"/>
  <c r="AJ75" i="1"/>
  <c r="AL75" i="1" s="1"/>
  <c r="AT74" i="1"/>
  <c r="AS74" i="1"/>
  <c r="AR74" i="1"/>
  <c r="AQ74" i="1"/>
  <c r="AP74" i="1"/>
  <c r="AM74" i="1"/>
  <c r="AK74" i="1"/>
  <c r="AJ74" i="1"/>
  <c r="AN74" i="1" s="1"/>
  <c r="AO74" i="1" s="1"/>
  <c r="AT73" i="1"/>
  <c r="AS73" i="1"/>
  <c r="AR73" i="1"/>
  <c r="AQ73" i="1"/>
  <c r="AP73" i="1"/>
  <c r="AN73" i="1"/>
  <c r="AO73" i="1" s="1"/>
  <c r="AM73" i="1"/>
  <c r="AL73" i="1"/>
  <c r="AK73" i="1"/>
  <c r="AJ73" i="1"/>
  <c r="AQ72" i="1"/>
  <c r="AS72" i="1" s="1"/>
  <c r="AP72" i="1"/>
  <c r="AR72" i="1" s="1"/>
  <c r="AK72" i="1"/>
  <c r="AM72" i="1" s="1"/>
  <c r="AJ72" i="1"/>
  <c r="AN72" i="1" s="1"/>
  <c r="AO72" i="1" s="1"/>
  <c r="AQ71" i="1"/>
  <c r="AS71" i="1" s="1"/>
  <c r="AP71" i="1"/>
  <c r="AT71" i="1" s="1"/>
  <c r="AN71" i="1"/>
  <c r="AO71" i="1" s="1"/>
  <c r="AL71" i="1"/>
  <c r="AK71" i="1"/>
  <c r="AM71" i="1" s="1"/>
  <c r="AJ71" i="1"/>
  <c r="AT70" i="1"/>
  <c r="AR70" i="1"/>
  <c r="AQ70" i="1"/>
  <c r="AS70" i="1" s="1"/>
  <c r="AP70" i="1"/>
  <c r="AK70" i="1"/>
  <c r="AM70" i="1" s="1"/>
  <c r="AJ70" i="1"/>
  <c r="AL70" i="1" s="1"/>
  <c r="AT69" i="1"/>
  <c r="AQ69" i="1"/>
  <c r="AS69" i="1" s="1"/>
  <c r="AP69" i="1"/>
  <c r="AR69" i="1" s="1"/>
  <c r="AM69" i="1"/>
  <c r="AK69" i="1"/>
  <c r="AJ69" i="1"/>
  <c r="AN69" i="1" s="1"/>
  <c r="AO69" i="1" s="1"/>
  <c r="AT68" i="1"/>
  <c r="AS68" i="1"/>
  <c r="AR68" i="1"/>
  <c r="AQ68" i="1"/>
  <c r="AP68" i="1"/>
  <c r="AN68" i="1"/>
  <c r="AO68" i="1" s="1"/>
  <c r="AM68" i="1"/>
  <c r="AL68" i="1"/>
  <c r="AK68" i="1"/>
  <c r="AJ68" i="1"/>
  <c r="AT67" i="1"/>
  <c r="AR67" i="1"/>
  <c r="AQ67" i="1"/>
  <c r="AS67" i="1" s="1"/>
  <c r="AP67" i="1"/>
  <c r="AM67" i="1"/>
  <c r="AL67" i="1"/>
  <c r="AK67" i="1"/>
  <c r="AJ67" i="1"/>
  <c r="AN67" i="1" s="1"/>
  <c r="AO67" i="1" s="1"/>
  <c r="AQ66" i="1"/>
  <c r="AS66" i="1" s="1"/>
  <c r="AP66" i="1"/>
  <c r="AT66" i="1" s="1"/>
  <c r="AN66" i="1"/>
  <c r="AO66" i="1" s="1"/>
  <c r="AK66" i="1"/>
  <c r="AM66" i="1" s="1"/>
  <c r="AJ66" i="1"/>
  <c r="AL66" i="1" s="1"/>
  <c r="AT65" i="1"/>
  <c r="AQ65" i="1"/>
  <c r="AS65" i="1" s="1"/>
  <c r="AP65" i="1"/>
  <c r="AR65" i="1" s="1"/>
  <c r="AL65" i="1"/>
  <c r="AK65" i="1"/>
  <c r="AM65" i="1" s="1"/>
  <c r="AJ65" i="1"/>
  <c r="AB65" i="1"/>
  <c r="AT64" i="1"/>
  <c r="AR64" i="1"/>
  <c r="AQ64" i="1"/>
  <c r="AS64" i="1" s="1"/>
  <c r="AP64" i="1"/>
  <c r="AK64" i="1"/>
  <c r="AM64" i="1" s="1"/>
  <c r="AJ64" i="1"/>
  <c r="AN64" i="1" s="1"/>
  <c r="AO64" i="1" s="1"/>
  <c r="AT63" i="1"/>
  <c r="AQ63" i="1"/>
  <c r="AS63" i="1" s="1"/>
  <c r="AP63" i="1"/>
  <c r="AR63" i="1" s="1"/>
  <c r="AO63" i="1"/>
  <c r="AN63" i="1"/>
  <c r="AK63" i="1"/>
  <c r="AM63" i="1" s="1"/>
  <c r="AJ63" i="1"/>
  <c r="AL63" i="1" s="1"/>
  <c r="AT62" i="1"/>
  <c r="AS62" i="1"/>
  <c r="AR62" i="1"/>
  <c r="AQ62" i="1"/>
  <c r="AP62" i="1"/>
  <c r="AN62" i="1"/>
  <c r="AO62" i="1" s="1"/>
  <c r="AM62" i="1"/>
  <c r="AK62" i="1"/>
  <c r="AJ62" i="1"/>
  <c r="AL62" i="1" s="1"/>
  <c r="AT61" i="1"/>
  <c r="AR61" i="1"/>
  <c r="AQ61" i="1"/>
  <c r="AS61" i="1" s="1"/>
  <c r="AP61" i="1"/>
  <c r="AM61" i="1"/>
  <c r="AK61" i="1"/>
  <c r="AJ61" i="1"/>
  <c r="AN61" i="1" s="1"/>
  <c r="AO61" i="1" s="1"/>
  <c r="AQ60" i="1"/>
  <c r="AS60" i="1" s="1"/>
  <c r="AP60" i="1"/>
  <c r="AT60" i="1" s="1"/>
  <c r="AN60" i="1"/>
  <c r="AO60" i="1" s="1"/>
  <c r="AM60" i="1"/>
  <c r="AL60" i="1"/>
  <c r="AK60" i="1"/>
  <c r="AJ60" i="1"/>
  <c r="AT59" i="1"/>
  <c r="AS59" i="1"/>
  <c r="AQ59" i="1"/>
  <c r="AP59" i="1"/>
  <c r="AR59" i="1" s="1"/>
  <c r="AO59" i="1"/>
  <c r="AL59" i="1"/>
  <c r="AK59" i="1"/>
  <c r="AM59" i="1" s="1"/>
  <c r="AJ59" i="1"/>
  <c r="AN59" i="1" s="1"/>
  <c r="AQ58" i="1"/>
  <c r="AS58" i="1" s="1"/>
  <c r="AP58" i="1"/>
  <c r="AT58" i="1" s="1"/>
  <c r="AK58" i="1"/>
  <c r="AM58" i="1" s="1"/>
  <c r="AJ58" i="1"/>
  <c r="AN58" i="1" s="1"/>
  <c r="AO58" i="1" s="1"/>
  <c r="AT57" i="1"/>
  <c r="AR57" i="1"/>
  <c r="AQ57" i="1"/>
  <c r="AS57" i="1" s="1"/>
  <c r="AP57" i="1"/>
  <c r="AN57" i="1"/>
  <c r="AO57" i="1" s="1"/>
  <c r="AM57" i="1"/>
  <c r="AK57" i="1"/>
  <c r="AJ57" i="1"/>
  <c r="AL57" i="1" s="1"/>
  <c r="AQ56" i="1"/>
  <c r="AS56" i="1" s="1"/>
  <c r="AP56" i="1"/>
  <c r="AR56" i="1" s="1"/>
  <c r="AM56" i="1"/>
  <c r="AK56" i="1"/>
  <c r="AJ56" i="1"/>
  <c r="AN56" i="1" s="1"/>
  <c r="AO56" i="1" s="1"/>
  <c r="AS55" i="1"/>
  <c r="AQ55" i="1"/>
  <c r="AP55" i="1"/>
  <c r="AT55" i="1" s="1"/>
  <c r="AN55" i="1"/>
  <c r="AO55" i="1" s="1"/>
  <c r="AL55" i="1"/>
  <c r="AK55" i="1"/>
  <c r="AM55" i="1" s="1"/>
  <c r="AJ55" i="1"/>
  <c r="AT54" i="1"/>
  <c r="AR54" i="1"/>
  <c r="AQ54" i="1"/>
  <c r="AS54" i="1" s="1"/>
  <c r="AP54" i="1"/>
  <c r="AN54" i="1"/>
  <c r="AO54" i="1" s="1"/>
  <c r="AM54" i="1"/>
  <c r="AK54" i="1"/>
  <c r="AJ54" i="1"/>
  <c r="AL54" i="1" s="1"/>
  <c r="AS53" i="1"/>
  <c r="AR53" i="1"/>
  <c r="AQ53" i="1"/>
  <c r="AP53" i="1"/>
  <c r="AT53" i="1" s="1"/>
  <c r="AK53" i="1"/>
  <c r="AM53" i="1" s="1"/>
  <c r="AJ53" i="1"/>
  <c r="AL53" i="1" s="1"/>
  <c r="AQ52" i="1"/>
  <c r="AS52" i="1" s="1"/>
  <c r="AP52" i="1"/>
  <c r="AT52" i="1" s="1"/>
  <c r="AK52" i="1"/>
  <c r="AM52" i="1" s="1"/>
  <c r="AJ52" i="1"/>
  <c r="AB52" i="1"/>
  <c r="AT51" i="1"/>
  <c r="AR51" i="1"/>
  <c r="AQ51" i="1"/>
  <c r="AS51" i="1" s="1"/>
  <c r="AP51" i="1"/>
  <c r="AM51" i="1"/>
  <c r="AL51" i="1"/>
  <c r="AK51" i="1"/>
  <c r="AJ51" i="1"/>
  <c r="AN51" i="1" s="1"/>
  <c r="AO51" i="1" s="1"/>
  <c r="AQ50" i="1"/>
  <c r="AS50" i="1" s="1"/>
  <c r="AP50" i="1"/>
  <c r="AR50" i="1" s="1"/>
  <c r="AK50" i="1"/>
  <c r="AM50" i="1" s="1"/>
  <c r="AJ50" i="1"/>
  <c r="AN50" i="1" s="1"/>
  <c r="AO50" i="1" s="1"/>
  <c r="AT49" i="1"/>
  <c r="AS49" i="1"/>
  <c r="AQ49" i="1"/>
  <c r="AP49" i="1"/>
  <c r="AR49" i="1" s="1"/>
  <c r="AN49" i="1"/>
  <c r="AO49" i="1" s="1"/>
  <c r="AM49" i="1"/>
  <c r="AK49" i="1"/>
  <c r="AJ49" i="1"/>
  <c r="AL49" i="1" s="1"/>
  <c r="AT48" i="1"/>
  <c r="AS48" i="1"/>
  <c r="AR48" i="1"/>
  <c r="AQ48" i="1"/>
  <c r="AP48" i="1"/>
  <c r="AN48" i="1"/>
  <c r="AO48" i="1" s="1"/>
  <c r="AM48" i="1"/>
  <c r="AL48" i="1"/>
  <c r="AK48" i="1"/>
  <c r="AJ48" i="1"/>
  <c r="AT47" i="1"/>
  <c r="AR47" i="1"/>
  <c r="AQ47" i="1"/>
  <c r="AS47" i="1" s="1"/>
  <c r="AP47" i="1"/>
  <c r="AN47" i="1"/>
  <c r="AO47" i="1" s="1"/>
  <c r="AL47" i="1"/>
  <c r="AK47" i="1"/>
  <c r="AM47" i="1" s="1"/>
  <c r="AJ47" i="1"/>
  <c r="AT46" i="1"/>
  <c r="AQ46" i="1"/>
  <c r="AS46" i="1" s="1"/>
  <c r="AP46" i="1"/>
  <c r="AR46" i="1" s="1"/>
  <c r="AO46" i="1"/>
  <c r="AK46" i="1"/>
  <c r="AM46" i="1" s="1"/>
  <c r="AJ46" i="1"/>
  <c r="AN46" i="1" s="1"/>
  <c r="AR45" i="1"/>
  <c r="AQ45" i="1"/>
  <c r="AS45" i="1" s="1"/>
  <c r="AP45" i="1"/>
  <c r="AT45" i="1" s="1"/>
  <c r="AN45" i="1"/>
  <c r="AO45" i="1" s="1"/>
  <c r="AL45" i="1"/>
  <c r="AK45" i="1"/>
  <c r="AM45" i="1" s="1"/>
  <c r="AJ45" i="1"/>
  <c r="AQ44" i="1"/>
  <c r="AS44" i="1" s="1"/>
  <c r="AP44" i="1"/>
  <c r="AT44" i="1" s="1"/>
  <c r="AN44" i="1"/>
  <c r="AO44" i="1" s="1"/>
  <c r="AK44" i="1"/>
  <c r="AM44" i="1" s="1"/>
  <c r="AJ44" i="1"/>
  <c r="AL44" i="1" s="1"/>
  <c r="AT43" i="1"/>
  <c r="AS43" i="1"/>
  <c r="AQ43" i="1"/>
  <c r="AP43" i="1"/>
  <c r="AR43" i="1" s="1"/>
  <c r="AN43" i="1"/>
  <c r="AO43" i="1" s="1"/>
  <c r="AM43" i="1"/>
  <c r="AL43" i="1"/>
  <c r="AK43" i="1"/>
  <c r="AJ43" i="1"/>
  <c r="AT42" i="1"/>
  <c r="AS42" i="1"/>
  <c r="AR42" i="1"/>
  <c r="AQ42" i="1"/>
  <c r="AP42" i="1"/>
  <c r="AN42" i="1"/>
  <c r="AO42" i="1" s="1"/>
  <c r="AL42" i="1"/>
  <c r="AK42" i="1"/>
  <c r="AM42" i="1" s="1"/>
  <c r="AJ42" i="1"/>
  <c r="AT41" i="1"/>
  <c r="AR41" i="1"/>
  <c r="AQ41" i="1"/>
  <c r="AS41" i="1" s="1"/>
  <c r="AP41" i="1"/>
  <c r="AK41" i="1"/>
  <c r="AM41" i="1" s="1"/>
  <c r="AJ41" i="1"/>
  <c r="AN41" i="1" s="1"/>
  <c r="AO41" i="1" s="1"/>
  <c r="AS40" i="1"/>
  <c r="AQ40" i="1"/>
  <c r="AP40" i="1"/>
  <c r="AT40" i="1" s="1"/>
  <c r="AN40" i="1"/>
  <c r="AO40" i="1" s="1"/>
  <c r="AM40" i="1"/>
  <c r="AK40" i="1"/>
  <c r="AJ40" i="1"/>
  <c r="AL40" i="1" s="1"/>
  <c r="AQ39" i="1"/>
  <c r="AS39" i="1" s="1"/>
  <c r="AP39" i="1"/>
  <c r="AR39" i="1" s="1"/>
  <c r="AK39" i="1"/>
  <c r="AM39" i="1" s="1"/>
  <c r="AJ39" i="1"/>
  <c r="AN39" i="1" s="1"/>
  <c r="AO39" i="1" s="1"/>
  <c r="AQ38" i="1"/>
  <c r="AS38" i="1" s="1"/>
  <c r="AP38" i="1"/>
  <c r="AR38" i="1" s="1"/>
  <c r="AN38" i="1"/>
  <c r="AO38" i="1" s="1"/>
  <c r="AL38" i="1"/>
  <c r="AK38" i="1"/>
  <c r="AM38" i="1" s="1"/>
  <c r="AJ38" i="1"/>
  <c r="AS37" i="1"/>
  <c r="AR37" i="1"/>
  <c r="AQ37" i="1"/>
  <c r="AP37" i="1"/>
  <c r="AT37" i="1" s="1"/>
  <c r="AK37" i="1"/>
  <c r="AM37" i="1" s="1"/>
  <c r="AJ37" i="1"/>
  <c r="AL37" i="1" s="1"/>
  <c r="AT36" i="1"/>
  <c r="AR36" i="1"/>
  <c r="AQ36" i="1"/>
  <c r="AS36" i="1" s="1"/>
  <c r="AP36" i="1"/>
  <c r="AM36" i="1"/>
  <c r="AK36" i="1"/>
  <c r="AJ36" i="1"/>
  <c r="AN36" i="1" s="1"/>
  <c r="AO36" i="1" s="1"/>
  <c r="AT35" i="1"/>
  <c r="AQ35" i="1"/>
  <c r="AS35" i="1" s="1"/>
  <c r="AP35" i="1"/>
  <c r="AR35" i="1" s="1"/>
  <c r="AN35" i="1"/>
  <c r="AO35" i="1" s="1"/>
  <c r="AL35" i="1"/>
  <c r="AK35" i="1"/>
  <c r="AM35" i="1" s="1"/>
  <c r="AJ35" i="1"/>
  <c r="AT34" i="1"/>
  <c r="AS34" i="1"/>
  <c r="AR34" i="1"/>
  <c r="AQ34" i="1"/>
  <c r="AP34" i="1"/>
  <c r="AM34" i="1"/>
  <c r="AL34" i="1"/>
  <c r="AK34" i="1"/>
  <c r="AJ34" i="1"/>
  <c r="AN34" i="1" s="1"/>
  <c r="AO34" i="1" s="1"/>
  <c r="AQ33" i="1"/>
  <c r="AS33" i="1" s="1"/>
  <c r="AP33" i="1"/>
  <c r="AT33" i="1" s="1"/>
  <c r="AK33" i="1"/>
  <c r="AM33" i="1" s="1"/>
  <c r="AJ33" i="1"/>
  <c r="AN33" i="1" s="1"/>
  <c r="AO33" i="1" s="1"/>
  <c r="AT32" i="1"/>
  <c r="AQ32" i="1"/>
  <c r="AS32" i="1" s="1"/>
  <c r="AP32" i="1"/>
  <c r="AR32" i="1" s="1"/>
  <c r="AN32" i="1"/>
  <c r="AO32" i="1" s="1"/>
  <c r="AK32" i="1"/>
  <c r="AM32" i="1" s="1"/>
  <c r="AJ32" i="1"/>
  <c r="AL32" i="1" s="1"/>
  <c r="AQ31" i="1"/>
  <c r="AS31" i="1" s="1"/>
  <c r="AP31" i="1"/>
  <c r="AR31" i="1" s="1"/>
  <c r="AM31" i="1"/>
  <c r="AK31" i="1"/>
  <c r="AJ31" i="1"/>
  <c r="AN31" i="1" s="1"/>
  <c r="AO31" i="1" s="1"/>
  <c r="AT30" i="1"/>
  <c r="AS30" i="1"/>
  <c r="AQ30" i="1"/>
  <c r="AP30" i="1"/>
  <c r="AR30" i="1" s="1"/>
  <c r="AO30" i="1"/>
  <c r="AN30" i="1"/>
  <c r="AL30" i="1"/>
  <c r="AK30" i="1"/>
  <c r="AM30" i="1" s="1"/>
  <c r="AJ30" i="1"/>
  <c r="AT29" i="1"/>
  <c r="AS29" i="1"/>
  <c r="AR29" i="1"/>
  <c r="AQ29" i="1"/>
  <c r="AP29" i="1"/>
  <c r="AN29" i="1"/>
  <c r="AO29" i="1" s="1"/>
  <c r="AK29" i="1"/>
  <c r="AM29" i="1" s="1"/>
  <c r="AJ29" i="1"/>
  <c r="AL29" i="1" s="1"/>
  <c r="AR28" i="1"/>
  <c r="AQ28" i="1"/>
  <c r="AS28" i="1" s="1"/>
  <c r="AP28" i="1"/>
  <c r="AT28" i="1" s="1"/>
  <c r="AN28" i="1"/>
  <c r="AO28" i="1" s="1"/>
  <c r="AL28" i="1"/>
  <c r="AK28" i="1"/>
  <c r="AM28" i="1" s="1"/>
  <c r="AJ28" i="1"/>
  <c r="AQ27" i="1"/>
  <c r="AS27" i="1" s="1"/>
  <c r="AP27" i="1"/>
  <c r="AT27" i="1" s="1"/>
  <c r="AO27" i="1"/>
  <c r="AM27" i="1"/>
  <c r="AK27" i="1"/>
  <c r="AJ27" i="1"/>
  <c r="AN27" i="1" s="1"/>
  <c r="AT26" i="1"/>
  <c r="AS26" i="1"/>
  <c r="AQ26" i="1"/>
  <c r="AP26" i="1"/>
  <c r="AR26" i="1" s="1"/>
  <c r="AK26" i="1"/>
  <c r="AM26" i="1" s="1"/>
  <c r="AJ26" i="1"/>
  <c r="AL26" i="1" s="1"/>
  <c r="AS25" i="1"/>
  <c r="AQ25" i="1"/>
  <c r="AP25" i="1"/>
  <c r="AT25" i="1" s="1"/>
  <c r="AK25" i="1"/>
  <c r="AM25" i="1" s="1"/>
  <c r="AJ25" i="1"/>
  <c r="AL25" i="1" s="1"/>
  <c r="AC25" i="1"/>
  <c r="AB25" i="1"/>
  <c r="AQ24" i="1"/>
  <c r="AS24" i="1" s="1"/>
  <c r="AP24" i="1"/>
  <c r="AR24" i="1" s="1"/>
  <c r="AK24" i="1"/>
  <c r="AM24" i="1" s="1"/>
  <c r="AJ24" i="1"/>
  <c r="AN24" i="1" s="1"/>
  <c r="AO24" i="1" s="1"/>
  <c r="AT23" i="1"/>
  <c r="AS23" i="1"/>
  <c r="AR23" i="1"/>
  <c r="AQ23" i="1"/>
  <c r="AP23" i="1"/>
  <c r="AN23" i="1"/>
  <c r="AO23" i="1" s="1"/>
  <c r="AM23" i="1"/>
  <c r="AK23" i="1"/>
  <c r="AJ23" i="1"/>
  <c r="AL23" i="1" s="1"/>
  <c r="AT22" i="1"/>
  <c r="AR22" i="1"/>
  <c r="AQ22" i="1"/>
  <c r="AS22" i="1" s="1"/>
  <c r="AP22" i="1"/>
  <c r="AM22" i="1"/>
  <c r="AL22" i="1"/>
  <c r="AK22" i="1"/>
  <c r="AJ22" i="1"/>
  <c r="AB22" i="1"/>
  <c r="AN22" i="1" s="1"/>
  <c r="AO22" i="1" s="1"/>
  <c r="AT21" i="1"/>
  <c r="AR21" i="1"/>
  <c r="AQ21" i="1"/>
  <c r="AS21" i="1" s="1"/>
  <c r="AP21" i="1"/>
  <c r="AN21" i="1"/>
  <c r="AO21" i="1" s="1"/>
  <c r="AM21" i="1"/>
  <c r="AL21" i="1"/>
  <c r="AK21" i="1"/>
  <c r="AJ21" i="1"/>
  <c r="AQ20" i="1"/>
  <c r="AS20" i="1" s="1"/>
  <c r="AP20" i="1"/>
  <c r="AT20" i="1" s="1"/>
  <c r="AN20" i="1"/>
  <c r="AO20" i="1" s="1"/>
  <c r="AL20" i="1"/>
  <c r="AK20" i="1"/>
  <c r="AM20" i="1" s="1"/>
  <c r="AJ20" i="1"/>
  <c r="AT19" i="1"/>
  <c r="AQ19" i="1"/>
  <c r="AS19" i="1" s="1"/>
  <c r="AP19" i="1"/>
  <c r="AR19" i="1" s="1"/>
  <c r="AO19" i="1"/>
  <c r="AM19" i="1"/>
  <c r="AL19" i="1"/>
  <c r="AK19" i="1"/>
  <c r="AJ19" i="1"/>
  <c r="AN19" i="1" s="1"/>
  <c r="AR18" i="1"/>
  <c r="AQ18" i="1"/>
  <c r="AS18" i="1" s="1"/>
  <c r="AP18" i="1"/>
  <c r="AT18" i="1" s="1"/>
  <c r="AK18" i="1"/>
  <c r="AM18" i="1" s="1"/>
  <c r="AJ18" i="1"/>
  <c r="AL18" i="1" s="1"/>
  <c r="AT17" i="1"/>
  <c r="AQ17" i="1"/>
  <c r="AS17" i="1" s="1"/>
  <c r="AP17" i="1"/>
  <c r="AR17" i="1" s="1"/>
  <c r="AK17" i="1"/>
  <c r="AM17" i="1" s="1"/>
  <c r="AJ17" i="1"/>
  <c r="AL17" i="1" s="1"/>
  <c r="AC17" i="1"/>
  <c r="AB17" i="1"/>
  <c r="AN17" i="1" s="1"/>
  <c r="AO17" i="1" s="1"/>
  <c r="AS16" i="1"/>
  <c r="AQ16" i="1"/>
  <c r="AP16" i="1"/>
  <c r="AT16" i="1" s="1"/>
  <c r="AN16" i="1"/>
  <c r="AO16" i="1" s="1"/>
  <c r="AK16" i="1"/>
  <c r="AM16" i="1" s="1"/>
  <c r="AJ16" i="1"/>
  <c r="AL16" i="1" s="1"/>
  <c r="AT15" i="1"/>
  <c r="AR15" i="1"/>
  <c r="AQ15" i="1"/>
  <c r="AS15" i="1" s="1"/>
  <c r="AP15" i="1"/>
  <c r="AM15" i="1"/>
  <c r="AL15" i="1"/>
  <c r="AK15" i="1"/>
  <c r="AJ15" i="1"/>
  <c r="AN15" i="1" s="1"/>
  <c r="AO15" i="1" s="1"/>
  <c r="AQ14" i="1"/>
  <c r="AS14" i="1" s="1"/>
  <c r="AP14" i="1"/>
  <c r="AR14" i="1" s="1"/>
  <c r="AN14" i="1"/>
  <c r="AO14" i="1" s="1"/>
  <c r="AL14" i="1"/>
  <c r="AK14" i="1"/>
  <c r="AM14" i="1" s="1"/>
  <c r="AJ14" i="1"/>
  <c r="AQ13" i="1"/>
  <c r="AS13" i="1" s="1"/>
  <c r="AP13" i="1"/>
  <c r="AT13" i="1" s="1"/>
  <c r="AK13" i="1"/>
  <c r="AM13" i="1" s="1"/>
  <c r="AJ13" i="1"/>
  <c r="AN13" i="1" s="1"/>
  <c r="AO13" i="1" s="1"/>
  <c r="AQ12" i="1"/>
  <c r="AS12" i="1" s="1"/>
  <c r="AP12" i="1"/>
  <c r="AT12" i="1" s="1"/>
  <c r="AN12" i="1"/>
  <c r="AO12" i="1" s="1"/>
  <c r="AK12" i="1"/>
  <c r="AM12" i="1" s="1"/>
  <c r="AJ12" i="1"/>
  <c r="AL12" i="1" s="1"/>
  <c r="AT11" i="1"/>
  <c r="AQ11" i="1"/>
  <c r="AS11" i="1" s="1"/>
  <c r="AP11" i="1"/>
  <c r="AR11" i="1" s="1"/>
  <c r="AN11" i="1"/>
  <c r="AO11" i="1" s="1"/>
  <c r="AM11" i="1"/>
  <c r="AK11" i="1"/>
  <c r="AJ11" i="1"/>
  <c r="AL11" i="1" s="1"/>
  <c r="AT10" i="1"/>
  <c r="AS10" i="1"/>
  <c r="AQ10" i="1"/>
  <c r="AP10" i="1"/>
  <c r="AR10" i="1" s="1"/>
  <c r="AN10" i="1"/>
  <c r="AO10" i="1" s="1"/>
  <c r="AM10" i="1"/>
  <c r="AL10" i="1"/>
  <c r="AK10" i="1"/>
  <c r="AJ10" i="1"/>
  <c r="AB10" i="1"/>
  <c r="AT9" i="1"/>
  <c r="AS9" i="1"/>
  <c r="AQ9" i="1"/>
  <c r="AP9" i="1"/>
  <c r="AR9" i="1" s="1"/>
  <c r="AN9" i="1"/>
  <c r="AO9" i="1" s="1"/>
  <c r="AM9" i="1"/>
  <c r="AL9" i="1"/>
  <c r="AK9" i="1"/>
  <c r="AJ9" i="1"/>
  <c r="AS8" i="1"/>
  <c r="AR8" i="1"/>
  <c r="AQ8" i="1"/>
  <c r="AP8" i="1"/>
  <c r="AT8" i="1" s="1"/>
  <c r="AN8" i="1"/>
  <c r="AO8" i="1" s="1"/>
  <c r="AL8" i="1"/>
  <c r="AK8" i="1"/>
  <c r="AM8" i="1" s="1"/>
  <c r="AJ8" i="1"/>
  <c r="AT7" i="1"/>
  <c r="AR7" i="1"/>
  <c r="AQ7" i="1"/>
  <c r="AS7" i="1" s="1"/>
  <c r="AP7" i="1"/>
  <c r="AK7" i="1"/>
  <c r="AM7" i="1" s="1"/>
  <c r="AJ7" i="1"/>
  <c r="AN7" i="1" s="1"/>
  <c r="AO7" i="1" s="1"/>
  <c r="AQ6" i="1"/>
  <c r="AS6" i="1" s="1"/>
  <c r="AP6" i="1"/>
  <c r="AT6" i="1" s="1"/>
  <c r="AK6" i="1"/>
  <c r="AM6" i="1" s="1"/>
  <c r="AJ6" i="1"/>
  <c r="AN6" i="1" s="1"/>
  <c r="AO6" i="1" s="1"/>
  <c r="AT5" i="1"/>
  <c r="AQ5" i="1"/>
  <c r="AS5" i="1" s="1"/>
  <c r="AP5" i="1"/>
  <c r="AR5" i="1" s="1"/>
  <c r="AK5" i="1"/>
  <c r="AM5" i="1" s="1"/>
  <c r="AJ5" i="1"/>
  <c r="AN5" i="1" s="1"/>
  <c r="AO5" i="1" s="1"/>
  <c r="AT4" i="1"/>
  <c r="AS4" i="1"/>
  <c r="AQ4" i="1"/>
  <c r="AP4" i="1"/>
  <c r="AR4" i="1" s="1"/>
  <c r="AN4" i="1"/>
  <c r="AO4" i="1" s="1"/>
  <c r="AK4" i="1"/>
  <c r="AM4" i="1" s="1"/>
  <c r="AJ4" i="1"/>
  <c r="AL4" i="1" s="1"/>
  <c r="AT3" i="1"/>
  <c r="AS3" i="1"/>
  <c r="AR3" i="1"/>
  <c r="AQ3" i="1"/>
  <c r="AP3" i="1"/>
  <c r="AN3" i="1"/>
  <c r="AO3" i="1" s="1"/>
  <c r="AM3" i="1"/>
  <c r="AK3" i="1"/>
  <c r="AJ3" i="1"/>
  <c r="AL3" i="1" s="1"/>
  <c r="AT2" i="1"/>
  <c r="AR2" i="1"/>
  <c r="AQ2" i="1"/>
  <c r="AS2" i="1" s="1"/>
  <c r="AP2" i="1"/>
  <c r="AM2" i="1"/>
  <c r="AL2" i="1"/>
  <c r="AK2" i="1"/>
  <c r="AJ2" i="1"/>
  <c r="AN2" i="1" s="1"/>
  <c r="AO2" i="1" s="1"/>
  <c r="AF2" i="1"/>
  <c r="AB2" i="1"/>
  <c r="AN98" i="1" l="1"/>
  <c r="AO98" i="1" s="1"/>
  <c r="AL98" i="1"/>
  <c r="AT134" i="1"/>
  <c r="AR134" i="1"/>
  <c r="AN151" i="1"/>
  <c r="AO151" i="1" s="1"/>
  <c r="AL151" i="1"/>
  <c r="AL153" i="1"/>
  <c r="AR159" i="1"/>
  <c r="AT181" i="1"/>
  <c r="AR181" i="1"/>
  <c r="AT183" i="1"/>
  <c r="AR183" i="1"/>
  <c r="AT245" i="1"/>
  <c r="AR245" i="1"/>
  <c r="AN276" i="1"/>
  <c r="AO276" i="1" s="1"/>
  <c r="AL276" i="1"/>
  <c r="R10" i="3"/>
  <c r="U10" i="3"/>
  <c r="T10" i="3"/>
  <c r="S10" i="3"/>
  <c r="P10" i="3"/>
  <c r="O10" i="3"/>
  <c r="N10" i="3"/>
  <c r="M10" i="3"/>
  <c r="V10" i="3"/>
  <c r="Q10" i="3"/>
  <c r="T108" i="3"/>
  <c r="R108" i="3"/>
  <c r="Q108" i="3"/>
  <c r="P108" i="3"/>
  <c r="L108" i="3"/>
  <c r="S108" i="3"/>
  <c r="O108" i="3"/>
  <c r="K108" i="3"/>
  <c r="V108" i="3"/>
  <c r="U108" i="3"/>
  <c r="N108" i="3"/>
  <c r="M108" i="3"/>
  <c r="AN26" i="1"/>
  <c r="AO26" i="1" s="1"/>
  <c r="AT39" i="1"/>
  <c r="AL41" i="1"/>
  <c r="AN52" i="1"/>
  <c r="AO52" i="1" s="1"/>
  <c r="AL64" i="1"/>
  <c r="AR66" i="1"/>
  <c r="AN76" i="1"/>
  <c r="AO76" i="1" s="1"/>
  <c r="AL81" i="1"/>
  <c r="AL90" i="1"/>
  <c r="AN101" i="1"/>
  <c r="AO101" i="1" s="1"/>
  <c r="AR123" i="1"/>
  <c r="AN125" i="1"/>
  <c r="AO125" i="1" s="1"/>
  <c r="AN163" i="1"/>
  <c r="AO163" i="1" s="1"/>
  <c r="AL163" i="1"/>
  <c r="AL165" i="1"/>
  <c r="AR171" i="1"/>
  <c r="AN189" i="1"/>
  <c r="AO189" i="1" s="1"/>
  <c r="AL189" i="1"/>
  <c r="AN226" i="1"/>
  <c r="AO226" i="1" s="1"/>
  <c r="AL226" i="1"/>
  <c r="L5" i="3"/>
  <c r="T5" i="3"/>
  <c r="S5" i="3"/>
  <c r="R5" i="3"/>
  <c r="P5" i="3"/>
  <c r="O5" i="3"/>
  <c r="N5" i="3"/>
  <c r="M5" i="3"/>
  <c r="Q5" i="3"/>
  <c r="K5" i="3"/>
  <c r="K10" i="3"/>
  <c r="P21" i="3"/>
  <c r="V21" i="3"/>
  <c r="N21" i="3"/>
  <c r="M21" i="3"/>
  <c r="L21" i="3"/>
  <c r="K21" i="3"/>
  <c r="U21" i="3"/>
  <c r="T21" i="3"/>
  <c r="S21" i="3"/>
  <c r="R21" i="3"/>
  <c r="Q21" i="3"/>
  <c r="O21" i="3"/>
  <c r="AT195" i="1"/>
  <c r="AR195" i="1"/>
  <c r="AR44" i="1"/>
  <c r="AT50" i="1"/>
  <c r="AN53" i="1"/>
  <c r="AO53" i="1" s="1"/>
  <c r="AR55" i="1"/>
  <c r="AT56" i="1"/>
  <c r="AL58" i="1"/>
  <c r="AR60" i="1"/>
  <c r="AN70" i="1"/>
  <c r="AO70" i="1" s="1"/>
  <c r="AT72" i="1"/>
  <c r="AR77" i="1"/>
  <c r="AR83" i="1"/>
  <c r="AL85" i="1"/>
  <c r="AR111" i="1"/>
  <c r="AN113" i="1"/>
  <c r="AO113" i="1" s="1"/>
  <c r="AT131" i="1"/>
  <c r="AR131" i="1"/>
  <c r="AN175" i="1"/>
  <c r="AO175" i="1" s="1"/>
  <c r="AL175" i="1"/>
  <c r="AL177" i="1"/>
  <c r="AN237" i="1"/>
  <c r="AO237" i="1" s="1"/>
  <c r="AL237" i="1"/>
  <c r="U5" i="3"/>
  <c r="R8" i="3"/>
  <c r="S8" i="3"/>
  <c r="Q8" i="3"/>
  <c r="P8" i="3"/>
  <c r="N8" i="3"/>
  <c r="M8" i="3"/>
  <c r="L8" i="3"/>
  <c r="K8" i="3"/>
  <c r="O8" i="3"/>
  <c r="V8" i="3"/>
  <c r="L10" i="3"/>
  <c r="AN37" i="1"/>
  <c r="AO37" i="1" s="1"/>
  <c r="AR12" i="1"/>
  <c r="AT14" i="1"/>
  <c r="AN18" i="1"/>
  <c r="AO18" i="1" s="1"/>
  <c r="AL69" i="1"/>
  <c r="AR71" i="1"/>
  <c r="AL74" i="1"/>
  <c r="AN75" i="1"/>
  <c r="AO75" i="1" s="1"/>
  <c r="AL100" i="1"/>
  <c r="AN104" i="1"/>
  <c r="AO104" i="1" s="1"/>
  <c r="AN116" i="1"/>
  <c r="AO116" i="1" s="1"/>
  <c r="AT146" i="1"/>
  <c r="AR146" i="1"/>
  <c r="AN202" i="1"/>
  <c r="AO202" i="1" s="1"/>
  <c r="AL202" i="1"/>
  <c r="AT231" i="1"/>
  <c r="AR231" i="1"/>
  <c r="AN252" i="1"/>
  <c r="AO252" i="1" s="1"/>
  <c r="AL252" i="1"/>
  <c r="AT270" i="1"/>
  <c r="AR270" i="1"/>
  <c r="V5" i="3"/>
  <c r="T8" i="3"/>
  <c r="J13" i="3"/>
  <c r="AT157" i="1"/>
  <c r="AR157" i="1"/>
  <c r="AT219" i="1"/>
  <c r="AR219" i="1"/>
  <c r="AT269" i="1"/>
  <c r="AR269" i="1"/>
  <c r="AN128" i="1"/>
  <c r="AO128" i="1" s="1"/>
  <c r="AL128" i="1"/>
  <c r="AT169" i="1"/>
  <c r="AR169" i="1"/>
  <c r="AN201" i="1"/>
  <c r="AO201" i="1" s="1"/>
  <c r="AL201" i="1"/>
  <c r="AN251" i="1"/>
  <c r="AO251" i="1" s="1"/>
  <c r="AL251" i="1"/>
  <c r="AL7" i="1"/>
  <c r="AT91" i="1"/>
  <c r="AR91" i="1"/>
  <c r="AL6" i="1"/>
  <c r="AR13" i="1"/>
  <c r="AR20" i="1"/>
  <c r="AL31" i="1"/>
  <c r="AR33" i="1"/>
  <c r="AL36" i="1"/>
  <c r="AL5" i="1"/>
  <c r="AR27" i="1"/>
  <c r="AL24" i="1"/>
  <c r="AN25" i="1"/>
  <c r="AO25" i="1" s="1"/>
  <c r="AL46" i="1"/>
  <c r="AL52" i="1"/>
  <c r="AT38" i="1"/>
  <c r="AN97" i="1"/>
  <c r="AO97" i="1" s="1"/>
  <c r="AT98" i="1"/>
  <c r="AT104" i="1"/>
  <c r="AR104" i="1"/>
  <c r="AN112" i="1"/>
  <c r="AO112" i="1" s="1"/>
  <c r="AL112" i="1"/>
  <c r="AT122" i="1"/>
  <c r="AR122" i="1"/>
  <c r="AT158" i="1"/>
  <c r="AR158" i="1"/>
  <c r="AT194" i="1"/>
  <c r="AR194" i="1"/>
  <c r="AN213" i="1"/>
  <c r="AO213" i="1" s="1"/>
  <c r="AL213" i="1"/>
  <c r="AT220" i="1"/>
  <c r="AR220" i="1"/>
  <c r="AN263" i="1"/>
  <c r="AO263" i="1" s="1"/>
  <c r="AL263" i="1"/>
  <c r="P19" i="3"/>
  <c r="S19" i="3"/>
  <c r="V19" i="3"/>
  <c r="U19" i="3"/>
  <c r="T19" i="3"/>
  <c r="Q19" i="3"/>
  <c r="O19" i="3"/>
  <c r="N19" i="3"/>
  <c r="M19" i="3"/>
  <c r="L19" i="3"/>
  <c r="R19" i="3"/>
  <c r="J59" i="3"/>
  <c r="H59" i="3"/>
  <c r="AN140" i="1"/>
  <c r="AO140" i="1" s="1"/>
  <c r="AL140" i="1"/>
  <c r="AT170" i="1"/>
  <c r="AR170" i="1"/>
  <c r="AT207" i="1"/>
  <c r="AR207" i="1"/>
  <c r="AT257" i="1"/>
  <c r="AR257" i="1"/>
  <c r="AN282" i="1"/>
  <c r="AO282" i="1" s="1"/>
  <c r="AL282" i="1"/>
  <c r="K19" i="3"/>
  <c r="AN152" i="1"/>
  <c r="AO152" i="1" s="1"/>
  <c r="AL152" i="1"/>
  <c r="AT182" i="1"/>
  <c r="AR182" i="1"/>
  <c r="AN238" i="1"/>
  <c r="AO238" i="1" s="1"/>
  <c r="AL238" i="1"/>
  <c r="AT246" i="1"/>
  <c r="AR246" i="1"/>
  <c r="P81" i="3"/>
  <c r="K81" i="3"/>
  <c r="S81" i="3"/>
  <c r="M81" i="3"/>
  <c r="L81" i="3"/>
  <c r="V81" i="3"/>
  <c r="U81" i="3"/>
  <c r="T81" i="3"/>
  <c r="R81" i="3"/>
  <c r="Q81" i="3"/>
  <c r="O81" i="3"/>
  <c r="N81" i="3"/>
  <c r="AR25" i="1"/>
  <c r="AL56" i="1"/>
  <c r="AR58" i="1"/>
  <c r="AL61" i="1"/>
  <c r="AL72" i="1"/>
  <c r="AR75" i="1"/>
  <c r="AN96" i="1"/>
  <c r="AO96" i="1" s="1"/>
  <c r="AT107" i="1"/>
  <c r="AN109" i="1"/>
  <c r="AO109" i="1" s="1"/>
  <c r="AL115" i="1"/>
  <c r="AT119" i="1"/>
  <c r="AN121" i="1"/>
  <c r="AO121" i="1" s="1"/>
  <c r="AR133" i="1"/>
  <c r="AN137" i="1"/>
  <c r="AO137" i="1" s="1"/>
  <c r="AL137" i="1"/>
  <c r="AN164" i="1"/>
  <c r="AO164" i="1" s="1"/>
  <c r="AL164" i="1"/>
  <c r="AN188" i="1"/>
  <c r="AO188" i="1" s="1"/>
  <c r="AL188" i="1"/>
  <c r="AL190" i="1"/>
  <c r="AR285" i="1"/>
  <c r="AT285" i="1"/>
  <c r="N95" i="3"/>
  <c r="S95" i="3"/>
  <c r="R95" i="3"/>
  <c r="M95" i="3"/>
  <c r="U95" i="3"/>
  <c r="L95" i="3"/>
  <c r="K95" i="3"/>
  <c r="O95" i="3"/>
  <c r="V95" i="3"/>
  <c r="T95" i="3"/>
  <c r="Q95" i="3"/>
  <c r="P95" i="3"/>
  <c r="AL13" i="1"/>
  <c r="AT81" i="1"/>
  <c r="AN88" i="1"/>
  <c r="AO88" i="1" s="1"/>
  <c r="AR93" i="1"/>
  <c r="AR97" i="1"/>
  <c r="AL105" i="1"/>
  <c r="AL117" i="1"/>
  <c r="AN176" i="1"/>
  <c r="AO176" i="1" s="1"/>
  <c r="AL176" i="1"/>
  <c r="AR184" i="1"/>
  <c r="AN214" i="1"/>
  <c r="AO214" i="1" s="1"/>
  <c r="AL214" i="1"/>
  <c r="AN264" i="1"/>
  <c r="AO264" i="1" s="1"/>
  <c r="AL264" i="1"/>
  <c r="AN275" i="1"/>
  <c r="AO275" i="1" s="1"/>
  <c r="AL275" i="1"/>
  <c r="AN139" i="1"/>
  <c r="AO139" i="1" s="1"/>
  <c r="AL139" i="1"/>
  <c r="AT208" i="1"/>
  <c r="AR208" i="1"/>
  <c r="AT258" i="1"/>
  <c r="AR258" i="1"/>
  <c r="P47" i="3"/>
  <c r="L47" i="3"/>
  <c r="T47" i="3"/>
  <c r="V47" i="3"/>
  <c r="U47" i="3"/>
  <c r="S47" i="3"/>
  <c r="Q47" i="3"/>
  <c r="O47" i="3"/>
  <c r="N47" i="3"/>
  <c r="M47" i="3"/>
  <c r="K47" i="3"/>
  <c r="AR6" i="1"/>
  <c r="AL39" i="1"/>
  <c r="AT31" i="1"/>
  <c r="AL33" i="1"/>
  <c r="AL50" i="1"/>
  <c r="AR52" i="1"/>
  <c r="AP288" i="1"/>
  <c r="AQ288" i="1" s="1"/>
  <c r="AR16" i="1"/>
  <c r="AT24" i="1"/>
  <c r="AL27" i="1"/>
  <c r="AR40" i="1"/>
  <c r="AN65" i="1"/>
  <c r="AO65" i="1" s="1"/>
  <c r="AL77" i="1"/>
  <c r="AT106" i="1"/>
  <c r="AR106" i="1"/>
  <c r="AT118" i="1"/>
  <c r="AR118" i="1"/>
  <c r="AT145" i="1"/>
  <c r="AR145" i="1"/>
  <c r="AN225" i="1"/>
  <c r="AO225" i="1" s="1"/>
  <c r="AL225" i="1"/>
  <c r="AT232" i="1"/>
  <c r="AR232" i="1"/>
  <c r="T90" i="3"/>
  <c r="Q90" i="3"/>
  <c r="L90" i="3"/>
  <c r="P90" i="3"/>
  <c r="V90" i="3"/>
  <c r="U90" i="3"/>
  <c r="S90" i="3"/>
  <c r="R90" i="3"/>
  <c r="O90" i="3"/>
  <c r="N90" i="3"/>
  <c r="M90" i="3"/>
  <c r="K90" i="3"/>
  <c r="N93" i="3"/>
  <c r="P93" i="3"/>
  <c r="O93" i="3"/>
  <c r="R93" i="3"/>
  <c r="Q93" i="3"/>
  <c r="V93" i="3"/>
  <c r="U93" i="3"/>
  <c r="T93" i="3"/>
  <c r="S93" i="3"/>
  <c r="M93" i="3"/>
  <c r="L93" i="3"/>
  <c r="K93" i="3"/>
  <c r="L3" i="3"/>
  <c r="Q3" i="3"/>
  <c r="P3" i="3"/>
  <c r="O3" i="3"/>
  <c r="M3" i="3"/>
  <c r="K3" i="3"/>
  <c r="V3" i="3"/>
  <c r="T106" i="3"/>
  <c r="O106" i="3"/>
  <c r="L106" i="3"/>
  <c r="K106" i="3"/>
  <c r="U106" i="3"/>
  <c r="R106" i="3"/>
  <c r="Q106" i="3"/>
  <c r="M106" i="3"/>
  <c r="S106" i="3"/>
  <c r="P106" i="3"/>
  <c r="N106" i="3"/>
  <c r="H111" i="3"/>
  <c r="J111" i="3"/>
  <c r="R2" i="3"/>
  <c r="V2" i="3"/>
  <c r="U2" i="3"/>
  <c r="T2" i="3"/>
  <c r="Q2" i="3"/>
  <c r="P2" i="3"/>
  <c r="N2" i="3"/>
  <c r="N3" i="3"/>
  <c r="V72" i="3"/>
  <c r="T72" i="3"/>
  <c r="O72" i="3"/>
  <c r="N72" i="3"/>
  <c r="U72" i="3"/>
  <c r="S72" i="3"/>
  <c r="R72" i="3"/>
  <c r="Q72" i="3"/>
  <c r="P72" i="3"/>
  <c r="M72" i="3"/>
  <c r="L72" i="3"/>
  <c r="J75" i="3"/>
  <c r="H75" i="3"/>
  <c r="V106" i="3"/>
  <c r="AL200" i="1"/>
  <c r="AR206" i="1"/>
  <c r="AL212" i="1"/>
  <c r="AR218" i="1"/>
  <c r="AL224" i="1"/>
  <c r="AR230" i="1"/>
  <c r="AL236" i="1"/>
  <c r="AR242" i="1"/>
  <c r="AR244" i="1"/>
  <c r="AL250" i="1"/>
  <c r="AR256" i="1"/>
  <c r="AL262" i="1"/>
  <c r="AR268" i="1"/>
  <c r="AL274" i="1"/>
  <c r="R3" i="3"/>
  <c r="R6" i="3"/>
  <c r="O6" i="3"/>
  <c r="N6" i="3"/>
  <c r="M6" i="3"/>
  <c r="K6" i="3"/>
  <c r="V6" i="3"/>
  <c r="U6" i="3"/>
  <c r="R12" i="3"/>
  <c r="K12" i="3"/>
  <c r="V12" i="3"/>
  <c r="T12" i="3"/>
  <c r="S12" i="3"/>
  <c r="Q12" i="3"/>
  <c r="P12" i="3"/>
  <c r="V26" i="3"/>
  <c r="K26" i="3"/>
  <c r="U26" i="3"/>
  <c r="T26" i="3"/>
  <c r="S26" i="3"/>
  <c r="Q26" i="3"/>
  <c r="P26" i="3"/>
  <c r="O26" i="3"/>
  <c r="N26" i="3"/>
  <c r="M26" i="3"/>
  <c r="P63" i="3"/>
  <c r="L63" i="3"/>
  <c r="T63" i="3"/>
  <c r="V63" i="3"/>
  <c r="U63" i="3"/>
  <c r="S63" i="3"/>
  <c r="R63" i="3"/>
  <c r="Q63" i="3"/>
  <c r="O63" i="3"/>
  <c r="N63" i="3"/>
  <c r="M63" i="3"/>
  <c r="K63" i="3"/>
  <c r="P83" i="3"/>
  <c r="K83" i="3"/>
  <c r="S83" i="3"/>
  <c r="R83" i="3"/>
  <c r="V83" i="3"/>
  <c r="U83" i="3"/>
  <c r="T83" i="3"/>
  <c r="Q83" i="3"/>
  <c r="O83" i="3"/>
  <c r="N83" i="3"/>
  <c r="M83" i="3"/>
  <c r="L83" i="3"/>
  <c r="N91" i="3"/>
  <c r="L91" i="3"/>
  <c r="T91" i="3"/>
  <c r="M91" i="3"/>
  <c r="V91" i="3"/>
  <c r="U91" i="3"/>
  <c r="S91" i="3"/>
  <c r="R91" i="3"/>
  <c r="Q91" i="3"/>
  <c r="P91" i="3"/>
  <c r="O91" i="3"/>
  <c r="K91" i="3"/>
  <c r="T104" i="3"/>
  <c r="L104" i="3"/>
  <c r="U104" i="3"/>
  <c r="S104" i="3"/>
  <c r="O104" i="3"/>
  <c r="Q104" i="3"/>
  <c r="P104" i="3"/>
  <c r="K104" i="3"/>
  <c r="V104" i="3"/>
  <c r="R104" i="3"/>
  <c r="N104" i="3"/>
  <c r="M104" i="3"/>
  <c r="H118" i="3"/>
  <c r="J118" i="3"/>
  <c r="AT279" i="1"/>
  <c r="S3" i="3"/>
  <c r="L6" i="3"/>
  <c r="L12" i="3"/>
  <c r="L26" i="3"/>
  <c r="J43" i="3"/>
  <c r="H43" i="3"/>
  <c r="AR143" i="1"/>
  <c r="AL149" i="1"/>
  <c r="AR155" i="1"/>
  <c r="AL161" i="1"/>
  <c r="AR167" i="1"/>
  <c r="AL173" i="1"/>
  <c r="AR179" i="1"/>
  <c r="AL186" i="1"/>
  <c r="AR192" i="1"/>
  <c r="AL198" i="1"/>
  <c r="AR204" i="1"/>
  <c r="AL210" i="1"/>
  <c r="AR216" i="1"/>
  <c r="AL222" i="1"/>
  <c r="AR228" i="1"/>
  <c r="AL234" i="1"/>
  <c r="AR240" i="1"/>
  <c r="AL248" i="1"/>
  <c r="AR254" i="1"/>
  <c r="AL260" i="1"/>
  <c r="AR266" i="1"/>
  <c r="AL272" i="1"/>
  <c r="AR278" i="1"/>
  <c r="M2" i="3"/>
  <c r="T3" i="3"/>
  <c r="P6" i="3"/>
  <c r="M12" i="3"/>
  <c r="P23" i="3"/>
  <c r="L23" i="3"/>
  <c r="U23" i="3"/>
  <c r="T23" i="3"/>
  <c r="S23" i="3"/>
  <c r="R23" i="3"/>
  <c r="O23" i="3"/>
  <c r="N23" i="3"/>
  <c r="M23" i="3"/>
  <c r="K23" i="3"/>
  <c r="R26" i="3"/>
  <c r="V30" i="3"/>
  <c r="Q30" i="3"/>
  <c r="U30" i="3"/>
  <c r="T30" i="3"/>
  <c r="S30" i="3"/>
  <c r="R30" i="3"/>
  <c r="O30" i="3"/>
  <c r="N30" i="3"/>
  <c r="M30" i="3"/>
  <c r="L30" i="3"/>
  <c r="K30" i="3"/>
  <c r="P45" i="3"/>
  <c r="V45" i="3"/>
  <c r="Q45" i="3"/>
  <c r="M45" i="3"/>
  <c r="L45" i="3"/>
  <c r="K45" i="3"/>
  <c r="U45" i="3"/>
  <c r="T45" i="3"/>
  <c r="S45" i="3"/>
  <c r="R45" i="3"/>
  <c r="P55" i="3"/>
  <c r="L55" i="3"/>
  <c r="T55" i="3"/>
  <c r="O55" i="3"/>
  <c r="N55" i="3"/>
  <c r="M55" i="3"/>
  <c r="K55" i="3"/>
  <c r="V55" i="3"/>
  <c r="U55" i="3"/>
  <c r="S55" i="3"/>
  <c r="P69" i="3"/>
  <c r="V69" i="3"/>
  <c r="Q69" i="3"/>
  <c r="O69" i="3"/>
  <c r="L69" i="3"/>
  <c r="K69" i="3"/>
  <c r="U69" i="3"/>
  <c r="T69" i="3"/>
  <c r="S69" i="3"/>
  <c r="R69" i="3"/>
  <c r="P79" i="3"/>
  <c r="K79" i="3"/>
  <c r="M79" i="3"/>
  <c r="U79" i="3"/>
  <c r="T79" i="3"/>
  <c r="V79" i="3"/>
  <c r="S79" i="3"/>
  <c r="R79" i="3"/>
  <c r="Q79" i="3"/>
  <c r="O79" i="3"/>
  <c r="N79" i="3"/>
  <c r="N89" i="3"/>
  <c r="V89" i="3"/>
  <c r="Q89" i="3"/>
  <c r="S89" i="3"/>
  <c r="L89" i="3"/>
  <c r="K89" i="3"/>
  <c r="U89" i="3"/>
  <c r="T89" i="3"/>
  <c r="R89" i="3"/>
  <c r="P89" i="3"/>
  <c r="O89" i="3"/>
  <c r="M89" i="3"/>
  <c r="T100" i="3"/>
  <c r="R100" i="3"/>
  <c r="V100" i="3"/>
  <c r="P100" i="3"/>
  <c r="L100" i="3"/>
  <c r="U100" i="3"/>
  <c r="O100" i="3"/>
  <c r="S100" i="3"/>
  <c r="Q100" i="3"/>
  <c r="N100" i="3"/>
  <c r="M100" i="3"/>
  <c r="K100" i="3"/>
  <c r="AL124" i="1"/>
  <c r="AR130" i="1"/>
  <c r="AL136" i="1"/>
  <c r="AR142" i="1"/>
  <c r="AL148" i="1"/>
  <c r="AR154" i="1"/>
  <c r="AL160" i="1"/>
  <c r="AR166" i="1"/>
  <c r="AL172" i="1"/>
  <c r="AR178" i="1"/>
  <c r="AL185" i="1"/>
  <c r="AR191" i="1"/>
  <c r="AL197" i="1"/>
  <c r="AR203" i="1"/>
  <c r="AL209" i="1"/>
  <c r="AR215" i="1"/>
  <c r="AL221" i="1"/>
  <c r="AR227" i="1"/>
  <c r="AL233" i="1"/>
  <c r="AR239" i="1"/>
  <c r="AL247" i="1"/>
  <c r="AR253" i="1"/>
  <c r="AL259" i="1"/>
  <c r="AR265" i="1"/>
  <c r="AL271" i="1"/>
  <c r="AR277" i="1"/>
  <c r="AR282" i="1"/>
  <c r="O2" i="3"/>
  <c r="U3" i="3"/>
  <c r="Q6" i="3"/>
  <c r="J11" i="3"/>
  <c r="N12" i="3"/>
  <c r="Q23" i="3"/>
  <c r="P30" i="3"/>
  <c r="P33" i="3"/>
  <c r="O33" i="3"/>
  <c r="V33" i="3"/>
  <c r="U33" i="3"/>
  <c r="T33" i="3"/>
  <c r="R33" i="3"/>
  <c r="Q33" i="3"/>
  <c r="N33" i="3"/>
  <c r="M33" i="3"/>
  <c r="L33" i="3"/>
  <c r="Q55" i="3"/>
  <c r="L79" i="3"/>
  <c r="H89" i="3"/>
  <c r="S6" i="3"/>
  <c r="O12" i="3"/>
  <c r="P35" i="3"/>
  <c r="S35" i="3"/>
  <c r="O35" i="3"/>
  <c r="N35" i="3"/>
  <c r="M35" i="3"/>
  <c r="L35" i="3"/>
  <c r="V35" i="3"/>
  <c r="U35" i="3"/>
  <c r="T35" i="3"/>
  <c r="T92" i="3"/>
  <c r="U92" i="3"/>
  <c r="O92" i="3"/>
  <c r="R92" i="3"/>
  <c r="Q92" i="3"/>
  <c r="V92" i="3"/>
  <c r="S92" i="3"/>
  <c r="P92" i="3"/>
  <c r="N92" i="3"/>
  <c r="M92" i="3"/>
  <c r="L92" i="3"/>
  <c r="T128" i="3"/>
  <c r="L128" i="3"/>
  <c r="O128" i="3"/>
  <c r="S128" i="3"/>
  <c r="R128" i="3"/>
  <c r="Q128" i="3"/>
  <c r="N128" i="3"/>
  <c r="M128" i="3"/>
  <c r="K128" i="3"/>
  <c r="V128" i="3"/>
  <c r="U128" i="3"/>
  <c r="AL110" i="1"/>
  <c r="AR116" i="1"/>
  <c r="AL122" i="1"/>
  <c r="AR128" i="1"/>
  <c r="AL134" i="1"/>
  <c r="AR140" i="1"/>
  <c r="AL146" i="1"/>
  <c r="AR152" i="1"/>
  <c r="AL158" i="1"/>
  <c r="AR164" i="1"/>
  <c r="AL170" i="1"/>
  <c r="AR176" i="1"/>
  <c r="AL182" i="1"/>
  <c r="AL183" i="1"/>
  <c r="AR189" i="1"/>
  <c r="AL195" i="1"/>
  <c r="AR201" i="1"/>
  <c r="AL207" i="1"/>
  <c r="AR213" i="1"/>
  <c r="AL219" i="1"/>
  <c r="AR225" i="1"/>
  <c r="AL231" i="1"/>
  <c r="AR237" i="1"/>
  <c r="AL245" i="1"/>
  <c r="AR251" i="1"/>
  <c r="AL257" i="1"/>
  <c r="AR263" i="1"/>
  <c r="AL269" i="1"/>
  <c r="AR275" i="1"/>
  <c r="AR286" i="1"/>
  <c r="T6" i="3"/>
  <c r="U12" i="3"/>
  <c r="P25" i="3"/>
  <c r="O25" i="3"/>
  <c r="L25" i="3"/>
  <c r="K25" i="3"/>
  <c r="U25" i="3"/>
  <c r="T25" i="3"/>
  <c r="S25" i="3"/>
  <c r="R25" i="3"/>
  <c r="Q25" i="3"/>
  <c r="J29" i="3"/>
  <c r="H29" i="3"/>
  <c r="S33" i="3"/>
  <c r="K35" i="3"/>
  <c r="N45" i="3"/>
  <c r="M69" i="3"/>
  <c r="P71" i="3"/>
  <c r="L71" i="3"/>
  <c r="T71" i="3"/>
  <c r="S71" i="3"/>
  <c r="V71" i="3"/>
  <c r="U71" i="3"/>
  <c r="R71" i="3"/>
  <c r="Q71" i="3"/>
  <c r="O71" i="3"/>
  <c r="N71" i="3"/>
  <c r="P73" i="3"/>
  <c r="O73" i="3"/>
  <c r="V73" i="3"/>
  <c r="U73" i="3"/>
  <c r="T73" i="3"/>
  <c r="S73" i="3"/>
  <c r="R73" i="3"/>
  <c r="Q73" i="3"/>
  <c r="N73" i="3"/>
  <c r="M73" i="3"/>
  <c r="L73" i="3"/>
  <c r="K73" i="3"/>
  <c r="K92" i="3"/>
  <c r="P128" i="3"/>
  <c r="AR281" i="1"/>
  <c r="R4" i="3"/>
  <c r="L4" i="3"/>
  <c r="K4" i="3"/>
  <c r="U4" i="3"/>
  <c r="T4" i="3"/>
  <c r="Q4" i="3"/>
  <c r="P17" i="3"/>
  <c r="O17" i="3"/>
  <c r="Q17" i="3"/>
  <c r="N17" i="3"/>
  <c r="M17" i="3"/>
  <c r="L17" i="3"/>
  <c r="V17" i="3"/>
  <c r="U17" i="3"/>
  <c r="T17" i="3"/>
  <c r="M25" i="3"/>
  <c r="J27" i="3"/>
  <c r="Q35" i="3"/>
  <c r="P37" i="3"/>
  <c r="V37" i="3"/>
  <c r="U37" i="3"/>
  <c r="T37" i="3"/>
  <c r="S37" i="3"/>
  <c r="R37" i="3"/>
  <c r="O37" i="3"/>
  <c r="N37" i="3"/>
  <c r="M37" i="3"/>
  <c r="L37" i="3"/>
  <c r="K37" i="3"/>
  <c r="O45" i="3"/>
  <c r="N69" i="3"/>
  <c r="K71" i="3"/>
  <c r="V82" i="3"/>
  <c r="Q82" i="3"/>
  <c r="N82" i="3"/>
  <c r="U82" i="3"/>
  <c r="T82" i="3"/>
  <c r="S82" i="3"/>
  <c r="R82" i="3"/>
  <c r="P82" i="3"/>
  <c r="O82" i="3"/>
  <c r="M82" i="3"/>
  <c r="L82" i="3"/>
  <c r="AN285" i="1"/>
  <c r="AO285" i="1" s="1"/>
  <c r="M4" i="3"/>
  <c r="J7" i="3"/>
  <c r="H7" i="3"/>
  <c r="R14" i="3"/>
  <c r="O14" i="3"/>
  <c r="N14" i="3"/>
  <c r="M14" i="3"/>
  <c r="L14" i="3"/>
  <c r="V14" i="3"/>
  <c r="U14" i="3"/>
  <c r="T14" i="3"/>
  <c r="S14" i="3"/>
  <c r="K17" i="3"/>
  <c r="N25" i="3"/>
  <c r="P31" i="3"/>
  <c r="L31" i="3"/>
  <c r="R31" i="3"/>
  <c r="Q31" i="3"/>
  <c r="O31" i="3"/>
  <c r="N31" i="3"/>
  <c r="K31" i="3"/>
  <c r="V31" i="3"/>
  <c r="U31" i="3"/>
  <c r="R35" i="3"/>
  <c r="Q37" i="3"/>
  <c r="P39" i="3"/>
  <c r="L39" i="3"/>
  <c r="T39" i="3"/>
  <c r="O39" i="3"/>
  <c r="N39" i="3"/>
  <c r="M39" i="3"/>
  <c r="K39" i="3"/>
  <c r="V39" i="3"/>
  <c r="U39" i="3"/>
  <c r="S39" i="3"/>
  <c r="J51" i="3"/>
  <c r="H51" i="3"/>
  <c r="P61" i="3"/>
  <c r="V61" i="3"/>
  <c r="Q61" i="3"/>
  <c r="M61" i="3"/>
  <c r="L61" i="3"/>
  <c r="K61" i="3"/>
  <c r="U61" i="3"/>
  <c r="T61" i="3"/>
  <c r="S61" i="3"/>
  <c r="R61" i="3"/>
  <c r="M71" i="3"/>
  <c r="K82" i="3"/>
  <c r="N15" i="3"/>
  <c r="V16" i="3"/>
  <c r="T16" i="3"/>
  <c r="J42" i="3"/>
  <c r="P53" i="3"/>
  <c r="V53" i="3"/>
  <c r="Q53" i="3"/>
  <c r="J58" i="3"/>
  <c r="U67" i="3"/>
  <c r="R68" i="3"/>
  <c r="J84" i="3"/>
  <c r="J85" i="3"/>
  <c r="J87" i="3"/>
  <c r="T88" i="3"/>
  <c r="N88" i="3"/>
  <c r="V88" i="3"/>
  <c r="P88" i="3"/>
  <c r="O88" i="3"/>
  <c r="N99" i="3"/>
  <c r="M99" i="3"/>
  <c r="L99" i="3"/>
  <c r="U99" i="3"/>
  <c r="P99" i="3"/>
  <c r="S99" i="3"/>
  <c r="N131" i="3"/>
  <c r="V131" i="3"/>
  <c r="U131" i="3"/>
  <c r="M131" i="3"/>
  <c r="O131" i="3"/>
  <c r="L131" i="3"/>
  <c r="K131" i="3"/>
  <c r="T131" i="3"/>
  <c r="S131" i="3"/>
  <c r="P131" i="3"/>
  <c r="J175" i="3"/>
  <c r="H175" i="3"/>
  <c r="O15" i="3"/>
  <c r="K16" i="3"/>
  <c r="J20" i="3"/>
  <c r="O22" i="3"/>
  <c r="J34" i="3"/>
  <c r="N41" i="3"/>
  <c r="P46" i="3"/>
  <c r="V48" i="3"/>
  <c r="T48" i="3"/>
  <c r="O48" i="3"/>
  <c r="O52" i="3"/>
  <c r="K53" i="3"/>
  <c r="N57" i="3"/>
  <c r="P62" i="3"/>
  <c r="V64" i="3"/>
  <c r="T64" i="3"/>
  <c r="O64" i="3"/>
  <c r="N64" i="3"/>
  <c r="R70" i="3"/>
  <c r="J74" i="3"/>
  <c r="K88" i="3"/>
  <c r="Q94" i="3"/>
  <c r="K99" i="3"/>
  <c r="U105" i="3"/>
  <c r="R115" i="3"/>
  <c r="Q131" i="3"/>
  <c r="N133" i="3"/>
  <c r="M133" i="3"/>
  <c r="L133" i="3"/>
  <c r="K133" i="3"/>
  <c r="Q133" i="3"/>
  <c r="O133" i="3"/>
  <c r="V133" i="3"/>
  <c r="T133" i="3"/>
  <c r="S133" i="3"/>
  <c r="L260" i="3"/>
  <c r="U260" i="3"/>
  <c r="T260" i="3"/>
  <c r="R260" i="3"/>
  <c r="P260" i="3"/>
  <c r="O260" i="3"/>
  <c r="V260" i="3"/>
  <c r="Q260" i="3"/>
  <c r="N260" i="3"/>
  <c r="M260" i="3"/>
  <c r="S260" i="3"/>
  <c r="K260" i="3"/>
  <c r="Q15" i="3"/>
  <c r="L16" i="3"/>
  <c r="J38" i="3"/>
  <c r="Q41" i="3"/>
  <c r="R46" i="3"/>
  <c r="L53" i="3"/>
  <c r="J54" i="3"/>
  <c r="R62" i="3"/>
  <c r="J65" i="3"/>
  <c r="S70" i="3"/>
  <c r="V76" i="3"/>
  <c r="N76" i="3"/>
  <c r="U76" i="3"/>
  <c r="T76" i="3"/>
  <c r="J86" i="3"/>
  <c r="L88" i="3"/>
  <c r="H97" i="3"/>
  <c r="J97" i="3"/>
  <c r="T98" i="3"/>
  <c r="Q98" i="3"/>
  <c r="P98" i="3"/>
  <c r="L98" i="3"/>
  <c r="O98" i="3"/>
  <c r="U98" i="3"/>
  <c r="O99" i="3"/>
  <c r="N103" i="3"/>
  <c r="Q103" i="3"/>
  <c r="S103" i="3"/>
  <c r="R103" i="3"/>
  <c r="P103" i="3"/>
  <c r="L103" i="3"/>
  <c r="N107" i="3"/>
  <c r="V107" i="3"/>
  <c r="U107" i="3"/>
  <c r="Q107" i="3"/>
  <c r="R107" i="3"/>
  <c r="P107" i="3"/>
  <c r="L107" i="3"/>
  <c r="J114" i="3"/>
  <c r="R131" i="3"/>
  <c r="R15" i="3"/>
  <c r="M16" i="3"/>
  <c r="R22" i="3"/>
  <c r="V24" i="3"/>
  <c r="T24" i="3"/>
  <c r="R41" i="3"/>
  <c r="J44" i="3"/>
  <c r="S46" i="3"/>
  <c r="P49" i="3"/>
  <c r="O49" i="3"/>
  <c r="Q52" i="3"/>
  <c r="M53" i="3"/>
  <c r="R57" i="3"/>
  <c r="J60" i="3"/>
  <c r="S62" i="3"/>
  <c r="T70" i="3"/>
  <c r="M88" i="3"/>
  <c r="Q99" i="3"/>
  <c r="S15" i="3"/>
  <c r="N16" i="3"/>
  <c r="S22" i="3"/>
  <c r="K24" i="3"/>
  <c r="J28" i="3"/>
  <c r="S41" i="3"/>
  <c r="R52" i="3"/>
  <c r="N53" i="3"/>
  <c r="S57" i="3"/>
  <c r="J66" i="3"/>
  <c r="L76" i="3"/>
  <c r="Q88" i="3"/>
  <c r="H96" i="3"/>
  <c r="J96" i="3"/>
  <c r="M98" i="3"/>
  <c r="R99" i="3"/>
  <c r="H102" i="3"/>
  <c r="J102" i="3"/>
  <c r="M103" i="3"/>
  <c r="M107" i="3"/>
  <c r="U133" i="3"/>
  <c r="P67" i="3"/>
  <c r="S67" i="3"/>
  <c r="M67" i="3"/>
  <c r="L67" i="3"/>
  <c r="V68" i="3"/>
  <c r="N68" i="3"/>
  <c r="U68" i="3"/>
  <c r="T68" i="3"/>
  <c r="T110" i="3"/>
  <c r="V110" i="3"/>
  <c r="S110" i="3"/>
  <c r="L110" i="3"/>
  <c r="K110" i="3"/>
  <c r="U110" i="3"/>
  <c r="R110" i="3"/>
  <c r="Q110" i="3"/>
  <c r="N110" i="3"/>
  <c r="N113" i="3"/>
  <c r="T113" i="3"/>
  <c r="R113" i="3"/>
  <c r="Q113" i="3"/>
  <c r="P113" i="3"/>
  <c r="K113" i="3"/>
  <c r="V113" i="3"/>
  <c r="O113" i="3"/>
  <c r="N117" i="3"/>
  <c r="M117" i="3"/>
  <c r="K117" i="3"/>
  <c r="V117" i="3"/>
  <c r="U117" i="3"/>
  <c r="T117" i="3"/>
  <c r="Q117" i="3"/>
  <c r="P117" i="3"/>
  <c r="N125" i="3"/>
  <c r="M125" i="3"/>
  <c r="K125" i="3"/>
  <c r="Q125" i="3"/>
  <c r="V125" i="3"/>
  <c r="U125" i="3"/>
  <c r="S125" i="3"/>
  <c r="R125" i="3"/>
  <c r="P125" i="3"/>
  <c r="L125" i="3"/>
  <c r="N127" i="3"/>
  <c r="Q127" i="3"/>
  <c r="O127" i="3"/>
  <c r="T127" i="3"/>
  <c r="U127" i="3"/>
  <c r="S127" i="3"/>
  <c r="R127" i="3"/>
  <c r="M127" i="3"/>
  <c r="L127" i="3"/>
  <c r="K127" i="3"/>
  <c r="AL286" i="1"/>
  <c r="U15" i="3"/>
  <c r="P16" i="3"/>
  <c r="M24" i="3"/>
  <c r="V32" i="3"/>
  <c r="T32" i="3"/>
  <c r="U41" i="3"/>
  <c r="M49" i="3"/>
  <c r="J50" i="3"/>
  <c r="R53" i="3"/>
  <c r="U57" i="3"/>
  <c r="K67" i="3"/>
  <c r="K68" i="3"/>
  <c r="O76" i="3"/>
  <c r="S88" i="3"/>
  <c r="H95" i="3"/>
  <c r="R98" i="3"/>
  <c r="V99" i="3"/>
  <c r="T103" i="3"/>
  <c r="S107" i="3"/>
  <c r="M110" i="3"/>
  <c r="L113" i="3"/>
  <c r="T116" i="3"/>
  <c r="R116" i="3"/>
  <c r="P116" i="3"/>
  <c r="S116" i="3"/>
  <c r="N116" i="3"/>
  <c r="U116" i="3"/>
  <c r="L117" i="3"/>
  <c r="O125" i="3"/>
  <c r="P127" i="3"/>
  <c r="Q16" i="3"/>
  <c r="J18" i="3"/>
  <c r="N24" i="3"/>
  <c r="K32" i="3"/>
  <c r="J36" i="3"/>
  <c r="V40" i="3"/>
  <c r="T40" i="3"/>
  <c r="O40" i="3"/>
  <c r="N49" i="3"/>
  <c r="S53" i="3"/>
  <c r="V56" i="3"/>
  <c r="T56" i="3"/>
  <c r="O56" i="3"/>
  <c r="N67" i="3"/>
  <c r="L68" i="3"/>
  <c r="P76" i="3"/>
  <c r="U88" i="3"/>
  <c r="S98" i="3"/>
  <c r="U103" i="3"/>
  <c r="T107" i="3"/>
  <c r="O110" i="3"/>
  <c r="M113" i="3"/>
  <c r="K116" i="3"/>
  <c r="O117" i="3"/>
  <c r="T125" i="3"/>
  <c r="V127" i="3"/>
  <c r="R16" i="3"/>
  <c r="V22" i="3"/>
  <c r="Q22" i="3"/>
  <c r="O24" i="3"/>
  <c r="V46" i="3"/>
  <c r="Q46" i="3"/>
  <c r="L46" i="3"/>
  <c r="T53" i="3"/>
  <c r="V62" i="3"/>
  <c r="Q62" i="3"/>
  <c r="L62" i="3"/>
  <c r="O67" i="3"/>
  <c r="M68" i="3"/>
  <c r="V70" i="3"/>
  <c r="Q70" i="3"/>
  <c r="L70" i="3"/>
  <c r="K70" i="3"/>
  <c r="V98" i="3"/>
  <c r="V103" i="3"/>
  <c r="P110" i="3"/>
  <c r="T112" i="3"/>
  <c r="L112" i="3"/>
  <c r="V112" i="3"/>
  <c r="U112" i="3"/>
  <c r="P112" i="3"/>
  <c r="K112" i="3"/>
  <c r="S112" i="3"/>
  <c r="O112" i="3"/>
  <c r="S113" i="3"/>
  <c r="L116" i="3"/>
  <c r="R117" i="3"/>
  <c r="L150" i="3"/>
  <c r="T150" i="3"/>
  <c r="S150" i="3"/>
  <c r="P150" i="3"/>
  <c r="O150" i="3"/>
  <c r="N150" i="3"/>
  <c r="V150" i="3"/>
  <c r="U150" i="3"/>
  <c r="R150" i="3"/>
  <c r="Q150" i="3"/>
  <c r="M150" i="3"/>
  <c r="P15" i="3"/>
  <c r="L15" i="3"/>
  <c r="P41" i="3"/>
  <c r="O41" i="3"/>
  <c r="V52" i="3"/>
  <c r="N52" i="3"/>
  <c r="U52" i="3"/>
  <c r="U53" i="3"/>
  <c r="P57" i="3"/>
  <c r="O57" i="3"/>
  <c r="K62" i="3"/>
  <c r="Q67" i="3"/>
  <c r="O68" i="3"/>
  <c r="M70" i="3"/>
  <c r="J80" i="3"/>
  <c r="T94" i="3"/>
  <c r="K94" i="3"/>
  <c r="R94" i="3"/>
  <c r="V94" i="3"/>
  <c r="O94" i="3"/>
  <c r="N94" i="3"/>
  <c r="N101" i="3"/>
  <c r="M101" i="3"/>
  <c r="S101" i="3"/>
  <c r="R101" i="3"/>
  <c r="L101" i="3"/>
  <c r="V101" i="3"/>
  <c r="U101" i="3"/>
  <c r="P101" i="3"/>
  <c r="N105" i="3"/>
  <c r="T105" i="3"/>
  <c r="P105" i="3"/>
  <c r="O105" i="3"/>
  <c r="R105" i="3"/>
  <c r="Q105" i="3"/>
  <c r="K105" i="3"/>
  <c r="N109" i="3"/>
  <c r="M109" i="3"/>
  <c r="K109" i="3"/>
  <c r="P109" i="3"/>
  <c r="O109" i="3"/>
  <c r="T109" i="3"/>
  <c r="S109" i="3"/>
  <c r="L109" i="3"/>
  <c r="U113" i="3"/>
  <c r="N115" i="3"/>
  <c r="U115" i="3"/>
  <c r="M115" i="3"/>
  <c r="L115" i="3"/>
  <c r="V115" i="3"/>
  <c r="P115" i="3"/>
  <c r="S115" i="3"/>
  <c r="S117" i="3"/>
  <c r="N121" i="3"/>
  <c r="T121" i="3"/>
  <c r="R121" i="3"/>
  <c r="M121" i="3"/>
  <c r="L121" i="3"/>
  <c r="K121" i="3"/>
  <c r="V121" i="3"/>
  <c r="Q121" i="3"/>
  <c r="T124" i="3"/>
  <c r="R124" i="3"/>
  <c r="P124" i="3"/>
  <c r="V124" i="3"/>
  <c r="S124" i="3"/>
  <c r="Q124" i="3"/>
  <c r="O124" i="3"/>
  <c r="U124" i="3"/>
  <c r="L124" i="3"/>
  <c r="H126" i="3"/>
  <c r="J126" i="3"/>
  <c r="R143" i="3"/>
  <c r="N143" i="3"/>
  <c r="T143" i="3"/>
  <c r="S143" i="3"/>
  <c r="Q143" i="3"/>
  <c r="V143" i="3"/>
  <c r="U143" i="3"/>
  <c r="O143" i="3"/>
  <c r="M143" i="3"/>
  <c r="L143" i="3"/>
  <c r="K143" i="3"/>
  <c r="R161" i="3"/>
  <c r="N161" i="3"/>
  <c r="M161" i="3"/>
  <c r="P161" i="3"/>
  <c r="O161" i="3"/>
  <c r="L161" i="3"/>
  <c r="K161" i="3"/>
  <c r="U161" i="3"/>
  <c r="T161" i="3"/>
  <c r="S161" i="3"/>
  <c r="Q161" i="3"/>
  <c r="V161" i="3"/>
  <c r="N119" i="3"/>
  <c r="Q119" i="3"/>
  <c r="O119" i="3"/>
  <c r="T119" i="3"/>
  <c r="R119" i="3"/>
  <c r="P119" i="3"/>
  <c r="M119" i="3"/>
  <c r="K119" i="3"/>
  <c r="R202" i="3"/>
  <c r="Q202" i="3"/>
  <c r="P202" i="3"/>
  <c r="O202" i="3"/>
  <c r="M202" i="3"/>
  <c r="K202" i="3"/>
  <c r="V202" i="3"/>
  <c r="U202" i="3"/>
  <c r="T202" i="3"/>
  <c r="S202" i="3"/>
  <c r="L202" i="3"/>
  <c r="N202" i="3"/>
  <c r="J151" i="3"/>
  <c r="J78" i="3"/>
  <c r="U119" i="3"/>
  <c r="J122" i="3"/>
  <c r="T130" i="3"/>
  <c r="O130" i="3"/>
  <c r="M130" i="3"/>
  <c r="R130" i="3"/>
  <c r="N130" i="3"/>
  <c r="L130" i="3"/>
  <c r="K130" i="3"/>
  <c r="R171" i="3"/>
  <c r="Q171" i="3"/>
  <c r="N171" i="3"/>
  <c r="M171" i="3"/>
  <c r="V171" i="3"/>
  <c r="U171" i="3"/>
  <c r="T171" i="3"/>
  <c r="S171" i="3"/>
  <c r="P171" i="3"/>
  <c r="L171" i="3"/>
  <c r="K171" i="3"/>
  <c r="O171" i="3"/>
  <c r="V119" i="3"/>
  <c r="P130" i="3"/>
  <c r="L142" i="3"/>
  <c r="T142" i="3"/>
  <c r="V142" i="3"/>
  <c r="U142" i="3"/>
  <c r="M142" i="3"/>
  <c r="S142" i="3"/>
  <c r="R142" i="3"/>
  <c r="P142" i="3"/>
  <c r="O142" i="3"/>
  <c r="N142" i="3"/>
  <c r="K142" i="3"/>
  <c r="L144" i="3"/>
  <c r="T144" i="3"/>
  <c r="S144" i="3"/>
  <c r="P144" i="3"/>
  <c r="O144" i="3"/>
  <c r="N144" i="3"/>
  <c r="V144" i="3"/>
  <c r="U144" i="3"/>
  <c r="R144" i="3"/>
  <c r="Q144" i="3"/>
  <c r="M144" i="3"/>
  <c r="K144" i="3"/>
  <c r="R163" i="3"/>
  <c r="N163" i="3"/>
  <c r="M163" i="3"/>
  <c r="V163" i="3"/>
  <c r="S163" i="3"/>
  <c r="P163" i="3"/>
  <c r="O163" i="3"/>
  <c r="L163" i="3"/>
  <c r="U163" i="3"/>
  <c r="T163" i="3"/>
  <c r="K163" i="3"/>
  <c r="L140" i="3"/>
  <c r="T140" i="3"/>
  <c r="P140" i="3"/>
  <c r="O140" i="3"/>
  <c r="N140" i="3"/>
  <c r="S140" i="3"/>
  <c r="U140" i="3"/>
  <c r="R140" i="3"/>
  <c r="Q140" i="3"/>
  <c r="K140" i="3"/>
  <c r="R149" i="3"/>
  <c r="N149" i="3"/>
  <c r="M149" i="3"/>
  <c r="T149" i="3"/>
  <c r="S149" i="3"/>
  <c r="Q149" i="3"/>
  <c r="V149" i="3"/>
  <c r="P149" i="3"/>
  <c r="O149" i="3"/>
  <c r="L149" i="3"/>
  <c r="K149" i="3"/>
  <c r="V140" i="3"/>
  <c r="L172" i="3"/>
  <c r="K172" i="3"/>
  <c r="T172" i="3"/>
  <c r="S172" i="3"/>
  <c r="P172" i="3"/>
  <c r="V172" i="3"/>
  <c r="U172" i="3"/>
  <c r="R172" i="3"/>
  <c r="Q172" i="3"/>
  <c r="N172" i="3"/>
  <c r="M172" i="3"/>
  <c r="O172" i="3"/>
  <c r="R139" i="3"/>
  <c r="N139" i="3"/>
  <c r="T139" i="3"/>
  <c r="S139" i="3"/>
  <c r="Q139" i="3"/>
  <c r="P139" i="3"/>
  <c r="O139" i="3"/>
  <c r="M139" i="3"/>
  <c r="K139" i="3"/>
  <c r="R145" i="3"/>
  <c r="N145" i="3"/>
  <c r="M145" i="3"/>
  <c r="O145" i="3"/>
  <c r="L145" i="3"/>
  <c r="K145" i="3"/>
  <c r="T145" i="3"/>
  <c r="S145" i="3"/>
  <c r="V145" i="3"/>
  <c r="Q145" i="3"/>
  <c r="L136" i="3"/>
  <c r="T136" i="3"/>
  <c r="P136" i="3"/>
  <c r="O136" i="3"/>
  <c r="N136" i="3"/>
  <c r="S136" i="3"/>
  <c r="M136" i="3"/>
  <c r="K136" i="3"/>
  <c r="H139" i="3"/>
  <c r="P145" i="3"/>
  <c r="R157" i="3"/>
  <c r="N157" i="3"/>
  <c r="M157" i="3"/>
  <c r="O157" i="3"/>
  <c r="L157" i="3"/>
  <c r="K157" i="3"/>
  <c r="V157" i="3"/>
  <c r="T157" i="3"/>
  <c r="S157" i="3"/>
  <c r="Q157" i="3"/>
  <c r="P157" i="3"/>
  <c r="R167" i="3"/>
  <c r="Q167" i="3"/>
  <c r="N167" i="3"/>
  <c r="M167" i="3"/>
  <c r="T167" i="3"/>
  <c r="S167" i="3"/>
  <c r="P167" i="3"/>
  <c r="O167" i="3"/>
  <c r="K167" i="3"/>
  <c r="V167" i="3"/>
  <c r="U167" i="3"/>
  <c r="L167" i="3"/>
  <c r="J165" i="3"/>
  <c r="H165" i="3"/>
  <c r="J182" i="3"/>
  <c r="H182" i="3"/>
  <c r="R184" i="3"/>
  <c r="P184" i="3"/>
  <c r="O184" i="3"/>
  <c r="U184" i="3"/>
  <c r="T184" i="3"/>
  <c r="S184" i="3"/>
  <c r="M184" i="3"/>
  <c r="V184" i="3"/>
  <c r="N184" i="3"/>
  <c r="L184" i="3"/>
  <c r="K184" i="3"/>
  <c r="J141" i="3"/>
  <c r="L154" i="3"/>
  <c r="T154" i="3"/>
  <c r="S154" i="3"/>
  <c r="V154" i="3"/>
  <c r="U154" i="3"/>
  <c r="R154" i="3"/>
  <c r="Q154" i="3"/>
  <c r="N154" i="3"/>
  <c r="K154" i="3"/>
  <c r="R196" i="3"/>
  <c r="Q196" i="3"/>
  <c r="P196" i="3"/>
  <c r="O196" i="3"/>
  <c r="M196" i="3"/>
  <c r="K196" i="3"/>
  <c r="U196" i="3"/>
  <c r="T196" i="3"/>
  <c r="N196" i="3"/>
  <c r="L196" i="3"/>
  <c r="V196" i="3"/>
  <c r="S196" i="3"/>
  <c r="M154" i="3"/>
  <c r="H178" i="3"/>
  <c r="J178" i="3"/>
  <c r="J120" i="3"/>
  <c r="N129" i="3"/>
  <c r="T129" i="3"/>
  <c r="R129" i="3"/>
  <c r="L138" i="3"/>
  <c r="T138" i="3"/>
  <c r="V138" i="3"/>
  <c r="U138" i="3"/>
  <c r="M138" i="3"/>
  <c r="L148" i="3"/>
  <c r="T148" i="3"/>
  <c r="S148" i="3"/>
  <c r="V148" i="3"/>
  <c r="U148" i="3"/>
  <c r="R148" i="3"/>
  <c r="K148" i="3"/>
  <c r="O154" i="3"/>
  <c r="L160" i="3"/>
  <c r="T160" i="3"/>
  <c r="S160" i="3"/>
  <c r="Q160" i="3"/>
  <c r="P160" i="3"/>
  <c r="O160" i="3"/>
  <c r="N160" i="3"/>
  <c r="V160" i="3"/>
  <c r="U160" i="3"/>
  <c r="R192" i="3"/>
  <c r="Q192" i="3"/>
  <c r="P192" i="3"/>
  <c r="O192" i="3"/>
  <c r="M192" i="3"/>
  <c r="V192" i="3"/>
  <c r="U192" i="3"/>
  <c r="T192" i="3"/>
  <c r="S192" i="3"/>
  <c r="L192" i="3"/>
  <c r="K192" i="3"/>
  <c r="J137" i="3"/>
  <c r="P154" i="3"/>
  <c r="L156" i="3"/>
  <c r="T156" i="3"/>
  <c r="S156" i="3"/>
  <c r="P156" i="3"/>
  <c r="O156" i="3"/>
  <c r="N156" i="3"/>
  <c r="M156" i="3"/>
  <c r="V156" i="3"/>
  <c r="U156" i="3"/>
  <c r="R156" i="3"/>
  <c r="L162" i="3"/>
  <c r="T162" i="3"/>
  <c r="S162" i="3"/>
  <c r="M162" i="3"/>
  <c r="K162" i="3"/>
  <c r="U162" i="3"/>
  <c r="Q162" i="3"/>
  <c r="P162" i="3"/>
  <c r="O162" i="3"/>
  <c r="H176" i="3"/>
  <c r="J176" i="3"/>
  <c r="R194" i="3"/>
  <c r="Q194" i="3"/>
  <c r="P194" i="3"/>
  <c r="O194" i="3"/>
  <c r="M194" i="3"/>
  <c r="V194" i="3"/>
  <c r="U194" i="3"/>
  <c r="T194" i="3"/>
  <c r="S194" i="3"/>
  <c r="L194" i="3"/>
  <c r="N194" i="3"/>
  <c r="K194" i="3"/>
  <c r="L201" i="3"/>
  <c r="K201" i="3"/>
  <c r="V201" i="3"/>
  <c r="U201" i="3"/>
  <c r="S201" i="3"/>
  <c r="Q201" i="3"/>
  <c r="T201" i="3"/>
  <c r="R201" i="3"/>
  <c r="P201" i="3"/>
  <c r="O201" i="3"/>
  <c r="M201" i="3"/>
  <c r="N201" i="3"/>
  <c r="J132" i="3"/>
  <c r="L134" i="3"/>
  <c r="T134" i="3"/>
  <c r="V134" i="3"/>
  <c r="U134" i="3"/>
  <c r="M134" i="3"/>
  <c r="R135" i="3"/>
  <c r="N135" i="3"/>
  <c r="T135" i="3"/>
  <c r="S135" i="3"/>
  <c r="Q135" i="3"/>
  <c r="R147" i="3"/>
  <c r="N147" i="3"/>
  <c r="M147" i="3"/>
  <c r="V147" i="3"/>
  <c r="O147" i="3"/>
  <c r="L147" i="3"/>
  <c r="R153" i="3"/>
  <c r="N153" i="3"/>
  <c r="M153" i="3"/>
  <c r="V153" i="3"/>
  <c r="U153" i="3"/>
  <c r="Q153" i="3"/>
  <c r="O153" i="3"/>
  <c r="L153" i="3"/>
  <c r="L164" i="3"/>
  <c r="T164" i="3"/>
  <c r="S164" i="3"/>
  <c r="V164" i="3"/>
  <c r="U164" i="3"/>
  <c r="R164" i="3"/>
  <c r="O164" i="3"/>
  <c r="M164" i="3"/>
  <c r="K164" i="3"/>
  <c r="L166" i="3"/>
  <c r="K166" i="3"/>
  <c r="T166" i="3"/>
  <c r="S166" i="3"/>
  <c r="U166" i="3"/>
  <c r="R166" i="3"/>
  <c r="Q166" i="3"/>
  <c r="P166" i="3"/>
  <c r="N166" i="3"/>
  <c r="M166" i="3"/>
  <c r="L170" i="3"/>
  <c r="K170" i="3"/>
  <c r="T170" i="3"/>
  <c r="S170" i="3"/>
  <c r="P170" i="3"/>
  <c r="U170" i="3"/>
  <c r="R170" i="3"/>
  <c r="Q170" i="3"/>
  <c r="O170" i="3"/>
  <c r="M170" i="3"/>
  <c r="J123" i="3"/>
  <c r="K134" i="3"/>
  <c r="K135" i="3"/>
  <c r="K147" i="3"/>
  <c r="K153" i="3"/>
  <c r="J159" i="3"/>
  <c r="H159" i="3"/>
  <c r="V162" i="3"/>
  <c r="N164" i="3"/>
  <c r="O166" i="3"/>
  <c r="N170" i="3"/>
  <c r="R186" i="3"/>
  <c r="Q186" i="3"/>
  <c r="P186" i="3"/>
  <c r="O186" i="3"/>
  <c r="U186" i="3"/>
  <c r="T186" i="3"/>
  <c r="N186" i="3"/>
  <c r="M186" i="3"/>
  <c r="L186" i="3"/>
  <c r="K186" i="3"/>
  <c r="V186" i="3"/>
  <c r="S186" i="3"/>
  <c r="P129" i="3"/>
  <c r="N134" i="3"/>
  <c r="L135" i="3"/>
  <c r="Q138" i="3"/>
  <c r="P147" i="3"/>
  <c r="Q148" i="3"/>
  <c r="P153" i="3"/>
  <c r="R155" i="3"/>
  <c r="N155" i="3"/>
  <c r="M155" i="3"/>
  <c r="T155" i="3"/>
  <c r="S155" i="3"/>
  <c r="Q155" i="3"/>
  <c r="P155" i="3"/>
  <c r="K155" i="3"/>
  <c r="V155" i="3"/>
  <c r="P164" i="3"/>
  <c r="V166" i="3"/>
  <c r="V170" i="3"/>
  <c r="R200" i="3"/>
  <c r="Q200" i="3"/>
  <c r="P200" i="3"/>
  <c r="O200" i="3"/>
  <c r="M200" i="3"/>
  <c r="K200" i="3"/>
  <c r="V200" i="3"/>
  <c r="U200" i="3"/>
  <c r="T200" i="3"/>
  <c r="S200" i="3"/>
  <c r="N200" i="3"/>
  <c r="V208" i="3"/>
  <c r="R208" i="3"/>
  <c r="Q208" i="3"/>
  <c r="P208" i="3"/>
  <c r="O208" i="3"/>
  <c r="M208" i="3"/>
  <c r="L208" i="3"/>
  <c r="K208" i="3"/>
  <c r="U208" i="3"/>
  <c r="T208" i="3"/>
  <c r="S208" i="3"/>
  <c r="N208" i="3"/>
  <c r="P216" i="3"/>
  <c r="M216" i="3"/>
  <c r="V216" i="3"/>
  <c r="U216" i="3"/>
  <c r="T216" i="3"/>
  <c r="S216" i="3"/>
  <c r="Q216" i="3"/>
  <c r="O216" i="3"/>
  <c r="N216" i="3"/>
  <c r="R216" i="3"/>
  <c r="L216" i="3"/>
  <c r="R180" i="3"/>
  <c r="P180" i="3"/>
  <c r="O180" i="3"/>
  <c r="T180" i="3"/>
  <c r="S180" i="3"/>
  <c r="N180" i="3"/>
  <c r="M180" i="3"/>
  <c r="L180" i="3"/>
  <c r="R198" i="3"/>
  <c r="Q198" i="3"/>
  <c r="P198" i="3"/>
  <c r="O198" i="3"/>
  <c r="M198" i="3"/>
  <c r="K198" i="3"/>
  <c r="V198" i="3"/>
  <c r="U198" i="3"/>
  <c r="T198" i="3"/>
  <c r="S198" i="3"/>
  <c r="N198" i="3"/>
  <c r="L198" i="3"/>
  <c r="L200" i="3"/>
  <c r="K216" i="3"/>
  <c r="J173" i="3"/>
  <c r="L174" i="3"/>
  <c r="K174" i="3"/>
  <c r="T174" i="3"/>
  <c r="S174" i="3"/>
  <c r="P174" i="3"/>
  <c r="R204" i="3"/>
  <c r="Q204" i="3"/>
  <c r="P204" i="3"/>
  <c r="O204" i="3"/>
  <c r="M204" i="3"/>
  <c r="L204" i="3"/>
  <c r="K204" i="3"/>
  <c r="V204" i="3"/>
  <c r="T204" i="3"/>
  <c r="P209" i="3"/>
  <c r="M209" i="3"/>
  <c r="L209" i="3"/>
  <c r="K209" i="3"/>
  <c r="U209" i="3"/>
  <c r="T209" i="3"/>
  <c r="S209" i="3"/>
  <c r="V209" i="3"/>
  <c r="R209" i="3"/>
  <c r="Q209" i="3"/>
  <c r="O209" i="3"/>
  <c r="J169" i="3"/>
  <c r="N174" i="3"/>
  <c r="U180" i="3"/>
  <c r="L199" i="3"/>
  <c r="K199" i="3"/>
  <c r="V199" i="3"/>
  <c r="U199" i="3"/>
  <c r="S199" i="3"/>
  <c r="Q199" i="3"/>
  <c r="T199" i="3"/>
  <c r="R199" i="3"/>
  <c r="P199" i="3"/>
  <c r="O199" i="3"/>
  <c r="N199" i="3"/>
  <c r="S204" i="3"/>
  <c r="N209" i="3"/>
  <c r="L248" i="3"/>
  <c r="U248" i="3"/>
  <c r="T248" i="3"/>
  <c r="R248" i="3"/>
  <c r="P248" i="3"/>
  <c r="O248" i="3"/>
  <c r="V248" i="3"/>
  <c r="N248" i="3"/>
  <c r="M248" i="3"/>
  <c r="S248" i="3"/>
  <c r="L168" i="3"/>
  <c r="K168" i="3"/>
  <c r="T168" i="3"/>
  <c r="S168" i="3"/>
  <c r="P168" i="3"/>
  <c r="J179" i="3"/>
  <c r="R188" i="3"/>
  <c r="Q188" i="3"/>
  <c r="P188" i="3"/>
  <c r="O188" i="3"/>
  <c r="S188" i="3"/>
  <c r="N188" i="3"/>
  <c r="L188" i="3"/>
  <c r="K188" i="3"/>
  <c r="J190" i="3"/>
  <c r="N168" i="3"/>
  <c r="L181" i="3"/>
  <c r="V181" i="3"/>
  <c r="U181" i="3"/>
  <c r="P181" i="3"/>
  <c r="O181" i="3"/>
  <c r="M181" i="3"/>
  <c r="K181" i="3"/>
  <c r="T181" i="3"/>
  <c r="T188" i="3"/>
  <c r="M199" i="3"/>
  <c r="L203" i="3"/>
  <c r="K203" i="3"/>
  <c r="V203" i="3"/>
  <c r="U203" i="3"/>
  <c r="S203" i="3"/>
  <c r="R203" i="3"/>
  <c r="Q203" i="3"/>
  <c r="T203" i="3"/>
  <c r="P203" i="3"/>
  <c r="N203" i="3"/>
  <c r="Q238" i="3"/>
  <c r="P238" i="3"/>
  <c r="N238" i="3"/>
  <c r="M238" i="3"/>
  <c r="V238" i="3"/>
  <c r="U238" i="3"/>
  <c r="S238" i="3"/>
  <c r="R238" i="3"/>
  <c r="O238" i="3"/>
  <c r="T238" i="3"/>
  <c r="L238" i="3"/>
  <c r="L246" i="3"/>
  <c r="U246" i="3"/>
  <c r="T246" i="3"/>
  <c r="R246" i="3"/>
  <c r="P246" i="3"/>
  <c r="O246" i="3"/>
  <c r="V246" i="3"/>
  <c r="S246" i="3"/>
  <c r="N246" i="3"/>
  <c r="M246" i="3"/>
  <c r="Q246" i="3"/>
  <c r="O168" i="3"/>
  <c r="U174" i="3"/>
  <c r="H181" i="3"/>
  <c r="J185" i="3"/>
  <c r="U188" i="3"/>
  <c r="Q236" i="3"/>
  <c r="P236" i="3"/>
  <c r="N236" i="3"/>
  <c r="M236" i="3"/>
  <c r="V236" i="3"/>
  <c r="U236" i="3"/>
  <c r="T236" i="3"/>
  <c r="S236" i="3"/>
  <c r="O236" i="3"/>
  <c r="L236" i="3"/>
  <c r="K236" i="3"/>
  <c r="K238" i="3"/>
  <c r="K246" i="3"/>
  <c r="L146" i="3"/>
  <c r="T146" i="3"/>
  <c r="S146" i="3"/>
  <c r="L152" i="3"/>
  <c r="T152" i="3"/>
  <c r="S152" i="3"/>
  <c r="Q168" i="3"/>
  <c r="V174" i="3"/>
  <c r="V188" i="3"/>
  <c r="O203" i="3"/>
  <c r="R236" i="3"/>
  <c r="K146" i="3"/>
  <c r="K152" i="3"/>
  <c r="R168" i="3"/>
  <c r="N181" i="3"/>
  <c r="T244" i="3"/>
  <c r="R244" i="3"/>
  <c r="Q244" i="3"/>
  <c r="P244" i="3"/>
  <c r="N244" i="3"/>
  <c r="M244" i="3"/>
  <c r="S244" i="3"/>
  <c r="O244" i="3"/>
  <c r="L244" i="3"/>
  <c r="K244" i="3"/>
  <c r="V244" i="3"/>
  <c r="U244" i="3"/>
  <c r="L197" i="3"/>
  <c r="K197" i="3"/>
  <c r="V197" i="3"/>
  <c r="U197" i="3"/>
  <c r="S197" i="3"/>
  <c r="Q197" i="3"/>
  <c r="L187" i="3"/>
  <c r="K187" i="3"/>
  <c r="V187" i="3"/>
  <c r="U187" i="3"/>
  <c r="L278" i="3"/>
  <c r="U278" i="3"/>
  <c r="T278" i="3"/>
  <c r="R278" i="3"/>
  <c r="P278" i="3"/>
  <c r="O278" i="3"/>
  <c r="V278" i="3"/>
  <c r="Q278" i="3"/>
  <c r="N278" i="3"/>
  <c r="M278" i="3"/>
  <c r="R281" i="3"/>
  <c r="O281" i="3"/>
  <c r="N281" i="3"/>
  <c r="L281" i="3"/>
  <c r="V281" i="3"/>
  <c r="U281" i="3"/>
  <c r="T281" i="3"/>
  <c r="Q281" i="3"/>
  <c r="P281" i="3"/>
  <c r="M281" i="3"/>
  <c r="S281" i="3"/>
  <c r="M187" i="3"/>
  <c r="Q191" i="3"/>
  <c r="Q193" i="3"/>
  <c r="M197" i="3"/>
  <c r="K237" i="3"/>
  <c r="V237" i="3"/>
  <c r="T237" i="3"/>
  <c r="S237" i="3"/>
  <c r="P237" i="3"/>
  <c r="O237" i="3"/>
  <c r="U237" i="3"/>
  <c r="Q237" i="3"/>
  <c r="N237" i="3"/>
  <c r="M237" i="3"/>
  <c r="N187" i="3"/>
  <c r="J189" i="3"/>
  <c r="N197" i="3"/>
  <c r="L207" i="3"/>
  <c r="K207" i="3"/>
  <c r="V207" i="3"/>
  <c r="U207" i="3"/>
  <c r="S207" i="3"/>
  <c r="R207" i="3"/>
  <c r="Q207" i="3"/>
  <c r="V211" i="3"/>
  <c r="S211" i="3"/>
  <c r="P211" i="3"/>
  <c r="T211" i="3"/>
  <c r="R211" i="3"/>
  <c r="Q211" i="3"/>
  <c r="O211" i="3"/>
  <c r="M211" i="3"/>
  <c r="L211" i="3"/>
  <c r="K211" i="3"/>
  <c r="L237" i="3"/>
  <c r="O187" i="3"/>
  <c r="R237" i="3"/>
  <c r="K239" i="3"/>
  <c r="V239" i="3"/>
  <c r="T239" i="3"/>
  <c r="S239" i="3"/>
  <c r="P239" i="3"/>
  <c r="O239" i="3"/>
  <c r="U239" i="3"/>
  <c r="R239" i="3"/>
  <c r="Q239" i="3"/>
  <c r="H292" i="3"/>
  <c r="J292" i="3"/>
  <c r="R206" i="3"/>
  <c r="Q206" i="3"/>
  <c r="P206" i="3"/>
  <c r="O206" i="3"/>
  <c r="M206" i="3"/>
  <c r="L206" i="3"/>
  <c r="K206" i="3"/>
  <c r="V213" i="3"/>
  <c r="S213" i="3"/>
  <c r="P213" i="3"/>
  <c r="N213" i="3"/>
  <c r="M213" i="3"/>
  <c r="L213" i="3"/>
  <c r="K213" i="3"/>
  <c r="U213" i="3"/>
  <c r="V217" i="3"/>
  <c r="S217" i="3"/>
  <c r="P217" i="3"/>
  <c r="T217" i="3"/>
  <c r="R217" i="3"/>
  <c r="Q217" i="3"/>
  <c r="O217" i="3"/>
  <c r="M217" i="3"/>
  <c r="L217" i="3"/>
  <c r="K217" i="3"/>
  <c r="Q232" i="3"/>
  <c r="P232" i="3"/>
  <c r="N232" i="3"/>
  <c r="M232" i="3"/>
  <c r="V232" i="3"/>
  <c r="U232" i="3"/>
  <c r="R232" i="3"/>
  <c r="O232" i="3"/>
  <c r="L232" i="3"/>
  <c r="K232" i="3"/>
  <c r="L239" i="3"/>
  <c r="L250" i="3"/>
  <c r="U250" i="3"/>
  <c r="T250" i="3"/>
  <c r="R250" i="3"/>
  <c r="P250" i="3"/>
  <c r="O250" i="3"/>
  <c r="M250" i="3"/>
  <c r="K250" i="3"/>
  <c r="V250" i="3"/>
  <c r="S250" i="3"/>
  <c r="Q250" i="3"/>
  <c r="N250" i="3"/>
  <c r="J177" i="3"/>
  <c r="J183" i="3"/>
  <c r="Q187" i="3"/>
  <c r="R197" i="3"/>
  <c r="L205" i="3"/>
  <c r="K205" i="3"/>
  <c r="V205" i="3"/>
  <c r="U205" i="3"/>
  <c r="S205" i="3"/>
  <c r="R205" i="3"/>
  <c r="Q205" i="3"/>
  <c r="N206" i="3"/>
  <c r="P210" i="3"/>
  <c r="V210" i="3"/>
  <c r="U210" i="3"/>
  <c r="T210" i="3"/>
  <c r="S210" i="3"/>
  <c r="Q210" i="3"/>
  <c r="O210" i="3"/>
  <c r="N210" i="3"/>
  <c r="O213" i="3"/>
  <c r="N217" i="3"/>
  <c r="S232" i="3"/>
  <c r="M239" i="3"/>
  <c r="R187" i="3"/>
  <c r="L191" i="3"/>
  <c r="K191" i="3"/>
  <c r="V191" i="3"/>
  <c r="U191" i="3"/>
  <c r="S191" i="3"/>
  <c r="L193" i="3"/>
  <c r="K193" i="3"/>
  <c r="V193" i="3"/>
  <c r="U193" i="3"/>
  <c r="S193" i="3"/>
  <c r="T197" i="3"/>
  <c r="M205" i="3"/>
  <c r="S206" i="3"/>
  <c r="P207" i="3"/>
  <c r="K210" i="3"/>
  <c r="Q213" i="3"/>
  <c r="U217" i="3"/>
  <c r="V219" i="3"/>
  <c r="T219" i="3"/>
  <c r="S219" i="3"/>
  <c r="P219" i="3"/>
  <c r="N219" i="3"/>
  <c r="M219" i="3"/>
  <c r="L219" i="3"/>
  <c r="K219" i="3"/>
  <c r="T232" i="3"/>
  <c r="N239" i="3"/>
  <c r="L262" i="3"/>
  <c r="U262" i="3"/>
  <c r="T262" i="3"/>
  <c r="R262" i="3"/>
  <c r="P262" i="3"/>
  <c r="O262" i="3"/>
  <c r="M262" i="3"/>
  <c r="K262" i="3"/>
  <c r="V262" i="3"/>
  <c r="S262" i="3"/>
  <c r="Q262" i="3"/>
  <c r="N262" i="3"/>
  <c r="K235" i="3"/>
  <c r="V235" i="3"/>
  <c r="T235" i="3"/>
  <c r="S235" i="3"/>
  <c r="P235" i="3"/>
  <c r="O235" i="3"/>
  <c r="J212" i="3"/>
  <c r="J218" i="3"/>
  <c r="J234" i="3"/>
  <c r="R245" i="3"/>
  <c r="N245" i="3"/>
  <c r="L245" i="3"/>
  <c r="V245" i="3"/>
  <c r="U245" i="3"/>
  <c r="Q245" i="3"/>
  <c r="P245" i="3"/>
  <c r="M245" i="3"/>
  <c r="K245" i="3"/>
  <c r="L254" i="3"/>
  <c r="U254" i="3"/>
  <c r="T254" i="3"/>
  <c r="R254" i="3"/>
  <c r="P254" i="3"/>
  <c r="O254" i="3"/>
  <c r="V254" i="3"/>
  <c r="Q254" i="3"/>
  <c r="N254" i="3"/>
  <c r="M254" i="3"/>
  <c r="L256" i="3"/>
  <c r="U256" i="3"/>
  <c r="T256" i="3"/>
  <c r="R256" i="3"/>
  <c r="P256" i="3"/>
  <c r="O256" i="3"/>
  <c r="M256" i="3"/>
  <c r="K256" i="3"/>
  <c r="V256" i="3"/>
  <c r="K233" i="3"/>
  <c r="V233" i="3"/>
  <c r="T233" i="3"/>
  <c r="S233" i="3"/>
  <c r="P233" i="3"/>
  <c r="O233" i="3"/>
  <c r="M235" i="3"/>
  <c r="O245" i="3"/>
  <c r="K254" i="3"/>
  <c r="N256" i="3"/>
  <c r="H286" i="3"/>
  <c r="J286" i="3"/>
  <c r="R299" i="3"/>
  <c r="Q299" i="3"/>
  <c r="O299" i="3"/>
  <c r="N299" i="3"/>
  <c r="M299" i="3"/>
  <c r="L299" i="3"/>
  <c r="V299" i="3"/>
  <c r="U299" i="3"/>
  <c r="T299" i="3"/>
  <c r="S299" i="3"/>
  <c r="P220" i="3"/>
  <c r="N220" i="3"/>
  <c r="M220" i="3"/>
  <c r="V220" i="3"/>
  <c r="K231" i="3"/>
  <c r="V231" i="3"/>
  <c r="T231" i="3"/>
  <c r="S231" i="3"/>
  <c r="P231" i="3"/>
  <c r="O231" i="3"/>
  <c r="Q235" i="3"/>
  <c r="K243" i="3"/>
  <c r="V243" i="3"/>
  <c r="T243" i="3"/>
  <c r="S243" i="3"/>
  <c r="P243" i="3"/>
  <c r="O243" i="3"/>
  <c r="T245" i="3"/>
  <c r="S256" i="3"/>
  <c r="H280" i="3"/>
  <c r="J280" i="3"/>
  <c r="J214" i="3"/>
  <c r="K220" i="3"/>
  <c r="V221" i="3"/>
  <c r="T221" i="3"/>
  <c r="S221" i="3"/>
  <c r="P221" i="3"/>
  <c r="O221" i="3"/>
  <c r="J222" i="3"/>
  <c r="V223" i="3"/>
  <c r="T223" i="3"/>
  <c r="S223" i="3"/>
  <c r="P223" i="3"/>
  <c r="O223" i="3"/>
  <c r="J224" i="3"/>
  <c r="V225" i="3"/>
  <c r="T225" i="3"/>
  <c r="S225" i="3"/>
  <c r="P225" i="3"/>
  <c r="O225" i="3"/>
  <c r="J226" i="3"/>
  <c r="V227" i="3"/>
  <c r="T227" i="3"/>
  <c r="S227" i="3"/>
  <c r="P227" i="3"/>
  <c r="O227" i="3"/>
  <c r="J228" i="3"/>
  <c r="V229" i="3"/>
  <c r="T229" i="3"/>
  <c r="S229" i="3"/>
  <c r="P229" i="3"/>
  <c r="O229" i="3"/>
  <c r="J230" i="3"/>
  <c r="L231" i="3"/>
  <c r="N233" i="3"/>
  <c r="R235" i="3"/>
  <c r="J242" i="3"/>
  <c r="L243" i="3"/>
  <c r="L266" i="3"/>
  <c r="U266" i="3"/>
  <c r="T266" i="3"/>
  <c r="R266" i="3"/>
  <c r="P266" i="3"/>
  <c r="O266" i="3"/>
  <c r="V266" i="3"/>
  <c r="Q266" i="3"/>
  <c r="N266" i="3"/>
  <c r="M266" i="3"/>
  <c r="L268" i="3"/>
  <c r="U268" i="3"/>
  <c r="T268" i="3"/>
  <c r="R268" i="3"/>
  <c r="P268" i="3"/>
  <c r="O268" i="3"/>
  <c r="M268" i="3"/>
  <c r="K268" i="3"/>
  <c r="V268" i="3"/>
  <c r="R293" i="3"/>
  <c r="O293" i="3"/>
  <c r="N293" i="3"/>
  <c r="L293" i="3"/>
  <c r="V293" i="3"/>
  <c r="U293" i="3"/>
  <c r="T293" i="3"/>
  <c r="Q293" i="3"/>
  <c r="P293" i="3"/>
  <c r="M293" i="3"/>
  <c r="L220" i="3"/>
  <c r="K221" i="3"/>
  <c r="K223" i="3"/>
  <c r="K225" i="3"/>
  <c r="K227" i="3"/>
  <c r="K229" i="3"/>
  <c r="M231" i="3"/>
  <c r="Q233" i="3"/>
  <c r="U235" i="3"/>
  <c r="K241" i="3"/>
  <c r="V241" i="3"/>
  <c r="T241" i="3"/>
  <c r="S241" i="3"/>
  <c r="P241" i="3"/>
  <c r="O241" i="3"/>
  <c r="M243" i="3"/>
  <c r="K266" i="3"/>
  <c r="N268" i="3"/>
  <c r="K293" i="3"/>
  <c r="V215" i="3"/>
  <c r="S215" i="3"/>
  <c r="P215" i="3"/>
  <c r="O220" i="3"/>
  <c r="L221" i="3"/>
  <c r="L223" i="3"/>
  <c r="L225" i="3"/>
  <c r="L227" i="3"/>
  <c r="L229" i="3"/>
  <c r="N231" i="3"/>
  <c r="R233" i="3"/>
  <c r="J240" i="3"/>
  <c r="N243" i="3"/>
  <c r="S266" i="3"/>
  <c r="Q268" i="3"/>
  <c r="L272" i="3"/>
  <c r="U272" i="3"/>
  <c r="T272" i="3"/>
  <c r="R272" i="3"/>
  <c r="P272" i="3"/>
  <c r="O272" i="3"/>
  <c r="V272" i="3"/>
  <c r="Q272" i="3"/>
  <c r="N272" i="3"/>
  <c r="M272" i="3"/>
  <c r="L274" i="3"/>
  <c r="U274" i="3"/>
  <c r="T274" i="3"/>
  <c r="R274" i="3"/>
  <c r="P274" i="3"/>
  <c r="O274" i="3"/>
  <c r="M274" i="3"/>
  <c r="K274" i="3"/>
  <c r="V274" i="3"/>
  <c r="S293" i="3"/>
  <c r="R287" i="3"/>
  <c r="O287" i="3"/>
  <c r="N287" i="3"/>
  <c r="L287" i="3"/>
  <c r="V287" i="3"/>
  <c r="U287" i="3"/>
  <c r="T287" i="3"/>
  <c r="Q287" i="3"/>
  <c r="P287" i="3"/>
  <c r="M287" i="3"/>
  <c r="J247" i="3"/>
  <c r="J253" i="3"/>
  <c r="J259" i="3"/>
  <c r="J265" i="3"/>
  <c r="J271" i="3"/>
  <c r="J277" i="3"/>
  <c r="L298" i="3"/>
  <c r="U298" i="3"/>
  <c r="T298" i="3"/>
  <c r="S298" i="3"/>
  <c r="R298" i="3"/>
  <c r="P298" i="3"/>
  <c r="O298" i="3"/>
  <c r="K298" i="3"/>
  <c r="J301" i="3"/>
  <c r="L252" i="3"/>
  <c r="U252" i="3"/>
  <c r="T252" i="3"/>
  <c r="R252" i="3"/>
  <c r="P252" i="3"/>
  <c r="O252" i="3"/>
  <c r="L258" i="3"/>
  <c r="U258" i="3"/>
  <c r="T258" i="3"/>
  <c r="R258" i="3"/>
  <c r="P258" i="3"/>
  <c r="O258" i="3"/>
  <c r="L264" i="3"/>
  <c r="U264" i="3"/>
  <c r="T264" i="3"/>
  <c r="R264" i="3"/>
  <c r="P264" i="3"/>
  <c r="O264" i="3"/>
  <c r="L270" i="3"/>
  <c r="U270" i="3"/>
  <c r="T270" i="3"/>
  <c r="R270" i="3"/>
  <c r="P270" i="3"/>
  <c r="O270" i="3"/>
  <c r="L276" i="3"/>
  <c r="U276" i="3"/>
  <c r="T276" i="3"/>
  <c r="R276" i="3"/>
  <c r="P276" i="3"/>
  <c r="O276" i="3"/>
  <c r="R285" i="3"/>
  <c r="O285" i="3"/>
  <c r="N285" i="3"/>
  <c r="L285" i="3"/>
  <c r="V285" i="3"/>
  <c r="U285" i="3"/>
  <c r="R291" i="3"/>
  <c r="O291" i="3"/>
  <c r="N291" i="3"/>
  <c r="L291" i="3"/>
  <c r="V291" i="3"/>
  <c r="U291" i="3"/>
  <c r="R297" i="3"/>
  <c r="O297" i="3"/>
  <c r="N297" i="3"/>
  <c r="L297" i="3"/>
  <c r="V297" i="3"/>
  <c r="U297" i="3"/>
  <c r="J251" i="3"/>
  <c r="M252" i="3"/>
  <c r="J257" i="3"/>
  <c r="M258" i="3"/>
  <c r="J263" i="3"/>
  <c r="M264" i="3"/>
  <c r="J269" i="3"/>
  <c r="M270" i="3"/>
  <c r="J275" i="3"/>
  <c r="M276" i="3"/>
  <c r="J284" i="3"/>
  <c r="M285" i="3"/>
  <c r="J290" i="3"/>
  <c r="M291" i="3"/>
  <c r="J296" i="3"/>
  <c r="M297" i="3"/>
  <c r="Q298" i="3"/>
  <c r="N252" i="3"/>
  <c r="N258" i="3"/>
  <c r="N264" i="3"/>
  <c r="N270" i="3"/>
  <c r="N276" i="3"/>
  <c r="P285" i="3"/>
  <c r="P291" i="3"/>
  <c r="P297" i="3"/>
  <c r="V298" i="3"/>
  <c r="L300" i="3"/>
  <c r="K300" i="3"/>
  <c r="U300" i="3"/>
  <c r="T300" i="3"/>
  <c r="S300" i="3"/>
  <c r="R300" i="3"/>
  <c r="P300" i="3"/>
  <c r="O300" i="3"/>
  <c r="R283" i="3"/>
  <c r="O283" i="3"/>
  <c r="N283" i="3"/>
  <c r="L283" i="3"/>
  <c r="V283" i="3"/>
  <c r="U283" i="3"/>
  <c r="R289" i="3"/>
  <c r="O289" i="3"/>
  <c r="N289" i="3"/>
  <c r="L289" i="3"/>
  <c r="V289" i="3"/>
  <c r="U289" i="3"/>
  <c r="R295" i="3"/>
  <c r="O295" i="3"/>
  <c r="N295" i="3"/>
  <c r="L295" i="3"/>
  <c r="V295" i="3"/>
  <c r="U295" i="3"/>
  <c r="S252" i="3"/>
  <c r="S258" i="3"/>
  <c r="S264" i="3"/>
  <c r="S270" i="3"/>
  <c r="S276" i="3"/>
  <c r="K283" i="3"/>
  <c r="S285" i="3"/>
  <c r="K289" i="3"/>
  <c r="S291" i="3"/>
  <c r="K295" i="3"/>
  <c r="S297" i="3"/>
  <c r="N300" i="3"/>
  <c r="J249" i="3"/>
  <c r="V252" i="3"/>
  <c r="J255" i="3"/>
  <c r="V258" i="3"/>
  <c r="J261" i="3"/>
  <c r="V264" i="3"/>
  <c r="J267" i="3"/>
  <c r="V270" i="3"/>
  <c r="J273" i="3"/>
  <c r="V276" i="3"/>
  <c r="J279" i="3"/>
  <c r="J282" i="3"/>
  <c r="M283" i="3"/>
  <c r="T285" i="3"/>
  <c r="J288" i="3"/>
  <c r="M289" i="3"/>
  <c r="T291" i="3"/>
  <c r="J294" i="3"/>
  <c r="M295" i="3"/>
  <c r="T297" i="3"/>
  <c r="Q300" i="3"/>
  <c r="L286" i="3" l="1"/>
  <c r="U286" i="3"/>
  <c r="T286" i="3"/>
  <c r="R286" i="3"/>
  <c r="P286" i="3"/>
  <c r="O286" i="3"/>
  <c r="V286" i="3"/>
  <c r="S286" i="3"/>
  <c r="Q286" i="3"/>
  <c r="M286" i="3"/>
  <c r="K286" i="3"/>
  <c r="N286" i="3"/>
  <c r="N123" i="3"/>
  <c r="U123" i="3"/>
  <c r="M123" i="3"/>
  <c r="K123" i="3"/>
  <c r="V123" i="3"/>
  <c r="T123" i="3"/>
  <c r="S123" i="3"/>
  <c r="Q123" i="3"/>
  <c r="P123" i="3"/>
  <c r="R123" i="3"/>
  <c r="O123" i="3"/>
  <c r="L123" i="3"/>
  <c r="P29" i="3"/>
  <c r="V29" i="3"/>
  <c r="K29" i="3"/>
  <c r="U29" i="3"/>
  <c r="S29" i="3"/>
  <c r="R29" i="3"/>
  <c r="Q29" i="3"/>
  <c r="O29" i="3"/>
  <c r="N29" i="3"/>
  <c r="L29" i="3"/>
  <c r="M29" i="3"/>
  <c r="T29" i="3"/>
  <c r="L179" i="3"/>
  <c r="V179" i="3"/>
  <c r="U179" i="3"/>
  <c r="T179" i="3"/>
  <c r="S179" i="3"/>
  <c r="Q179" i="3"/>
  <c r="P179" i="3"/>
  <c r="O179" i="3"/>
  <c r="K179" i="3"/>
  <c r="R179" i="3"/>
  <c r="N179" i="3"/>
  <c r="M179" i="3"/>
  <c r="V18" i="3"/>
  <c r="K18" i="3"/>
  <c r="M18" i="3"/>
  <c r="L18" i="3"/>
  <c r="T18" i="3"/>
  <c r="S18" i="3"/>
  <c r="R18" i="3"/>
  <c r="Q18" i="3"/>
  <c r="P18" i="3"/>
  <c r="U18" i="3"/>
  <c r="O18" i="3"/>
  <c r="N18" i="3"/>
  <c r="V50" i="3"/>
  <c r="K50" i="3"/>
  <c r="R50" i="3"/>
  <c r="N50" i="3"/>
  <c r="M50" i="3"/>
  <c r="L50" i="3"/>
  <c r="U50" i="3"/>
  <c r="T50" i="3"/>
  <c r="S50" i="3"/>
  <c r="Q50" i="3"/>
  <c r="P50" i="3"/>
  <c r="O50" i="3"/>
  <c r="P65" i="3"/>
  <c r="O65" i="3"/>
  <c r="V65" i="3"/>
  <c r="S65" i="3"/>
  <c r="R65" i="3"/>
  <c r="Q65" i="3"/>
  <c r="N65" i="3"/>
  <c r="M65" i="3"/>
  <c r="L65" i="3"/>
  <c r="K65" i="3"/>
  <c r="U65" i="3"/>
  <c r="T65" i="3"/>
  <c r="V74" i="3"/>
  <c r="K74" i="3"/>
  <c r="R74" i="3"/>
  <c r="Q74" i="3"/>
  <c r="U74" i="3"/>
  <c r="T74" i="3"/>
  <c r="S74" i="3"/>
  <c r="P74" i="3"/>
  <c r="O74" i="3"/>
  <c r="N74" i="3"/>
  <c r="M74" i="3"/>
  <c r="L74" i="3"/>
  <c r="V58" i="3"/>
  <c r="K58" i="3"/>
  <c r="R58" i="3"/>
  <c r="U58" i="3"/>
  <c r="T58" i="3"/>
  <c r="S58" i="3"/>
  <c r="Q58" i="3"/>
  <c r="P58" i="3"/>
  <c r="O58" i="3"/>
  <c r="N58" i="3"/>
  <c r="M58" i="3"/>
  <c r="L58" i="3"/>
  <c r="P27" i="3"/>
  <c r="S27" i="3"/>
  <c r="T27" i="3"/>
  <c r="R27" i="3"/>
  <c r="Q27" i="3"/>
  <c r="O27" i="3"/>
  <c r="M27" i="3"/>
  <c r="L27" i="3"/>
  <c r="K27" i="3"/>
  <c r="N27" i="3"/>
  <c r="V27" i="3"/>
  <c r="U27" i="3"/>
  <c r="R176" i="3"/>
  <c r="P176" i="3"/>
  <c r="O176" i="3"/>
  <c r="M176" i="3"/>
  <c r="L176" i="3"/>
  <c r="T176" i="3"/>
  <c r="V176" i="3"/>
  <c r="S176" i="3"/>
  <c r="Q176" i="3"/>
  <c r="K176" i="3"/>
  <c r="U176" i="3"/>
  <c r="N176" i="3"/>
  <c r="V28" i="3"/>
  <c r="N28" i="3"/>
  <c r="P28" i="3"/>
  <c r="O28" i="3"/>
  <c r="M28" i="3"/>
  <c r="L28" i="3"/>
  <c r="U28" i="3"/>
  <c r="T28" i="3"/>
  <c r="S28" i="3"/>
  <c r="R28" i="3"/>
  <c r="Q28" i="3"/>
  <c r="K28" i="3"/>
  <c r="V66" i="3"/>
  <c r="K66" i="3"/>
  <c r="R66" i="3"/>
  <c r="Q66" i="3"/>
  <c r="P66" i="3"/>
  <c r="O66" i="3"/>
  <c r="N66" i="3"/>
  <c r="M66" i="3"/>
  <c r="L66" i="3"/>
  <c r="U66" i="3"/>
  <c r="T66" i="3"/>
  <c r="S66" i="3"/>
  <c r="R159" i="3"/>
  <c r="N159" i="3"/>
  <c r="M159" i="3"/>
  <c r="U159" i="3"/>
  <c r="T159" i="3"/>
  <c r="S159" i="3"/>
  <c r="Q159" i="3"/>
  <c r="L159" i="3"/>
  <c r="P159" i="3"/>
  <c r="V159" i="3"/>
  <c r="O159" i="3"/>
  <c r="K159" i="3"/>
  <c r="L296" i="3"/>
  <c r="U296" i="3"/>
  <c r="T296" i="3"/>
  <c r="R296" i="3"/>
  <c r="P296" i="3"/>
  <c r="O296" i="3"/>
  <c r="Q296" i="3"/>
  <c r="N296" i="3"/>
  <c r="M296" i="3"/>
  <c r="K296" i="3"/>
  <c r="V296" i="3"/>
  <c r="S296" i="3"/>
  <c r="R251" i="3"/>
  <c r="O251" i="3"/>
  <c r="N251" i="3"/>
  <c r="L251" i="3"/>
  <c r="V251" i="3"/>
  <c r="U251" i="3"/>
  <c r="Q251" i="3"/>
  <c r="P251" i="3"/>
  <c r="K251" i="3"/>
  <c r="S251" i="3"/>
  <c r="M251" i="3"/>
  <c r="T251" i="3"/>
  <c r="V54" i="3"/>
  <c r="Q54" i="3"/>
  <c r="L54" i="3"/>
  <c r="S54" i="3"/>
  <c r="R54" i="3"/>
  <c r="P54" i="3"/>
  <c r="O54" i="3"/>
  <c r="M54" i="3"/>
  <c r="K54" i="3"/>
  <c r="N54" i="3"/>
  <c r="U54" i="3"/>
  <c r="T54" i="3"/>
  <c r="T118" i="3"/>
  <c r="V118" i="3"/>
  <c r="S118" i="3"/>
  <c r="R118" i="3"/>
  <c r="Q118" i="3"/>
  <c r="P118" i="3"/>
  <c r="N118" i="3"/>
  <c r="M118" i="3"/>
  <c r="K118" i="3"/>
  <c r="U118" i="3"/>
  <c r="O118" i="3"/>
  <c r="L118" i="3"/>
  <c r="R257" i="3"/>
  <c r="O257" i="3"/>
  <c r="N257" i="3"/>
  <c r="L257" i="3"/>
  <c r="V257" i="3"/>
  <c r="U257" i="3"/>
  <c r="Q257" i="3"/>
  <c r="P257" i="3"/>
  <c r="K257" i="3"/>
  <c r="T257" i="3"/>
  <c r="S257" i="3"/>
  <c r="M257" i="3"/>
  <c r="R273" i="3"/>
  <c r="O273" i="3"/>
  <c r="N273" i="3"/>
  <c r="L273" i="3"/>
  <c r="V273" i="3"/>
  <c r="U273" i="3"/>
  <c r="T273" i="3"/>
  <c r="S273" i="3"/>
  <c r="Q273" i="3"/>
  <c r="M273" i="3"/>
  <c r="K273" i="3"/>
  <c r="P273" i="3"/>
  <c r="R265" i="3"/>
  <c r="O265" i="3"/>
  <c r="N265" i="3"/>
  <c r="L265" i="3"/>
  <c r="V265" i="3"/>
  <c r="U265" i="3"/>
  <c r="S265" i="3"/>
  <c r="Q265" i="3"/>
  <c r="M265" i="3"/>
  <c r="K265" i="3"/>
  <c r="T265" i="3"/>
  <c r="P265" i="3"/>
  <c r="P228" i="3"/>
  <c r="N228" i="3"/>
  <c r="M228" i="3"/>
  <c r="V228" i="3"/>
  <c r="U228" i="3"/>
  <c r="L228" i="3"/>
  <c r="K228" i="3"/>
  <c r="T228" i="3"/>
  <c r="S228" i="3"/>
  <c r="R228" i="3"/>
  <c r="Q228" i="3"/>
  <c r="O228" i="3"/>
  <c r="R301" i="3"/>
  <c r="Q301" i="3"/>
  <c r="P301" i="3"/>
  <c r="O301" i="3"/>
  <c r="N301" i="3"/>
  <c r="M301" i="3"/>
  <c r="L301" i="3"/>
  <c r="K301" i="3"/>
  <c r="V301" i="3"/>
  <c r="U301" i="3"/>
  <c r="T301" i="3"/>
  <c r="S301" i="3"/>
  <c r="V80" i="3"/>
  <c r="Q80" i="3"/>
  <c r="P80" i="3"/>
  <c r="O80" i="3"/>
  <c r="U80" i="3"/>
  <c r="T80" i="3"/>
  <c r="S80" i="3"/>
  <c r="R80" i="3"/>
  <c r="N80" i="3"/>
  <c r="M80" i="3"/>
  <c r="L80" i="3"/>
  <c r="K80" i="3"/>
  <c r="V60" i="3"/>
  <c r="N60" i="3"/>
  <c r="U60" i="3"/>
  <c r="Q60" i="3"/>
  <c r="P60" i="3"/>
  <c r="O60" i="3"/>
  <c r="M60" i="3"/>
  <c r="L60" i="3"/>
  <c r="K60" i="3"/>
  <c r="T60" i="3"/>
  <c r="S60" i="3"/>
  <c r="R60" i="3"/>
  <c r="N97" i="3"/>
  <c r="V97" i="3"/>
  <c r="U97" i="3"/>
  <c r="Q97" i="3"/>
  <c r="P97" i="3"/>
  <c r="T97" i="3"/>
  <c r="S97" i="3"/>
  <c r="R97" i="3"/>
  <c r="O97" i="3"/>
  <c r="M97" i="3"/>
  <c r="L97" i="3"/>
  <c r="K97" i="3"/>
  <c r="V34" i="3"/>
  <c r="K34" i="3"/>
  <c r="S34" i="3"/>
  <c r="R34" i="3"/>
  <c r="Q34" i="3"/>
  <c r="P34" i="3"/>
  <c r="N34" i="3"/>
  <c r="M34" i="3"/>
  <c r="L34" i="3"/>
  <c r="U34" i="3"/>
  <c r="T34" i="3"/>
  <c r="O34" i="3"/>
  <c r="P59" i="3"/>
  <c r="S59" i="3"/>
  <c r="M59" i="3"/>
  <c r="T59" i="3"/>
  <c r="R59" i="3"/>
  <c r="Q59" i="3"/>
  <c r="O59" i="3"/>
  <c r="N59" i="3"/>
  <c r="L59" i="3"/>
  <c r="K59" i="3"/>
  <c r="V59" i="3"/>
  <c r="U59" i="3"/>
  <c r="L13" i="3"/>
  <c r="S13" i="3"/>
  <c r="R13" i="3"/>
  <c r="Q13" i="3"/>
  <c r="O13" i="3"/>
  <c r="N13" i="3"/>
  <c r="M13" i="3"/>
  <c r="K13" i="3"/>
  <c r="V13" i="3"/>
  <c r="U13" i="3"/>
  <c r="T13" i="3"/>
  <c r="P13" i="3"/>
  <c r="R275" i="3"/>
  <c r="O275" i="3"/>
  <c r="N275" i="3"/>
  <c r="L275" i="3"/>
  <c r="V275" i="3"/>
  <c r="U275" i="3"/>
  <c r="Q275" i="3"/>
  <c r="P275" i="3"/>
  <c r="K275" i="3"/>
  <c r="T275" i="3"/>
  <c r="S275" i="3"/>
  <c r="M275" i="3"/>
  <c r="R271" i="3"/>
  <c r="O271" i="3"/>
  <c r="N271" i="3"/>
  <c r="L271" i="3"/>
  <c r="V271" i="3"/>
  <c r="U271" i="3"/>
  <c r="S271" i="3"/>
  <c r="Q271" i="3"/>
  <c r="M271" i="3"/>
  <c r="K271" i="3"/>
  <c r="P271" i="3"/>
  <c r="T271" i="3"/>
  <c r="L290" i="3"/>
  <c r="U290" i="3"/>
  <c r="T290" i="3"/>
  <c r="R290" i="3"/>
  <c r="P290" i="3"/>
  <c r="O290" i="3"/>
  <c r="Q290" i="3"/>
  <c r="N290" i="3"/>
  <c r="M290" i="3"/>
  <c r="K290" i="3"/>
  <c r="S290" i="3"/>
  <c r="V290" i="3"/>
  <c r="L177" i="3"/>
  <c r="V177" i="3"/>
  <c r="U177" i="3"/>
  <c r="K177" i="3"/>
  <c r="T177" i="3"/>
  <c r="S177" i="3"/>
  <c r="P177" i="3"/>
  <c r="R177" i="3"/>
  <c r="O177" i="3"/>
  <c r="N177" i="3"/>
  <c r="M177" i="3"/>
  <c r="Q177" i="3"/>
  <c r="R190" i="3"/>
  <c r="Q190" i="3"/>
  <c r="P190" i="3"/>
  <c r="O190" i="3"/>
  <c r="V190" i="3"/>
  <c r="U190" i="3"/>
  <c r="T190" i="3"/>
  <c r="S190" i="3"/>
  <c r="M190" i="3"/>
  <c r="N190" i="3"/>
  <c r="L190" i="3"/>
  <c r="K190" i="3"/>
  <c r="L292" i="3"/>
  <c r="U292" i="3"/>
  <c r="T292" i="3"/>
  <c r="R292" i="3"/>
  <c r="P292" i="3"/>
  <c r="O292" i="3"/>
  <c r="V292" i="3"/>
  <c r="S292" i="3"/>
  <c r="Q292" i="3"/>
  <c r="M292" i="3"/>
  <c r="K292" i="3"/>
  <c r="N292" i="3"/>
  <c r="R178" i="3"/>
  <c r="P178" i="3"/>
  <c r="O178" i="3"/>
  <c r="U178" i="3"/>
  <c r="T178" i="3"/>
  <c r="S178" i="3"/>
  <c r="M178" i="3"/>
  <c r="L178" i="3"/>
  <c r="K178" i="3"/>
  <c r="V178" i="3"/>
  <c r="Q178" i="3"/>
  <c r="N178" i="3"/>
  <c r="T126" i="3"/>
  <c r="V126" i="3"/>
  <c r="S126" i="3"/>
  <c r="L126" i="3"/>
  <c r="U126" i="3"/>
  <c r="R126" i="3"/>
  <c r="P126" i="3"/>
  <c r="O126" i="3"/>
  <c r="N126" i="3"/>
  <c r="K126" i="3"/>
  <c r="Q126" i="3"/>
  <c r="M126" i="3"/>
  <c r="T86" i="3"/>
  <c r="K86" i="3"/>
  <c r="R86" i="3"/>
  <c r="M86" i="3"/>
  <c r="V86" i="3"/>
  <c r="U86" i="3"/>
  <c r="S86" i="3"/>
  <c r="Q86" i="3"/>
  <c r="P86" i="3"/>
  <c r="O86" i="3"/>
  <c r="N86" i="3"/>
  <c r="L86" i="3"/>
  <c r="V38" i="3"/>
  <c r="Q38" i="3"/>
  <c r="L38" i="3"/>
  <c r="S38" i="3"/>
  <c r="R38" i="3"/>
  <c r="P38" i="3"/>
  <c r="O38" i="3"/>
  <c r="M38" i="3"/>
  <c r="K38" i="3"/>
  <c r="U38" i="3"/>
  <c r="T38" i="3"/>
  <c r="N38" i="3"/>
  <c r="L11" i="3"/>
  <c r="P11" i="3"/>
  <c r="O11" i="3"/>
  <c r="N11" i="3"/>
  <c r="K11" i="3"/>
  <c r="V11" i="3"/>
  <c r="U11" i="3"/>
  <c r="S11" i="3"/>
  <c r="R11" i="3"/>
  <c r="Q11" i="3"/>
  <c r="M11" i="3"/>
  <c r="T11" i="3"/>
  <c r="L282" i="3"/>
  <c r="U282" i="3"/>
  <c r="T282" i="3"/>
  <c r="R282" i="3"/>
  <c r="P282" i="3"/>
  <c r="O282" i="3"/>
  <c r="V282" i="3"/>
  <c r="S282" i="3"/>
  <c r="Q282" i="3"/>
  <c r="N282" i="3"/>
  <c r="M282" i="3"/>
  <c r="K282" i="3"/>
  <c r="R277" i="3"/>
  <c r="O277" i="3"/>
  <c r="N277" i="3"/>
  <c r="L277" i="3"/>
  <c r="V277" i="3"/>
  <c r="U277" i="3"/>
  <c r="S277" i="3"/>
  <c r="Q277" i="3"/>
  <c r="M277" i="3"/>
  <c r="K277" i="3"/>
  <c r="T277" i="3"/>
  <c r="P277" i="3"/>
  <c r="P224" i="3"/>
  <c r="N224" i="3"/>
  <c r="M224" i="3"/>
  <c r="V224" i="3"/>
  <c r="U224" i="3"/>
  <c r="L224" i="3"/>
  <c r="K224" i="3"/>
  <c r="T224" i="3"/>
  <c r="S224" i="3"/>
  <c r="R224" i="3"/>
  <c r="Q224" i="3"/>
  <c r="O224" i="3"/>
  <c r="L183" i="3"/>
  <c r="V183" i="3"/>
  <c r="U183" i="3"/>
  <c r="K183" i="3"/>
  <c r="T183" i="3"/>
  <c r="S183" i="3"/>
  <c r="P183" i="3"/>
  <c r="R183" i="3"/>
  <c r="O183" i="3"/>
  <c r="N183" i="3"/>
  <c r="Q183" i="3"/>
  <c r="M183" i="3"/>
  <c r="R259" i="3"/>
  <c r="O259" i="3"/>
  <c r="N259" i="3"/>
  <c r="L259" i="3"/>
  <c r="V259" i="3"/>
  <c r="U259" i="3"/>
  <c r="S259" i="3"/>
  <c r="Q259" i="3"/>
  <c r="M259" i="3"/>
  <c r="K259" i="3"/>
  <c r="T259" i="3"/>
  <c r="P259" i="3"/>
  <c r="Q240" i="3"/>
  <c r="P240" i="3"/>
  <c r="N240" i="3"/>
  <c r="M240" i="3"/>
  <c r="V240" i="3"/>
  <c r="U240" i="3"/>
  <c r="T240" i="3"/>
  <c r="S240" i="3"/>
  <c r="R240" i="3"/>
  <c r="O240" i="3"/>
  <c r="L240" i="3"/>
  <c r="K240" i="3"/>
  <c r="P214" i="3"/>
  <c r="M214" i="3"/>
  <c r="V214" i="3"/>
  <c r="L214" i="3"/>
  <c r="K214" i="3"/>
  <c r="U214" i="3"/>
  <c r="T214" i="3"/>
  <c r="S214" i="3"/>
  <c r="R214" i="3"/>
  <c r="Q214" i="3"/>
  <c r="O214" i="3"/>
  <c r="N214" i="3"/>
  <c r="Q234" i="3"/>
  <c r="P234" i="3"/>
  <c r="N234" i="3"/>
  <c r="M234" i="3"/>
  <c r="V234" i="3"/>
  <c r="U234" i="3"/>
  <c r="T234" i="3"/>
  <c r="S234" i="3"/>
  <c r="R234" i="3"/>
  <c r="O234" i="3"/>
  <c r="K234" i="3"/>
  <c r="L234" i="3"/>
  <c r="R267" i="3"/>
  <c r="O267" i="3"/>
  <c r="N267" i="3"/>
  <c r="L267" i="3"/>
  <c r="V267" i="3"/>
  <c r="U267" i="3"/>
  <c r="T267" i="3"/>
  <c r="S267" i="3"/>
  <c r="Q267" i="3"/>
  <c r="P267" i="3"/>
  <c r="M267" i="3"/>
  <c r="K267" i="3"/>
  <c r="L284" i="3"/>
  <c r="U284" i="3"/>
  <c r="T284" i="3"/>
  <c r="R284" i="3"/>
  <c r="P284" i="3"/>
  <c r="O284" i="3"/>
  <c r="Q284" i="3"/>
  <c r="N284" i="3"/>
  <c r="M284" i="3"/>
  <c r="K284" i="3"/>
  <c r="V284" i="3"/>
  <c r="S284" i="3"/>
  <c r="R253" i="3"/>
  <c r="O253" i="3"/>
  <c r="N253" i="3"/>
  <c r="L253" i="3"/>
  <c r="V253" i="3"/>
  <c r="U253" i="3"/>
  <c r="S253" i="3"/>
  <c r="Q253" i="3"/>
  <c r="M253" i="3"/>
  <c r="K253" i="3"/>
  <c r="P253" i="3"/>
  <c r="T253" i="3"/>
  <c r="Q242" i="3"/>
  <c r="P242" i="3"/>
  <c r="N242" i="3"/>
  <c r="M242" i="3"/>
  <c r="V242" i="3"/>
  <c r="U242" i="3"/>
  <c r="L242" i="3"/>
  <c r="K242" i="3"/>
  <c r="O242" i="3"/>
  <c r="T242" i="3"/>
  <c r="S242" i="3"/>
  <c r="R242" i="3"/>
  <c r="L280" i="3"/>
  <c r="U280" i="3"/>
  <c r="T280" i="3"/>
  <c r="R280" i="3"/>
  <c r="P280" i="3"/>
  <c r="O280" i="3"/>
  <c r="V280" i="3"/>
  <c r="S280" i="3"/>
  <c r="Q280" i="3"/>
  <c r="M280" i="3"/>
  <c r="K280" i="3"/>
  <c r="N280" i="3"/>
  <c r="P218" i="3"/>
  <c r="M218" i="3"/>
  <c r="V218" i="3"/>
  <c r="R218" i="3"/>
  <c r="Q218" i="3"/>
  <c r="O218" i="3"/>
  <c r="N218" i="3"/>
  <c r="K218" i="3"/>
  <c r="U218" i="3"/>
  <c r="T218" i="3"/>
  <c r="S218" i="3"/>
  <c r="L218" i="3"/>
  <c r="L185" i="3"/>
  <c r="V185" i="3"/>
  <c r="U185" i="3"/>
  <c r="T185" i="3"/>
  <c r="S185" i="3"/>
  <c r="Q185" i="3"/>
  <c r="P185" i="3"/>
  <c r="O185" i="3"/>
  <c r="N185" i="3"/>
  <c r="K185" i="3"/>
  <c r="R185" i="3"/>
  <c r="M185" i="3"/>
  <c r="R137" i="3"/>
  <c r="N137" i="3"/>
  <c r="L137" i="3"/>
  <c r="K137" i="3"/>
  <c r="P137" i="3"/>
  <c r="S137" i="3"/>
  <c r="Q137" i="3"/>
  <c r="O137" i="3"/>
  <c r="V137" i="3"/>
  <c r="U137" i="3"/>
  <c r="T137" i="3"/>
  <c r="M137" i="3"/>
  <c r="V42" i="3"/>
  <c r="K42" i="3"/>
  <c r="R42" i="3"/>
  <c r="U42" i="3"/>
  <c r="T42" i="3"/>
  <c r="S42" i="3"/>
  <c r="Q42" i="3"/>
  <c r="O42" i="3"/>
  <c r="N42" i="3"/>
  <c r="M42" i="3"/>
  <c r="L42" i="3"/>
  <c r="P42" i="3"/>
  <c r="L294" i="3"/>
  <c r="U294" i="3"/>
  <c r="T294" i="3"/>
  <c r="R294" i="3"/>
  <c r="P294" i="3"/>
  <c r="O294" i="3"/>
  <c r="V294" i="3"/>
  <c r="S294" i="3"/>
  <c r="Q294" i="3"/>
  <c r="N294" i="3"/>
  <c r="M294" i="3"/>
  <c r="K294" i="3"/>
  <c r="R247" i="3"/>
  <c r="O247" i="3"/>
  <c r="N247" i="3"/>
  <c r="L247" i="3"/>
  <c r="V247" i="3"/>
  <c r="U247" i="3"/>
  <c r="S247" i="3"/>
  <c r="Q247" i="3"/>
  <c r="K247" i="3"/>
  <c r="T247" i="3"/>
  <c r="P247" i="3"/>
  <c r="M247" i="3"/>
  <c r="P212" i="3"/>
  <c r="M212" i="3"/>
  <c r="V212" i="3"/>
  <c r="R212" i="3"/>
  <c r="Q212" i="3"/>
  <c r="O212" i="3"/>
  <c r="N212" i="3"/>
  <c r="K212" i="3"/>
  <c r="U212" i="3"/>
  <c r="T212" i="3"/>
  <c r="S212" i="3"/>
  <c r="L212" i="3"/>
  <c r="T132" i="3"/>
  <c r="R132" i="3"/>
  <c r="Q132" i="3"/>
  <c r="P132" i="3"/>
  <c r="V132" i="3"/>
  <c r="L132" i="3"/>
  <c r="K132" i="3"/>
  <c r="M132" i="3"/>
  <c r="S132" i="3"/>
  <c r="U132" i="3"/>
  <c r="O132" i="3"/>
  <c r="N132" i="3"/>
  <c r="T120" i="3"/>
  <c r="L120" i="3"/>
  <c r="O120" i="3"/>
  <c r="Q120" i="3"/>
  <c r="P120" i="3"/>
  <c r="N120" i="3"/>
  <c r="K120" i="3"/>
  <c r="M120" i="3"/>
  <c r="U120" i="3"/>
  <c r="V120" i="3"/>
  <c r="S120" i="3"/>
  <c r="R120" i="3"/>
  <c r="T102" i="3"/>
  <c r="V102" i="3"/>
  <c r="N102" i="3"/>
  <c r="M102" i="3"/>
  <c r="S102" i="3"/>
  <c r="R102" i="3"/>
  <c r="O102" i="3"/>
  <c r="Q102" i="3"/>
  <c r="P102" i="3"/>
  <c r="L102" i="3"/>
  <c r="K102" i="3"/>
  <c r="U102" i="3"/>
  <c r="V20" i="3"/>
  <c r="N20" i="3"/>
  <c r="S20" i="3"/>
  <c r="R20" i="3"/>
  <c r="Q20" i="3"/>
  <c r="P20" i="3"/>
  <c r="M20" i="3"/>
  <c r="L20" i="3"/>
  <c r="K20" i="3"/>
  <c r="U20" i="3"/>
  <c r="T20" i="3"/>
  <c r="O20" i="3"/>
  <c r="N111" i="3"/>
  <c r="Q111" i="3"/>
  <c r="O111" i="3"/>
  <c r="S111" i="3"/>
  <c r="U111" i="3"/>
  <c r="T111" i="3"/>
  <c r="M111" i="3"/>
  <c r="V111" i="3"/>
  <c r="R111" i="3"/>
  <c r="P111" i="3"/>
  <c r="L111" i="3"/>
  <c r="K111" i="3"/>
  <c r="T114" i="3"/>
  <c r="O114" i="3"/>
  <c r="M114" i="3"/>
  <c r="P114" i="3"/>
  <c r="N114" i="3"/>
  <c r="K114" i="3"/>
  <c r="V114" i="3"/>
  <c r="R114" i="3"/>
  <c r="U114" i="3"/>
  <c r="S114" i="3"/>
  <c r="Q114" i="3"/>
  <c r="L114" i="3"/>
  <c r="R169" i="3"/>
  <c r="Q169" i="3"/>
  <c r="N169" i="3"/>
  <c r="M169" i="3"/>
  <c r="V169" i="3"/>
  <c r="T169" i="3"/>
  <c r="S169" i="3"/>
  <c r="P169" i="3"/>
  <c r="O169" i="3"/>
  <c r="K169" i="3"/>
  <c r="U169" i="3"/>
  <c r="L169" i="3"/>
  <c r="P222" i="3"/>
  <c r="N222" i="3"/>
  <c r="M222" i="3"/>
  <c r="V222" i="3"/>
  <c r="U222" i="3"/>
  <c r="L222" i="3"/>
  <c r="K222" i="3"/>
  <c r="T222" i="3"/>
  <c r="S222" i="3"/>
  <c r="R222" i="3"/>
  <c r="Q222" i="3"/>
  <c r="O222" i="3"/>
  <c r="P43" i="3"/>
  <c r="S43" i="3"/>
  <c r="M43" i="3"/>
  <c r="T43" i="3"/>
  <c r="R43" i="3"/>
  <c r="Q43" i="3"/>
  <c r="O43" i="3"/>
  <c r="L43" i="3"/>
  <c r="K43" i="3"/>
  <c r="V43" i="3"/>
  <c r="U43" i="3"/>
  <c r="N43" i="3"/>
  <c r="R141" i="3"/>
  <c r="N141" i="3"/>
  <c r="L141" i="3"/>
  <c r="K141" i="3"/>
  <c r="P141" i="3"/>
  <c r="V141" i="3"/>
  <c r="U141" i="3"/>
  <c r="T141" i="3"/>
  <c r="Q141" i="3"/>
  <c r="O141" i="3"/>
  <c r="M141" i="3"/>
  <c r="S141" i="3"/>
  <c r="R255" i="3"/>
  <c r="O255" i="3"/>
  <c r="N255" i="3"/>
  <c r="L255" i="3"/>
  <c r="V255" i="3"/>
  <c r="U255" i="3"/>
  <c r="T255" i="3"/>
  <c r="S255" i="3"/>
  <c r="Q255" i="3"/>
  <c r="M255" i="3"/>
  <c r="K255" i="3"/>
  <c r="P255" i="3"/>
  <c r="Q230" i="3"/>
  <c r="P230" i="3"/>
  <c r="N230" i="3"/>
  <c r="M230" i="3"/>
  <c r="V230" i="3"/>
  <c r="U230" i="3"/>
  <c r="L230" i="3"/>
  <c r="K230" i="3"/>
  <c r="T230" i="3"/>
  <c r="S230" i="3"/>
  <c r="R230" i="3"/>
  <c r="O230" i="3"/>
  <c r="P75" i="3"/>
  <c r="S75" i="3"/>
  <c r="M75" i="3"/>
  <c r="L75" i="3"/>
  <c r="U75" i="3"/>
  <c r="T75" i="3"/>
  <c r="R75" i="3"/>
  <c r="Q75" i="3"/>
  <c r="O75" i="3"/>
  <c r="N75" i="3"/>
  <c r="K75" i="3"/>
  <c r="V75" i="3"/>
  <c r="R261" i="3"/>
  <c r="O261" i="3"/>
  <c r="N261" i="3"/>
  <c r="L261" i="3"/>
  <c r="V261" i="3"/>
  <c r="U261" i="3"/>
  <c r="T261" i="3"/>
  <c r="S261" i="3"/>
  <c r="Q261" i="3"/>
  <c r="P261" i="3"/>
  <c r="M261" i="3"/>
  <c r="K261" i="3"/>
  <c r="R182" i="3"/>
  <c r="P182" i="3"/>
  <c r="O182" i="3"/>
  <c r="M182" i="3"/>
  <c r="L182" i="3"/>
  <c r="T182" i="3"/>
  <c r="V182" i="3"/>
  <c r="U182" i="3"/>
  <c r="S182" i="3"/>
  <c r="Q182" i="3"/>
  <c r="K182" i="3"/>
  <c r="N182" i="3"/>
  <c r="T122" i="3"/>
  <c r="O122" i="3"/>
  <c r="M122" i="3"/>
  <c r="R122" i="3"/>
  <c r="K122" i="3"/>
  <c r="V122" i="3"/>
  <c r="U122" i="3"/>
  <c r="L122" i="3"/>
  <c r="S122" i="3"/>
  <c r="Q122" i="3"/>
  <c r="P122" i="3"/>
  <c r="N122" i="3"/>
  <c r="N87" i="3"/>
  <c r="S87" i="3"/>
  <c r="M87" i="3"/>
  <c r="T87" i="3"/>
  <c r="R87" i="3"/>
  <c r="V87" i="3"/>
  <c r="U87" i="3"/>
  <c r="Q87" i="3"/>
  <c r="P87" i="3"/>
  <c r="O87" i="3"/>
  <c r="L87" i="3"/>
  <c r="K87" i="3"/>
  <c r="L7" i="3"/>
  <c r="V7" i="3"/>
  <c r="U7" i="3"/>
  <c r="S7" i="3"/>
  <c r="R7" i="3"/>
  <c r="Q7" i="3"/>
  <c r="P7" i="3"/>
  <c r="T7" i="3"/>
  <c r="O7" i="3"/>
  <c r="N7" i="3"/>
  <c r="M7" i="3"/>
  <c r="K7" i="3"/>
  <c r="L288" i="3"/>
  <c r="U288" i="3"/>
  <c r="T288" i="3"/>
  <c r="R288" i="3"/>
  <c r="P288" i="3"/>
  <c r="O288" i="3"/>
  <c r="V288" i="3"/>
  <c r="S288" i="3"/>
  <c r="Q288" i="3"/>
  <c r="N288" i="3"/>
  <c r="K288" i="3"/>
  <c r="M288" i="3"/>
  <c r="R269" i="3"/>
  <c r="O269" i="3"/>
  <c r="N269" i="3"/>
  <c r="L269" i="3"/>
  <c r="V269" i="3"/>
  <c r="U269" i="3"/>
  <c r="Q269" i="3"/>
  <c r="P269" i="3"/>
  <c r="K269" i="3"/>
  <c r="S269" i="3"/>
  <c r="M269" i="3"/>
  <c r="T269" i="3"/>
  <c r="P226" i="3"/>
  <c r="N226" i="3"/>
  <c r="M226" i="3"/>
  <c r="V226" i="3"/>
  <c r="U226" i="3"/>
  <c r="L226" i="3"/>
  <c r="K226" i="3"/>
  <c r="T226" i="3"/>
  <c r="Q226" i="3"/>
  <c r="O226" i="3"/>
  <c r="S226" i="3"/>
  <c r="R226" i="3"/>
  <c r="P85" i="3"/>
  <c r="K85" i="3"/>
  <c r="Q85" i="3"/>
  <c r="V85" i="3"/>
  <c r="U85" i="3"/>
  <c r="T85" i="3"/>
  <c r="S85" i="3"/>
  <c r="R85" i="3"/>
  <c r="O85" i="3"/>
  <c r="N85" i="3"/>
  <c r="M85" i="3"/>
  <c r="L85" i="3"/>
  <c r="R173" i="3"/>
  <c r="Q173" i="3"/>
  <c r="N173" i="3"/>
  <c r="M173" i="3"/>
  <c r="V173" i="3"/>
  <c r="U173" i="3"/>
  <c r="T173" i="3"/>
  <c r="S173" i="3"/>
  <c r="O173" i="3"/>
  <c r="L173" i="3"/>
  <c r="P173" i="3"/>
  <c r="K173" i="3"/>
  <c r="R165" i="3"/>
  <c r="Q165" i="3"/>
  <c r="N165" i="3"/>
  <c r="M165" i="3"/>
  <c r="V165" i="3"/>
  <c r="U165" i="3"/>
  <c r="T165" i="3"/>
  <c r="S165" i="3"/>
  <c r="O165" i="3"/>
  <c r="L165" i="3"/>
  <c r="P165" i="3"/>
  <c r="K165" i="3"/>
  <c r="V78" i="3"/>
  <c r="Q78" i="3"/>
  <c r="P78" i="3"/>
  <c r="K78" i="3"/>
  <c r="U78" i="3"/>
  <c r="T78" i="3"/>
  <c r="S78" i="3"/>
  <c r="R78" i="3"/>
  <c r="O78" i="3"/>
  <c r="N78" i="3"/>
  <c r="M78" i="3"/>
  <c r="L78" i="3"/>
  <c r="V36" i="3"/>
  <c r="N36" i="3"/>
  <c r="L36" i="3"/>
  <c r="K36" i="3"/>
  <c r="T36" i="3"/>
  <c r="S36" i="3"/>
  <c r="R36" i="3"/>
  <c r="Q36" i="3"/>
  <c r="P36" i="3"/>
  <c r="U36" i="3"/>
  <c r="O36" i="3"/>
  <c r="M36" i="3"/>
  <c r="T96" i="3"/>
  <c r="N96" i="3"/>
  <c r="M96" i="3"/>
  <c r="V96" i="3"/>
  <c r="R96" i="3"/>
  <c r="K96" i="3"/>
  <c r="Q96" i="3"/>
  <c r="P96" i="3"/>
  <c r="O96" i="3"/>
  <c r="L96" i="3"/>
  <c r="U96" i="3"/>
  <c r="S96" i="3"/>
  <c r="U175" i="3"/>
  <c r="R175" i="3"/>
  <c r="Q175" i="3"/>
  <c r="N175" i="3"/>
  <c r="M175" i="3"/>
  <c r="V175" i="3"/>
  <c r="T175" i="3"/>
  <c r="P175" i="3"/>
  <c r="O175" i="3"/>
  <c r="K175" i="3"/>
  <c r="S175" i="3"/>
  <c r="L175" i="3"/>
  <c r="V84" i="3"/>
  <c r="Q84" i="3"/>
  <c r="T84" i="3"/>
  <c r="N84" i="3"/>
  <c r="M84" i="3"/>
  <c r="U84" i="3"/>
  <c r="S84" i="3"/>
  <c r="R84" i="3"/>
  <c r="P84" i="3"/>
  <c r="O84" i="3"/>
  <c r="L84" i="3"/>
  <c r="K84" i="3"/>
  <c r="P51" i="3"/>
  <c r="S51" i="3"/>
  <c r="M51" i="3"/>
  <c r="K51" i="3"/>
  <c r="U51" i="3"/>
  <c r="T51" i="3"/>
  <c r="R51" i="3"/>
  <c r="Q51" i="3"/>
  <c r="O51" i="3"/>
  <c r="V51" i="3"/>
  <c r="N51" i="3"/>
  <c r="L51" i="3"/>
  <c r="R249" i="3"/>
  <c r="O249" i="3"/>
  <c r="N249" i="3"/>
  <c r="L249" i="3"/>
  <c r="V249" i="3"/>
  <c r="U249" i="3"/>
  <c r="S249" i="3"/>
  <c r="Q249" i="3"/>
  <c r="T249" i="3"/>
  <c r="P249" i="3"/>
  <c r="M249" i="3"/>
  <c r="K249" i="3"/>
  <c r="R263" i="3"/>
  <c r="O263" i="3"/>
  <c r="N263" i="3"/>
  <c r="L263" i="3"/>
  <c r="V263" i="3"/>
  <c r="U263" i="3"/>
  <c r="Q263" i="3"/>
  <c r="P263" i="3"/>
  <c r="K263" i="3"/>
  <c r="T263" i="3"/>
  <c r="S263" i="3"/>
  <c r="M263" i="3"/>
  <c r="R151" i="3"/>
  <c r="N151" i="3"/>
  <c r="M151" i="3"/>
  <c r="O151" i="3"/>
  <c r="L151" i="3"/>
  <c r="K151" i="3"/>
  <c r="T151" i="3"/>
  <c r="S151" i="3"/>
  <c r="U151" i="3"/>
  <c r="V151" i="3"/>
  <c r="Q151" i="3"/>
  <c r="P151" i="3"/>
  <c r="V44" i="3"/>
  <c r="N44" i="3"/>
  <c r="U44" i="3"/>
  <c r="Q44" i="3"/>
  <c r="P44" i="3"/>
  <c r="O44" i="3"/>
  <c r="M44" i="3"/>
  <c r="K44" i="3"/>
  <c r="T44" i="3"/>
  <c r="S44" i="3"/>
  <c r="R44" i="3"/>
  <c r="L4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Calibri"/>
            <scheme val="minor"/>
          </rPr>
          <t>======
ID#AAABtVqjRpo
Johannes Rodenbach    (2025-10-30 15:05:26)
BELANGRIJK: de data voor de fusiegemeenten moet nog aangevuld worden! Nu is enkel de data van één van de gefuseerde gemeenten opgenomen voor alle data tot december 2024. UITZONDERING: voor 'aantal deelwagens jun 2024' en 'aantal e-deelwagens jun 2024' zijn de cijfers van de fusiegemeenten wel al opgeteld</t>
        </r>
      </text>
    </comment>
    <comment ref="N67" authorId="0" shapeId="0" xr:uid="{00000000-0006-0000-0000-000003000000}">
      <text>
        <r>
          <rPr>
            <sz val="11"/>
            <color theme="1"/>
            <rFont val="Calibri"/>
            <scheme val="minor"/>
          </rPr>
          <t>======
ID#AAAA60aM2A8
tc={A9D9A394-359A-46B2-A5CE-72A1976373C2}    (2023-10-09 14:35:36)
[Threaded comment]
Your version of Excel allows you to read this threaded comment; however, any edits to it will get removed if the file is opened in a newer version of Excel. Learn more: https://go.microsoft.com/fwlink/?linkid=870924
Comment:
    9 Poppy-wagens: zal niet permanent zijn want er is een kantoor van d'Ieteren in Kortenberg</t>
        </r>
      </text>
    </comment>
    <comment ref="AB91" authorId="0" shapeId="0" xr:uid="{00000000-0006-0000-0000-000002000000}">
      <text>
        <r>
          <rPr>
            <sz val="11"/>
            <color theme="1"/>
            <rFont val="Calibri"/>
            <scheme val="minor"/>
          </rPr>
          <t>======
ID#AAABcszDJBE
Johannes Rodenbach    (2025-01-24 14:00:30)
Er stond initieel 15, en dat is ook zo gerapporteerd aan ABB. In de formule was voor cambio foutief het aantal van Roeselare opgenomen ipv Ronse, waardoor er 10 deelauto's te veel geteld zijn. De stad heeft ons dit gemeld in januari 2025. Meegeven aan ABB bij rapportage van december 2024</t>
        </r>
      </text>
    </comment>
  </commentList>
  <extLst>
    <ext xmlns:r="http://schemas.openxmlformats.org/officeDocument/2006/relationships" uri="GoogleSheetsCustomDataVersion2">
      <go:sheetsCustomData xmlns:go="http://customooxmlschemas.google.com/" r:id="rId1" roundtripDataSignature="AMtx7mi4aAtvzUNhdrhbOOYiTDiGFez0b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300-000001000000}">
      <text>
        <r>
          <rPr>
            <sz val="11"/>
            <color theme="1"/>
            <rFont val="Calibri"/>
            <scheme val="minor"/>
          </rPr>
          <t>======
ID#AAAB0j27kyg
Johannes Rodenbach    (2026-02-19 13:41:08)
Onder voorbehoud dat cijfers van Claus2you correct zijn</t>
        </r>
      </text>
    </comment>
  </commentList>
  <extLst>
    <ext xmlns:r="http://schemas.openxmlformats.org/officeDocument/2006/relationships" uri="GoogleSheetsCustomDataVersion2">
      <go:sheetsCustomData xmlns:go="http://customooxmlschemas.google.com/" r:id="rId1" roundtripDataSignature="AMtx7mjawXc8OCBeH1wyRRLd9DZKsMhF9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9" authorId="0" shapeId="0" xr:uid="{00000000-0006-0000-1000-000001000000}">
      <text>
        <r>
          <rPr>
            <sz val="11"/>
            <color theme="1"/>
            <rFont val="Calibri"/>
            <scheme val="minor"/>
          </rPr>
          <t>======
ID#AAABvP4mXbo
Johannes Rodenbach    (2025-11-06 15:12:38)
Data uit download kaart lijkt onderschatting te zijn, vermoedelijk omdat er op dat moment heel wat auto's aan het rondrijden waren, en dus niet geteld worden. Daarom geopteerd om cijfers van december 2024 over te nemen.</t>
        </r>
      </text>
    </comment>
  </commentList>
  <extLst>
    <ext xmlns:r="http://schemas.openxmlformats.org/officeDocument/2006/relationships" uri="GoogleSheetsCustomDataVersion2">
      <go:sheetsCustomData xmlns:go="http://customooxmlschemas.google.com/" r:id="rId1" roundtripDataSignature="AMtx7miT1wb1Aw6qJSvgvfv97WOpVZiaJA=="/>
    </ext>
  </extLst>
</comments>
</file>

<file path=xl/sharedStrings.xml><?xml version="1.0" encoding="utf-8"?>
<sst xmlns="http://schemas.openxmlformats.org/spreadsheetml/2006/main" count="10100" uniqueCount="422">
  <si>
    <t>GEMEENTE</t>
  </si>
  <si>
    <t>PROVINCIE</t>
  </si>
  <si>
    <t>NIS-CODE</t>
  </si>
  <si>
    <t>INWONERS 2022 (STATBEL - OFFICIËLE STATISTIEK)</t>
  </si>
  <si>
    <t>INWONERS 01/01/2023 (STATBEL - OFFICIËLE STATISTIEK)</t>
  </si>
  <si>
    <t>INWONERS 01/01/2024 (STATBEL - OFFICIËLE STATISTIEK)</t>
  </si>
  <si>
    <t>INWONERS 01/01/2025 (STATBEL - OFFICIËLE STATISTIEK)</t>
  </si>
  <si>
    <t>AANTAL DEELWAGENS JANUARI 2022</t>
  </si>
  <si>
    <t>AANTAL e-DEELWAGENS JANUARI 2022</t>
  </si>
  <si>
    <t>AANTAL DEELWAGENS PER 1.000 JAN 2022</t>
  </si>
  <si>
    <t>AANTAL DEELWAGENS OKTOBER 2022</t>
  </si>
  <si>
    <t>AANTAL e-DEELWAGENS OKTOBER 2022</t>
  </si>
  <si>
    <t>AANTAL DEELWAGENS PER 1.000 OKT 2022</t>
  </si>
  <si>
    <t>AANTAL DEELWAGENS JUNI 2023</t>
  </si>
  <si>
    <t>AANTAL e-DEELWAGENS JUNI 2023</t>
  </si>
  <si>
    <t>AANTAL DEELWAGENS PER 1.000 JUN 2023</t>
  </si>
  <si>
    <t>AANTAL e-DEELWAGENS PER 1.000 JUN 2023</t>
  </si>
  <si>
    <t>GROEI aantal deelwagens jan '22 - jun '23</t>
  </si>
  <si>
    <t>GROEI aantal deelwagens per 1.000 inw jan '22 - jun '23</t>
  </si>
  <si>
    <t>GROEI aantal deelwagens okt '22 - jun '23</t>
  </si>
  <si>
    <t>GROEI aantal deelwagens per 1.000 inw okt '22 - jun '23</t>
  </si>
  <si>
    <t>AANTAL PARTICULIERE DEELWAGENS JUN 2023</t>
  </si>
  <si>
    <t>AANTAL PARTICULIERE DEELWAGENS PER 1.000 JUN 2023</t>
  </si>
  <si>
    <t>AANTAL DEELWAGENS DECEMBER 2023</t>
  </si>
  <si>
    <t>AANTAL e-DEELWAGENS DECEMBER 2023</t>
  </si>
  <si>
    <t>AANTAL DEELWAGENS PER 1.000 DEC 2023</t>
  </si>
  <si>
    <t>AANTAL e-DEELWAGENS PER 1.000 DEC 2023</t>
  </si>
  <si>
    <t>AANTAL DEELWAGENS JUNI 2024</t>
  </si>
  <si>
    <t>AANTAL e-DEELWAGENS JUNI 2024</t>
  </si>
  <si>
    <t>AANTAL DEELWAGENS PER 1.000 JUN 2024</t>
  </si>
  <si>
    <t>AANTAL e-DEELWAGENS PER 1.000 JUN 2024</t>
  </si>
  <si>
    <t>AANTAL DEELWAGENS DEC 2024</t>
  </si>
  <si>
    <t>AANTAL e-DEELWAGENS DEC 2024</t>
  </si>
  <si>
    <t>AANTAL DEELWAGENS PER 1.000 DEC 2024</t>
  </si>
  <si>
    <t>AANTAL e-DEELWAGENS PER 1.000 DEC 2024</t>
  </si>
  <si>
    <t>AANTAL DEELWAGENS JUN 2025</t>
  </si>
  <si>
    <t>AANTAL e-DEELWAGENS JUN 2025</t>
  </si>
  <si>
    <t>AANTAL DEELWAGENS PER 1.000 JUN 2025</t>
  </si>
  <si>
    <t>AANTAL e-DEELWAGENS PER 1.000 JUN 2025</t>
  </si>
  <si>
    <t>VERSCHIL AANTAL DEELWAGENS JUN 25 - JUN 24</t>
  </si>
  <si>
    <t>GROEI/DALING AANTAL DEELWAGENS JUN 25 - JUN 24</t>
  </si>
  <si>
    <t>AANTAL DEELWAGENS DEC 2025</t>
  </si>
  <si>
    <t>AANTAL e-DEELWAGENS DEC 2025</t>
  </si>
  <si>
    <t>AANTAL DEELWAGENS PER 1.000 DEC 2025</t>
  </si>
  <si>
    <t>AANTAL e-DEELWAGENS PER 1.000 DEC 2025</t>
  </si>
  <si>
    <t>VERSCHIL AANTAL DEELWAGENS DEC 25 - DEC 24</t>
  </si>
  <si>
    <t>AANTAL DEELWAGENS NODIG IN 2030 OBV INWONERS 2024</t>
  </si>
  <si>
    <t>EXTRA BENODIGDE DEELWAGENS TEGEN 2030 (OBV DEC 2024)</t>
  </si>
  <si>
    <t>Antwerpen</t>
  </si>
  <si>
    <t>Gent</t>
  </si>
  <si>
    <t>Oost-Vlaanderen</t>
  </si>
  <si>
    <t>Leuven</t>
  </si>
  <si>
    <t>Vlaams-Brabant</t>
  </si>
  <si>
    <t>Mechelen</t>
  </si>
  <si>
    <t>Brugge</t>
  </si>
  <si>
    <t>West-Vlaanderen</t>
  </si>
  <si>
    <t>Kortrijk</t>
  </si>
  <si>
    <t>Sint-Niklaas</t>
  </si>
  <si>
    <t>Hasselt</t>
  </si>
  <si>
    <t>Limburg</t>
  </si>
  <si>
    <t>Merelbeke-Melle</t>
  </si>
  <si>
    <t>Turnhout</t>
  </si>
  <si>
    <t>Deinze</t>
  </si>
  <si>
    <t>Roeselare</t>
  </si>
  <si>
    <t>Oostende</t>
  </si>
  <si>
    <t>Aalst</t>
  </si>
  <si>
    <t>Mortsel</t>
  </si>
  <si>
    <t>Beveren-Kruibeke-Zwijndrecht</t>
  </si>
  <si>
    <t>Lier</t>
  </si>
  <si>
    <t>Herent</t>
  </si>
  <si>
    <t>Halle</t>
  </si>
  <si>
    <t>Destelbergen</t>
  </si>
  <si>
    <t>Lokeren</t>
  </si>
  <si>
    <t>Harelbeke</t>
  </si>
  <si>
    <t>Vilvoorde</t>
  </si>
  <si>
    <t>Nazareth-De Pinte</t>
  </si>
  <si>
    <t>Ieper</t>
  </si>
  <si>
    <t>Oudenaarde</t>
  </si>
  <si>
    <t>Rotselaar</t>
  </si>
  <si>
    <t>Oostkamp</t>
  </si>
  <si>
    <t>Dendermonde</t>
  </si>
  <si>
    <t>Landen</t>
  </si>
  <si>
    <t>Lievegem</t>
  </si>
  <si>
    <t>Herentals</t>
  </si>
  <si>
    <t>Aarschot</t>
  </si>
  <si>
    <t>Dilbeek</t>
  </si>
  <si>
    <t>Holsbeek</t>
  </si>
  <si>
    <t>Tervuren</t>
  </si>
  <si>
    <t>Diest</t>
  </si>
  <si>
    <t>Wetteren</t>
  </si>
  <si>
    <t>Evergem</t>
  </si>
  <si>
    <t>Geel</t>
  </si>
  <si>
    <t>Haacht</t>
  </si>
  <si>
    <t>Torhout</t>
  </si>
  <si>
    <t>Puurs-Sint-Amands</t>
  </si>
  <si>
    <t>Genk</t>
  </si>
  <si>
    <t>Damme</t>
  </si>
  <si>
    <t>Bonheiden</t>
  </si>
  <si>
    <t>Poperinge</t>
  </si>
  <si>
    <t>Blankenberge</t>
  </si>
  <si>
    <t>Koksijde</t>
  </si>
  <si>
    <t>Westerlo</t>
  </si>
  <si>
    <t>Tielt</t>
  </si>
  <si>
    <t>Knokke-Heist</t>
  </si>
  <si>
    <t>Tienen</t>
  </si>
  <si>
    <t>Zaventem</t>
  </si>
  <si>
    <t>Brasschaat</t>
  </si>
  <si>
    <t>Grimbergen</t>
  </si>
  <si>
    <t>Heist-op-den-Berg</t>
  </si>
  <si>
    <t>Bierbeek</t>
  </si>
  <si>
    <t>Oud-Heverlee</t>
  </si>
  <si>
    <t>Zulte</t>
  </si>
  <si>
    <t>Beernem</t>
  </si>
  <si>
    <t>Herzele</t>
  </si>
  <si>
    <t>Lebbeke</t>
  </si>
  <si>
    <t>Wingene</t>
  </si>
  <si>
    <t>Erpe-Mere</t>
  </si>
  <si>
    <t>Kortenberg</t>
  </si>
  <si>
    <t>Eeklo</t>
  </si>
  <si>
    <t>Zemst</t>
  </si>
  <si>
    <t>Zottegem</t>
  </si>
  <si>
    <t>Oosterzele</t>
  </si>
  <si>
    <t>Kruisem</t>
  </si>
  <si>
    <t>Edegem</t>
  </si>
  <si>
    <t>Nijlen</t>
  </si>
  <si>
    <t>Balen</t>
  </si>
  <si>
    <t>Lommel</t>
  </si>
  <si>
    <t>Hamme</t>
  </si>
  <si>
    <t>Beersel</t>
  </si>
  <si>
    <t>Izegem</t>
  </si>
  <si>
    <t>Menen</t>
  </si>
  <si>
    <t>Asse</t>
  </si>
  <si>
    <t>Sint-Pieters-Leeuw</t>
  </si>
  <si>
    <t>Tongeren-Borgloon</t>
  </si>
  <si>
    <t>Huldenberg</t>
  </si>
  <si>
    <t>De Panne</t>
  </si>
  <si>
    <t>Berlaar</t>
  </si>
  <si>
    <t>Zonnebeke</t>
  </si>
  <si>
    <t>Kortemark</t>
  </si>
  <si>
    <t>Lubbeek</t>
  </si>
  <si>
    <t>Duffel</t>
  </si>
  <si>
    <t>Ronse</t>
  </si>
  <si>
    <t>Willebroek</t>
  </si>
  <si>
    <t>Wevelgem</t>
  </si>
  <si>
    <t>Geraardsbergen</t>
  </si>
  <si>
    <t>Mol</t>
  </si>
  <si>
    <t>Waregem</t>
  </si>
  <si>
    <t>Tessenderlo-Ham</t>
  </si>
  <si>
    <t>Sint-Martens-Latem</t>
  </si>
  <si>
    <t>Zwalm</t>
  </si>
  <si>
    <t>Hooglede</t>
  </si>
  <si>
    <t>Wijnegem</t>
  </si>
  <si>
    <t>Nieuwpoort</t>
  </si>
  <si>
    <t>Hoeilaart</t>
  </si>
  <si>
    <t>Staden</t>
  </si>
  <si>
    <t>Laarne</t>
  </si>
  <si>
    <t>Deerlijk</t>
  </si>
  <si>
    <t>Boortmeerbeek</t>
  </si>
  <si>
    <t>Kuurne</t>
  </si>
  <si>
    <t>Oud-Turnhout</t>
  </si>
  <si>
    <t>Rumst</t>
  </si>
  <si>
    <t>Lille</t>
  </si>
  <si>
    <t>Wemmel</t>
  </si>
  <si>
    <t>Kalmthout</t>
  </si>
  <si>
    <t>Zedelgem</t>
  </si>
  <si>
    <t>Maldegem</t>
  </si>
  <si>
    <t>Temse</t>
  </si>
  <si>
    <t>Heuvelland</t>
  </si>
  <si>
    <t>Dentergem</t>
  </si>
  <si>
    <t>Schelle</t>
  </si>
  <si>
    <t>Boutersem</t>
  </si>
  <si>
    <t>Ledegem</t>
  </si>
  <si>
    <t>Meerhout</t>
  </si>
  <si>
    <t>Hulshout</t>
  </si>
  <si>
    <t>Moorslede</t>
  </si>
  <si>
    <t>Veurne</t>
  </si>
  <si>
    <t>Keerbergen</t>
  </si>
  <si>
    <t>Assenede</t>
  </si>
  <si>
    <t>Malle</t>
  </si>
  <si>
    <t>Lede</t>
  </si>
  <si>
    <t>Essen</t>
  </si>
  <si>
    <t>Kasterlee</t>
  </si>
  <si>
    <t>Denderleeuw</t>
  </si>
  <si>
    <t>Sint-Katelijne-Waver</t>
  </si>
  <si>
    <t>Bornem</t>
  </si>
  <si>
    <t>Hoogstraten</t>
  </si>
  <si>
    <t>Zwevegem</t>
  </si>
  <si>
    <t>Herk-de-Stad</t>
  </si>
  <si>
    <t>Schoten</t>
  </si>
  <si>
    <t>Sint-Truiden</t>
  </si>
  <si>
    <t>Heusden-Zolder</t>
  </si>
  <si>
    <t>Kluisbergen</t>
  </si>
  <si>
    <t>Hoegaarden</t>
  </si>
  <si>
    <t>Linter</t>
  </si>
  <si>
    <t>Oostrozebeke</t>
  </si>
  <si>
    <t>Vorselaar</t>
  </si>
  <si>
    <t>Hove</t>
  </si>
  <si>
    <t>Merksplas</t>
  </si>
  <si>
    <t>Lichtervelde</t>
  </si>
  <si>
    <t>Ardooie</t>
  </si>
  <si>
    <t>Oudenburg</t>
  </si>
  <si>
    <t>Wielsbeke</t>
  </si>
  <si>
    <t>Sint-Lievens-Houtem</t>
  </si>
  <si>
    <t>Niel</t>
  </si>
  <si>
    <t>Retie</t>
  </si>
  <si>
    <t>Wichelen</t>
  </si>
  <si>
    <t>Gistel</t>
  </si>
  <si>
    <t>Kampenhout</t>
  </si>
  <si>
    <t>Steenokkerzeel</t>
  </si>
  <si>
    <t>Gavere</t>
  </si>
  <si>
    <t>Wommelgem</t>
  </si>
  <si>
    <t>Maaseik</t>
  </si>
  <si>
    <t>Ichtegem</t>
  </si>
  <si>
    <t>Wezembeek-Oppem</t>
  </si>
  <si>
    <t>Opwijk</t>
  </si>
  <si>
    <t>Tremelo</t>
  </si>
  <si>
    <t>Berlare</t>
  </si>
  <si>
    <t>Ternat</t>
  </si>
  <si>
    <t>Laakdal</t>
  </si>
  <si>
    <t>Bredene</t>
  </si>
  <si>
    <t>Sint-Genesius-Rode</t>
  </si>
  <si>
    <t>Beerse</t>
  </si>
  <si>
    <t>Wervik</t>
  </si>
  <si>
    <t>Haaltert</t>
  </si>
  <si>
    <t>Boom</t>
  </si>
  <si>
    <t>Middelkerke</t>
  </si>
  <si>
    <t>Sint-Gillis-Waas</t>
  </si>
  <si>
    <t>Bree</t>
  </si>
  <si>
    <t>Zele</t>
  </si>
  <si>
    <t>Maasmechelen</t>
  </si>
  <si>
    <t>Overijse</t>
  </si>
  <si>
    <t>Aalter</t>
  </si>
  <si>
    <t>Peer</t>
  </si>
  <si>
    <t>Lochristi</t>
  </si>
  <si>
    <t>Oudsbergen</t>
  </si>
  <si>
    <t>Beringen</t>
  </si>
  <si>
    <t>Ninove</t>
  </si>
  <si>
    <t>Bilzen-Hoeselt</t>
  </si>
  <si>
    <t>Mesen</t>
  </si>
  <si>
    <t>Lo-Reninge</t>
  </si>
  <si>
    <t>Vleteren</t>
  </si>
  <si>
    <t>Pepingen</t>
  </si>
  <si>
    <t>Alveringem</t>
  </si>
  <si>
    <t>Glabbeek</t>
  </si>
  <si>
    <t>Maarkedal</t>
  </si>
  <si>
    <t>Geetbets</t>
  </si>
  <si>
    <t>Wortegem-Petegem</t>
  </si>
  <si>
    <t>Kaprijke</t>
  </si>
  <si>
    <t>Lierde</t>
  </si>
  <si>
    <t>Bekkevoort</t>
  </si>
  <si>
    <t>Sint-Laureins</t>
  </si>
  <si>
    <t>Pittem</t>
  </si>
  <si>
    <t>Kortenaken</t>
  </si>
  <si>
    <t>Langemark-Poelkapelle</t>
  </si>
  <si>
    <t>Lint</t>
  </si>
  <si>
    <t>Zoutleeuw</t>
  </si>
  <si>
    <t>Koekelare</t>
  </si>
  <si>
    <t>Lennik</t>
  </si>
  <si>
    <t>Kapelle-op-den-Bos</t>
  </si>
  <si>
    <t>Bertem</t>
  </si>
  <si>
    <t>Avelgem</t>
  </si>
  <si>
    <t>Houthulst</t>
  </si>
  <si>
    <t>Waasmunster</t>
  </si>
  <si>
    <t>Ingelmunster</t>
  </si>
  <si>
    <t>Vosselaar</t>
  </si>
  <si>
    <t>Hechtel-Eksel</t>
  </si>
  <si>
    <t>Hemiksem</t>
  </si>
  <si>
    <t>Rijkevorsel</t>
  </si>
  <si>
    <t>De Haan</t>
  </si>
  <si>
    <t>Zelzate</t>
  </si>
  <si>
    <t>Kraainem</t>
  </si>
  <si>
    <t>Boechout</t>
  </si>
  <si>
    <t>Herselt</t>
  </si>
  <si>
    <t>Jabbeke</t>
  </si>
  <si>
    <t>Buggenhout</t>
  </si>
  <si>
    <t>Brakel</t>
  </si>
  <si>
    <t>Anzegem</t>
  </si>
  <si>
    <t>Ravels</t>
  </si>
  <si>
    <t>Machelen</t>
  </si>
  <si>
    <t>Alken</t>
  </si>
  <si>
    <t>Diksmuide</t>
  </si>
  <si>
    <t>Merchtem</t>
  </si>
  <si>
    <t>Putte</t>
  </si>
  <si>
    <t>Londerzeel</t>
  </si>
  <si>
    <t>Ranst</t>
  </si>
  <si>
    <t>Stekene</t>
  </si>
  <si>
    <t>Lummen</t>
  </si>
  <si>
    <t>Meise</t>
  </si>
  <si>
    <t>Kontich</t>
  </si>
  <si>
    <t>Zonhoven</t>
  </si>
  <si>
    <t>Wuustwezel</t>
  </si>
  <si>
    <t>Zoersel</t>
  </si>
  <si>
    <t>Scherpenheuvel-Zichem</t>
  </si>
  <si>
    <t>Pajottegem</t>
  </si>
  <si>
    <t>Brecht</t>
  </si>
  <si>
    <t>Lanaken</t>
  </si>
  <si>
    <t>Houthalen-Helchteren</t>
  </si>
  <si>
    <t>Horebeke</t>
  </si>
  <si>
    <t>Drogenbos</t>
  </si>
  <si>
    <t>Nieuwerkerken</t>
  </si>
  <si>
    <t>Heers</t>
  </si>
  <si>
    <t>Dessel</t>
  </si>
  <si>
    <t>Tielt-Winge</t>
  </si>
  <si>
    <t>Grobbendonk</t>
  </si>
  <si>
    <t>Arendonk</t>
  </si>
  <si>
    <t>Zandhoven</t>
  </si>
  <si>
    <t>Affligem</t>
  </si>
  <si>
    <t>As</t>
  </si>
  <si>
    <t>Leopoldsburg</t>
  </si>
  <si>
    <t>Diepenbeek</t>
  </si>
  <si>
    <t>Pelt</t>
  </si>
  <si>
    <t>Schilde</t>
  </si>
  <si>
    <t>Kapellen</t>
  </si>
  <si>
    <t>Herstappe</t>
  </si>
  <si>
    <t>Spiere-Helkijn</t>
  </si>
  <si>
    <t>Bever</t>
  </si>
  <si>
    <t>Zuienkerke</t>
  </si>
  <si>
    <t>Baarle-Hertog</t>
  </si>
  <si>
    <t>Voeren</t>
  </si>
  <si>
    <t>Linkebeek</t>
  </si>
  <si>
    <t>Lendelede</t>
  </si>
  <si>
    <t>Zutendaal</t>
  </si>
  <si>
    <t>Wellen</t>
  </si>
  <si>
    <t>Gingelom</t>
  </si>
  <si>
    <t>Halen</t>
  </si>
  <si>
    <t>Kinrooi</t>
  </si>
  <si>
    <t>Herenthout</t>
  </si>
  <si>
    <t>Begijnendijk</t>
  </si>
  <si>
    <t>Roosdaal</t>
  </si>
  <si>
    <t>Bocholt</t>
  </si>
  <si>
    <t>Olen</t>
  </si>
  <si>
    <t>Hamont-Achel</t>
  </si>
  <si>
    <t>Riemst</t>
  </si>
  <si>
    <t>Dilsen-Stokkem</t>
  </si>
  <si>
    <t>Liedekerke</t>
  </si>
  <si>
    <t>Aartselaar</t>
  </si>
  <si>
    <t>Stabroek</t>
  </si>
  <si>
    <t>Beveren</t>
  </si>
  <si>
    <t>Bilzen</t>
  </si>
  <si>
    <t>Borgloon</t>
  </si>
  <si>
    <t>Borsbeek</t>
  </si>
  <si>
    <t>De Pinte</t>
  </si>
  <si>
    <t>Galmaarden</t>
  </si>
  <si>
    <t>Gooik</t>
  </si>
  <si>
    <t>Ham</t>
  </si>
  <si>
    <t>Herne</t>
  </si>
  <si>
    <t>Hoeselt</t>
  </si>
  <si>
    <t>Kortessem</t>
  </si>
  <si>
    <t>Kruibeke</t>
  </si>
  <si>
    <t>Melle</t>
  </si>
  <si>
    <t>Merelbeke</t>
  </si>
  <si>
    <t>Meulebeke</t>
  </si>
  <si>
    <t>Moerbeke</t>
  </si>
  <si>
    <t>Nazareth</t>
  </si>
  <si>
    <t>Ruiselede</t>
  </si>
  <si>
    <t>Tessenderlo</t>
  </si>
  <si>
    <t>Tongeren</t>
  </si>
  <si>
    <t>Wachtebeke</t>
  </si>
  <si>
    <t>Zwijndrecht</t>
  </si>
  <si>
    <t>Scenario 1 - extra auto's in 2025</t>
  </si>
  <si>
    <t>Scenario 1 - extra auto's in 2026</t>
  </si>
  <si>
    <t>Scenario 1 - extra auto's in 2027</t>
  </si>
  <si>
    <t>Scenario 1 - extra auto's in 2028</t>
  </si>
  <si>
    <t>Scenario 1 - extra auto's in 2029</t>
  </si>
  <si>
    <t>Scenario 1 - extra auto's in 2030</t>
  </si>
  <si>
    <t>Scenario 2 (exponentieel) - extra auto's in 2025</t>
  </si>
  <si>
    <t>Scenario 2 (exponentieel) - extra auto's in 2026</t>
  </si>
  <si>
    <t>Scenario 2 (exponentieel) - extra auto's in 2027</t>
  </si>
  <si>
    <t>Scenario 2 (exponentieel) - extra auto's in 2028</t>
  </si>
  <si>
    <t>Scenario 2 (exponentieel) - extra auto's in 2029</t>
  </si>
  <si>
    <t>Scenario 2 (exponentieel) - extra auto's in 2030</t>
  </si>
  <si>
    <t>Groei juni 24 - okt 22</t>
  </si>
  <si>
    <t>Groei juni 25 - okt 22</t>
  </si>
  <si>
    <t>Groei juni 25 - juni 24</t>
  </si>
  <si>
    <t>Groei dec 25 - dec 24</t>
  </si>
  <si>
    <t>Opmerkingen juni 24</t>
  </si>
  <si>
    <t>Opmerkingen juni 25</t>
  </si>
  <si>
    <t>VL</t>
  </si>
  <si>
    <t>Aantal deelauto's</t>
  </si>
  <si>
    <t>Lichte daling tov jaar eerder door vertrek Miles en afbouw Poppy</t>
  </si>
  <si>
    <t>Aantal e-deelauto's</t>
  </si>
  <si>
    <t>30% meer deelauto's dan jaar eerder</t>
  </si>
  <si>
    <t>e-deelauto's / totaal deelauto's</t>
  </si>
  <si>
    <t>Aandeel e-deelauto's stijgt met 6 procentpunten tov jaar eerder en zit daarmee terug op niveau van twee jaar eerder</t>
  </si>
  <si>
    <t>Aantal gem. met min. 1 deelauto</t>
  </si>
  <si>
    <t>Aandeel op alle VL gemeenten</t>
  </si>
  <si>
    <t>Aandeel gemeenten met autodeelaanbod stijgt met 6 procentpunten tov jaar eerder en met 24 procentpunten tov twee jaar eerder. Het is vooral Limburg die "achterblijft". Zonder Limburg zitten we op 93% gemeenten met een aanbod.</t>
  </si>
  <si>
    <t>ANT</t>
  </si>
  <si>
    <t>Sterke daling tov jaar eerder door vertrek van Miles en afbouw Poppy</t>
  </si>
  <si>
    <t>Zeer laag aandeel elektrische deelauto's</t>
  </si>
  <si>
    <t>Aandeel elektrisch stijgt met 4 procentpunten ivm jaar eerder, maar blijft zeer laag ivm Vlaams gemiddelde en andere provincies</t>
  </si>
  <si>
    <t>Aandeel op alle ANT gemeenten</t>
  </si>
  <si>
    <t>Maar 5 gemeenten waar nog geen aanbod is</t>
  </si>
  <si>
    <t>LIM</t>
  </si>
  <si>
    <t>Lichte groei van aantal deelauto's tov jaar eerder</t>
  </si>
  <si>
    <t>Bij uitstek hoogste aandeel elektrische deelauto's</t>
  </si>
  <si>
    <t>Nog steeds hoogste aandeel elektrische auto's, maar door status-quo in Limburg en groei in andere provincies komen ze wel dichterbij</t>
  </si>
  <si>
    <t>Aandeel op alle LIM gemeenten</t>
  </si>
  <si>
    <t>Forse inhaalbeweging bezig, maar nog steeds veruit laagste aandeel gemeenten met minstens 1 deelauto</t>
  </si>
  <si>
    <t>Inhaalbeweging bezig, maar nog steeds veruit laagste aandeel gemeenten met minstens 1 deelauto. Helpt niet dat er geen VOM deelauto's zijn in Limburg</t>
  </si>
  <si>
    <t>O-VL</t>
  </si>
  <si>
    <t>Groei van 8% van aantal deelauto's tov jaar eerder</t>
  </si>
  <si>
    <t>Aandeel e-deelauto's stijgt met 6 procentpunten tov jaar eerder</t>
  </si>
  <si>
    <t>Aandeel op alle O-VL gemeenten</t>
  </si>
  <si>
    <t>Zeer stabiel op hoog niveau, weinig groei ivm andere provincies</t>
  </si>
  <si>
    <t>Oost-Vlaanderen blijft koploper wat betreft aantal gemeenten met een aanbod. Maar 3 gemeenten zonder aanbod</t>
  </si>
  <si>
    <t>VL-B</t>
  </si>
  <si>
    <t>Spectaculaire groei van 23% extra deelauto's tov jaar eerder. Zal voornamelijk door VOM aanbod zijn</t>
  </si>
  <si>
    <t>40% meer e-deelauto's dan jaar eerder</t>
  </si>
  <si>
    <t>In tegenstelling tot VL tendens, aandeel elektrisch in stijgende lijn</t>
  </si>
  <si>
    <t>Aandeel op alle VL-B gemeenten</t>
  </si>
  <si>
    <t>Sterke groei afgelopen jaar: 9 procentpunt meer gemeenten die aanbod hebben. Maar 4 gemeenten zonder aanbod</t>
  </si>
  <si>
    <t>W-VL</t>
  </si>
  <si>
    <t>Mooie groei van 14% extra deelauto's tov jaar eerder. Zal voornamelijk door VOM aanbod zijn</t>
  </si>
  <si>
    <t>40% meer deelauto's dan jaar eerder</t>
  </si>
  <si>
    <t>Na Limburg hoogste aandeel elektrisch. 7 procentpunt meer dan jaar eerder</t>
  </si>
  <si>
    <t>Aandeel op alle W-VL gemeenten</t>
  </si>
  <si>
    <t>Zeer sterke groei laatste 6 maanden, VOM</t>
  </si>
  <si>
    <t>Maar 5 gemeenten zonder aanbod</t>
  </si>
  <si>
    <t>Tot dec 24</t>
  </si>
  <si>
    <t>Vanaf jan 25</t>
  </si>
  <si>
    <t>Totaal aantal gemeenten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</si>
</sst>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4" x14ac:knownFonts="1">
    <font>
      <sz val="11"/>
      <color theme="1"/>
      <name val="Calibri"/>
      <scheme val="minor"/>
    </font>
    <font>
      <b/>
      <sz val="11"/>
      <color theme="1"/>
      <name val="Calibri"/>
    </font>
    <font>
      <sz val="11"/>
      <color theme="1"/>
      <name val="Calibri"/>
    </font>
    <font>
      <sz val="11"/>
      <color theme="1"/>
      <name val="Calibri"/>
    </font>
    <font>
      <b/>
      <sz val="11"/>
      <color rgb="FF000000"/>
      <name val="Calibri"/>
    </font>
    <font>
      <sz val="11"/>
      <color theme="1"/>
      <name val="Calibri"/>
      <scheme val="minor"/>
    </font>
    <font>
      <b/>
      <sz val="11"/>
      <color theme="1"/>
      <name val="Calibri"/>
      <scheme val="minor"/>
    </font>
    <font>
      <b/>
      <sz val="12"/>
      <color theme="1"/>
      <name val="Calibri"/>
    </font>
    <font>
      <b/>
      <sz val="11"/>
      <color rgb="FFB7B7B7"/>
      <name val="Calibri"/>
    </font>
    <font>
      <sz val="11"/>
      <name val="Calibri"/>
    </font>
    <font>
      <sz val="11"/>
      <color rgb="FFB7B7B7"/>
      <name val="Calibri"/>
      <scheme val="minor"/>
    </font>
    <font>
      <sz val="11"/>
      <color rgb="FFB7B7B7"/>
      <name val="Calibri"/>
    </font>
    <font>
      <sz val="11"/>
      <color rgb="FFB7B7B7"/>
      <name val="Calibri"/>
    </font>
    <font>
      <b/>
      <sz val="11"/>
      <color theme="1"/>
      <name val="Calibri"/>
    </font>
  </fonts>
  <fills count="17">
    <fill>
      <patternFill patternType="none"/>
    </fill>
    <fill>
      <patternFill patternType="gray125"/>
    </fill>
    <fill>
      <patternFill patternType="solid">
        <fgColor rgb="FFFFFF00"/>
        <bgColor rgb="FFFFFF00"/>
      </patternFill>
    </fill>
    <fill>
      <patternFill patternType="solid">
        <fgColor rgb="FFD8D8D8"/>
        <bgColor rgb="FFD8D8D8"/>
      </patternFill>
    </fill>
    <fill>
      <patternFill patternType="solid">
        <fgColor rgb="FF6AA84F"/>
        <bgColor rgb="FF6AA84F"/>
      </patternFill>
    </fill>
    <fill>
      <patternFill patternType="solid">
        <fgColor rgb="FFB6D7A8"/>
        <bgColor rgb="FFB6D7A8"/>
      </patternFill>
    </fill>
    <fill>
      <patternFill patternType="solid">
        <fgColor rgb="FFC5E0B3"/>
        <bgColor rgb="FFC5E0B3"/>
      </patternFill>
    </fill>
    <fill>
      <patternFill patternType="solid">
        <fgColor rgb="FF93C47D"/>
        <bgColor rgb="FF93C47D"/>
      </patternFill>
    </fill>
    <fill>
      <patternFill patternType="solid">
        <fgColor rgb="FFEFEFEF"/>
        <bgColor rgb="FFEFEFEF"/>
      </patternFill>
    </fill>
    <fill>
      <patternFill patternType="solid">
        <fgColor rgb="FFCCCCCC"/>
        <bgColor rgb="FFCCCCCC"/>
      </patternFill>
    </fill>
    <fill>
      <patternFill patternType="solid">
        <fgColor rgb="FFFBE4D5"/>
        <bgColor rgb="FFFBE4D5"/>
      </patternFill>
    </fill>
    <fill>
      <patternFill patternType="solid">
        <fgColor rgb="FFFFE598"/>
        <bgColor rgb="FFFFE598"/>
      </patternFill>
    </fill>
    <fill>
      <patternFill patternType="solid">
        <fgColor rgb="FFFF0000"/>
        <bgColor rgb="FFFF0000"/>
      </patternFill>
    </fill>
    <fill>
      <patternFill patternType="solid">
        <fgColor rgb="FF92D050"/>
        <bgColor rgb="FF92D050"/>
      </patternFill>
    </fill>
    <fill>
      <patternFill patternType="solid">
        <fgColor rgb="FF356854"/>
        <bgColor rgb="FF356854"/>
      </patternFill>
    </fill>
    <fill>
      <patternFill patternType="solid">
        <fgColor rgb="FFFFFFFF"/>
        <bgColor rgb="FFFFFFFF"/>
      </patternFill>
    </fill>
    <fill>
      <patternFill patternType="solid">
        <fgColor rgb="FFF8F9FA"/>
        <bgColor rgb="FFF8F9FA"/>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43">
    <xf numFmtId="0" fontId="0" fillId="0" borderId="0" xfId="0"/>
    <xf numFmtId="0" fontId="1" fillId="2" borderId="0" xfId="0" applyFont="1" applyFill="1" applyAlignment="1">
      <alignment wrapText="1"/>
    </xf>
    <xf numFmtId="0" fontId="1" fillId="0" borderId="0" xfId="0" applyFont="1"/>
    <xf numFmtId="0" fontId="1" fillId="0" borderId="0" xfId="0" applyFont="1" applyAlignment="1">
      <alignment wrapText="1"/>
    </xf>
    <xf numFmtId="0" fontId="1" fillId="3" borderId="1" xfId="0" applyFont="1" applyFill="1" applyBorder="1" applyAlignment="1">
      <alignment wrapText="1"/>
    </xf>
    <xf numFmtId="0" fontId="1" fillId="3" borderId="0" xfId="0" applyFont="1" applyFill="1" applyAlignment="1">
      <alignment wrapText="1"/>
    </xf>
    <xf numFmtId="1" fontId="1" fillId="3" borderId="0" xfId="0" applyNumberFormat="1" applyFont="1" applyFill="1" applyAlignment="1">
      <alignment wrapText="1"/>
    </xf>
    <xf numFmtId="1" fontId="1" fillId="0" borderId="0" xfId="0" applyNumberFormat="1" applyFont="1" applyAlignment="1">
      <alignment wrapText="1"/>
    </xf>
    <xf numFmtId="3" fontId="1" fillId="0" borderId="0" xfId="0" applyNumberFormat="1" applyFont="1" applyAlignment="1">
      <alignment wrapText="1"/>
    </xf>
    <xf numFmtId="164" fontId="1" fillId="0" borderId="0" xfId="0" applyNumberFormat="1" applyFont="1" applyAlignment="1">
      <alignment wrapText="1"/>
    </xf>
    <xf numFmtId="3" fontId="1" fillId="4" borderId="0" xfId="0" applyNumberFormat="1" applyFont="1" applyFill="1" applyAlignment="1">
      <alignment wrapText="1"/>
    </xf>
    <xf numFmtId="1" fontId="1" fillId="5" borderId="0" xfId="0" applyNumberFormat="1" applyFont="1" applyFill="1" applyAlignment="1">
      <alignment wrapText="1"/>
    </xf>
    <xf numFmtId="0" fontId="1" fillId="2" borderId="0" xfId="0" applyFont="1" applyFill="1"/>
    <xf numFmtId="0" fontId="2" fillId="0" borderId="0" xfId="0" applyFont="1"/>
    <xf numFmtId="3" fontId="2" fillId="0" borderId="0" xfId="0" applyNumberFormat="1" applyFont="1"/>
    <xf numFmtId="0" fontId="2" fillId="3" borderId="1" xfId="0" applyFont="1" applyFill="1" applyBorder="1"/>
    <xf numFmtId="2" fontId="2" fillId="0" borderId="0" xfId="0" applyNumberFormat="1" applyFont="1"/>
    <xf numFmtId="2" fontId="2" fillId="6" borderId="0" xfId="0" applyNumberFormat="1" applyFont="1" applyFill="1"/>
    <xf numFmtId="1" fontId="2" fillId="0" borderId="0" xfId="0" applyNumberFormat="1" applyFont="1"/>
    <xf numFmtId="0" fontId="3" fillId="3" borderId="0" xfId="0" applyFont="1" applyFill="1"/>
    <xf numFmtId="0" fontId="3" fillId="0" borderId="0" xfId="0" applyFont="1"/>
    <xf numFmtId="2" fontId="3" fillId="0" borderId="0" xfId="0" applyNumberFormat="1" applyFont="1"/>
    <xf numFmtId="1" fontId="3" fillId="3" borderId="0" xfId="0" applyNumberFormat="1" applyFont="1" applyFill="1"/>
    <xf numFmtId="1" fontId="3" fillId="0" borderId="0" xfId="0" applyNumberFormat="1" applyFont="1"/>
    <xf numFmtId="2" fontId="3" fillId="6" borderId="0" xfId="0" applyNumberFormat="1" applyFont="1" applyFill="1"/>
    <xf numFmtId="3" fontId="3" fillId="0" borderId="0" xfId="0" applyNumberFormat="1" applyFont="1"/>
    <xf numFmtId="164" fontId="3" fillId="0" borderId="0" xfId="0" applyNumberFormat="1" applyFont="1"/>
    <xf numFmtId="3" fontId="3" fillId="3" borderId="0" xfId="0" applyNumberFormat="1" applyFont="1" applyFill="1"/>
    <xf numFmtId="4" fontId="3" fillId="6" borderId="0" xfId="0" applyNumberFormat="1" applyFont="1" applyFill="1"/>
    <xf numFmtId="4" fontId="3" fillId="0" borderId="0" xfId="0" applyNumberFormat="1" applyFont="1"/>
    <xf numFmtId="3" fontId="3" fillId="4" borderId="0" xfId="0" applyNumberFormat="1" applyFont="1" applyFill="1"/>
    <xf numFmtId="1" fontId="3" fillId="5" borderId="0" xfId="0" applyNumberFormat="1" applyFont="1" applyFill="1"/>
    <xf numFmtId="2" fontId="2" fillId="0" borderId="1" xfId="0" applyNumberFormat="1" applyFont="1" applyBorder="1"/>
    <xf numFmtId="0" fontId="4" fillId="2" borderId="0" xfId="0" applyFont="1" applyFill="1"/>
    <xf numFmtId="165" fontId="3" fillId="5" borderId="0" xfId="0" applyNumberFormat="1" applyFont="1" applyFill="1"/>
    <xf numFmtId="1" fontId="5" fillId="3" borderId="0" xfId="0" applyNumberFormat="1" applyFont="1" applyFill="1"/>
    <xf numFmtId="1" fontId="5" fillId="0" borderId="0" xfId="0" applyNumberFormat="1" applyFont="1"/>
    <xf numFmtId="3" fontId="5" fillId="0" borderId="0" xfId="0" applyNumberFormat="1" applyFont="1"/>
    <xf numFmtId="164" fontId="2" fillId="0" borderId="0" xfId="0" applyNumberFormat="1" applyFont="1"/>
    <xf numFmtId="9" fontId="2" fillId="0" borderId="0" xfId="0" applyNumberFormat="1" applyFont="1"/>
    <xf numFmtId="164" fontId="3" fillId="3" borderId="0" xfId="0" applyNumberFormat="1" applyFont="1" applyFill="1"/>
    <xf numFmtId="9" fontId="2" fillId="3" borderId="1" xfId="0" applyNumberFormat="1" applyFont="1" applyFill="1" applyBorder="1"/>
    <xf numFmtId="0" fontId="5" fillId="0" borderId="0" xfId="0" applyFont="1" applyAlignment="1">
      <alignment wrapText="1"/>
    </xf>
    <xf numFmtId="0" fontId="6" fillId="7" borderId="0" xfId="0" applyFont="1" applyFill="1" applyAlignment="1">
      <alignment wrapText="1"/>
    </xf>
    <xf numFmtId="0" fontId="5" fillId="0" borderId="0" xfId="0" applyFont="1"/>
    <xf numFmtId="0" fontId="5" fillId="7" borderId="0" xfId="0" applyFont="1" applyFill="1"/>
    <xf numFmtId="1" fontId="1" fillId="8" borderId="0" xfId="0" applyNumberFormat="1" applyFont="1" applyFill="1" applyAlignment="1">
      <alignment wrapText="1"/>
    </xf>
    <xf numFmtId="1" fontId="1" fillId="9" borderId="0" xfId="0" applyNumberFormat="1" applyFont="1" applyFill="1" applyAlignment="1">
      <alignment wrapText="1"/>
    </xf>
    <xf numFmtId="2" fontId="2" fillId="6" borderId="1" xfId="0" applyNumberFormat="1" applyFont="1" applyFill="1" applyBorder="1"/>
    <xf numFmtId="0" fontId="3" fillId="0" borderId="2" xfId="0" applyFont="1" applyBorder="1"/>
    <xf numFmtId="0" fontId="3" fillId="0" borderId="3" xfId="0" applyFont="1" applyBorder="1"/>
    <xf numFmtId="17" fontId="1" fillId="0" borderId="3" xfId="0" applyNumberFormat="1" applyFont="1" applyBorder="1"/>
    <xf numFmtId="17" fontId="1" fillId="0" borderId="3" xfId="0" applyNumberFormat="1" applyFont="1" applyBorder="1" applyAlignment="1">
      <alignment horizontal="right"/>
    </xf>
    <xf numFmtId="17" fontId="1" fillId="0" borderId="4" xfId="0" applyNumberFormat="1" applyFont="1" applyBorder="1" applyAlignment="1">
      <alignment horizontal="right"/>
    </xf>
    <xf numFmtId="0" fontId="1" fillId="0" borderId="3" xfId="0" applyFont="1" applyBorder="1" applyAlignment="1">
      <alignment wrapText="1"/>
    </xf>
    <xf numFmtId="0" fontId="6" fillId="0" borderId="5" xfId="0" applyFont="1" applyBorder="1" applyAlignment="1">
      <alignment wrapText="1"/>
    </xf>
    <xf numFmtId="0" fontId="1" fillId="10" borderId="7" xfId="0" applyFont="1" applyFill="1" applyBorder="1" applyAlignment="1">
      <alignment wrapText="1"/>
    </xf>
    <xf numFmtId="3" fontId="2" fillId="0" borderId="7" xfId="0" applyNumberFormat="1" applyFont="1" applyBorder="1"/>
    <xf numFmtId="3" fontId="2" fillId="0" borderId="7" xfId="0" applyNumberFormat="1" applyFont="1" applyBorder="1" applyAlignment="1">
      <alignment horizontal="right"/>
    </xf>
    <xf numFmtId="3" fontId="2" fillId="0" borderId="7" xfId="0" applyNumberFormat="1" applyFont="1" applyBorder="1" applyAlignment="1">
      <alignment horizontal="center"/>
    </xf>
    <xf numFmtId="3" fontId="2" fillId="0" borderId="8" xfId="0" applyNumberFormat="1" applyFont="1" applyBorder="1" applyAlignment="1">
      <alignment horizontal="center"/>
    </xf>
    <xf numFmtId="9" fontId="2" fillId="0" borderId="6" xfId="0" applyNumberFormat="1" applyFont="1" applyBorder="1" applyAlignment="1">
      <alignment horizontal="center"/>
    </xf>
    <xf numFmtId="9" fontId="2" fillId="0" borderId="7" xfId="0" applyNumberFormat="1" applyFont="1" applyBorder="1" applyAlignment="1">
      <alignment horizontal="center"/>
    </xf>
    <xf numFmtId="9" fontId="2" fillId="0" borderId="7" xfId="0" applyNumberFormat="1" applyFont="1" applyBorder="1"/>
    <xf numFmtId="0" fontId="8" fillId="0" borderId="7" xfId="0" applyFont="1" applyBorder="1"/>
    <xf numFmtId="0" fontId="2" fillId="0" borderId="8" xfId="0" applyFont="1" applyBorder="1"/>
    <xf numFmtId="0" fontId="1" fillId="10" borderId="0" xfId="0" applyFont="1" applyFill="1" applyAlignment="1">
      <alignment wrapText="1"/>
    </xf>
    <xf numFmtId="0" fontId="2" fillId="3" borderId="0" xfId="0" applyFont="1" applyFill="1"/>
    <xf numFmtId="3" fontId="2" fillId="0" borderId="0" xfId="0" applyNumberFormat="1" applyFont="1" applyAlignment="1">
      <alignment horizontal="right"/>
    </xf>
    <xf numFmtId="3" fontId="2" fillId="0" borderId="0" xfId="0" applyNumberFormat="1" applyFont="1" applyAlignment="1">
      <alignment horizontal="center"/>
    </xf>
    <xf numFmtId="3" fontId="2" fillId="0" borderId="4" xfId="0" applyNumberFormat="1" applyFont="1" applyBorder="1" applyAlignment="1">
      <alignment horizontal="center"/>
    </xf>
    <xf numFmtId="0" fontId="2" fillId="0" borderId="9" xfId="0" applyFont="1" applyBorder="1" applyAlignment="1">
      <alignment horizontal="center"/>
    </xf>
    <xf numFmtId="9" fontId="5" fillId="0" borderId="0" xfId="0" applyNumberFormat="1" applyFont="1"/>
    <xf numFmtId="0" fontId="10" fillId="0" borderId="0" xfId="0" applyFont="1"/>
    <xf numFmtId="3" fontId="3" fillId="0" borderId="4" xfId="0" applyNumberFormat="1" applyFont="1" applyBorder="1"/>
    <xf numFmtId="9" fontId="2" fillId="0" borderId="0" xfId="0" applyNumberFormat="1" applyFont="1" applyAlignment="1">
      <alignment horizontal="right"/>
    </xf>
    <xf numFmtId="9" fontId="2" fillId="0" borderId="0" xfId="0" applyNumberFormat="1" applyFont="1" applyAlignment="1">
      <alignment horizontal="center"/>
    </xf>
    <xf numFmtId="9" fontId="2" fillId="0" borderId="4" xfId="0" applyNumberFormat="1" applyFont="1" applyBorder="1" applyAlignment="1">
      <alignment horizontal="center"/>
    </xf>
    <xf numFmtId="0" fontId="5" fillId="0" borderId="4" xfId="0" applyFont="1" applyBorder="1"/>
    <xf numFmtId="0" fontId="1" fillId="11" borderId="0" xfId="0" applyFont="1" applyFill="1" applyAlignment="1">
      <alignment wrapText="1"/>
    </xf>
    <xf numFmtId="0" fontId="2" fillId="0" borderId="0" xfId="0" applyFont="1" applyAlignment="1">
      <alignment horizontal="right"/>
    </xf>
    <xf numFmtId="0" fontId="2" fillId="0" borderId="0" xfId="0" applyFont="1" applyAlignment="1">
      <alignment horizontal="center"/>
    </xf>
    <xf numFmtId="0" fontId="2" fillId="0" borderId="4" xfId="0" applyFont="1" applyBorder="1" applyAlignment="1">
      <alignment horizontal="center"/>
    </xf>
    <xf numFmtId="0" fontId="1" fillId="11" borderId="11" xfId="0" applyFont="1" applyFill="1" applyBorder="1" applyAlignment="1">
      <alignment wrapText="1"/>
    </xf>
    <xf numFmtId="9" fontId="2" fillId="0" borderId="11" xfId="0" applyNumberFormat="1" applyFont="1" applyBorder="1"/>
    <xf numFmtId="9" fontId="2" fillId="0" borderId="11" xfId="0" applyNumberFormat="1" applyFont="1" applyBorder="1" applyAlignment="1">
      <alignment horizontal="right"/>
    </xf>
    <xf numFmtId="9" fontId="2" fillId="0" borderId="11" xfId="0" applyNumberFormat="1" applyFont="1" applyBorder="1" applyAlignment="1">
      <alignment horizontal="center"/>
    </xf>
    <xf numFmtId="9" fontId="2" fillId="0" borderId="12" xfId="0" applyNumberFormat="1" applyFont="1" applyBorder="1" applyAlignment="1">
      <alignment horizontal="center"/>
    </xf>
    <xf numFmtId="0" fontId="2" fillId="0" borderId="10" xfId="0" applyFont="1" applyBorder="1" applyAlignment="1">
      <alignment horizontal="center"/>
    </xf>
    <xf numFmtId="0" fontId="5" fillId="0" borderId="11" xfId="0" applyFont="1" applyBorder="1"/>
    <xf numFmtId="9" fontId="5" fillId="0" borderId="11" xfId="0" applyNumberFormat="1" applyFont="1" applyBorder="1"/>
    <xf numFmtId="0" fontId="10" fillId="0" borderId="11" xfId="0" applyFont="1" applyBorder="1"/>
    <xf numFmtId="0" fontId="5" fillId="0" borderId="12" xfId="0" applyFont="1" applyBorder="1"/>
    <xf numFmtId="0" fontId="2" fillId="0" borderId="7" xfId="0" applyFont="1" applyBorder="1"/>
    <xf numFmtId="9" fontId="2" fillId="12" borderId="7" xfId="0" applyNumberFormat="1" applyFont="1" applyFill="1" applyBorder="1"/>
    <xf numFmtId="0" fontId="10" fillId="0" borderId="7" xfId="0" applyFont="1" applyBorder="1"/>
    <xf numFmtId="0" fontId="5" fillId="0" borderId="8" xfId="0" applyFont="1" applyBorder="1"/>
    <xf numFmtId="9" fontId="2" fillId="12" borderId="0" xfId="0" applyNumberFormat="1" applyFont="1" applyFill="1"/>
    <xf numFmtId="9" fontId="3" fillId="12" borderId="0" xfId="0" applyNumberFormat="1" applyFont="1" applyFill="1"/>
    <xf numFmtId="9" fontId="2" fillId="12" borderId="0" xfId="0" applyNumberFormat="1" applyFont="1" applyFill="1" applyAlignment="1">
      <alignment horizontal="center"/>
    </xf>
    <xf numFmtId="9" fontId="2" fillId="12" borderId="4" xfId="0" applyNumberFormat="1" applyFont="1" applyFill="1" applyBorder="1" applyAlignment="1">
      <alignment horizontal="center"/>
    </xf>
    <xf numFmtId="0" fontId="11" fillId="0" borderId="0" xfId="0" applyFont="1"/>
    <xf numFmtId="0" fontId="2" fillId="0" borderId="11" xfId="0" applyFont="1" applyBorder="1"/>
    <xf numFmtId="9" fontId="2" fillId="13" borderId="11" xfId="0" applyNumberFormat="1" applyFont="1" applyFill="1" applyBorder="1" applyAlignment="1">
      <alignment horizontal="right"/>
    </xf>
    <xf numFmtId="9" fontId="2" fillId="13" borderId="11" xfId="0" applyNumberFormat="1" applyFont="1" applyFill="1" applyBorder="1" applyAlignment="1">
      <alignment horizontal="center"/>
    </xf>
    <xf numFmtId="9" fontId="2" fillId="13" borderId="4" xfId="0" applyNumberFormat="1" applyFont="1" applyFill="1" applyBorder="1" applyAlignment="1">
      <alignment horizontal="center"/>
    </xf>
    <xf numFmtId="0" fontId="2" fillId="0" borderId="11" xfId="0" applyFont="1" applyBorder="1" applyAlignment="1">
      <alignment horizontal="center"/>
    </xf>
    <xf numFmtId="0" fontId="2" fillId="0" borderId="7" xfId="0" applyFont="1" applyBorder="1" applyAlignment="1">
      <alignment horizontal="right"/>
    </xf>
    <xf numFmtId="9" fontId="2" fillId="13" borderId="0" xfId="0" applyNumberFormat="1" applyFont="1" applyFill="1"/>
    <xf numFmtId="9" fontId="2" fillId="13" borderId="0" xfId="0" applyNumberFormat="1" applyFont="1" applyFill="1" applyAlignment="1">
      <alignment horizontal="right"/>
    </xf>
    <xf numFmtId="9" fontId="2" fillId="13" borderId="0" xfId="0" applyNumberFormat="1" applyFont="1" applyFill="1" applyAlignment="1">
      <alignment horizontal="center"/>
    </xf>
    <xf numFmtId="9" fontId="2" fillId="12" borderId="11" xfId="0" applyNumberFormat="1" applyFont="1" applyFill="1" applyBorder="1"/>
    <xf numFmtId="9" fontId="2" fillId="12" borderId="11" xfId="0" applyNumberFormat="1" applyFont="1" applyFill="1" applyBorder="1" applyAlignment="1">
      <alignment horizontal="right"/>
    </xf>
    <xf numFmtId="9" fontId="2" fillId="12" borderId="11" xfId="0" applyNumberFormat="1" applyFont="1" applyFill="1" applyBorder="1" applyAlignment="1">
      <alignment horizontal="center"/>
    </xf>
    <xf numFmtId="9" fontId="2" fillId="12" borderId="12" xfId="0" applyNumberFormat="1" applyFont="1" applyFill="1" applyBorder="1" applyAlignment="1">
      <alignment horizontal="center"/>
    </xf>
    <xf numFmtId="0" fontId="11" fillId="0" borderId="11" xfId="0" applyFont="1" applyBorder="1"/>
    <xf numFmtId="0" fontId="2" fillId="0" borderId="12" xfId="0" applyFont="1" applyBorder="1"/>
    <xf numFmtId="9" fontId="2" fillId="13" borderId="7" xfId="0" applyNumberFormat="1" applyFont="1" applyFill="1" applyBorder="1"/>
    <xf numFmtId="9" fontId="2" fillId="13" borderId="11" xfId="0" applyNumberFormat="1" applyFont="1" applyFill="1" applyBorder="1"/>
    <xf numFmtId="9" fontId="2" fillId="13" borderId="12" xfId="0" applyNumberFormat="1" applyFont="1" applyFill="1" applyBorder="1" applyAlignment="1">
      <alignment horizontal="center"/>
    </xf>
    <xf numFmtId="0" fontId="3" fillId="0" borderId="11" xfId="0" applyFont="1" applyBorder="1"/>
    <xf numFmtId="0" fontId="12" fillId="0" borderId="11" xfId="0" applyFont="1" applyBorder="1"/>
    <xf numFmtId="0" fontId="12" fillId="0" borderId="0" xfId="0" applyFont="1"/>
    <xf numFmtId="0" fontId="13" fillId="0" borderId="0" xfId="0" applyFont="1"/>
    <xf numFmtId="0" fontId="6" fillId="0" borderId="0" xfId="0" applyFont="1"/>
    <xf numFmtId="0" fontId="3" fillId="0" borderId="0" xfId="0" applyFont="1" applyAlignment="1">
      <alignment horizontal="right"/>
    </xf>
    <xf numFmtId="0" fontId="1" fillId="0" borderId="0" xfId="0" applyFont="1" applyAlignment="1">
      <alignment horizontal="right"/>
    </xf>
    <xf numFmtId="10" fontId="5" fillId="0" borderId="0" xfId="0" applyNumberFormat="1" applyFont="1"/>
    <xf numFmtId="0" fontId="1" fillId="14" borderId="0" xfId="0" applyFont="1" applyFill="1" applyAlignment="1">
      <alignment horizontal="left" vertical="center" wrapText="1"/>
    </xf>
    <xf numFmtId="0" fontId="1" fillId="14" borderId="0" xfId="0" applyFont="1" applyFill="1" applyAlignment="1">
      <alignment horizontal="left" vertical="center"/>
    </xf>
    <xf numFmtId="0" fontId="1" fillId="15" borderId="0" xfId="0" applyFont="1" applyFill="1" applyAlignment="1">
      <alignment vertical="center"/>
    </xf>
    <xf numFmtId="0" fontId="2" fillId="15" borderId="0" xfId="0" applyFont="1" applyFill="1" applyAlignment="1">
      <alignment vertical="center"/>
    </xf>
    <xf numFmtId="0" fontId="1" fillId="16" borderId="0" xfId="0" applyFont="1" applyFill="1" applyAlignment="1">
      <alignment vertical="center"/>
    </xf>
    <xf numFmtId="0" fontId="2" fillId="16" borderId="0" xfId="0" applyFont="1" applyFill="1" applyAlignment="1">
      <alignment vertical="center"/>
    </xf>
    <xf numFmtId="0" fontId="2" fillId="16" borderId="0" xfId="0" applyFont="1" applyFill="1" applyAlignment="1">
      <alignment horizontal="right"/>
    </xf>
    <xf numFmtId="0" fontId="2" fillId="15" borderId="0" xfId="0" applyFont="1" applyFill="1" applyAlignment="1">
      <alignment horizontal="right"/>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vertical="center"/>
    </xf>
    <xf numFmtId="0" fontId="7" fillId="0" borderId="6" xfId="0" applyFont="1" applyBorder="1" applyAlignment="1">
      <alignment horizontal="center" vertical="center"/>
    </xf>
    <xf numFmtId="0" fontId="9" fillId="0" borderId="9" xfId="0" applyFont="1" applyBorder="1"/>
    <xf numFmtId="0" fontId="9" fillId="0" borderId="10" xfId="0" applyFont="1" applyBorder="1"/>
  </cellXfs>
  <cellStyles count="1">
    <cellStyle name="Standaard" xfId="0" builtinId="0"/>
  </cellStyles>
  <dxfs count="12">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4">
    <tableStyle name="Cozywheels-style" pivot="0" count="3" xr9:uid="{00000000-0011-0000-FFFF-FFFF00000000}">
      <tableStyleElement type="headerRow" dxfId="11"/>
      <tableStyleElement type="firstRowStripe" dxfId="10"/>
      <tableStyleElement type="secondRowStripe" dxfId="9"/>
    </tableStyle>
    <tableStyle name="Flexigo-style" pivot="0" count="3" xr9:uid="{00000000-0011-0000-FFFF-FFFF01000000}">
      <tableStyleElement type="headerRow" dxfId="8"/>
      <tableStyleElement type="firstRowStripe" dxfId="7"/>
      <tableStyleElement type="secondRowStripe" dxfId="6"/>
    </tableStyle>
    <tableStyle name="Moovee-style" pivot="0" count="3" xr9:uid="{00000000-0011-0000-FFFF-FFFF02000000}">
      <tableStyleElement type="headerRow" dxfId="5"/>
      <tableStyleElement type="firstRowStripe" dxfId="4"/>
      <tableStyleElement type="secondRowStripe" dxfId="3"/>
    </tableStyle>
    <tableStyle name="Poppy-style" pivot="0" count="3" xr9:uid="{00000000-0011-0000-FFFF-FFFF03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287">
  <tableColumns count="7">
    <tableColumn id="1" xr3:uid="{00000000-0010-0000-0000-000001000000}" name="GEMEENTE"/>
    <tableColumn id="2" xr3:uid="{00000000-0010-0000-0000-000002000000}" name="PROVINCIE"/>
    <tableColumn id="3" xr3:uid="{00000000-0010-0000-0000-000003000000}" name="NIS-CODE"/>
    <tableColumn id="4" xr3:uid="{00000000-0010-0000-0000-000004000000}" name="AANTAL DEELWAGENS JUN 2025"/>
    <tableColumn id="5" xr3:uid="{00000000-0010-0000-0000-000005000000}" name="AANTAL e-DEELWAGENS JUN 2025"/>
    <tableColumn id="6" xr3:uid="{00000000-0010-0000-0000-000006000000}" name="AANTAL DEELWAGENS DEC 2025"/>
    <tableColumn id="7" xr3:uid="{00000000-0010-0000-0000-000007000000}" name="AANTAL e-DEELWAGENS DEC 2025"/>
  </tableColumns>
  <tableStyleInfo name="Cozywheel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287">
  <tableColumns count="7">
    <tableColumn id="1" xr3:uid="{00000000-0010-0000-0100-000001000000}" name="GEMEENTE"/>
    <tableColumn id="2" xr3:uid="{00000000-0010-0000-0100-000002000000}" name="PROVINCIE"/>
    <tableColumn id="3" xr3:uid="{00000000-0010-0000-0100-000003000000}" name="NIS-CODE"/>
    <tableColumn id="4" xr3:uid="{00000000-0010-0000-0100-000004000000}" name="AANTAL DEELWAGENS JUN 2025"/>
    <tableColumn id="5" xr3:uid="{00000000-0010-0000-0100-000005000000}" name="AANTAL e-DEELWAGENS JUN 2025"/>
    <tableColumn id="6" xr3:uid="{00000000-0010-0000-0100-000006000000}" name="AANTAL DEELWAGENS DEC 2025"/>
    <tableColumn id="7" xr3:uid="{00000000-0010-0000-0100-000007000000}" name="AANTAL e-DEELWAGENS DEC 2025"/>
  </tableColumns>
  <tableStyleInfo name="Flexigo-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E286">
  <tableColumns count="5">
    <tableColumn id="1" xr3:uid="{00000000-0010-0000-0200-000001000000}" name="GEMEENTE"/>
    <tableColumn id="2" xr3:uid="{00000000-0010-0000-0200-000002000000}" name="PROVINCIE"/>
    <tableColumn id="3" xr3:uid="{00000000-0010-0000-0200-000003000000}" name="NIS-CODE"/>
    <tableColumn id="4" xr3:uid="{00000000-0010-0000-0200-000004000000}" name="AANTAL DEELWAGENS JUN 2025"/>
    <tableColumn id="5" xr3:uid="{00000000-0010-0000-0200-000005000000}" name="AANTAL e-DEELWAGENS JUN 2025"/>
  </tableColumns>
  <tableStyleInfo name="Moove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G287">
  <tableColumns count="7">
    <tableColumn id="1" xr3:uid="{00000000-0010-0000-0300-000001000000}" name="GEMEENTE"/>
    <tableColumn id="2" xr3:uid="{00000000-0010-0000-0300-000002000000}" name="PROVINCIE"/>
    <tableColumn id="3" xr3:uid="{00000000-0010-0000-0300-000003000000}" name="NIS-CODE"/>
    <tableColumn id="4" xr3:uid="{00000000-0010-0000-0300-000004000000}" name="AANTAL DEELWAGENS JUN 2025"/>
    <tableColumn id="5" xr3:uid="{00000000-0010-0000-0300-000005000000}" name="AANTAL e-DEELWAGENS JUN 2025"/>
    <tableColumn id="6" xr3:uid="{00000000-0010-0000-0300-000006000000}" name="AANTAL DEELWAGENS DEC 2025"/>
    <tableColumn id="7" xr3:uid="{00000000-0010-0000-0300-000007000000}" name="AANTAL e-DEELWAGENS DEC 2025"/>
  </tableColumns>
  <tableStyleInfo name="Popp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985"/>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ColWidth="14.453125" defaultRowHeight="15" customHeight="1" x14ac:dyDescent="0.35"/>
  <cols>
    <col min="1" max="1" width="15.08984375" customWidth="1"/>
    <col min="2" max="2" width="16.7265625" customWidth="1"/>
    <col min="3" max="3" width="11.08984375" customWidth="1"/>
    <col min="4" max="4" width="20.54296875" customWidth="1"/>
    <col min="5" max="7" width="21.7265625" customWidth="1"/>
    <col min="8" max="9" width="14.7265625" customWidth="1"/>
    <col min="10" max="10" width="13.26953125" customWidth="1"/>
    <col min="11" max="12" width="15.54296875" customWidth="1"/>
    <col min="13" max="13" width="14.54296875" customWidth="1"/>
    <col min="14" max="14" width="13.81640625" customWidth="1"/>
    <col min="15" max="15" width="14.7265625" customWidth="1"/>
    <col min="16" max="16" width="14.26953125" customWidth="1"/>
    <col min="17" max="17" width="17.26953125" customWidth="1"/>
    <col min="18" max="18" width="14.26953125" customWidth="1"/>
    <col min="19" max="19" width="20.453125" customWidth="1"/>
    <col min="20" max="20" width="19.453125" customWidth="1"/>
    <col min="21" max="21" width="20.453125" customWidth="1"/>
    <col min="22" max="22" width="21.08984375" customWidth="1"/>
    <col min="23" max="23" width="22.453125" customWidth="1"/>
    <col min="24" max="24" width="15.54296875" customWidth="1"/>
    <col min="25" max="25" width="15.26953125" customWidth="1"/>
    <col min="26" max="26" width="13.81640625" customWidth="1"/>
    <col min="27" max="27" width="17.81640625" customWidth="1"/>
    <col min="31" max="31" width="16.26953125" customWidth="1"/>
    <col min="33" max="34" width="17.81640625" customWidth="1"/>
    <col min="35" max="39" width="16.453125" customWidth="1"/>
    <col min="40" max="47" width="15.81640625" customWidth="1"/>
    <col min="48" max="48" width="18.81640625" customWidth="1"/>
  </cols>
  <sheetData>
    <row r="1" spans="1:48" ht="57" customHeight="1" x14ac:dyDescent="0.35">
      <c r="A1" s="1" t="s">
        <v>0</v>
      </c>
      <c r="B1" s="2" t="s">
        <v>1</v>
      </c>
      <c r="C1" s="3" t="s">
        <v>2</v>
      </c>
      <c r="D1" s="3" t="s">
        <v>3</v>
      </c>
      <c r="E1" s="3" t="s">
        <v>4</v>
      </c>
      <c r="F1" s="3" t="s">
        <v>5</v>
      </c>
      <c r="G1" s="3" t="s">
        <v>6</v>
      </c>
      <c r="H1" s="4" t="s">
        <v>7</v>
      </c>
      <c r="I1" s="3" t="s">
        <v>8</v>
      </c>
      <c r="J1" s="3" t="s">
        <v>9</v>
      </c>
      <c r="K1" s="4" t="s">
        <v>10</v>
      </c>
      <c r="L1" s="3" t="s">
        <v>11</v>
      </c>
      <c r="M1" s="3" t="s">
        <v>12</v>
      </c>
      <c r="N1" s="4" t="s">
        <v>13</v>
      </c>
      <c r="O1" s="3" t="s">
        <v>14</v>
      </c>
      <c r="P1" s="3" t="s">
        <v>15</v>
      </c>
      <c r="Q1" s="3" t="s">
        <v>16</v>
      </c>
      <c r="R1" s="3" t="s">
        <v>17</v>
      </c>
      <c r="S1" s="3" t="s">
        <v>18</v>
      </c>
      <c r="T1" s="3" t="s">
        <v>19</v>
      </c>
      <c r="U1" s="3" t="s">
        <v>20</v>
      </c>
      <c r="V1" s="3" t="s">
        <v>21</v>
      </c>
      <c r="W1" s="3" t="s">
        <v>22</v>
      </c>
      <c r="X1" s="4" t="s">
        <v>23</v>
      </c>
      <c r="Y1" s="3" t="s">
        <v>24</v>
      </c>
      <c r="Z1" s="3" t="s">
        <v>25</v>
      </c>
      <c r="AA1" s="3" t="s">
        <v>26</v>
      </c>
      <c r="AB1" s="4" t="s">
        <v>27</v>
      </c>
      <c r="AC1" s="3" t="s">
        <v>28</v>
      </c>
      <c r="AD1" s="3" t="s">
        <v>29</v>
      </c>
      <c r="AE1" s="3" t="s">
        <v>30</v>
      </c>
      <c r="AF1" s="5" t="s">
        <v>31</v>
      </c>
      <c r="AG1" s="3" t="s">
        <v>32</v>
      </c>
      <c r="AH1" s="3" t="s">
        <v>33</v>
      </c>
      <c r="AI1" s="3" t="s">
        <v>34</v>
      </c>
      <c r="AJ1" s="6" t="s">
        <v>35</v>
      </c>
      <c r="AK1" s="7" t="s">
        <v>36</v>
      </c>
      <c r="AL1" s="3" t="s">
        <v>37</v>
      </c>
      <c r="AM1" s="3" t="s">
        <v>38</v>
      </c>
      <c r="AN1" s="8" t="s">
        <v>39</v>
      </c>
      <c r="AO1" s="9" t="s">
        <v>40</v>
      </c>
      <c r="AP1" s="6" t="s">
        <v>41</v>
      </c>
      <c r="AQ1" s="7" t="s">
        <v>42</v>
      </c>
      <c r="AR1" s="3" t="s">
        <v>43</v>
      </c>
      <c r="AS1" s="3" t="s">
        <v>44</v>
      </c>
      <c r="AT1" s="8" t="s">
        <v>45</v>
      </c>
      <c r="AU1" s="10" t="s">
        <v>46</v>
      </c>
      <c r="AV1" s="11" t="s">
        <v>47</v>
      </c>
    </row>
    <row r="2" spans="1:48" ht="14.25" customHeight="1" x14ac:dyDescent="0.35">
      <c r="A2" s="12" t="s">
        <v>48</v>
      </c>
      <c r="B2" s="13" t="s">
        <v>48</v>
      </c>
      <c r="C2" s="13">
        <v>11002</v>
      </c>
      <c r="D2" s="14">
        <v>530630</v>
      </c>
      <c r="E2" s="14">
        <v>538910</v>
      </c>
      <c r="F2" s="14">
        <v>544759</v>
      </c>
      <c r="G2" s="14">
        <v>562002</v>
      </c>
      <c r="H2" s="15">
        <v>896</v>
      </c>
      <c r="I2" s="13">
        <v>170</v>
      </c>
      <c r="J2" s="16">
        <v>1.6885588828373819</v>
      </c>
      <c r="K2" s="15">
        <v>899</v>
      </c>
      <c r="L2" s="13">
        <v>161</v>
      </c>
      <c r="M2" s="16">
        <v>1.6942125398111678</v>
      </c>
      <c r="N2" s="15">
        <v>1449</v>
      </c>
      <c r="O2" s="13">
        <v>354</v>
      </c>
      <c r="P2" s="17">
        <v>2.6887606464901377</v>
      </c>
      <c r="Q2" s="16">
        <v>0.65688148299344973</v>
      </c>
      <c r="R2" s="18">
        <v>553</v>
      </c>
      <c r="S2" s="16">
        <v>1.0002017636527558</v>
      </c>
      <c r="T2" s="18">
        <v>550</v>
      </c>
      <c r="U2" s="16">
        <v>0.99454810667896987</v>
      </c>
      <c r="V2" s="18">
        <v>92</v>
      </c>
      <c r="W2" s="16">
        <v>0.1707149616819135</v>
      </c>
      <c r="X2" s="15">
        <v>1542</v>
      </c>
      <c r="Y2" s="13">
        <v>303</v>
      </c>
      <c r="Z2" s="17">
        <v>2.8613312055816373</v>
      </c>
      <c r="AA2" s="16">
        <v>0.56224601510456285</v>
      </c>
      <c r="AB2" s="15">
        <f>1646+'overzicht voor jun 25'!AA40</f>
        <v>1648</v>
      </c>
      <c r="AC2" s="13">
        <v>37</v>
      </c>
      <c r="AD2" s="17">
        <v>3.0215196077531532</v>
      </c>
      <c r="AE2" s="16">
        <v>6.7919942580113413E-2</v>
      </c>
      <c r="AF2" s="19">
        <f>1477</f>
        <v>1477</v>
      </c>
      <c r="AG2" s="20">
        <v>29</v>
      </c>
      <c r="AH2" s="17">
        <v>2.7112906808331756</v>
      </c>
      <c r="AI2" s="21">
        <v>5.3234549589818624E-2</v>
      </c>
      <c r="AJ2" s="22">
        <f>BattMobility!D9+cambio!D9+Claus2you!D9+CoopStroom!D9+Cozywheels!D9+Dégage!D9+Flexigo!D9+Klimaan!D9+Moovee!D9+Poppy!D9+'Mobilize Share'!D9+Stapp.in!D9</f>
        <v>1342</v>
      </c>
      <c r="AK2" s="23">
        <f>BattMobility!E9+cambio!E9+Claus2you!E9+CoopStroom!E9+Cozywheels!E9+Dégage!E9+Flexigo!E9+Klimaan!E9+Moovee!E9+Poppy!E9+'Mobilize Share'!E9+Stapp.in!E9</f>
        <v>29</v>
      </c>
      <c r="AL2" s="24">
        <f t="shared" ref="AL2:AL256" si="0">AJ2/G2*1000</f>
        <v>2.3878918580360922</v>
      </c>
      <c r="AM2" s="21">
        <f t="shared" ref="AM2:AM256" si="1">AK2/G2*1000</f>
        <v>5.1601239853238959E-2</v>
      </c>
      <c r="AN2" s="25">
        <f t="shared" ref="AN2:AN256" si="2">AJ2-AB2</f>
        <v>-306</v>
      </c>
      <c r="AO2" s="26">
        <f t="shared" ref="AO2:AO256" si="3">AN2/AB2</f>
        <v>-0.18567961165048544</v>
      </c>
      <c r="AP2" s="27">
        <f>BattMobility!F9+cambio!F9+Claus2you!F9+CoopStroom!F9+Cozywheels!F9+Dégage!F9+Flexigo!F9+Klimaan!F9+Moovee!F9+Poppy!F9+'Mobilize Share'!F9+Stapp.in!F9</f>
        <v>1214</v>
      </c>
      <c r="AQ2" s="25">
        <f>BattMobility!G9+cambio!G9+Claus2you!G9+CoopStroom!G9+Cozywheels!G9+Dégage!G9+Flexigo!G9+Klimaan!G9+Moovee!G9+Poppy!G9+'Mobilize Share'!G9+Stapp.in!G9</f>
        <v>32</v>
      </c>
      <c r="AR2" s="28">
        <f t="shared" ref="AR2:AR256" si="4">AP2/G2*1000</f>
        <v>2.1601346614424859</v>
      </c>
      <c r="AS2" s="29">
        <f t="shared" ref="AS2:AS256" si="5">AQ2/G2*1000</f>
        <v>5.6939299148401602E-2</v>
      </c>
      <c r="AT2" s="25">
        <f t="shared" ref="AT2:AT256" si="6">AP2-AF2</f>
        <v>-263</v>
      </c>
      <c r="AU2" s="30">
        <v>1089.518</v>
      </c>
      <c r="AV2" s="31">
        <v>-387.48199999999997</v>
      </c>
    </row>
    <row r="3" spans="1:48" ht="14.25" customHeight="1" x14ac:dyDescent="0.35">
      <c r="A3" s="2" t="s">
        <v>49</v>
      </c>
      <c r="B3" s="13" t="s">
        <v>50</v>
      </c>
      <c r="C3" s="13">
        <v>44021</v>
      </c>
      <c r="D3" s="14">
        <v>265086</v>
      </c>
      <c r="E3" s="14">
        <v>268122</v>
      </c>
      <c r="F3" s="14">
        <v>269597</v>
      </c>
      <c r="G3" s="14">
        <v>272657</v>
      </c>
      <c r="H3" s="15">
        <v>734</v>
      </c>
      <c r="I3" s="13">
        <v>144</v>
      </c>
      <c r="J3" s="17">
        <v>2.7689127302083096</v>
      </c>
      <c r="K3" s="15">
        <v>884</v>
      </c>
      <c r="L3" s="13">
        <v>128</v>
      </c>
      <c r="M3" s="17">
        <v>3.3347668303871196</v>
      </c>
      <c r="N3" s="15">
        <v>1066</v>
      </c>
      <c r="O3" s="13">
        <v>240</v>
      </c>
      <c r="P3" s="17">
        <v>3.9758020602561523</v>
      </c>
      <c r="Q3" s="16">
        <v>0.89511491037661961</v>
      </c>
      <c r="R3" s="18">
        <v>332</v>
      </c>
      <c r="S3" s="16">
        <v>1.2068893300478427</v>
      </c>
      <c r="T3" s="18">
        <v>182</v>
      </c>
      <c r="U3" s="16">
        <v>0.64103522986903272</v>
      </c>
      <c r="V3" s="18">
        <v>360</v>
      </c>
      <c r="W3" s="16">
        <v>1.3426723655649295</v>
      </c>
      <c r="X3" s="15">
        <v>890</v>
      </c>
      <c r="Y3" s="13">
        <v>202</v>
      </c>
      <c r="Z3" s="17">
        <v>3.319384459313298</v>
      </c>
      <c r="AA3" s="16">
        <v>0.75338838290032151</v>
      </c>
      <c r="AB3" s="15">
        <v>1027</v>
      </c>
      <c r="AC3" s="13">
        <v>249</v>
      </c>
      <c r="AD3" s="17">
        <v>3.8093895703587206</v>
      </c>
      <c r="AE3" s="16">
        <v>0.92360078190781059</v>
      </c>
      <c r="AF3" s="19">
        <v>1103</v>
      </c>
      <c r="AG3" s="20">
        <v>325</v>
      </c>
      <c r="AH3" s="17">
        <v>4.091291817045442</v>
      </c>
      <c r="AI3" s="21">
        <v>1.2055030285945318</v>
      </c>
      <c r="AJ3" s="22">
        <f>BattMobility!D73+cambio!D73+Claus2you!D73+CoopStroom!D73+Cozywheels!D73+Dégage!D73+Flexigo!D73+Klimaan!D73+Moovee!D73+Poppy!D73+'Mobilize Share'!D73+Stapp.in!D73</f>
        <v>1075</v>
      </c>
      <c r="AK3" s="23">
        <f>BattMobility!E73+cambio!E73+Claus2you!E73+CoopStroom!E73+Cozywheels!E73+Dégage!E73+Flexigo!E73+Klimaan!E73+Moovee!E73+Poppy!E73+'Mobilize Share'!E73+Stapp.in!E73</f>
        <v>320</v>
      </c>
      <c r="AL3" s="24">
        <f t="shared" si="0"/>
        <v>3.9426825645407964</v>
      </c>
      <c r="AM3" s="21">
        <f t="shared" si="1"/>
        <v>1.1736357401423767</v>
      </c>
      <c r="AN3" s="25">
        <f t="shared" si="2"/>
        <v>48</v>
      </c>
      <c r="AO3" s="26">
        <f t="shared" si="3"/>
        <v>4.6738072054527749E-2</v>
      </c>
      <c r="AP3" s="27">
        <f>BattMobility!F73+cambio!F73+Claus2you!F73+CoopStroom!F73+Cozywheels!F73+Dégage!F73+Flexigo!F73+Klimaan!F73+Moovee!F73+Poppy!F73+'Mobilize Share'!F73+Stapp.in!F73</f>
        <v>1096</v>
      </c>
      <c r="AQ3" s="25">
        <f>BattMobility!G73+cambio!G73+Claus2you!G73+CoopStroom!G73+Cozywheels!G73+Dégage!G73+Flexigo!G73+Klimaan!G73+Moovee!G73+Poppy!G73+'Mobilize Share'!G73+Stapp.in!G73</f>
        <v>305</v>
      </c>
      <c r="AR3" s="28">
        <f t="shared" si="4"/>
        <v>4.0197024099876399</v>
      </c>
      <c r="AS3" s="29">
        <f t="shared" si="5"/>
        <v>1.1186215648232027</v>
      </c>
      <c r="AT3" s="25">
        <f t="shared" si="6"/>
        <v>-7</v>
      </c>
      <c r="AU3" s="30">
        <v>539.19399999999996</v>
      </c>
      <c r="AV3" s="31">
        <v>-563.80600000000004</v>
      </c>
    </row>
    <row r="4" spans="1:48" ht="14.25" customHeight="1" x14ac:dyDescent="0.35">
      <c r="A4" s="2" t="s">
        <v>51</v>
      </c>
      <c r="B4" s="13" t="s">
        <v>52</v>
      </c>
      <c r="C4" s="13">
        <v>24062</v>
      </c>
      <c r="D4" s="14">
        <v>102236</v>
      </c>
      <c r="E4" s="14">
        <v>103009</v>
      </c>
      <c r="F4" s="14">
        <v>104009</v>
      </c>
      <c r="G4" s="14">
        <v>104906</v>
      </c>
      <c r="H4" s="15">
        <v>201</v>
      </c>
      <c r="I4" s="13">
        <v>5</v>
      </c>
      <c r="J4" s="17">
        <v>1.9660393599123596</v>
      </c>
      <c r="K4" s="15">
        <v>211</v>
      </c>
      <c r="L4" s="13">
        <v>5</v>
      </c>
      <c r="M4" s="17">
        <v>2.0638522633905865</v>
      </c>
      <c r="N4" s="15">
        <v>218</v>
      </c>
      <c r="O4" s="13">
        <v>27</v>
      </c>
      <c r="P4" s="17">
        <v>2.1163199332097196</v>
      </c>
      <c r="Q4" s="16">
        <v>0.26211301925074504</v>
      </c>
      <c r="R4" s="18">
        <v>17</v>
      </c>
      <c r="S4" s="16">
        <v>0.15028057329736</v>
      </c>
      <c r="T4" s="18">
        <v>7</v>
      </c>
      <c r="U4" s="16">
        <v>5.2467669819133089E-2</v>
      </c>
      <c r="V4" s="18">
        <v>53</v>
      </c>
      <c r="W4" s="16">
        <v>0.51451814889961067</v>
      </c>
      <c r="X4" s="15">
        <v>230</v>
      </c>
      <c r="Y4" s="13">
        <v>27</v>
      </c>
      <c r="Z4" s="17">
        <v>2.2328146084322729</v>
      </c>
      <c r="AA4" s="16">
        <v>0.26211301925074504</v>
      </c>
      <c r="AB4" s="15">
        <v>249</v>
      </c>
      <c r="AC4" s="13">
        <v>30</v>
      </c>
      <c r="AD4" s="17">
        <v>2.3940235941120482</v>
      </c>
      <c r="AE4" s="16">
        <v>0.28843657760386121</v>
      </c>
      <c r="AF4" s="19">
        <v>248</v>
      </c>
      <c r="AG4" s="20">
        <v>34</v>
      </c>
      <c r="AH4" s="17">
        <v>2.3844090415252523</v>
      </c>
      <c r="AI4" s="21">
        <v>0.32689478795104265</v>
      </c>
      <c r="AJ4" s="22">
        <f>BattMobility!D148+cambio!D148+Claus2you!D148+CoopStroom!D148+Cozywheels!D148+Dégage!D148+Flexigo!D148+Klimaan!D148+Moovee!D148+Poppy!D148+'Mobilize Share'!D148+Stapp.in!D148</f>
        <v>266</v>
      </c>
      <c r="AK4" s="23">
        <f>BattMobility!E148+cambio!E148+Claus2you!E148+CoopStroom!E148+Cozywheels!E148+Dégage!E148+Flexigo!E148+Klimaan!E148+Moovee!E148+Poppy!E148+'Mobilize Share'!E148+Stapp.in!E148</f>
        <v>36</v>
      </c>
      <c r="AL4" s="24">
        <f t="shared" si="0"/>
        <v>2.5356033020036985</v>
      </c>
      <c r="AM4" s="21">
        <f t="shared" si="1"/>
        <v>0.34316435666215467</v>
      </c>
      <c r="AN4" s="25">
        <f t="shared" si="2"/>
        <v>17</v>
      </c>
      <c r="AO4" s="26">
        <f t="shared" si="3"/>
        <v>6.8273092369477914E-2</v>
      </c>
      <c r="AP4" s="27">
        <f>BattMobility!F148+cambio!F148+Claus2you!F148+CoopStroom!F148+Cozywheels!F148+Dégage!F148+Flexigo!F148+Klimaan!F148+Moovee!F148+Poppy!F148+'Mobilize Share'!F148+Stapp.in!F148</f>
        <v>274</v>
      </c>
      <c r="AQ4" s="25">
        <f>BattMobility!G148+cambio!G148+Claus2you!G148+CoopStroom!G148+Cozywheels!G148+Dégage!G148+Flexigo!G148+Klimaan!G148+Moovee!G148+Poppy!G148+'Mobilize Share'!G148+Stapp.in!G148</f>
        <v>37</v>
      </c>
      <c r="AR4" s="28">
        <f t="shared" si="4"/>
        <v>2.6118620479286219</v>
      </c>
      <c r="AS4" s="29">
        <f t="shared" si="5"/>
        <v>0.35269669990277014</v>
      </c>
      <c r="AT4" s="25">
        <f t="shared" si="6"/>
        <v>26</v>
      </c>
      <c r="AU4" s="30">
        <v>208.018</v>
      </c>
      <c r="AV4" s="31">
        <v>-39.981999999999999</v>
      </c>
    </row>
    <row r="5" spans="1:48" ht="14.25" customHeight="1" x14ac:dyDescent="0.35">
      <c r="A5" s="2" t="s">
        <v>53</v>
      </c>
      <c r="B5" s="13" t="s">
        <v>48</v>
      </c>
      <c r="C5" s="13">
        <v>12025</v>
      </c>
      <c r="D5" s="14">
        <v>86996</v>
      </c>
      <c r="E5" s="14">
        <v>88614</v>
      </c>
      <c r="F5" s="14">
        <v>89313</v>
      </c>
      <c r="G5" s="14">
        <v>89655</v>
      </c>
      <c r="H5" s="15">
        <v>159</v>
      </c>
      <c r="I5" s="13">
        <v>0</v>
      </c>
      <c r="J5" s="16">
        <v>1.8276702377120788</v>
      </c>
      <c r="K5" s="15">
        <v>204</v>
      </c>
      <c r="L5" s="13">
        <v>4</v>
      </c>
      <c r="M5" s="17">
        <v>2.3449353993287048</v>
      </c>
      <c r="N5" s="15">
        <v>214</v>
      </c>
      <c r="O5" s="13">
        <v>38</v>
      </c>
      <c r="P5" s="17">
        <v>2.4149682894350777</v>
      </c>
      <c r="Q5" s="16">
        <v>0.42882614485295778</v>
      </c>
      <c r="R5" s="18">
        <v>55</v>
      </c>
      <c r="S5" s="16">
        <v>0.58729805172299887</v>
      </c>
      <c r="T5" s="18">
        <v>10</v>
      </c>
      <c r="U5" s="16">
        <v>7.0032890106372925E-2</v>
      </c>
      <c r="V5" s="18">
        <v>41</v>
      </c>
      <c r="W5" s="16">
        <v>0.46268084049924391</v>
      </c>
      <c r="X5" s="15">
        <v>162</v>
      </c>
      <c r="Y5" s="13">
        <v>39</v>
      </c>
      <c r="Z5" s="16">
        <v>1.8281535648994516</v>
      </c>
      <c r="AA5" s="16">
        <v>0.4401110434017198</v>
      </c>
      <c r="AB5" s="15">
        <v>159</v>
      </c>
      <c r="AC5" s="13">
        <v>39</v>
      </c>
      <c r="AD5" s="16">
        <v>1.7802559537805247</v>
      </c>
      <c r="AE5" s="16">
        <v>0.43666655470088345</v>
      </c>
      <c r="AF5" s="19">
        <v>160</v>
      </c>
      <c r="AG5" s="20">
        <v>44</v>
      </c>
      <c r="AH5" s="16">
        <v>1.7914525321061883</v>
      </c>
      <c r="AI5" s="21">
        <v>0.49264944632920182</v>
      </c>
      <c r="AJ5" s="22">
        <f>BattMobility!D171+cambio!D171+Claus2you!D171+CoopStroom!D171+Cozywheels!D171+Dégage!D171+Flexigo!D171+Klimaan!D171+Moovee!D171+Poppy!D171+'Mobilize Share'!D171+Stapp.in!D171</f>
        <v>157</v>
      </c>
      <c r="AK5" s="23">
        <f>BattMobility!E171+cambio!E171+Claus2you!E171+CoopStroom!E171+Cozywheels!E171+Dégage!E171+Flexigo!E171+Klimaan!E171+Moovee!E171+Poppy!E171+'Mobilize Share'!E171+Stapp.in!E171</f>
        <v>45</v>
      </c>
      <c r="AL5" s="21">
        <f t="shared" si="0"/>
        <v>1.7511572137638727</v>
      </c>
      <c r="AM5" s="21">
        <f t="shared" si="1"/>
        <v>0.50192404216161957</v>
      </c>
      <c r="AN5" s="25">
        <f t="shared" si="2"/>
        <v>-2</v>
      </c>
      <c r="AO5" s="26">
        <f t="shared" si="3"/>
        <v>-1.2578616352201259E-2</v>
      </c>
      <c r="AP5" s="27">
        <f>BattMobility!F171+cambio!F171+Claus2you!F171+CoopStroom!F171+Cozywheels!F171+Dégage!F171+Flexigo!F171+Klimaan!F171+Moovee!F171+Poppy!F171+'Mobilize Share'!F171+Stapp.in!F171</f>
        <v>157</v>
      </c>
      <c r="AQ5" s="25">
        <f>BattMobility!G171+cambio!G171+Claus2you!G171+CoopStroom!G171+Cozywheels!G171+Dégage!G171+Flexigo!G171+Klimaan!G171+Moovee!G171+Poppy!G171+'Mobilize Share'!G171+Stapp.in!G171</f>
        <v>52</v>
      </c>
      <c r="AR5" s="29">
        <f t="shared" si="4"/>
        <v>1.7511572137638727</v>
      </c>
      <c r="AS5" s="29">
        <f t="shared" si="5"/>
        <v>0.58000111538676036</v>
      </c>
      <c r="AT5" s="25">
        <f t="shared" si="6"/>
        <v>-3</v>
      </c>
      <c r="AU5" s="30">
        <v>178.626</v>
      </c>
      <c r="AV5" s="31">
        <v>18.626000000000005</v>
      </c>
    </row>
    <row r="6" spans="1:48" ht="14.25" customHeight="1" x14ac:dyDescent="0.35">
      <c r="A6" s="2" t="s">
        <v>54</v>
      </c>
      <c r="B6" s="13" t="s">
        <v>55</v>
      </c>
      <c r="C6" s="13">
        <v>31005</v>
      </c>
      <c r="D6" s="14">
        <v>118509</v>
      </c>
      <c r="E6" s="14">
        <v>119541</v>
      </c>
      <c r="F6" s="14">
        <v>119869</v>
      </c>
      <c r="G6" s="14">
        <v>120283</v>
      </c>
      <c r="H6" s="15">
        <v>58</v>
      </c>
      <c r="I6" s="13">
        <v>10</v>
      </c>
      <c r="J6" s="16">
        <v>0.48941430608645758</v>
      </c>
      <c r="K6" s="15">
        <v>75</v>
      </c>
      <c r="L6" s="13">
        <v>12</v>
      </c>
      <c r="M6" s="16">
        <v>0.63286332683593649</v>
      </c>
      <c r="N6" s="15">
        <v>83</v>
      </c>
      <c r="O6" s="13">
        <v>23</v>
      </c>
      <c r="P6" s="16">
        <v>0.69432245003806226</v>
      </c>
      <c r="Q6" s="16">
        <v>0.19240260663705341</v>
      </c>
      <c r="R6" s="18">
        <v>25</v>
      </c>
      <c r="S6" s="16">
        <v>0.20490814395160467</v>
      </c>
      <c r="T6" s="18">
        <v>8</v>
      </c>
      <c r="U6" s="16">
        <v>6.1459123202125765E-2</v>
      </c>
      <c r="V6" s="18">
        <v>28</v>
      </c>
      <c r="W6" s="16">
        <v>0.23422926025380414</v>
      </c>
      <c r="X6" s="15">
        <v>103</v>
      </c>
      <c r="Y6" s="13">
        <v>31</v>
      </c>
      <c r="Z6" s="16">
        <v>0.86162906450506516</v>
      </c>
      <c r="AA6" s="16">
        <v>0.25932525242385457</v>
      </c>
      <c r="AB6" s="15">
        <v>109</v>
      </c>
      <c r="AC6" s="13">
        <v>32</v>
      </c>
      <c r="AD6" s="16">
        <v>0.90932601423220349</v>
      </c>
      <c r="AE6" s="16">
        <v>0.26695809592138081</v>
      </c>
      <c r="AF6" s="19">
        <v>124</v>
      </c>
      <c r="AG6" s="20">
        <v>41</v>
      </c>
      <c r="AH6" s="16">
        <v>1.0344626216953507</v>
      </c>
      <c r="AI6" s="21">
        <v>0.34204006039926921</v>
      </c>
      <c r="AJ6" s="22">
        <f>BattMobility!D45+cambio!D45+Claus2you!D45+CoopStroom!D45+Cozywheels!D45+Dégage!D45+Flexigo!D45+Klimaan!D45+Moovee!D45+Poppy!D45+'Mobilize Share'!D45+Stapp.in!D45</f>
        <v>128</v>
      </c>
      <c r="AK6" s="23">
        <f>BattMobility!E45+cambio!E45+Claus2you!E45+CoopStroom!E45+Cozywheels!E45+Dégage!E45+Flexigo!E45+Klimaan!E45+Moovee!E45+Poppy!E45+'Mobilize Share'!E45+Stapp.in!E45</f>
        <v>43</v>
      </c>
      <c r="AL6" s="21">
        <f t="shared" si="0"/>
        <v>1.0641570296716909</v>
      </c>
      <c r="AM6" s="21">
        <f t="shared" si="1"/>
        <v>0.3574902521553337</v>
      </c>
      <c r="AN6" s="25">
        <f t="shared" si="2"/>
        <v>19</v>
      </c>
      <c r="AO6" s="26">
        <f t="shared" si="3"/>
        <v>0.1743119266055046</v>
      </c>
      <c r="AP6" s="27">
        <f>BattMobility!F45+cambio!F45+Claus2you!F45+CoopStroom!F45+Cozywheels!F45+Dégage!F45+Flexigo!F45+Klimaan!F45+Moovee!F45+Poppy!F45+'Mobilize Share'!F45+Stapp.in!F45</f>
        <v>137</v>
      </c>
      <c r="AQ6" s="25">
        <f>BattMobility!G45+cambio!G45+Claus2you!G45+CoopStroom!G45+Cozywheels!G45+Dégage!G45+Flexigo!G45+Klimaan!G45+Moovee!G45+Poppy!G45+'Mobilize Share'!G45+Stapp.in!G45</f>
        <v>49</v>
      </c>
      <c r="AR6" s="29">
        <f t="shared" si="4"/>
        <v>1.1389805708204817</v>
      </c>
      <c r="AS6" s="29">
        <f t="shared" si="5"/>
        <v>0.4073726129211942</v>
      </c>
      <c r="AT6" s="25">
        <f t="shared" si="6"/>
        <v>13</v>
      </c>
      <c r="AU6" s="30">
        <v>239.738</v>
      </c>
      <c r="AV6" s="31">
        <v>115.738</v>
      </c>
    </row>
    <row r="7" spans="1:48" ht="14.25" customHeight="1" x14ac:dyDescent="0.35">
      <c r="A7" s="2" t="s">
        <v>56</v>
      </c>
      <c r="B7" s="13" t="s">
        <v>55</v>
      </c>
      <c r="C7" s="13">
        <v>34022</v>
      </c>
      <c r="D7" s="14">
        <v>77741</v>
      </c>
      <c r="E7" s="14">
        <v>78944</v>
      </c>
      <c r="F7" s="14">
        <v>80032</v>
      </c>
      <c r="G7" s="14">
        <v>80776</v>
      </c>
      <c r="H7" s="15">
        <v>27</v>
      </c>
      <c r="I7" s="13">
        <v>0</v>
      </c>
      <c r="J7" s="16">
        <v>0.34730708377818653</v>
      </c>
      <c r="K7" s="15">
        <v>31</v>
      </c>
      <c r="L7" s="13">
        <v>0</v>
      </c>
      <c r="M7" s="16">
        <v>0.39875998507865862</v>
      </c>
      <c r="N7" s="15">
        <v>32</v>
      </c>
      <c r="O7" s="13">
        <v>4</v>
      </c>
      <c r="P7" s="16">
        <v>0.40535062829347385</v>
      </c>
      <c r="Q7" s="16">
        <v>5.0668828536684231E-2</v>
      </c>
      <c r="R7" s="18">
        <v>5</v>
      </c>
      <c r="S7" s="16">
        <v>5.8043544515287315E-2</v>
      </c>
      <c r="T7" s="18">
        <v>1</v>
      </c>
      <c r="U7" s="16">
        <v>6.5906432148152283E-3</v>
      </c>
      <c r="V7" s="18">
        <v>15</v>
      </c>
      <c r="W7" s="16">
        <v>0.19000810701256585</v>
      </c>
      <c r="X7" s="15">
        <v>43</v>
      </c>
      <c r="Y7" s="13">
        <v>8</v>
      </c>
      <c r="Z7" s="16">
        <v>0.54468990676935547</v>
      </c>
      <c r="AA7" s="16">
        <v>0.10133765707336846</v>
      </c>
      <c r="AB7" s="15">
        <v>49</v>
      </c>
      <c r="AC7" s="13">
        <v>7</v>
      </c>
      <c r="AD7" s="16">
        <v>0.61225509796081568</v>
      </c>
      <c r="AE7" s="16">
        <v>8.7465013994402235E-2</v>
      </c>
      <c r="AF7" s="19">
        <v>52</v>
      </c>
      <c r="AG7" s="20">
        <v>7</v>
      </c>
      <c r="AH7" s="16">
        <v>0.64974010395841664</v>
      </c>
      <c r="AI7" s="21">
        <v>8.7465013994402235E-2</v>
      </c>
      <c r="AJ7" s="22">
        <f>BattMobility!D133+cambio!D133+Claus2you!D133+CoopStroom!D133+Cozywheels!D133+Dégage!D133+Flexigo!D133+Klimaan!D133+Moovee!D133+Poppy!D133+'Mobilize Share'!D133+Stapp.in!D133</f>
        <v>54</v>
      </c>
      <c r="AK7" s="23">
        <f>BattMobility!E133+cambio!E133+Claus2you!E133+CoopStroom!E133+Cozywheels!E133+Dégage!E133+Flexigo!E133+Klimaan!E133+Moovee!E133+Poppy!E133+'Mobilize Share'!E133+Stapp.in!E133</f>
        <v>7</v>
      </c>
      <c r="AL7" s="21">
        <f t="shared" si="0"/>
        <v>0.66851540061404369</v>
      </c>
      <c r="AM7" s="21">
        <f t="shared" si="1"/>
        <v>8.6659403783301975E-2</v>
      </c>
      <c r="AN7" s="25">
        <f t="shared" si="2"/>
        <v>5</v>
      </c>
      <c r="AO7" s="26">
        <f t="shared" si="3"/>
        <v>0.10204081632653061</v>
      </c>
      <c r="AP7" s="27">
        <f>BattMobility!F133+cambio!F133+Claus2you!F133+CoopStroom!F133+Cozywheels!F133+Dégage!F133+Flexigo!F133+Klimaan!F133+Moovee!F133+Poppy!F133+'Mobilize Share'!F133+Stapp.in!F133</f>
        <v>55</v>
      </c>
      <c r="AQ7" s="25">
        <f>BattMobility!G133+cambio!G133+Claus2you!G133+CoopStroom!G133+Cozywheels!G133+Dégage!G133+Flexigo!G133+Klimaan!G133+Moovee!G133+Poppy!G133+'Mobilize Share'!G133+Stapp.in!G133</f>
        <v>8</v>
      </c>
      <c r="AR7" s="29">
        <f t="shared" si="4"/>
        <v>0.68089531544022974</v>
      </c>
      <c r="AS7" s="29">
        <f t="shared" si="5"/>
        <v>9.9039318609487961E-2</v>
      </c>
      <c r="AT7" s="25">
        <f t="shared" si="6"/>
        <v>3</v>
      </c>
      <c r="AU7" s="30">
        <v>160.06399999999999</v>
      </c>
      <c r="AV7" s="31">
        <v>108.06399999999999</v>
      </c>
    </row>
    <row r="8" spans="1:48" ht="14.25" customHeight="1" x14ac:dyDescent="0.35">
      <c r="A8" s="2" t="s">
        <v>57</v>
      </c>
      <c r="B8" s="13" t="s">
        <v>50</v>
      </c>
      <c r="C8" s="13">
        <v>46021</v>
      </c>
      <c r="D8" s="14">
        <v>80167</v>
      </c>
      <c r="E8" s="14">
        <v>81138</v>
      </c>
      <c r="F8" s="14">
        <v>81863</v>
      </c>
      <c r="G8" s="14">
        <v>82661</v>
      </c>
      <c r="H8" s="15">
        <v>22</v>
      </c>
      <c r="I8" s="13">
        <v>0</v>
      </c>
      <c r="J8" s="16">
        <v>0.27442713335911284</v>
      </c>
      <c r="K8" s="15">
        <v>26</v>
      </c>
      <c r="L8" s="13">
        <v>0</v>
      </c>
      <c r="M8" s="16">
        <v>0.32432297578804248</v>
      </c>
      <c r="N8" s="15">
        <v>26</v>
      </c>
      <c r="O8" s="13">
        <v>3</v>
      </c>
      <c r="P8" s="16">
        <v>0.32044171658162635</v>
      </c>
      <c r="Q8" s="16">
        <v>3.6974044220956889E-2</v>
      </c>
      <c r="R8" s="18">
        <v>4</v>
      </c>
      <c r="S8" s="16">
        <v>4.6014583222513505E-2</v>
      </c>
      <c r="T8" s="18">
        <v>0</v>
      </c>
      <c r="U8" s="16">
        <v>-3.8812592064161322E-3</v>
      </c>
      <c r="V8" s="18">
        <v>10</v>
      </c>
      <c r="W8" s="16">
        <v>0.12324681406985628</v>
      </c>
      <c r="X8" s="15">
        <v>43</v>
      </c>
      <c r="Y8" s="13">
        <v>4</v>
      </c>
      <c r="Z8" s="16">
        <v>0.52996130050038204</v>
      </c>
      <c r="AA8" s="16">
        <v>4.9298725627942519E-2</v>
      </c>
      <c r="AB8" s="15">
        <v>50</v>
      </c>
      <c r="AC8" s="13">
        <v>6</v>
      </c>
      <c r="AD8" s="16">
        <v>0.61077654129460202</v>
      </c>
      <c r="AE8" s="16">
        <v>7.3293184955352239E-2</v>
      </c>
      <c r="AF8" s="19">
        <v>50</v>
      </c>
      <c r="AG8" s="20">
        <v>6</v>
      </c>
      <c r="AH8" s="16">
        <v>0.61077654129460202</v>
      </c>
      <c r="AI8" s="21">
        <v>7.3293184955352239E-2</v>
      </c>
      <c r="AJ8" s="22">
        <f>BattMobility!D229+cambio!D229+Claus2you!D229+CoopStroom!D229+Cozywheels!D229+Dégage!D229+Flexigo!D229+Klimaan!D229+Moovee!D229+Poppy!D229+'Mobilize Share'!D229+Stapp.in!D229</f>
        <v>43</v>
      </c>
      <c r="AK8" s="23">
        <f>BattMobility!E229+cambio!E229+Claus2you!E229+CoopStroom!E229+Cozywheels!E229+Dégage!E229+Flexigo!E229+Klimaan!E229+Moovee!E229+Poppy!E229+'Mobilize Share'!E229+Stapp.in!E229</f>
        <v>6</v>
      </c>
      <c r="AL8" s="21">
        <f t="shared" si="0"/>
        <v>0.52019694898440616</v>
      </c>
      <c r="AM8" s="21">
        <f t="shared" si="1"/>
        <v>7.2585620788521793E-2</v>
      </c>
      <c r="AN8" s="25">
        <f t="shared" si="2"/>
        <v>-7</v>
      </c>
      <c r="AO8" s="26">
        <f t="shared" si="3"/>
        <v>-0.14000000000000001</v>
      </c>
      <c r="AP8" s="27">
        <f>BattMobility!F229+cambio!F229+Claus2you!F229+CoopStroom!F229+Cozywheels!F229+Dégage!F229+Flexigo!F229+Klimaan!F229+Moovee!F229+Poppy!F229+'Mobilize Share'!F229+Stapp.in!F229</f>
        <v>55</v>
      </c>
      <c r="AQ8" s="25">
        <f>BattMobility!G229+cambio!G229+Claus2you!G229+CoopStroom!G229+Cozywheels!G229+Dégage!G229+Flexigo!G229+Klimaan!G229+Moovee!G229+Poppy!G229+'Mobilize Share'!G229+Stapp.in!G229</f>
        <v>12</v>
      </c>
      <c r="AR8" s="29">
        <f t="shared" si="4"/>
        <v>0.6653681905614498</v>
      </c>
      <c r="AS8" s="29">
        <f t="shared" si="5"/>
        <v>0.14517124157704359</v>
      </c>
      <c r="AT8" s="25">
        <f t="shared" si="6"/>
        <v>5</v>
      </c>
      <c r="AU8" s="30">
        <v>163.726</v>
      </c>
      <c r="AV8" s="31">
        <v>113.726</v>
      </c>
    </row>
    <row r="9" spans="1:48" ht="14.25" customHeight="1" x14ac:dyDescent="0.35">
      <c r="A9" s="12" t="s">
        <v>58</v>
      </c>
      <c r="B9" s="13" t="s">
        <v>59</v>
      </c>
      <c r="C9" s="13">
        <v>71072</v>
      </c>
      <c r="D9" s="14">
        <v>79524</v>
      </c>
      <c r="E9" s="14">
        <v>80351</v>
      </c>
      <c r="F9" s="14">
        <v>80828</v>
      </c>
      <c r="G9" s="14">
        <v>90249</v>
      </c>
      <c r="H9" s="15">
        <v>30</v>
      </c>
      <c r="I9" s="13">
        <v>0</v>
      </c>
      <c r="J9" s="16">
        <v>0.37724460540214272</v>
      </c>
      <c r="K9" s="15">
        <v>39</v>
      </c>
      <c r="L9" s="13">
        <v>0</v>
      </c>
      <c r="M9" s="16">
        <v>0.49041798702278561</v>
      </c>
      <c r="N9" s="15">
        <v>42</v>
      </c>
      <c r="O9" s="13">
        <v>8</v>
      </c>
      <c r="P9" s="32">
        <v>0.52270662468419804</v>
      </c>
      <c r="Q9" s="16">
        <v>9.9563166606513931E-2</v>
      </c>
      <c r="R9" s="18">
        <v>12</v>
      </c>
      <c r="S9" s="16">
        <v>0.14546201928205532</v>
      </c>
      <c r="T9" s="18">
        <v>3</v>
      </c>
      <c r="U9" s="16">
        <v>3.2288637661412434E-2</v>
      </c>
      <c r="V9" s="18">
        <v>5</v>
      </c>
      <c r="W9" s="16">
        <v>6.2226979129071193E-2</v>
      </c>
      <c r="X9" s="15">
        <v>44</v>
      </c>
      <c r="Y9" s="13">
        <v>9</v>
      </c>
      <c r="Z9" s="32">
        <v>0.54759741633582648</v>
      </c>
      <c r="AA9" s="16">
        <v>0.11200856243232815</v>
      </c>
      <c r="AB9" s="15">
        <v>49</v>
      </c>
      <c r="AC9" s="13">
        <v>11</v>
      </c>
      <c r="AD9" s="32">
        <v>0.60622556539812944</v>
      </c>
      <c r="AE9" s="16">
        <v>0.13609145345672294</v>
      </c>
      <c r="AF9" s="19">
        <v>50</v>
      </c>
      <c r="AG9" s="20">
        <v>10</v>
      </c>
      <c r="AH9" s="16">
        <v>0.61859751571237687</v>
      </c>
      <c r="AI9" s="21">
        <v>0.12371950314247539</v>
      </c>
      <c r="AJ9" s="22">
        <f>BattMobility!D87+cambio!D87+Claus2you!D87+CoopStroom!D87+Cozywheels!D87+Dégage!D87+Flexigo!D87+Klimaan!D87+Moovee!D87+Poppy!D87+'Mobilize Share'!D87+Stapp.in!D87</f>
        <v>50</v>
      </c>
      <c r="AK9" s="23">
        <f>BattMobility!E87+cambio!E87+Claus2you!E87+CoopStroom!E87+Cozywheels!E87+Dégage!E87+Flexigo!E87+Klimaan!E87+Moovee!E87+Poppy!E87+'Mobilize Share'!E87+Stapp.in!E87</f>
        <v>10</v>
      </c>
      <c r="AL9" s="21">
        <f t="shared" si="0"/>
        <v>0.55402275925495015</v>
      </c>
      <c r="AM9" s="21">
        <f t="shared" si="1"/>
        <v>0.11080455185099004</v>
      </c>
      <c r="AN9" s="25">
        <f t="shared" si="2"/>
        <v>1</v>
      </c>
      <c r="AO9" s="26">
        <f t="shared" si="3"/>
        <v>2.0408163265306121E-2</v>
      </c>
      <c r="AP9" s="27">
        <f>BattMobility!F87+cambio!F87+Claus2you!F87+CoopStroom!F87+Cozywheels!F87+Dégage!F87+Flexigo!F87+Klimaan!F87+Moovee!F87+Poppy!F87+'Mobilize Share'!F87+Stapp.in!F87</f>
        <v>52</v>
      </c>
      <c r="AQ9" s="25">
        <f>BattMobility!G87+cambio!G87+Claus2you!G87+CoopStroom!G87+Cozywheels!G87+Dégage!G87+Flexigo!G87+Klimaan!G87+Moovee!G87+Poppy!G87+'Mobilize Share'!G87+Stapp.in!G87</f>
        <v>11</v>
      </c>
      <c r="AR9" s="29">
        <f t="shared" si="4"/>
        <v>0.57618366962514811</v>
      </c>
      <c r="AS9" s="29">
        <f t="shared" si="5"/>
        <v>0.12188500703608904</v>
      </c>
      <c r="AT9" s="25">
        <f t="shared" si="6"/>
        <v>2</v>
      </c>
      <c r="AU9" s="30">
        <v>161.65600000000001</v>
      </c>
      <c r="AV9" s="31">
        <v>111.65600000000001</v>
      </c>
    </row>
    <row r="10" spans="1:48" ht="14.25" customHeight="1" x14ac:dyDescent="0.35">
      <c r="A10" s="33" t="s">
        <v>60</v>
      </c>
      <c r="B10" s="13" t="s">
        <v>50</v>
      </c>
      <c r="C10" s="13">
        <v>44088</v>
      </c>
      <c r="D10" s="14">
        <v>24886</v>
      </c>
      <c r="E10" s="14">
        <v>25200</v>
      </c>
      <c r="F10" s="14">
        <v>25229</v>
      </c>
      <c r="G10" s="14">
        <v>37369</v>
      </c>
      <c r="H10" s="15">
        <v>26</v>
      </c>
      <c r="I10" s="13">
        <v>1</v>
      </c>
      <c r="J10" s="16">
        <v>1.0447641244072974</v>
      </c>
      <c r="K10" s="15">
        <v>30</v>
      </c>
      <c r="L10" s="13">
        <v>0</v>
      </c>
      <c r="M10" s="16">
        <v>1.2054970666238045</v>
      </c>
      <c r="N10" s="15">
        <v>28</v>
      </c>
      <c r="O10" s="13">
        <v>6</v>
      </c>
      <c r="P10" s="16">
        <v>1.1111111111111112</v>
      </c>
      <c r="Q10" s="16">
        <v>0.23809523809523808</v>
      </c>
      <c r="R10" s="18">
        <v>2</v>
      </c>
      <c r="S10" s="16">
        <v>6.6346986703813782E-2</v>
      </c>
      <c r="T10" s="18">
        <v>-2</v>
      </c>
      <c r="U10" s="16">
        <v>-9.4385955512693354E-2</v>
      </c>
      <c r="V10" s="18">
        <v>19</v>
      </c>
      <c r="W10" s="16">
        <v>0.75396825396825407</v>
      </c>
      <c r="X10" s="15">
        <v>27</v>
      </c>
      <c r="Y10" s="13">
        <v>3</v>
      </c>
      <c r="Z10" s="16">
        <v>1.0714285714285714</v>
      </c>
      <c r="AA10" s="16">
        <v>0.11904761904761904</v>
      </c>
      <c r="AB10" s="15">
        <f>32+'overzicht voor jun 25'!AA184</f>
        <v>42</v>
      </c>
      <c r="AC10" s="13">
        <v>7</v>
      </c>
      <c r="AD10" s="16">
        <v>1.2683816243212176</v>
      </c>
      <c r="AE10" s="16">
        <v>0.27745848032026638</v>
      </c>
      <c r="AF10" s="19">
        <v>36</v>
      </c>
      <c r="AG10" s="20">
        <v>10</v>
      </c>
      <c r="AH10" s="16">
        <v>1.4269293273613699</v>
      </c>
      <c r="AI10" s="21">
        <v>0.3963692576003805</v>
      </c>
      <c r="AJ10" s="22">
        <f>BattMobility!D176+cambio!D176+Claus2you!D176+CoopStroom!D176+Cozywheels!D176+Dégage!D176+Flexigo!D176+Klimaan!D176+Moovee!D176+Poppy!D176+'Mobilize Share'!D176+Stapp.in!D176</f>
        <v>52</v>
      </c>
      <c r="AK10" s="23">
        <f>BattMobility!E176+cambio!E176+Claus2you!E176+CoopStroom!E176+Cozywheels!E176+Dégage!E176+Flexigo!E176+Klimaan!E176+Moovee!E176+Poppy!E176+'Mobilize Share'!E176+Stapp.in!E176</f>
        <v>17</v>
      </c>
      <c r="AL10" s="21">
        <f t="shared" si="0"/>
        <v>1.3915277368942172</v>
      </c>
      <c r="AM10" s="21">
        <f t="shared" si="1"/>
        <v>0.45492252936926331</v>
      </c>
      <c r="AN10" s="25">
        <f t="shared" si="2"/>
        <v>10</v>
      </c>
      <c r="AO10" s="26">
        <f t="shared" si="3"/>
        <v>0.23809523809523808</v>
      </c>
      <c r="AP10" s="27">
        <f>BattMobility!F176+cambio!F176+Claus2you!F176+CoopStroom!F176+Cozywheels!F176+Dégage!F176+Flexigo!F176+Klimaan!F176+Moovee!F176+Poppy!F176+'Mobilize Share'!F176+Stapp.in!F176</f>
        <v>50</v>
      </c>
      <c r="AQ10" s="25">
        <f>BattMobility!G176+cambio!G176+Claus2you!G176+CoopStroom!G176+Cozywheels!G176+Dégage!G176+Flexigo!G176+Klimaan!G176+Moovee!G176+Poppy!G176+'Mobilize Share'!G176+Stapp.in!G176</f>
        <v>15</v>
      </c>
      <c r="AR10" s="29">
        <f t="shared" si="4"/>
        <v>1.3380074393213628</v>
      </c>
      <c r="AS10" s="29">
        <f t="shared" si="5"/>
        <v>0.40140223179640883</v>
      </c>
      <c r="AT10" s="25">
        <f t="shared" si="6"/>
        <v>14</v>
      </c>
      <c r="AU10" s="30">
        <v>50.457999999999998</v>
      </c>
      <c r="AV10" s="31">
        <v>14.457999999999998</v>
      </c>
    </row>
    <row r="11" spans="1:48" ht="14.25" customHeight="1" x14ac:dyDescent="0.35">
      <c r="A11" s="2" t="s">
        <v>61</v>
      </c>
      <c r="B11" s="13" t="s">
        <v>48</v>
      </c>
      <c r="C11" s="13">
        <v>13040</v>
      </c>
      <c r="D11" s="14">
        <v>46372</v>
      </c>
      <c r="E11" s="14">
        <v>46923</v>
      </c>
      <c r="F11" s="14">
        <v>47305</v>
      </c>
      <c r="G11" s="14">
        <v>47965</v>
      </c>
      <c r="H11" s="15">
        <v>22</v>
      </c>
      <c r="I11" s="13">
        <v>0</v>
      </c>
      <c r="J11" s="16">
        <v>0.47442422151298197</v>
      </c>
      <c r="K11" s="15">
        <v>22</v>
      </c>
      <c r="L11" s="13">
        <v>0</v>
      </c>
      <c r="M11" s="16">
        <v>0.47442422151298197</v>
      </c>
      <c r="N11" s="15">
        <v>21</v>
      </c>
      <c r="O11" s="13">
        <v>6</v>
      </c>
      <c r="P11" s="16">
        <v>0.44754171728150377</v>
      </c>
      <c r="Q11" s="16">
        <v>0.12786906208042964</v>
      </c>
      <c r="R11" s="18">
        <v>-1</v>
      </c>
      <c r="S11" s="16">
        <v>-2.6882504231478199E-2</v>
      </c>
      <c r="T11" s="18">
        <v>-1</v>
      </c>
      <c r="U11" s="16">
        <v>-2.6882504231478199E-2</v>
      </c>
      <c r="V11" s="18">
        <v>10</v>
      </c>
      <c r="W11" s="16">
        <v>0.21311510346738274</v>
      </c>
      <c r="X11" s="15">
        <v>29</v>
      </c>
      <c r="Y11" s="13">
        <v>8</v>
      </c>
      <c r="Z11" s="16">
        <v>0.61803380005540998</v>
      </c>
      <c r="AA11" s="16">
        <v>0.17049208277390621</v>
      </c>
      <c r="AB11" s="15">
        <v>32</v>
      </c>
      <c r="AC11" s="13">
        <v>12</v>
      </c>
      <c r="AD11" s="16">
        <v>0.67646126202304202</v>
      </c>
      <c r="AE11" s="16">
        <v>0.25367297325864074</v>
      </c>
      <c r="AF11" s="19">
        <v>40</v>
      </c>
      <c r="AG11" s="20">
        <v>17</v>
      </c>
      <c r="AH11" s="16">
        <v>0.84557657752880244</v>
      </c>
      <c r="AI11" s="21">
        <v>0.35937004544974105</v>
      </c>
      <c r="AJ11" s="22">
        <f>BattMobility!D247+cambio!D247+Claus2you!D247+CoopStroom!D247+Cozywheels!D247+Dégage!D247+Flexigo!D247+Klimaan!D247+Moovee!D247+Poppy!D247+'Mobilize Share'!D247+Stapp.in!D247</f>
        <v>43</v>
      </c>
      <c r="AK11" s="23">
        <f>BattMobility!E247+cambio!E247+Claus2you!E247+CoopStroom!E247+Cozywheels!E247+Dégage!E247+Flexigo!E247+Klimaan!E247+Moovee!E247+Poppy!E247+'Mobilize Share'!E247+Stapp.in!E247</f>
        <v>17</v>
      </c>
      <c r="AL11" s="21">
        <f t="shared" si="0"/>
        <v>0.89648702178671957</v>
      </c>
      <c r="AM11" s="21">
        <f t="shared" si="1"/>
        <v>0.35442510163661006</v>
      </c>
      <c r="AN11" s="25">
        <f t="shared" si="2"/>
        <v>11</v>
      </c>
      <c r="AO11" s="26">
        <f t="shared" si="3"/>
        <v>0.34375</v>
      </c>
      <c r="AP11" s="27">
        <f>BattMobility!F247+cambio!F247+Claus2you!F247+CoopStroom!F247+Cozywheels!F247+Dégage!F247+Flexigo!F247+Klimaan!F247+Moovee!F247+Poppy!F247+'Mobilize Share'!F247+Stapp.in!F247</f>
        <v>44</v>
      </c>
      <c r="AQ11" s="25">
        <f>BattMobility!G247+cambio!G247+Claus2you!G247+CoopStroom!G247+Cozywheels!G247+Dégage!G247+Flexigo!G247+Klimaan!G247+Moovee!G247+Poppy!G247+'Mobilize Share'!G247+Stapp.in!G247</f>
        <v>17</v>
      </c>
      <c r="AR11" s="29">
        <f t="shared" si="4"/>
        <v>0.91733555717710824</v>
      </c>
      <c r="AS11" s="29">
        <f t="shared" si="5"/>
        <v>0.35442510163661006</v>
      </c>
      <c r="AT11" s="25">
        <f t="shared" si="6"/>
        <v>4</v>
      </c>
      <c r="AU11" s="30">
        <v>94.61</v>
      </c>
      <c r="AV11" s="31">
        <v>54.61</v>
      </c>
    </row>
    <row r="12" spans="1:48" ht="14.25" customHeight="1" x14ac:dyDescent="0.35">
      <c r="A12" s="2" t="s">
        <v>62</v>
      </c>
      <c r="B12" s="13" t="s">
        <v>50</v>
      </c>
      <c r="C12" s="13">
        <v>44083</v>
      </c>
      <c r="D12" s="14">
        <v>44315</v>
      </c>
      <c r="E12" s="14">
        <v>44930</v>
      </c>
      <c r="F12" s="14">
        <v>45471</v>
      </c>
      <c r="G12" s="14">
        <v>46026</v>
      </c>
      <c r="H12" s="15">
        <v>20</v>
      </c>
      <c r="I12" s="13">
        <v>0</v>
      </c>
      <c r="J12" s="16">
        <v>0.45131445334536835</v>
      </c>
      <c r="K12" s="15">
        <v>21</v>
      </c>
      <c r="L12" s="13">
        <v>0</v>
      </c>
      <c r="M12" s="16">
        <v>0.47388017601263677</v>
      </c>
      <c r="N12" s="15">
        <v>25</v>
      </c>
      <c r="O12" s="13">
        <v>0</v>
      </c>
      <c r="P12" s="16">
        <v>0.5564210994880926</v>
      </c>
      <c r="Q12" s="16">
        <v>0</v>
      </c>
      <c r="R12" s="18">
        <v>5</v>
      </c>
      <c r="S12" s="16">
        <v>0.10510664614272425</v>
      </c>
      <c r="T12" s="18">
        <v>4</v>
      </c>
      <c r="U12" s="16">
        <v>8.254092347545583E-2</v>
      </c>
      <c r="V12" s="18">
        <v>10</v>
      </c>
      <c r="W12" s="16">
        <v>0.22256843979523705</v>
      </c>
      <c r="X12" s="15">
        <v>29</v>
      </c>
      <c r="Y12" s="13">
        <v>0</v>
      </c>
      <c r="Z12" s="16">
        <v>0.64544847540618733</v>
      </c>
      <c r="AA12" s="16">
        <v>0</v>
      </c>
      <c r="AB12" s="15">
        <v>32</v>
      </c>
      <c r="AC12" s="13">
        <v>0</v>
      </c>
      <c r="AD12" s="16">
        <v>0.70374524422159179</v>
      </c>
      <c r="AE12" s="16">
        <v>0</v>
      </c>
      <c r="AF12" s="19">
        <v>35</v>
      </c>
      <c r="AG12" s="20">
        <v>1</v>
      </c>
      <c r="AH12" s="16">
        <v>0.76972136086736609</v>
      </c>
      <c r="AI12" s="21">
        <v>2.1992038881924744E-2</v>
      </c>
      <c r="AJ12" s="22">
        <f>BattMobility!D51+cambio!D51+Claus2you!D51+CoopStroom!D51+Cozywheels!D51+Dégage!D51+Flexigo!D51+Klimaan!D51+Moovee!D51+Poppy!D51+'Mobilize Share'!D51+Stapp.in!D51</f>
        <v>35</v>
      </c>
      <c r="AK12" s="23">
        <f>BattMobility!E51+cambio!E51+Claus2you!E51+CoopStroom!E51+Cozywheels!E51+Dégage!E51+Flexigo!E51+Klimaan!E51+Moovee!E51+Poppy!E51+'Mobilize Share'!E51+Stapp.in!E51</f>
        <v>1</v>
      </c>
      <c r="AL12" s="21">
        <f t="shared" si="0"/>
        <v>0.76043975144483555</v>
      </c>
      <c r="AM12" s="21">
        <f t="shared" si="1"/>
        <v>2.1726850041281016E-2</v>
      </c>
      <c r="AN12" s="25">
        <f t="shared" si="2"/>
        <v>3</v>
      </c>
      <c r="AO12" s="26">
        <f t="shared" si="3"/>
        <v>9.375E-2</v>
      </c>
      <c r="AP12" s="27">
        <f>BattMobility!F51+cambio!F51+Claus2you!F51+CoopStroom!F51+Cozywheels!F51+Dégage!F51+Flexigo!F51+Klimaan!F51+Moovee!F51+Poppy!F51+'Mobilize Share'!F51+Stapp.in!F51</f>
        <v>38</v>
      </c>
      <c r="AQ12" s="25">
        <f>BattMobility!G51+cambio!G51+Claus2you!G51+CoopStroom!G51+Cozywheels!G51+Dégage!G51+Flexigo!G51+Klimaan!G51+Moovee!G51+Poppy!G51+'Mobilize Share'!G51+Stapp.in!G51</f>
        <v>1</v>
      </c>
      <c r="AR12" s="29">
        <f t="shared" si="4"/>
        <v>0.82562030156867861</v>
      </c>
      <c r="AS12" s="29">
        <f t="shared" si="5"/>
        <v>2.1726850041281016E-2</v>
      </c>
      <c r="AT12" s="25">
        <f t="shared" si="6"/>
        <v>3</v>
      </c>
      <c r="AU12" s="30">
        <v>90.941999999999993</v>
      </c>
      <c r="AV12" s="31">
        <v>55.941999999999993</v>
      </c>
    </row>
    <row r="13" spans="1:48" ht="14.25" customHeight="1" x14ac:dyDescent="0.35">
      <c r="A13" s="2" t="s">
        <v>63</v>
      </c>
      <c r="B13" s="13" t="s">
        <v>55</v>
      </c>
      <c r="C13" s="13">
        <v>36015</v>
      </c>
      <c r="D13" s="14">
        <v>64495</v>
      </c>
      <c r="E13" s="14">
        <v>65468</v>
      </c>
      <c r="F13" s="14">
        <v>66262</v>
      </c>
      <c r="G13" s="14">
        <v>66888</v>
      </c>
      <c r="H13" s="15">
        <v>18</v>
      </c>
      <c r="I13" s="13">
        <v>4</v>
      </c>
      <c r="J13" s="16">
        <v>0.27909140243429725</v>
      </c>
      <c r="K13" s="15">
        <v>15</v>
      </c>
      <c r="L13" s="13">
        <v>4</v>
      </c>
      <c r="M13" s="16">
        <v>0.23257616869524769</v>
      </c>
      <c r="N13" s="15">
        <v>14</v>
      </c>
      <c r="O13" s="13">
        <v>3</v>
      </c>
      <c r="P13" s="16">
        <v>0.21384493187511458</v>
      </c>
      <c r="Q13" s="16">
        <v>4.5823913973238831E-2</v>
      </c>
      <c r="R13" s="18">
        <v>-4</v>
      </c>
      <c r="S13" s="16">
        <v>-6.5246470559182673E-2</v>
      </c>
      <c r="T13" s="18">
        <v>-1</v>
      </c>
      <c r="U13" s="16">
        <v>-1.8731236820133113E-2</v>
      </c>
      <c r="V13" s="18">
        <v>6</v>
      </c>
      <c r="W13" s="16">
        <v>9.1647827946477661E-2</v>
      </c>
      <c r="X13" s="15">
        <v>19</v>
      </c>
      <c r="Y13" s="13">
        <v>3</v>
      </c>
      <c r="Z13" s="16">
        <v>0.2902181218305126</v>
      </c>
      <c r="AA13" s="16">
        <v>4.5823913973238831E-2</v>
      </c>
      <c r="AB13" s="15">
        <v>25</v>
      </c>
      <c r="AC13" s="13">
        <v>3</v>
      </c>
      <c r="AD13" s="16">
        <v>0.37729015121789261</v>
      </c>
      <c r="AE13" s="16">
        <v>4.527481814614711E-2</v>
      </c>
      <c r="AF13" s="19">
        <v>28</v>
      </c>
      <c r="AG13" s="20">
        <v>5</v>
      </c>
      <c r="AH13" s="16">
        <v>0.4225649693640397</v>
      </c>
      <c r="AI13" s="21">
        <v>7.5458030243578528E-2</v>
      </c>
      <c r="AJ13" s="22">
        <f>BattMobility!D214+cambio!D214+Claus2you!D214+CoopStroom!D214+Cozywheels!D214+Dégage!D214+Flexigo!D214+Klimaan!D214+Moovee!D214+Poppy!D214+'Mobilize Share'!D214+Stapp.in!D214</f>
        <v>29</v>
      </c>
      <c r="AK13" s="23">
        <f>BattMobility!E214+cambio!E214+Claus2you!E214+CoopStroom!E214+Cozywheels!E214+Dégage!E214+Flexigo!E214+Klimaan!E214+Moovee!E214+Poppy!E214+'Mobilize Share'!E214+Stapp.in!E214</f>
        <v>7</v>
      </c>
      <c r="AL13" s="21">
        <f t="shared" si="0"/>
        <v>0.4335605788781246</v>
      </c>
      <c r="AM13" s="21">
        <f t="shared" si="1"/>
        <v>0.10465255352230594</v>
      </c>
      <c r="AN13" s="25">
        <f t="shared" si="2"/>
        <v>4</v>
      </c>
      <c r="AO13" s="26">
        <f t="shared" si="3"/>
        <v>0.16</v>
      </c>
      <c r="AP13" s="27">
        <f>BattMobility!F214+cambio!F214+Claus2you!F214+CoopStroom!F214+Cozywheels!F214+Dégage!F214+Flexigo!F214+Klimaan!F214+Moovee!F214+Poppy!F214+'Mobilize Share'!F214+Stapp.in!F214</f>
        <v>34</v>
      </c>
      <c r="AQ13" s="25">
        <f>BattMobility!G214+cambio!G214+Claus2you!G214+CoopStroom!G214+Cozywheels!G214+Dégage!G214+Flexigo!G214+Klimaan!G214+Moovee!G214+Poppy!G214+'Mobilize Share'!G214+Stapp.in!G214</f>
        <v>6</v>
      </c>
      <c r="AR13" s="29">
        <f t="shared" si="4"/>
        <v>0.50831240282262891</v>
      </c>
      <c r="AS13" s="29">
        <f t="shared" si="5"/>
        <v>8.9702188733405103E-2</v>
      </c>
      <c r="AT13" s="25">
        <f t="shared" si="6"/>
        <v>6</v>
      </c>
      <c r="AU13" s="30">
        <v>132.524</v>
      </c>
      <c r="AV13" s="31">
        <v>104.524</v>
      </c>
    </row>
    <row r="14" spans="1:48" ht="14.25" customHeight="1" x14ac:dyDescent="0.35">
      <c r="A14" s="2" t="s">
        <v>64</v>
      </c>
      <c r="B14" s="13" t="s">
        <v>55</v>
      </c>
      <c r="C14" s="13">
        <v>35013</v>
      </c>
      <c r="D14" s="14">
        <v>71557</v>
      </c>
      <c r="E14" s="14">
        <v>72175</v>
      </c>
      <c r="F14" s="14">
        <v>72586</v>
      </c>
      <c r="G14" s="14">
        <v>72817</v>
      </c>
      <c r="H14" s="15">
        <v>21</v>
      </c>
      <c r="I14" s="13">
        <v>0</v>
      </c>
      <c r="J14" s="16">
        <v>0.29347233673854406</v>
      </c>
      <c r="K14" s="15">
        <v>23</v>
      </c>
      <c r="L14" s="13">
        <v>0</v>
      </c>
      <c r="M14" s="16">
        <v>0.32142208309459591</v>
      </c>
      <c r="N14" s="15">
        <v>27</v>
      </c>
      <c r="O14" s="13">
        <v>1</v>
      </c>
      <c r="P14" s="16">
        <v>0.37409075164530653</v>
      </c>
      <c r="Q14" s="16">
        <v>1.3855213023900243E-2</v>
      </c>
      <c r="R14" s="18">
        <v>6</v>
      </c>
      <c r="S14" s="16">
        <v>8.061841490676247E-2</v>
      </c>
      <c r="T14" s="18">
        <v>4</v>
      </c>
      <c r="U14" s="16">
        <v>5.2668668550710618E-2</v>
      </c>
      <c r="V14" s="18">
        <v>5</v>
      </c>
      <c r="W14" s="16">
        <v>6.9276065119501212E-2</v>
      </c>
      <c r="X14" s="15">
        <v>32</v>
      </c>
      <c r="Y14" s="13">
        <v>1</v>
      </c>
      <c r="Z14" s="16">
        <v>0.44336681676480777</v>
      </c>
      <c r="AA14" s="16">
        <v>1.3855213023900243E-2</v>
      </c>
      <c r="AB14" s="15">
        <v>32</v>
      </c>
      <c r="AC14" s="13">
        <v>1</v>
      </c>
      <c r="AD14" s="16">
        <v>0.44085636348607171</v>
      </c>
      <c r="AE14" s="16">
        <v>1.3776761358939741E-2</v>
      </c>
      <c r="AF14" s="19">
        <v>36</v>
      </c>
      <c r="AG14" s="20">
        <v>1</v>
      </c>
      <c r="AH14" s="16">
        <v>0.49596340892183061</v>
      </c>
      <c r="AI14" s="21">
        <v>1.3776761358939741E-2</v>
      </c>
      <c r="AJ14" s="22">
        <f>BattMobility!D190+cambio!D190+Claus2you!D190+CoopStroom!D190+Cozywheels!D190+Dégage!D190+Flexigo!D190+Klimaan!D190+Moovee!D190+Poppy!D190+'Mobilize Share'!D190+Stapp.in!D190</f>
        <v>38</v>
      </c>
      <c r="AK14" s="23">
        <f>BattMobility!E190+cambio!E190+Claus2you!E190+CoopStroom!E190+Cozywheels!E190+Dégage!E190+Flexigo!E190+Klimaan!E190+Moovee!E190+Poppy!E190+'Mobilize Share'!E190+Stapp.in!E190</f>
        <v>1</v>
      </c>
      <c r="AL14" s="21">
        <f t="shared" si="0"/>
        <v>0.52185615996264612</v>
      </c>
      <c r="AM14" s="21">
        <f t="shared" si="1"/>
        <v>1.3733056841122266E-2</v>
      </c>
      <c r="AN14" s="25">
        <f t="shared" si="2"/>
        <v>6</v>
      </c>
      <c r="AO14" s="26">
        <f t="shared" si="3"/>
        <v>0.1875</v>
      </c>
      <c r="AP14" s="27">
        <f>BattMobility!F190+cambio!F190+Claus2you!F190+CoopStroom!F190+Cozywheels!F190+Dégage!F190+Flexigo!F190+Klimaan!F190+Moovee!F190+Poppy!F190+'Mobilize Share'!F190+Stapp.in!F190</f>
        <v>34</v>
      </c>
      <c r="AQ14" s="25">
        <f>BattMobility!G190+cambio!G190+Claus2you!G190+CoopStroom!G190+Cozywheels!G190+Dégage!G190+Flexigo!G190+Klimaan!G190+Moovee!G190+Poppy!G190+'Mobilize Share'!G190+Stapp.in!G190</f>
        <v>2</v>
      </c>
      <c r="AR14" s="29">
        <f t="shared" si="4"/>
        <v>0.46692393259815701</v>
      </c>
      <c r="AS14" s="29">
        <f t="shared" si="5"/>
        <v>2.7466113682244532E-2</v>
      </c>
      <c r="AT14" s="25">
        <f t="shared" si="6"/>
        <v>-2</v>
      </c>
      <c r="AU14" s="30">
        <v>145.172</v>
      </c>
      <c r="AV14" s="31">
        <v>109.172</v>
      </c>
    </row>
    <row r="15" spans="1:48" ht="14.25" customHeight="1" x14ac:dyDescent="0.35">
      <c r="A15" s="2" t="s">
        <v>65</v>
      </c>
      <c r="B15" s="13" t="s">
        <v>50</v>
      </c>
      <c r="C15" s="13">
        <v>41002</v>
      </c>
      <c r="D15" s="14">
        <v>88854</v>
      </c>
      <c r="E15" s="14">
        <v>90068</v>
      </c>
      <c r="F15" s="14">
        <v>90995</v>
      </c>
      <c r="G15" s="14">
        <v>92131</v>
      </c>
      <c r="H15" s="15">
        <v>20</v>
      </c>
      <c r="I15" s="13">
        <v>0</v>
      </c>
      <c r="J15" s="16">
        <v>0.22508834717626669</v>
      </c>
      <c r="K15" s="15">
        <v>19</v>
      </c>
      <c r="L15" s="13">
        <v>0</v>
      </c>
      <c r="M15" s="16">
        <v>0.21383392981745336</v>
      </c>
      <c r="N15" s="15">
        <v>21</v>
      </c>
      <c r="O15" s="13">
        <v>6</v>
      </c>
      <c r="P15" s="16">
        <v>0.23315717013811788</v>
      </c>
      <c r="Q15" s="16">
        <v>6.6616334325176538E-2</v>
      </c>
      <c r="R15" s="18">
        <v>1</v>
      </c>
      <c r="S15" s="16">
        <v>8.0688229618511853E-3</v>
      </c>
      <c r="T15" s="18">
        <v>2</v>
      </c>
      <c r="U15" s="16">
        <v>1.9323240320664514E-2</v>
      </c>
      <c r="V15" s="18">
        <v>1</v>
      </c>
      <c r="W15" s="16">
        <v>1.1102722387529421E-2</v>
      </c>
      <c r="X15" s="15">
        <v>26</v>
      </c>
      <c r="Y15" s="13">
        <v>5</v>
      </c>
      <c r="Z15" s="16">
        <v>0.28867078207576496</v>
      </c>
      <c r="AA15" s="16">
        <v>5.551361193764711E-2</v>
      </c>
      <c r="AB15" s="15">
        <v>34</v>
      </c>
      <c r="AC15" s="13">
        <v>10</v>
      </c>
      <c r="AD15" s="16">
        <v>0.37364690367602615</v>
      </c>
      <c r="AE15" s="16">
        <v>0.10989614814000769</v>
      </c>
      <c r="AF15" s="19">
        <v>38</v>
      </c>
      <c r="AG15" s="20">
        <v>10</v>
      </c>
      <c r="AH15" s="16">
        <v>0.41760536293202927</v>
      </c>
      <c r="AI15" s="21">
        <v>0.10989614814000769</v>
      </c>
      <c r="AJ15" s="22">
        <f>BattMobility!D2+cambio!D2+Claus2you!D2+CoopStroom!D2+Cozywheels!D2+Dégage!D2+Flexigo!D2+Klimaan!D2+Moovee!D2+Poppy!D2+'Mobilize Share'!D2+Stapp.in!D2</f>
        <v>34</v>
      </c>
      <c r="AK15" s="23">
        <f>BattMobility!E2+cambio!E2+Claus2you!E2+CoopStroom!E2+Cozywheels!E2+Dégage!E2+Flexigo!E2+Klimaan!E2+Moovee!E2+Poppy!E2+'Mobilize Share'!E2+Stapp.in!E2</f>
        <v>8</v>
      </c>
      <c r="AL15" s="21">
        <f t="shared" si="0"/>
        <v>0.36903973689637581</v>
      </c>
      <c r="AM15" s="21">
        <f t="shared" si="1"/>
        <v>8.6832879269735486E-2</v>
      </c>
      <c r="AN15" s="25">
        <f t="shared" si="2"/>
        <v>0</v>
      </c>
      <c r="AO15" s="26">
        <f t="shared" si="3"/>
        <v>0</v>
      </c>
      <c r="AP15" s="27">
        <f>BattMobility!F2+cambio!F2+Claus2you!F2+CoopStroom!F2+Cozywheels!F2+Dégage!F2+Flexigo!F2+Klimaan!F2+Moovee!F2+Poppy!F2+'Mobilize Share'!F2+Stapp.in!F2</f>
        <v>34</v>
      </c>
      <c r="AQ15" s="25">
        <f>BattMobility!G2+cambio!G2+Claus2you!G2+CoopStroom!G2+Cozywheels!G2+Dégage!G2+Flexigo!G2+Klimaan!G2+Moovee!G2+Poppy!G2+'Mobilize Share'!G2+Stapp.in!G2</f>
        <v>10</v>
      </c>
      <c r="AR15" s="29">
        <f t="shared" si="4"/>
        <v>0.36903973689637581</v>
      </c>
      <c r="AS15" s="29">
        <f t="shared" si="5"/>
        <v>0.10854109908716936</v>
      </c>
      <c r="AT15" s="25">
        <f t="shared" si="6"/>
        <v>-4</v>
      </c>
      <c r="AU15" s="30">
        <v>181.99</v>
      </c>
      <c r="AV15" s="31">
        <v>143.99</v>
      </c>
    </row>
    <row r="16" spans="1:48" ht="14.25" customHeight="1" x14ac:dyDescent="0.35">
      <c r="A16" s="2" t="s">
        <v>66</v>
      </c>
      <c r="B16" s="13" t="s">
        <v>48</v>
      </c>
      <c r="C16" s="13">
        <v>11029</v>
      </c>
      <c r="D16" s="14">
        <v>26189</v>
      </c>
      <c r="E16" s="14">
        <v>26391</v>
      </c>
      <c r="F16" s="14">
        <v>26588</v>
      </c>
      <c r="G16" s="14">
        <v>26736</v>
      </c>
      <c r="H16" s="15">
        <v>26</v>
      </c>
      <c r="I16" s="13">
        <v>4</v>
      </c>
      <c r="J16" s="16">
        <v>0.9927832296002137</v>
      </c>
      <c r="K16" s="15">
        <v>35</v>
      </c>
      <c r="L16" s="13">
        <v>6</v>
      </c>
      <c r="M16" s="16">
        <v>1.3364389629233648</v>
      </c>
      <c r="N16" s="15">
        <v>61</v>
      </c>
      <c r="O16" s="13">
        <v>5</v>
      </c>
      <c r="P16" s="17">
        <v>2.3113940358455536</v>
      </c>
      <c r="Q16" s="16">
        <v>0.18945852752832404</v>
      </c>
      <c r="R16" s="18">
        <v>35</v>
      </c>
      <c r="S16" s="16">
        <v>1.3186108062453399</v>
      </c>
      <c r="T16" s="18">
        <v>26</v>
      </c>
      <c r="U16" s="16">
        <v>0.97495507292218875</v>
      </c>
      <c r="V16" s="18">
        <v>4</v>
      </c>
      <c r="W16" s="16">
        <v>0.15156682202265923</v>
      </c>
      <c r="X16" s="15">
        <v>63</v>
      </c>
      <c r="Y16" s="13">
        <v>1</v>
      </c>
      <c r="Z16" s="17">
        <v>2.3871774468568829</v>
      </c>
      <c r="AA16" s="16">
        <v>3.7891705505664806E-2</v>
      </c>
      <c r="AB16" s="15">
        <v>66</v>
      </c>
      <c r="AC16" s="13">
        <v>4</v>
      </c>
      <c r="AD16" s="17">
        <v>2.4823228524146232</v>
      </c>
      <c r="AE16" s="16">
        <v>0.15044380923724987</v>
      </c>
      <c r="AF16" s="19">
        <v>36</v>
      </c>
      <c r="AG16" s="20">
        <v>4</v>
      </c>
      <c r="AH16" s="16">
        <v>1.3539942831352489</v>
      </c>
      <c r="AI16" s="21">
        <v>0.15044380923724987</v>
      </c>
      <c r="AJ16" s="22">
        <f>BattMobility!D182+cambio!D182+Claus2you!D182+CoopStroom!D182+Cozywheels!D182+Dégage!D182+Flexigo!D182+Klimaan!D182+Moovee!D182+Poppy!D182+'Mobilize Share'!D182+Stapp.in!D182</f>
        <v>33</v>
      </c>
      <c r="AK16" s="23">
        <f>BattMobility!E182+cambio!E182+Claus2you!E182+CoopStroom!E182+Cozywheels!E182+Dégage!E182+Flexigo!E182+Klimaan!E182+Moovee!E182+Poppy!E182+'Mobilize Share'!E182+Stapp.in!E182</f>
        <v>3</v>
      </c>
      <c r="AL16" s="21">
        <f t="shared" si="0"/>
        <v>1.234290843806104</v>
      </c>
      <c r="AM16" s="21">
        <f t="shared" si="1"/>
        <v>0.11220825852782765</v>
      </c>
      <c r="AN16" s="25">
        <f t="shared" si="2"/>
        <v>-33</v>
      </c>
      <c r="AO16" s="26">
        <f t="shared" si="3"/>
        <v>-0.5</v>
      </c>
      <c r="AP16" s="27">
        <f>BattMobility!F182+cambio!F182+Claus2you!F182+CoopStroom!F182+Cozywheels!F182+Dégage!F182+Flexigo!F182+Klimaan!F182+Moovee!F182+Poppy!F182+'Mobilize Share'!F182+Stapp.in!F182</f>
        <v>33</v>
      </c>
      <c r="AQ16" s="25">
        <f>BattMobility!G182+cambio!G182+Claus2you!G182+CoopStroom!G182+Cozywheels!G182+Dégage!G182+Flexigo!G182+Klimaan!G182+Moovee!G182+Poppy!G182+'Mobilize Share'!G182+Stapp.in!G182</f>
        <v>3</v>
      </c>
      <c r="AR16" s="29">
        <f t="shared" si="4"/>
        <v>1.234290843806104</v>
      </c>
      <c r="AS16" s="29">
        <f t="shared" si="5"/>
        <v>0.11220825852782765</v>
      </c>
      <c r="AT16" s="25">
        <f t="shared" si="6"/>
        <v>-3</v>
      </c>
      <c r="AU16" s="30">
        <v>53.176000000000002</v>
      </c>
      <c r="AV16" s="31">
        <v>17.176000000000002</v>
      </c>
    </row>
    <row r="17" spans="1:48" ht="14.25" customHeight="1" x14ac:dyDescent="0.35">
      <c r="A17" s="33" t="s">
        <v>67</v>
      </c>
      <c r="B17" s="13" t="s">
        <v>50</v>
      </c>
      <c r="C17" s="13">
        <v>46030</v>
      </c>
      <c r="D17" s="14">
        <v>49531</v>
      </c>
      <c r="E17" s="14">
        <v>50300</v>
      </c>
      <c r="F17" s="14">
        <v>50838</v>
      </c>
      <c r="G17" s="14">
        <v>87927</v>
      </c>
      <c r="H17" s="15">
        <v>9</v>
      </c>
      <c r="I17" s="13">
        <v>0</v>
      </c>
      <c r="J17" s="16">
        <v>0.18170438715148088</v>
      </c>
      <c r="K17" s="15">
        <v>7</v>
      </c>
      <c r="L17" s="13">
        <v>0</v>
      </c>
      <c r="M17" s="16">
        <v>0.14132563445115182</v>
      </c>
      <c r="N17" s="15">
        <v>8</v>
      </c>
      <c r="O17" s="13">
        <v>2</v>
      </c>
      <c r="P17" s="16">
        <v>0.15904572564612326</v>
      </c>
      <c r="Q17" s="16">
        <v>3.9761431411530816E-2</v>
      </c>
      <c r="R17" s="18">
        <v>-1</v>
      </c>
      <c r="S17" s="16">
        <v>-2.2658661505357613E-2</v>
      </c>
      <c r="T17" s="18">
        <v>1</v>
      </c>
      <c r="U17" s="16">
        <v>1.7720091194971449E-2</v>
      </c>
      <c r="V17" s="18">
        <v>0</v>
      </c>
      <c r="W17" s="16">
        <v>0</v>
      </c>
      <c r="X17" s="15">
        <v>8</v>
      </c>
      <c r="Y17" s="13">
        <v>2</v>
      </c>
      <c r="Z17" s="16">
        <v>0.15904572564612326</v>
      </c>
      <c r="AA17" s="16">
        <v>3.9761431411530816E-2</v>
      </c>
      <c r="AB17" s="15">
        <f>10+'overzicht voor jun 25'!AA144+'overzicht voor jun 25'!AA301</f>
        <v>23</v>
      </c>
      <c r="AC17" s="13">
        <f>4+'overzicht voor jun 25'!AB301+'overzicht voor jun 25'!AB144</f>
        <v>9</v>
      </c>
      <c r="AD17" s="16">
        <v>0.19670325347181242</v>
      </c>
      <c r="AE17" s="16">
        <v>7.8681301388724978E-2</v>
      </c>
      <c r="AF17" s="19">
        <v>11</v>
      </c>
      <c r="AG17" s="20">
        <v>5</v>
      </c>
      <c r="AH17" s="16">
        <v>0.21637357881899366</v>
      </c>
      <c r="AI17" s="21">
        <v>9.8351626735906209E-2</v>
      </c>
      <c r="AJ17" s="22">
        <f>BattMobility!D29+cambio!D29+Claus2you!D29+CoopStroom!D29+Cozywheels!D29+Dégage!D29+Flexigo!D29+Klimaan!D29+Moovee!D29+Poppy!D29+'Mobilize Share'!D29+Stapp.in!D29</f>
        <v>30</v>
      </c>
      <c r="AK17" s="23">
        <f>BattMobility!E29+cambio!E29+Claus2you!E29+CoopStroom!E29+Cozywheels!E29+Dégage!E29+Flexigo!E29+Klimaan!E29+Moovee!E29+Poppy!E29+'Mobilize Share'!E29+Stapp.in!E29</f>
        <v>13</v>
      </c>
      <c r="AL17" s="21">
        <f t="shared" si="0"/>
        <v>0.34119212528574838</v>
      </c>
      <c r="AM17" s="21">
        <f t="shared" si="1"/>
        <v>0.14784992095715765</v>
      </c>
      <c r="AN17" s="25">
        <f t="shared" si="2"/>
        <v>7</v>
      </c>
      <c r="AO17" s="26">
        <f t="shared" si="3"/>
        <v>0.30434782608695654</v>
      </c>
      <c r="AP17" s="27">
        <f>BattMobility!F29+cambio!F29+Claus2you!F29+CoopStroom!F29+Cozywheels!F29+Dégage!F29+Flexigo!F29+Klimaan!F29+Moovee!F29+Poppy!F29+'Mobilize Share'!F29+Stapp.in!F29</f>
        <v>30</v>
      </c>
      <c r="AQ17" s="25">
        <f>BattMobility!G29+cambio!G29+Claus2you!G29+CoopStroom!G29+Cozywheels!G29+Dégage!G29+Flexigo!G29+Klimaan!G29+Moovee!G29+Poppy!G29+'Mobilize Share'!G29+Stapp.in!G29</f>
        <v>13</v>
      </c>
      <c r="AR17" s="29">
        <f t="shared" si="4"/>
        <v>0.34119212528574838</v>
      </c>
      <c r="AS17" s="29">
        <f t="shared" si="5"/>
        <v>0.14784992095715765</v>
      </c>
      <c r="AT17" s="25">
        <f t="shared" si="6"/>
        <v>19</v>
      </c>
      <c r="AU17" s="30">
        <v>101.676</v>
      </c>
      <c r="AV17" s="31">
        <v>90.676000000000002</v>
      </c>
    </row>
    <row r="18" spans="1:48" ht="14.25" customHeight="1" x14ac:dyDescent="0.35">
      <c r="A18" s="2" t="s">
        <v>68</v>
      </c>
      <c r="B18" s="13" t="s">
        <v>48</v>
      </c>
      <c r="C18" s="13">
        <v>12021</v>
      </c>
      <c r="D18" s="14">
        <v>37309</v>
      </c>
      <c r="E18" s="14">
        <v>37909</v>
      </c>
      <c r="F18" s="14">
        <v>38210</v>
      </c>
      <c r="G18" s="14">
        <v>38517</v>
      </c>
      <c r="H18" s="15">
        <v>19</v>
      </c>
      <c r="I18" s="13">
        <v>0</v>
      </c>
      <c r="J18" s="16">
        <v>0.50926050014741753</v>
      </c>
      <c r="K18" s="15">
        <v>21</v>
      </c>
      <c r="L18" s="13">
        <v>0</v>
      </c>
      <c r="M18" s="16">
        <v>0.56286686858398782</v>
      </c>
      <c r="N18" s="15">
        <v>28</v>
      </c>
      <c r="O18" s="13">
        <v>2</v>
      </c>
      <c r="P18" s="16">
        <v>0.73861088395895436</v>
      </c>
      <c r="Q18" s="16">
        <v>5.275792028278245E-2</v>
      </c>
      <c r="R18" s="18">
        <v>9</v>
      </c>
      <c r="S18" s="16">
        <v>0.22935038381153683</v>
      </c>
      <c r="T18" s="18">
        <v>7</v>
      </c>
      <c r="U18" s="16">
        <v>0.17574401537496653</v>
      </c>
      <c r="V18" s="18">
        <v>8</v>
      </c>
      <c r="W18" s="16">
        <v>0.2110316811311298</v>
      </c>
      <c r="X18" s="15">
        <v>29</v>
      </c>
      <c r="Y18" s="13">
        <v>1</v>
      </c>
      <c r="Z18" s="16">
        <v>0.76498984410034565</v>
      </c>
      <c r="AA18" s="16">
        <v>2.6378960141391225E-2</v>
      </c>
      <c r="AB18" s="15">
        <v>32</v>
      </c>
      <c r="AC18" s="13">
        <v>1</v>
      </c>
      <c r="AD18" s="16">
        <v>0.83747710023554045</v>
      </c>
      <c r="AE18" s="16">
        <v>2.6171159382360639E-2</v>
      </c>
      <c r="AF18" s="19">
        <v>32</v>
      </c>
      <c r="AG18" s="20">
        <v>1</v>
      </c>
      <c r="AH18" s="16">
        <v>0.83747710023554045</v>
      </c>
      <c r="AI18" s="21">
        <v>2.6171159382360639E-2</v>
      </c>
      <c r="AJ18" s="22">
        <f>BattMobility!D151+cambio!D151+Claus2you!D151+CoopStroom!D151+Cozywheels!D151+Dégage!D151+Flexigo!D151+Klimaan!D151+Moovee!D151+Poppy!D151+'Mobilize Share'!D151+Stapp.in!D151</f>
        <v>30</v>
      </c>
      <c r="AK18" s="23">
        <f>BattMobility!E151+cambio!E151+Claus2you!E151+CoopStroom!E151+Cozywheels!E151+Dégage!E151+Flexigo!E151+Klimaan!E151+Moovee!E151+Poppy!E151+'Mobilize Share'!E151+Stapp.in!E151</f>
        <v>1</v>
      </c>
      <c r="AL18" s="21">
        <f t="shared" si="0"/>
        <v>0.77887685956850217</v>
      </c>
      <c r="AM18" s="21">
        <f t="shared" si="1"/>
        <v>2.596256198561674E-2</v>
      </c>
      <c r="AN18" s="25">
        <f t="shared" si="2"/>
        <v>-2</v>
      </c>
      <c r="AO18" s="26">
        <f t="shared" si="3"/>
        <v>-6.25E-2</v>
      </c>
      <c r="AP18" s="27">
        <f>BattMobility!F151+cambio!F151+Claus2you!F151+CoopStroom!F151+Cozywheels!F151+Dégage!F151+Flexigo!F151+Klimaan!F151+Moovee!F151+Poppy!F151+'Mobilize Share'!F151+Stapp.in!F151</f>
        <v>29</v>
      </c>
      <c r="AQ18" s="25">
        <f>BattMobility!G151+cambio!G151+Claus2you!G151+CoopStroom!G151+Cozywheels!G151+Dégage!G151+Flexigo!G151+Klimaan!G151+Moovee!G151+Poppy!G151+'Mobilize Share'!G151+Stapp.in!G151</f>
        <v>1</v>
      </c>
      <c r="AR18" s="29">
        <f t="shared" si="4"/>
        <v>0.75291429758288542</v>
      </c>
      <c r="AS18" s="29">
        <f t="shared" si="5"/>
        <v>2.596256198561674E-2</v>
      </c>
      <c r="AT18" s="25">
        <f t="shared" si="6"/>
        <v>-3</v>
      </c>
      <c r="AU18" s="30">
        <v>76.42</v>
      </c>
      <c r="AV18" s="31">
        <v>44.42</v>
      </c>
    </row>
    <row r="19" spans="1:48" ht="14.25" customHeight="1" x14ac:dyDescent="0.35">
      <c r="A19" s="2" t="s">
        <v>69</v>
      </c>
      <c r="B19" s="13" t="s">
        <v>52</v>
      </c>
      <c r="C19" s="13">
        <v>24038</v>
      </c>
      <c r="D19" s="14">
        <v>22430</v>
      </c>
      <c r="E19" s="14">
        <v>22723</v>
      </c>
      <c r="F19" s="14">
        <v>23007</v>
      </c>
      <c r="G19" s="14">
        <v>23081</v>
      </c>
      <c r="H19" s="15">
        <v>16</v>
      </c>
      <c r="I19" s="13">
        <v>0</v>
      </c>
      <c r="J19" s="16">
        <v>0.71333036112349535</v>
      </c>
      <c r="K19" s="15">
        <v>14</v>
      </c>
      <c r="L19" s="13">
        <v>0</v>
      </c>
      <c r="M19" s="16">
        <v>0.6241640659830584</v>
      </c>
      <c r="N19" s="15">
        <v>16</v>
      </c>
      <c r="O19" s="13">
        <v>4</v>
      </c>
      <c r="P19" s="16">
        <v>0.70413237688685471</v>
      </c>
      <c r="Q19" s="16">
        <v>0.17603309422171368</v>
      </c>
      <c r="R19" s="18">
        <v>0</v>
      </c>
      <c r="S19" s="16">
        <v>-9.1979842366406439E-3</v>
      </c>
      <c r="T19" s="18">
        <v>2</v>
      </c>
      <c r="U19" s="16">
        <v>7.9968310903796302E-2</v>
      </c>
      <c r="V19" s="18">
        <v>10</v>
      </c>
      <c r="W19" s="16">
        <v>0.44008273555428423</v>
      </c>
      <c r="X19" s="15">
        <v>17</v>
      </c>
      <c r="Y19" s="13">
        <v>4</v>
      </c>
      <c r="Z19" s="16">
        <v>0.74814065044228317</v>
      </c>
      <c r="AA19" s="16">
        <v>0.17603309422171368</v>
      </c>
      <c r="AB19" s="15">
        <v>19</v>
      </c>
      <c r="AC19" s="13">
        <v>6</v>
      </c>
      <c r="AD19" s="16">
        <v>0.82583561524753335</v>
      </c>
      <c r="AE19" s="16">
        <v>0.26079019428869471</v>
      </c>
      <c r="AF19" s="19">
        <v>25</v>
      </c>
      <c r="AG19" s="20">
        <v>8</v>
      </c>
      <c r="AH19" s="16">
        <v>1.0866258095362282</v>
      </c>
      <c r="AI19" s="21">
        <v>0.34772025905159298</v>
      </c>
      <c r="AJ19" s="22">
        <f>BattMobility!D92+cambio!D92+Claus2you!D92+CoopStroom!D92+Cozywheels!D92+Dégage!D92+Flexigo!D92+Klimaan!D92+Moovee!D92+Poppy!D92+'Mobilize Share'!D92+Stapp.in!D92</f>
        <v>25</v>
      </c>
      <c r="AK19" s="23">
        <f>BattMobility!E92+cambio!E92+Claus2you!E92+CoopStroom!E92+Cozywheels!E92+Dégage!E92+Flexigo!E92+Klimaan!E92+Moovee!E92+Poppy!E92+'Mobilize Share'!E92+Stapp.in!E92</f>
        <v>8</v>
      </c>
      <c r="AL19" s="21">
        <f t="shared" si="0"/>
        <v>1.0831419782505092</v>
      </c>
      <c r="AM19" s="21">
        <f t="shared" si="1"/>
        <v>0.34660543304016289</v>
      </c>
      <c r="AN19" s="25">
        <f t="shared" si="2"/>
        <v>6</v>
      </c>
      <c r="AO19" s="26">
        <f t="shared" si="3"/>
        <v>0.31578947368421051</v>
      </c>
      <c r="AP19" s="27">
        <f>BattMobility!F92+cambio!F92+Claus2you!F92+CoopStroom!F92+Cozywheels!F92+Dégage!F92+Flexigo!F92+Klimaan!F92+Moovee!F92+Poppy!F92+'Mobilize Share'!F92+Stapp.in!F92</f>
        <v>23</v>
      </c>
      <c r="AQ19" s="25">
        <f>BattMobility!G92+cambio!G92+Claus2you!G92+CoopStroom!G92+Cozywheels!G92+Dégage!G92+Flexigo!G92+Klimaan!G92+Moovee!G92+Poppy!G92+'Mobilize Share'!G92+Stapp.in!G92</f>
        <v>7</v>
      </c>
      <c r="AR19" s="29">
        <f t="shared" si="4"/>
        <v>0.99649061999046828</v>
      </c>
      <c r="AS19" s="29">
        <f t="shared" si="5"/>
        <v>0.30327975391014256</v>
      </c>
      <c r="AT19" s="25">
        <f t="shared" si="6"/>
        <v>-2</v>
      </c>
      <c r="AU19" s="30">
        <v>46.014000000000003</v>
      </c>
      <c r="AV19" s="31">
        <v>21.014000000000003</v>
      </c>
    </row>
    <row r="20" spans="1:48" ht="14.25" customHeight="1" x14ac:dyDescent="0.35">
      <c r="A20" s="2" t="s">
        <v>70</v>
      </c>
      <c r="B20" s="13" t="s">
        <v>52</v>
      </c>
      <c r="C20" s="13">
        <v>23027</v>
      </c>
      <c r="D20" s="14">
        <v>41284</v>
      </c>
      <c r="E20" s="14">
        <v>42047</v>
      </c>
      <c r="F20" s="14">
        <v>42595</v>
      </c>
      <c r="G20" s="14">
        <v>42884</v>
      </c>
      <c r="H20" s="15">
        <v>18</v>
      </c>
      <c r="I20" s="13">
        <v>1</v>
      </c>
      <c r="J20" s="16">
        <v>0.43600426315279528</v>
      </c>
      <c r="K20" s="15">
        <v>13</v>
      </c>
      <c r="L20" s="13">
        <v>1</v>
      </c>
      <c r="M20" s="16">
        <v>0.31489196783257439</v>
      </c>
      <c r="N20" s="15">
        <v>15</v>
      </c>
      <c r="O20" s="13">
        <v>5</v>
      </c>
      <c r="P20" s="16">
        <v>0.3567436440174091</v>
      </c>
      <c r="Q20" s="16">
        <v>0.11891454800580303</v>
      </c>
      <c r="R20" s="18">
        <v>-3</v>
      </c>
      <c r="S20" s="16">
        <v>-7.9260619135386179E-2</v>
      </c>
      <c r="T20" s="18">
        <v>2</v>
      </c>
      <c r="U20" s="16">
        <v>4.1851676184834707E-2</v>
      </c>
      <c r="V20" s="18">
        <v>9</v>
      </c>
      <c r="W20" s="16">
        <v>0.21404618641044545</v>
      </c>
      <c r="X20" s="15">
        <v>17</v>
      </c>
      <c r="Y20" s="13">
        <v>4</v>
      </c>
      <c r="Z20" s="16">
        <v>0.40430946321973033</v>
      </c>
      <c r="AA20" s="16">
        <v>9.5131638404642421E-2</v>
      </c>
      <c r="AB20" s="15">
        <v>18</v>
      </c>
      <c r="AC20" s="13">
        <v>4</v>
      </c>
      <c r="AD20" s="16">
        <v>0.42258481042375862</v>
      </c>
      <c r="AE20" s="16">
        <v>9.3907735649724142E-2</v>
      </c>
      <c r="AF20" s="19">
        <v>21</v>
      </c>
      <c r="AG20" s="20">
        <v>3</v>
      </c>
      <c r="AH20" s="16">
        <v>0.49301561216105172</v>
      </c>
      <c r="AI20" s="21">
        <v>7.0430801737293103E-2</v>
      </c>
      <c r="AJ20" s="22">
        <f>BattMobility!D83+cambio!D83+Claus2you!D83+CoopStroom!D83+Cozywheels!D83+Dégage!D83+Flexigo!D83+Klimaan!D83+Moovee!D83+Poppy!D83+'Mobilize Share'!D83+Stapp.in!D83</f>
        <v>21</v>
      </c>
      <c r="AK20" s="23">
        <f>BattMobility!E83+cambio!E83+Claus2you!E83+CoopStroom!E83+Cozywheels!E83+Dégage!E83+Flexigo!E83+Klimaan!E83+Moovee!E83+Poppy!E83+'Mobilize Share'!E83+Stapp.in!E83</f>
        <v>3</v>
      </c>
      <c r="AL20" s="21">
        <f t="shared" si="0"/>
        <v>0.48969312564126477</v>
      </c>
      <c r="AM20" s="21">
        <f t="shared" si="1"/>
        <v>6.9956160805894979E-2</v>
      </c>
      <c r="AN20" s="25">
        <f t="shared" si="2"/>
        <v>3</v>
      </c>
      <c r="AO20" s="26">
        <f t="shared" si="3"/>
        <v>0.16666666666666666</v>
      </c>
      <c r="AP20" s="27">
        <f>BattMobility!F83+cambio!F83+Claus2you!F83+CoopStroom!F83+Cozywheels!F83+Dégage!F83+Flexigo!F83+Klimaan!F83+Moovee!F83+Poppy!F83+'Mobilize Share'!F83+Stapp.in!F83</f>
        <v>22</v>
      </c>
      <c r="AQ20" s="25">
        <f>BattMobility!G83+cambio!G83+Claus2you!G83+CoopStroom!G83+Cozywheels!G83+Dégage!G83+Flexigo!G83+Klimaan!G83+Moovee!G83+Poppy!G83+'Mobilize Share'!G83+Stapp.in!G83</f>
        <v>3</v>
      </c>
      <c r="AR20" s="29">
        <f t="shared" si="4"/>
        <v>0.51301184590989646</v>
      </c>
      <c r="AS20" s="29">
        <f t="shared" si="5"/>
        <v>6.9956160805894979E-2</v>
      </c>
      <c r="AT20" s="25">
        <f t="shared" si="6"/>
        <v>1</v>
      </c>
      <c r="AU20" s="30">
        <v>85.19</v>
      </c>
      <c r="AV20" s="31">
        <v>64.19</v>
      </c>
    </row>
    <row r="21" spans="1:48" ht="14.25" customHeight="1" x14ac:dyDescent="0.35">
      <c r="A21" s="2" t="s">
        <v>71</v>
      </c>
      <c r="B21" s="13" t="s">
        <v>50</v>
      </c>
      <c r="C21" s="13">
        <v>44013</v>
      </c>
      <c r="D21" s="14">
        <v>18856</v>
      </c>
      <c r="E21" s="14">
        <v>19097</v>
      </c>
      <c r="F21" s="14">
        <v>19110</v>
      </c>
      <c r="G21" s="14">
        <v>19088</v>
      </c>
      <c r="H21" s="15">
        <v>11</v>
      </c>
      <c r="I21" s="13">
        <v>0</v>
      </c>
      <c r="J21" s="16">
        <v>0.58336868901145522</v>
      </c>
      <c r="K21" s="15">
        <v>13</v>
      </c>
      <c r="L21" s="13">
        <v>1</v>
      </c>
      <c r="M21" s="16">
        <v>0.6894357233771744</v>
      </c>
      <c r="N21" s="15">
        <v>16</v>
      </c>
      <c r="O21" s="13">
        <v>4</v>
      </c>
      <c r="P21" s="16">
        <v>0.83782793108865261</v>
      </c>
      <c r="Q21" s="16">
        <v>0.20945698277216315</v>
      </c>
      <c r="R21" s="18">
        <v>5</v>
      </c>
      <c r="S21" s="16">
        <v>0.25445924207719739</v>
      </c>
      <c r="T21" s="18">
        <v>3</v>
      </c>
      <c r="U21" s="16">
        <v>0.14839220771147821</v>
      </c>
      <c r="V21" s="18">
        <v>12</v>
      </c>
      <c r="W21" s="16">
        <v>0.62837094831648954</v>
      </c>
      <c r="X21" s="15">
        <v>16</v>
      </c>
      <c r="Y21" s="13">
        <v>4</v>
      </c>
      <c r="Z21" s="16">
        <v>0.83782793108865261</v>
      </c>
      <c r="AA21" s="16">
        <v>0.20945698277216315</v>
      </c>
      <c r="AB21" s="15">
        <v>17</v>
      </c>
      <c r="AC21" s="13">
        <v>3</v>
      </c>
      <c r="AD21" s="16">
        <v>0.88958660387231814</v>
      </c>
      <c r="AE21" s="16">
        <v>0.15698587127158556</v>
      </c>
      <c r="AF21" s="19">
        <v>18</v>
      </c>
      <c r="AG21" s="20">
        <v>4</v>
      </c>
      <c r="AH21" s="16">
        <v>0.9419152276295133</v>
      </c>
      <c r="AI21" s="21">
        <v>0.20931449502878074</v>
      </c>
      <c r="AJ21" s="22">
        <f>BattMobility!D56+cambio!D56+Claus2you!D56+CoopStroom!D56+Cozywheels!D56+Dégage!D56+Flexigo!D56+Klimaan!D56+Moovee!D56+Poppy!D56+'Mobilize Share'!D56+Stapp.in!D56</f>
        <v>19</v>
      </c>
      <c r="AK21" s="23">
        <f>BattMobility!E56+cambio!E56+Claus2you!E56+CoopStroom!E56+Cozywheels!E56+Dégage!E56+Flexigo!E56+Klimaan!E56+Moovee!E56+Poppy!E56+'Mobilize Share'!E56+Stapp.in!E56</f>
        <v>5</v>
      </c>
      <c r="AL21" s="21">
        <f t="shared" si="0"/>
        <v>0.99538977367979875</v>
      </c>
      <c r="AM21" s="21">
        <f t="shared" si="1"/>
        <v>0.2619446772841576</v>
      </c>
      <c r="AN21" s="25">
        <f t="shared" si="2"/>
        <v>2</v>
      </c>
      <c r="AO21" s="26">
        <f t="shared" si="3"/>
        <v>0.11764705882352941</v>
      </c>
      <c r="AP21" s="27">
        <f>BattMobility!F56+cambio!F56+Claus2you!F56+CoopStroom!F56+Cozywheels!F56+Dégage!F56+Flexigo!F56+Klimaan!F56+Moovee!F56+Poppy!F56+'Mobilize Share'!F56+Stapp.in!F56</f>
        <v>21</v>
      </c>
      <c r="AQ21" s="25">
        <f>BattMobility!G56+cambio!G56+Claus2you!G56+CoopStroom!G56+Cozywheels!G56+Dégage!G56+Flexigo!G56+Klimaan!G56+Moovee!G56+Poppy!G56+'Mobilize Share'!G56+Stapp.in!G56</f>
        <v>6</v>
      </c>
      <c r="AR21" s="29">
        <f t="shared" si="4"/>
        <v>1.1001676445934618</v>
      </c>
      <c r="AS21" s="29">
        <f t="shared" si="5"/>
        <v>0.31433361274098909</v>
      </c>
      <c r="AT21" s="25">
        <f t="shared" si="6"/>
        <v>3</v>
      </c>
      <c r="AU21" s="30">
        <v>38.22</v>
      </c>
      <c r="AV21" s="31">
        <v>20.22</v>
      </c>
    </row>
    <row r="22" spans="1:48" ht="14.25" customHeight="1" x14ac:dyDescent="0.35">
      <c r="A22" s="12" t="s">
        <v>72</v>
      </c>
      <c r="B22" s="13" t="s">
        <v>50</v>
      </c>
      <c r="C22" s="13">
        <v>46029</v>
      </c>
      <c r="D22" s="14">
        <v>42703</v>
      </c>
      <c r="E22" s="14">
        <v>43064</v>
      </c>
      <c r="F22" s="14">
        <v>43554</v>
      </c>
      <c r="G22" s="14">
        <v>50606</v>
      </c>
      <c r="H22" s="15">
        <v>9</v>
      </c>
      <c r="I22" s="13">
        <v>0</v>
      </c>
      <c r="J22" s="16">
        <v>0.21075802636817084</v>
      </c>
      <c r="K22" s="15">
        <v>10</v>
      </c>
      <c r="L22" s="13">
        <v>0</v>
      </c>
      <c r="M22" s="16">
        <v>0.23417558485352319</v>
      </c>
      <c r="N22" s="15">
        <v>10</v>
      </c>
      <c r="O22" s="13">
        <v>5</v>
      </c>
      <c r="P22" s="16">
        <v>0.23221252089912686</v>
      </c>
      <c r="Q22" s="16">
        <v>0.11610626044956343</v>
      </c>
      <c r="R22" s="18">
        <v>1</v>
      </c>
      <c r="S22" s="16">
        <v>2.145449453095602E-2</v>
      </c>
      <c r="T22" s="18">
        <v>0</v>
      </c>
      <c r="U22" s="16">
        <v>-1.9630639543963269E-3</v>
      </c>
      <c r="V22" s="18">
        <v>2</v>
      </c>
      <c r="W22" s="16">
        <v>4.6442504179825379E-2</v>
      </c>
      <c r="X22" s="15">
        <v>16</v>
      </c>
      <c r="Y22" s="13">
        <v>5</v>
      </c>
      <c r="Z22" s="16">
        <v>0.37154003343860303</v>
      </c>
      <c r="AA22" s="16">
        <v>0.11610626044956343</v>
      </c>
      <c r="AB22" s="15">
        <f>17+'overzicht voor jun 25'!AA192</f>
        <v>19</v>
      </c>
      <c r="AC22" s="13">
        <v>5</v>
      </c>
      <c r="AD22" s="16">
        <v>0.39032006245120998</v>
      </c>
      <c r="AE22" s="16">
        <v>0.11480001836800295</v>
      </c>
      <c r="AF22" s="19">
        <v>14</v>
      </c>
      <c r="AG22" s="20">
        <v>3</v>
      </c>
      <c r="AH22" s="16">
        <v>0.32144005143040821</v>
      </c>
      <c r="AI22" s="21">
        <v>6.8880011020801768E-2</v>
      </c>
      <c r="AJ22" s="22">
        <f>BattMobility!D160+cambio!D160+Claus2you!D160+CoopStroom!D160+Cozywheels!D160+Dégage!D160+Flexigo!D160+Klimaan!D160+Moovee!D160+Poppy!D160+'Mobilize Share'!D160+Stapp.in!D160</f>
        <v>18</v>
      </c>
      <c r="AK22" s="23">
        <f>BattMobility!E160+cambio!E160+Claus2you!E160+CoopStroom!E160+Cozywheels!E160+Dégage!E160+Flexigo!E160+Klimaan!E160+Moovee!E160+Poppy!E160+'Mobilize Share'!E160+Stapp.in!E160</f>
        <v>4</v>
      </c>
      <c r="AL22" s="21">
        <f t="shared" si="0"/>
        <v>0.35568904872939966</v>
      </c>
      <c r="AM22" s="21">
        <f t="shared" si="1"/>
        <v>7.9042010828755491E-2</v>
      </c>
      <c r="AN22" s="25">
        <f t="shared" si="2"/>
        <v>-1</v>
      </c>
      <c r="AO22" s="26">
        <f t="shared" si="3"/>
        <v>-5.2631578947368418E-2</v>
      </c>
      <c r="AP22" s="27">
        <f>BattMobility!F160+cambio!F160+Claus2you!F160+CoopStroom!F160+Cozywheels!F160+Dégage!F160+Flexigo!F160+Klimaan!F160+Moovee!F160+Poppy!F160+'Mobilize Share'!F160+Stapp.in!F160</f>
        <v>21</v>
      </c>
      <c r="AQ22" s="25">
        <f>BattMobility!G160+cambio!G160+Claus2you!G160+CoopStroom!G160+Cozywheels!G160+Dégage!G160+Flexigo!G160+Klimaan!G160+Moovee!G160+Poppy!G160+'Mobilize Share'!G160+Stapp.in!G160</f>
        <v>6</v>
      </c>
      <c r="AR22" s="29">
        <f t="shared" si="4"/>
        <v>0.41497055685096629</v>
      </c>
      <c r="AS22" s="29">
        <f t="shared" si="5"/>
        <v>0.11856301624313323</v>
      </c>
      <c r="AT22" s="25">
        <f t="shared" si="6"/>
        <v>7</v>
      </c>
      <c r="AU22" s="30">
        <v>87.108000000000004</v>
      </c>
      <c r="AV22" s="31">
        <v>73.108000000000004</v>
      </c>
    </row>
    <row r="23" spans="1:48" ht="14.25" customHeight="1" x14ac:dyDescent="0.35">
      <c r="A23" s="2" t="s">
        <v>73</v>
      </c>
      <c r="B23" s="13" t="s">
        <v>55</v>
      </c>
      <c r="C23" s="13">
        <v>34013</v>
      </c>
      <c r="D23" s="14">
        <v>29095</v>
      </c>
      <c r="E23" s="14">
        <v>29574</v>
      </c>
      <c r="F23" s="14">
        <v>29904</v>
      </c>
      <c r="G23" s="14">
        <v>30311</v>
      </c>
      <c r="H23" s="15">
        <v>14</v>
      </c>
      <c r="I23" s="13">
        <v>2</v>
      </c>
      <c r="J23" s="16">
        <v>0.48118233373431862</v>
      </c>
      <c r="K23" s="15">
        <v>16</v>
      </c>
      <c r="L23" s="13">
        <v>2</v>
      </c>
      <c r="M23" s="16">
        <v>0.54992266712493554</v>
      </c>
      <c r="N23" s="15">
        <v>16</v>
      </c>
      <c r="O23" s="13">
        <v>12</v>
      </c>
      <c r="P23" s="16">
        <v>0.54101575708392513</v>
      </c>
      <c r="Q23" s="16">
        <v>0.40576181781294379</v>
      </c>
      <c r="R23" s="18">
        <v>2</v>
      </c>
      <c r="S23" s="16">
        <v>5.9833423349606507E-2</v>
      </c>
      <c r="T23" s="18">
        <v>0</v>
      </c>
      <c r="U23" s="16">
        <v>-8.9069100410104074E-3</v>
      </c>
      <c r="V23" s="18">
        <v>2</v>
      </c>
      <c r="W23" s="16">
        <v>6.7626969635490641E-2</v>
      </c>
      <c r="X23" s="15">
        <v>17</v>
      </c>
      <c r="Y23" s="13">
        <v>12</v>
      </c>
      <c r="Z23" s="16">
        <v>0.5748292419016704</v>
      </c>
      <c r="AA23" s="16">
        <v>0.40576181781294379</v>
      </c>
      <c r="AB23" s="15">
        <v>17</v>
      </c>
      <c r="AC23" s="13">
        <v>12</v>
      </c>
      <c r="AD23" s="16">
        <v>0.56848582129481007</v>
      </c>
      <c r="AE23" s="16">
        <v>0.4012841091492777</v>
      </c>
      <c r="AF23" s="19">
        <v>20</v>
      </c>
      <c r="AG23" s="20">
        <v>14</v>
      </c>
      <c r="AH23" s="16">
        <v>0.66880684858212947</v>
      </c>
      <c r="AI23" s="21">
        <v>0.46816479400749061</v>
      </c>
      <c r="AJ23" s="22">
        <f>BattMobility!D86+cambio!D86+Claus2you!D86+CoopStroom!D86+Cozywheels!D86+Dégage!D86+Flexigo!D86+Klimaan!D86+Moovee!D86+Poppy!D86+'Mobilize Share'!D86+Stapp.in!D86</f>
        <v>18</v>
      </c>
      <c r="AK23" s="23">
        <f>BattMobility!E86+cambio!E86+Claus2you!E86+CoopStroom!E86+Cozywheels!E86+Dégage!E86+Flexigo!E86+Klimaan!E86+Moovee!E86+Poppy!E86+'Mobilize Share'!E86+Stapp.in!E86</f>
        <v>12</v>
      </c>
      <c r="AL23" s="21">
        <f t="shared" si="0"/>
        <v>0.59384381907558315</v>
      </c>
      <c r="AM23" s="21">
        <f t="shared" si="1"/>
        <v>0.39589587938372212</v>
      </c>
      <c r="AN23" s="25">
        <f t="shared" si="2"/>
        <v>1</v>
      </c>
      <c r="AO23" s="26">
        <f t="shared" si="3"/>
        <v>5.8823529411764705E-2</v>
      </c>
      <c r="AP23" s="27">
        <f>BattMobility!F86+cambio!F86+Claus2you!F86+CoopStroom!F86+Cozywheels!F86+Dégage!F86+Flexigo!F86+Klimaan!F86+Moovee!F86+Poppy!F86+'Mobilize Share'!F86+Stapp.in!F86</f>
        <v>18</v>
      </c>
      <c r="AQ23" s="25">
        <f>BattMobility!G86+cambio!G86+Claus2you!G86+CoopStroom!G86+Cozywheels!G86+Dégage!G86+Flexigo!G86+Klimaan!G86+Moovee!G86+Poppy!G86+'Mobilize Share'!G86+Stapp.in!G86</f>
        <v>12</v>
      </c>
      <c r="AR23" s="29">
        <f t="shared" si="4"/>
        <v>0.59384381907558315</v>
      </c>
      <c r="AS23" s="29">
        <f t="shared" si="5"/>
        <v>0.39589587938372212</v>
      </c>
      <c r="AT23" s="25">
        <f t="shared" si="6"/>
        <v>-2</v>
      </c>
      <c r="AU23" s="30">
        <v>59.808</v>
      </c>
      <c r="AV23" s="31">
        <v>39.808</v>
      </c>
    </row>
    <row r="24" spans="1:48" ht="14.25" customHeight="1" x14ac:dyDescent="0.35">
      <c r="A24" s="2" t="s">
        <v>74</v>
      </c>
      <c r="B24" s="13" t="s">
        <v>52</v>
      </c>
      <c r="C24" s="13">
        <v>23088</v>
      </c>
      <c r="D24" s="14">
        <v>46354</v>
      </c>
      <c r="E24" s="14">
        <v>46993</v>
      </c>
      <c r="F24" s="14">
        <v>47445</v>
      </c>
      <c r="G24" s="14">
        <v>48040</v>
      </c>
      <c r="H24" s="15">
        <v>7</v>
      </c>
      <c r="I24" s="13">
        <v>0</v>
      </c>
      <c r="J24" s="16">
        <v>0.15101177891875567</v>
      </c>
      <c r="K24" s="15">
        <v>7</v>
      </c>
      <c r="L24" s="13">
        <v>0</v>
      </c>
      <c r="M24" s="16">
        <v>0.15101177891875567</v>
      </c>
      <c r="N24" s="15">
        <v>8</v>
      </c>
      <c r="O24" s="13">
        <v>0</v>
      </c>
      <c r="P24" s="16">
        <v>0.1702381205711489</v>
      </c>
      <c r="Q24" s="16">
        <v>0</v>
      </c>
      <c r="R24" s="18">
        <v>1</v>
      </c>
      <c r="S24" s="16">
        <v>1.9226341652393231E-2</v>
      </c>
      <c r="T24" s="18">
        <v>1</v>
      </c>
      <c r="U24" s="16">
        <v>1.9226341652393231E-2</v>
      </c>
      <c r="V24" s="18">
        <v>0</v>
      </c>
      <c r="W24" s="16">
        <v>0</v>
      </c>
      <c r="X24" s="15">
        <v>10</v>
      </c>
      <c r="Y24" s="13">
        <v>0</v>
      </c>
      <c r="Z24" s="16">
        <v>0.21279765071393611</v>
      </c>
      <c r="AA24" s="16">
        <v>0</v>
      </c>
      <c r="AB24" s="15">
        <v>10</v>
      </c>
      <c r="AC24" s="13">
        <v>0</v>
      </c>
      <c r="AD24" s="16">
        <v>0.21077036568658447</v>
      </c>
      <c r="AE24" s="16">
        <v>0</v>
      </c>
      <c r="AF24" s="19">
        <v>12</v>
      </c>
      <c r="AG24" s="20">
        <v>0</v>
      </c>
      <c r="AH24" s="16">
        <v>0.25292443882390131</v>
      </c>
      <c r="AI24" s="21">
        <v>0</v>
      </c>
      <c r="AJ24" s="22">
        <f>BattMobility!D249+cambio!D249+Claus2you!D249+CoopStroom!D249+Cozywheels!D249+Dégage!D249+Flexigo!D249+Klimaan!D249+Moovee!D249+Poppy!D249+'Mobilize Share'!D249+Stapp.in!D249</f>
        <v>15</v>
      </c>
      <c r="AK24" s="23">
        <f>BattMobility!E249+cambio!E249+Claus2you!E249+CoopStroom!E249+Cozywheels!E249+Dégage!E249+Flexigo!E249+Klimaan!E249+Moovee!E249+Poppy!E249+'Mobilize Share'!E249+Stapp.in!E249</f>
        <v>0</v>
      </c>
      <c r="AL24" s="21">
        <f t="shared" si="0"/>
        <v>0.31223980016652791</v>
      </c>
      <c r="AM24" s="21">
        <f t="shared" si="1"/>
        <v>0</v>
      </c>
      <c r="AN24" s="25">
        <f t="shared" si="2"/>
        <v>5</v>
      </c>
      <c r="AO24" s="26">
        <f t="shared" si="3"/>
        <v>0.5</v>
      </c>
      <c r="AP24" s="27">
        <f>BattMobility!F249+cambio!F249+Claus2you!F249+CoopStroom!F249+Cozywheels!F249+Dégage!F249+Flexigo!F249+Klimaan!F249+Moovee!F249+Poppy!F249+'Mobilize Share'!F249+Stapp.in!F249</f>
        <v>17</v>
      </c>
      <c r="AQ24" s="25">
        <f>BattMobility!G249+cambio!G249+Claus2you!G249+CoopStroom!G249+Cozywheels!G249+Dégage!G249+Flexigo!G249+Klimaan!G249+Moovee!G249+Poppy!G249+'Mobilize Share'!G249+Stapp.in!G249</f>
        <v>0</v>
      </c>
      <c r="AR24" s="29">
        <f t="shared" si="4"/>
        <v>0.35387177352206495</v>
      </c>
      <c r="AS24" s="29">
        <f t="shared" si="5"/>
        <v>0</v>
      </c>
      <c r="AT24" s="25">
        <f t="shared" si="6"/>
        <v>5</v>
      </c>
      <c r="AU24" s="30">
        <v>94.89</v>
      </c>
      <c r="AV24" s="31">
        <v>82.89</v>
      </c>
    </row>
    <row r="25" spans="1:48" ht="14.25" customHeight="1" x14ac:dyDescent="0.35">
      <c r="A25" s="33" t="s">
        <v>75</v>
      </c>
      <c r="B25" s="13" t="s">
        <v>50</v>
      </c>
      <c r="C25" s="13">
        <v>44086</v>
      </c>
      <c r="D25" s="14">
        <v>12040</v>
      </c>
      <c r="E25" s="14">
        <v>12214</v>
      </c>
      <c r="F25" s="14">
        <v>12305</v>
      </c>
      <c r="G25" s="14">
        <v>23574</v>
      </c>
      <c r="H25" s="15">
        <v>1</v>
      </c>
      <c r="I25" s="13">
        <v>0</v>
      </c>
      <c r="J25" s="16">
        <v>8.3056478405315617E-2</v>
      </c>
      <c r="K25" s="15">
        <v>6</v>
      </c>
      <c r="L25" s="13">
        <v>0</v>
      </c>
      <c r="M25" s="16">
        <v>0.49833887043189362</v>
      </c>
      <c r="N25" s="15">
        <v>5</v>
      </c>
      <c r="O25" s="13">
        <v>0</v>
      </c>
      <c r="P25" s="16">
        <v>0.40936630096610443</v>
      </c>
      <c r="Q25" s="16">
        <v>0</v>
      </c>
      <c r="R25" s="18">
        <v>4</v>
      </c>
      <c r="S25" s="16">
        <v>0.32630982256078883</v>
      </c>
      <c r="T25" s="18">
        <v>-1</v>
      </c>
      <c r="U25" s="16">
        <v>-8.8972569465789186E-2</v>
      </c>
      <c r="V25" s="18">
        <v>5</v>
      </c>
      <c r="W25" s="16">
        <v>0.40936630096610443</v>
      </c>
      <c r="X25" s="15">
        <v>5</v>
      </c>
      <c r="Y25" s="13">
        <v>2</v>
      </c>
      <c r="Z25" s="16">
        <v>0.40936630096610443</v>
      </c>
      <c r="AA25" s="16">
        <v>0.1637465203864418</v>
      </c>
      <c r="AB25" s="15">
        <f>4+'overzicht voor jun 25'!AA52</f>
        <v>13</v>
      </c>
      <c r="AC25" s="13">
        <f>2+'overzicht voor jun 25'!AB52</f>
        <v>3</v>
      </c>
      <c r="AD25" s="16">
        <v>0.32507110930516048</v>
      </c>
      <c r="AE25" s="16">
        <v>0.16253555465258024</v>
      </c>
      <c r="AF25" s="19">
        <v>8</v>
      </c>
      <c r="AG25" s="20">
        <v>2</v>
      </c>
      <c r="AH25" s="16">
        <v>0.65014221861032095</v>
      </c>
      <c r="AI25" s="21">
        <v>0.16253555465258024</v>
      </c>
      <c r="AJ25" s="22">
        <f>BattMobility!D183+cambio!D183+Claus2you!D183+CoopStroom!D183+Cozywheels!D183+Dégage!D183+Flexigo!D183+Klimaan!D183+Moovee!D183+Poppy!D183+'Mobilize Share'!D183+Stapp.in!D183</f>
        <v>15</v>
      </c>
      <c r="AK25" s="23">
        <f>BattMobility!E183+cambio!E183+Claus2you!E183+CoopStroom!E183+Cozywheels!E183+Dégage!E183+Flexigo!E183+Klimaan!E183+Moovee!E183+Poppy!E183+'Mobilize Share'!E183+Stapp.in!E183</f>
        <v>4</v>
      </c>
      <c r="AL25" s="21">
        <f t="shared" si="0"/>
        <v>0.63629422244846023</v>
      </c>
      <c r="AM25" s="21">
        <f t="shared" si="1"/>
        <v>0.16967845931958939</v>
      </c>
      <c r="AN25" s="25">
        <f t="shared" si="2"/>
        <v>2</v>
      </c>
      <c r="AO25" s="26">
        <f t="shared" si="3"/>
        <v>0.15384615384615385</v>
      </c>
      <c r="AP25" s="27">
        <f>BattMobility!F183+cambio!F183+Claus2you!F183+CoopStroom!F183+Cozywheels!F183+Dégage!F183+Flexigo!F183+Klimaan!F183+Moovee!F183+Poppy!F183+'Mobilize Share'!F183+Stapp.in!F183</f>
        <v>16</v>
      </c>
      <c r="AQ25" s="25">
        <f>BattMobility!G183+cambio!G183+Claus2you!G183+CoopStroom!G183+Cozywheels!G183+Dégage!G183+Flexigo!G183+Klimaan!G183+Moovee!G183+Poppy!G183+'Mobilize Share'!G183+Stapp.in!G183</f>
        <v>6</v>
      </c>
      <c r="AR25" s="29">
        <f t="shared" si="4"/>
        <v>0.67871383727835755</v>
      </c>
      <c r="AS25" s="29">
        <f t="shared" si="5"/>
        <v>0.25451768897938409</v>
      </c>
      <c r="AT25" s="25">
        <f t="shared" si="6"/>
        <v>8</v>
      </c>
      <c r="AU25" s="30">
        <v>24.61</v>
      </c>
      <c r="AV25" s="31">
        <v>16.61</v>
      </c>
    </row>
    <row r="26" spans="1:48" ht="14.25" customHeight="1" x14ac:dyDescent="0.35">
      <c r="A26" s="2" t="s">
        <v>76</v>
      </c>
      <c r="B26" s="13" t="s">
        <v>55</v>
      </c>
      <c r="C26" s="13">
        <v>33011</v>
      </c>
      <c r="D26" s="14">
        <v>35039</v>
      </c>
      <c r="E26" s="14">
        <v>35387</v>
      </c>
      <c r="F26" s="14">
        <v>35550</v>
      </c>
      <c r="G26" s="14">
        <v>35587</v>
      </c>
      <c r="H26" s="15">
        <v>9</v>
      </c>
      <c r="I26" s="13">
        <v>0</v>
      </c>
      <c r="J26" s="16">
        <v>0.25685664545221043</v>
      </c>
      <c r="K26" s="15">
        <v>6</v>
      </c>
      <c r="L26" s="13">
        <v>0</v>
      </c>
      <c r="M26" s="16">
        <v>0.17123776363480692</v>
      </c>
      <c r="N26" s="15">
        <v>9</v>
      </c>
      <c r="O26" s="13">
        <v>0</v>
      </c>
      <c r="P26" s="16">
        <v>0.25433068641026363</v>
      </c>
      <c r="Q26" s="16">
        <v>0</v>
      </c>
      <c r="R26" s="18">
        <v>0</v>
      </c>
      <c r="S26" s="16">
        <v>-2.5259590419468014E-3</v>
      </c>
      <c r="T26" s="18">
        <v>3</v>
      </c>
      <c r="U26" s="16">
        <v>8.3092922775456712E-2</v>
      </c>
      <c r="V26" s="18">
        <v>2</v>
      </c>
      <c r="W26" s="16">
        <v>5.6517930313391924E-2</v>
      </c>
      <c r="X26" s="15">
        <v>12</v>
      </c>
      <c r="Y26" s="13">
        <v>0</v>
      </c>
      <c r="Z26" s="16">
        <v>0.33910758188035151</v>
      </c>
      <c r="AA26" s="16">
        <v>0</v>
      </c>
      <c r="AB26" s="15">
        <v>14</v>
      </c>
      <c r="AC26" s="13">
        <v>1</v>
      </c>
      <c r="AD26" s="16">
        <v>0.39381153305203942</v>
      </c>
      <c r="AE26" s="16">
        <v>2.8129395218002812E-2</v>
      </c>
      <c r="AF26" s="19">
        <v>15</v>
      </c>
      <c r="AG26" s="20">
        <v>1</v>
      </c>
      <c r="AH26" s="16">
        <v>0.4219409282700422</v>
      </c>
      <c r="AI26" s="21">
        <v>2.8129395218002812E-2</v>
      </c>
      <c r="AJ26" s="22">
        <f>BattMobility!D113+cambio!D113+Claus2you!D113+CoopStroom!D113+Cozywheels!D113+Dégage!D113+Flexigo!D113+Klimaan!D113+Moovee!D113+Poppy!D113+'Mobilize Share'!D113+Stapp.in!D113</f>
        <v>15</v>
      </c>
      <c r="AK26" s="23">
        <f>BattMobility!E113+cambio!E113+Claus2you!E113+CoopStroom!E113+Cozywheels!E113+Dégage!E113+Flexigo!E113+Klimaan!E113+Moovee!E113+Poppy!E113+'Mobilize Share'!E113+Stapp.in!E113</f>
        <v>1</v>
      </c>
      <c r="AL26" s="21">
        <f t="shared" si="0"/>
        <v>0.42150223396184</v>
      </c>
      <c r="AM26" s="21">
        <f t="shared" si="1"/>
        <v>2.8100148930789333E-2</v>
      </c>
      <c r="AN26" s="25">
        <f t="shared" si="2"/>
        <v>1</v>
      </c>
      <c r="AO26" s="26">
        <f t="shared" si="3"/>
        <v>7.1428571428571425E-2</v>
      </c>
      <c r="AP26" s="27">
        <f>BattMobility!F113+cambio!F113+Claus2you!F113+CoopStroom!F113+Cozywheels!F113+Dégage!F113+Flexigo!F113+Klimaan!F113+Moovee!F113+Poppy!F113+'Mobilize Share'!F113+Stapp.in!F113</f>
        <v>16</v>
      </c>
      <c r="AQ26" s="25">
        <f>BattMobility!G113+cambio!G113+Claus2you!G113+CoopStroom!G113+Cozywheels!G113+Dégage!G113+Flexigo!G113+Klimaan!G113+Moovee!G113+Poppy!G113+'Mobilize Share'!G113+Stapp.in!G113</f>
        <v>1</v>
      </c>
      <c r="AR26" s="29">
        <f t="shared" si="4"/>
        <v>0.44960238289262933</v>
      </c>
      <c r="AS26" s="29">
        <f t="shared" si="5"/>
        <v>2.8100148930789333E-2</v>
      </c>
      <c r="AT26" s="25">
        <f t="shared" si="6"/>
        <v>1</v>
      </c>
      <c r="AU26" s="30">
        <v>71.099999999999994</v>
      </c>
      <c r="AV26" s="31">
        <v>56.099999999999994</v>
      </c>
    </row>
    <row r="27" spans="1:48" ht="14.25" customHeight="1" x14ac:dyDescent="0.35">
      <c r="A27" s="2" t="s">
        <v>77</v>
      </c>
      <c r="B27" s="13" t="s">
        <v>50</v>
      </c>
      <c r="C27" s="13">
        <v>45035</v>
      </c>
      <c r="D27" s="14">
        <v>31866</v>
      </c>
      <c r="E27" s="14">
        <v>32482</v>
      </c>
      <c r="F27" s="14">
        <v>32702</v>
      </c>
      <c r="G27" s="14">
        <v>32930</v>
      </c>
      <c r="H27" s="15">
        <v>7</v>
      </c>
      <c r="I27" s="13">
        <v>0</v>
      </c>
      <c r="J27" s="16">
        <v>0.21966986757045126</v>
      </c>
      <c r="K27" s="15">
        <v>8</v>
      </c>
      <c r="L27" s="13">
        <v>0</v>
      </c>
      <c r="M27" s="16">
        <v>0.25105127722337284</v>
      </c>
      <c r="N27" s="15">
        <v>8</v>
      </c>
      <c r="O27" s="13">
        <v>3</v>
      </c>
      <c r="P27" s="16">
        <v>0.24629025306323499</v>
      </c>
      <c r="Q27" s="16">
        <v>9.2358844898713141E-2</v>
      </c>
      <c r="R27" s="18">
        <v>1</v>
      </c>
      <c r="S27" s="16">
        <v>2.6620385492783727E-2</v>
      </c>
      <c r="T27" s="18">
        <v>0</v>
      </c>
      <c r="U27" s="16">
        <v>-4.76102416013785E-3</v>
      </c>
      <c r="V27" s="18">
        <v>4</v>
      </c>
      <c r="W27" s="16">
        <v>0.12314512653161749</v>
      </c>
      <c r="X27" s="15">
        <v>7</v>
      </c>
      <c r="Y27" s="13">
        <v>3</v>
      </c>
      <c r="Z27" s="16">
        <v>0.21550397143033065</v>
      </c>
      <c r="AA27" s="16">
        <v>9.2358844898713141E-2</v>
      </c>
      <c r="AB27" s="15">
        <v>8</v>
      </c>
      <c r="AC27" s="13">
        <v>5</v>
      </c>
      <c r="AD27" s="16">
        <v>0.24463335575805764</v>
      </c>
      <c r="AE27" s="16">
        <v>0.152895847348786</v>
      </c>
      <c r="AF27" s="19">
        <v>10</v>
      </c>
      <c r="AG27" s="20">
        <v>7</v>
      </c>
      <c r="AH27" s="16">
        <v>0.305791694697572</v>
      </c>
      <c r="AI27" s="21">
        <v>0.21405418628830042</v>
      </c>
      <c r="AJ27" s="22">
        <f>BattMobility!D197+cambio!D197+Claus2you!D197+CoopStroom!D197+Cozywheels!D197+Dégage!D197+Flexigo!D197+Klimaan!D197+Moovee!D197+Poppy!D197+'Mobilize Share'!D197+Stapp.in!D197</f>
        <v>10</v>
      </c>
      <c r="AK27" s="23">
        <f>BattMobility!E197+cambio!E197+Claus2you!E197+CoopStroom!E197+Cozywheels!E197+Dégage!E197+Flexigo!E197+Klimaan!E197+Moovee!E197+Poppy!E197+'Mobilize Share'!E197+Stapp.in!E197</f>
        <v>8</v>
      </c>
      <c r="AL27" s="21">
        <f t="shared" si="0"/>
        <v>0.30367446097783179</v>
      </c>
      <c r="AM27" s="21">
        <f t="shared" si="1"/>
        <v>0.24293956878226541</v>
      </c>
      <c r="AN27" s="25">
        <f t="shared" si="2"/>
        <v>2</v>
      </c>
      <c r="AO27" s="26">
        <f t="shared" si="3"/>
        <v>0.25</v>
      </c>
      <c r="AP27" s="27">
        <f>BattMobility!F197+cambio!F197+Claus2you!F197+CoopStroom!F197+Cozywheels!F197+Dégage!F197+Flexigo!F197+Klimaan!F197+Moovee!F197+Poppy!F197+'Mobilize Share'!F197+Stapp.in!F197</f>
        <v>15</v>
      </c>
      <c r="AQ27" s="25">
        <f>BattMobility!G197+cambio!G197+Claus2you!G197+CoopStroom!G197+Cozywheels!G197+Dégage!G197+Flexigo!G197+Klimaan!G197+Moovee!G197+Poppy!G197+'Mobilize Share'!G197+Stapp.in!G197</f>
        <v>9</v>
      </c>
      <c r="AR27" s="29">
        <f t="shared" si="4"/>
        <v>0.45551169146674764</v>
      </c>
      <c r="AS27" s="29">
        <f t="shared" si="5"/>
        <v>0.2733070148800486</v>
      </c>
      <c r="AT27" s="25">
        <f t="shared" si="6"/>
        <v>5</v>
      </c>
      <c r="AU27" s="30">
        <v>65.403999999999996</v>
      </c>
      <c r="AV27" s="31">
        <v>55.403999999999996</v>
      </c>
    </row>
    <row r="28" spans="1:48" ht="14.25" customHeight="1" x14ac:dyDescent="0.35">
      <c r="A28" s="2" t="s">
        <v>78</v>
      </c>
      <c r="B28" s="13" t="s">
        <v>52</v>
      </c>
      <c r="C28" s="13">
        <v>24094</v>
      </c>
      <c r="D28" s="14">
        <v>17294</v>
      </c>
      <c r="E28" s="14">
        <v>17499</v>
      </c>
      <c r="F28" s="14">
        <v>17672</v>
      </c>
      <c r="G28" s="14">
        <v>17689</v>
      </c>
      <c r="H28" s="15">
        <v>5</v>
      </c>
      <c r="I28" s="13">
        <v>0</v>
      </c>
      <c r="J28" s="16">
        <v>0.28911761304498673</v>
      </c>
      <c r="K28" s="15">
        <v>5</v>
      </c>
      <c r="L28" s="13">
        <v>0</v>
      </c>
      <c r="M28" s="16">
        <v>0.28911761304498673</v>
      </c>
      <c r="N28" s="15">
        <v>7</v>
      </c>
      <c r="O28" s="13">
        <v>0</v>
      </c>
      <c r="P28" s="16">
        <v>0.40002285844905422</v>
      </c>
      <c r="Q28" s="16">
        <v>0</v>
      </c>
      <c r="R28" s="18">
        <v>2</v>
      </c>
      <c r="S28" s="16">
        <v>0.11090524540406749</v>
      </c>
      <c r="T28" s="18">
        <v>2</v>
      </c>
      <c r="U28" s="16">
        <v>0.11090524540406749</v>
      </c>
      <c r="V28" s="18">
        <v>0</v>
      </c>
      <c r="W28" s="16">
        <v>0</v>
      </c>
      <c r="X28" s="15">
        <v>7</v>
      </c>
      <c r="Y28" s="13">
        <v>0</v>
      </c>
      <c r="Z28" s="16">
        <v>0.40002285844905422</v>
      </c>
      <c r="AA28" s="16">
        <v>0</v>
      </c>
      <c r="AB28" s="15">
        <v>10</v>
      </c>
      <c r="AC28" s="13">
        <v>0</v>
      </c>
      <c r="AD28" s="16">
        <v>0.56586690810321405</v>
      </c>
      <c r="AE28" s="16">
        <v>0</v>
      </c>
      <c r="AF28" s="19">
        <v>12</v>
      </c>
      <c r="AG28" s="20">
        <v>1</v>
      </c>
      <c r="AH28" s="16">
        <v>0.67904028972385699</v>
      </c>
      <c r="AI28" s="21">
        <v>5.6586690810321409E-2</v>
      </c>
      <c r="AJ28" s="22">
        <f>BattMobility!D217+cambio!D217+Claus2you!D217+CoopStroom!D217+Cozywheels!D217+Dégage!D217+Flexigo!D217+Klimaan!D217+Moovee!D217+Poppy!D217+'Mobilize Share'!D217+Stapp.in!D217</f>
        <v>12</v>
      </c>
      <c r="AK28" s="23">
        <f>BattMobility!E217+cambio!E217+Claus2you!E217+CoopStroom!E217+Cozywheels!E217+Dégage!E217+Flexigo!E217+Klimaan!E217+Moovee!E217+Poppy!E217+'Mobilize Share'!E217+Stapp.in!E217</f>
        <v>1</v>
      </c>
      <c r="AL28" s="21">
        <f t="shared" si="0"/>
        <v>0.67838769856973258</v>
      </c>
      <c r="AM28" s="21">
        <f t="shared" si="1"/>
        <v>5.6532308214144386E-2</v>
      </c>
      <c r="AN28" s="25">
        <f t="shared" si="2"/>
        <v>2</v>
      </c>
      <c r="AO28" s="26">
        <f t="shared" si="3"/>
        <v>0.2</v>
      </c>
      <c r="AP28" s="27">
        <f>BattMobility!F217+cambio!F217+Claus2you!F217+CoopStroom!F217+Cozywheels!F217+Dégage!F217+Flexigo!F217+Klimaan!F217+Moovee!F217+Poppy!F217+'Mobilize Share'!F217+Stapp.in!F217</f>
        <v>14</v>
      </c>
      <c r="AQ28" s="25">
        <f>BattMobility!G217+cambio!G217+Claus2you!G217+CoopStroom!G217+Cozywheels!G217+Dégage!G217+Flexigo!G217+Klimaan!G217+Moovee!G217+Poppy!G217+'Mobilize Share'!G217+Stapp.in!G217</f>
        <v>4</v>
      </c>
      <c r="AR28" s="29">
        <f t="shared" si="4"/>
        <v>0.79145231499802138</v>
      </c>
      <c r="AS28" s="29">
        <f t="shared" si="5"/>
        <v>0.22612923285657754</v>
      </c>
      <c r="AT28" s="25">
        <f t="shared" si="6"/>
        <v>2</v>
      </c>
      <c r="AU28" s="30">
        <v>35.344000000000001</v>
      </c>
      <c r="AV28" s="31">
        <v>23.344000000000001</v>
      </c>
    </row>
    <row r="29" spans="1:48" ht="14.25" customHeight="1" x14ac:dyDescent="0.35">
      <c r="A29" s="2" t="s">
        <v>79</v>
      </c>
      <c r="B29" s="13" t="s">
        <v>55</v>
      </c>
      <c r="C29" s="13">
        <v>31022</v>
      </c>
      <c r="D29" s="14">
        <v>23998</v>
      </c>
      <c r="E29" s="14">
        <v>24200</v>
      </c>
      <c r="F29" s="14">
        <v>24275</v>
      </c>
      <c r="G29" s="14">
        <v>24142</v>
      </c>
      <c r="H29" s="15">
        <v>4</v>
      </c>
      <c r="I29" s="13">
        <v>3</v>
      </c>
      <c r="J29" s="16">
        <v>0.1666805567130594</v>
      </c>
      <c r="K29" s="15">
        <v>5</v>
      </c>
      <c r="L29" s="13">
        <v>3</v>
      </c>
      <c r="M29" s="16">
        <v>0.20835069589132427</v>
      </c>
      <c r="N29" s="15">
        <v>7</v>
      </c>
      <c r="O29" s="13">
        <v>4</v>
      </c>
      <c r="P29" s="16">
        <v>0.28925619834710747</v>
      </c>
      <c r="Q29" s="16">
        <v>0.16528925619834711</v>
      </c>
      <c r="R29" s="18">
        <v>3</v>
      </c>
      <c r="S29" s="16">
        <v>0.12257564163404808</v>
      </c>
      <c r="T29" s="18">
        <v>2</v>
      </c>
      <c r="U29" s="16">
        <v>8.0905502455783207E-2</v>
      </c>
      <c r="V29" s="18">
        <v>4</v>
      </c>
      <c r="W29" s="16">
        <v>0.16528925619834711</v>
      </c>
      <c r="X29" s="15">
        <v>8</v>
      </c>
      <c r="Y29" s="13">
        <v>3</v>
      </c>
      <c r="Z29" s="16">
        <v>0.33057851239669422</v>
      </c>
      <c r="AA29" s="16">
        <v>0.12396694214876033</v>
      </c>
      <c r="AB29" s="15">
        <v>8</v>
      </c>
      <c r="AC29" s="13">
        <v>3</v>
      </c>
      <c r="AD29" s="16">
        <v>0.32955715756951592</v>
      </c>
      <c r="AE29" s="16">
        <v>0.12358393408856848</v>
      </c>
      <c r="AF29" s="19">
        <v>11</v>
      </c>
      <c r="AG29" s="20">
        <v>4</v>
      </c>
      <c r="AH29" s="16">
        <v>0.45314109165808447</v>
      </c>
      <c r="AI29" s="21">
        <v>0.16477857878475796</v>
      </c>
      <c r="AJ29" s="22">
        <f>BattMobility!D192+cambio!D192+Claus2you!D192+CoopStroom!D192+Cozywheels!D192+Dégage!D192+Flexigo!D192+Klimaan!D192+Moovee!D192+Poppy!D192+'Mobilize Share'!D192+Stapp.in!D192</f>
        <v>11</v>
      </c>
      <c r="AK29" s="23">
        <f>BattMobility!E192+cambio!E192+Claus2you!E192+CoopStroom!E192+Cozywheels!E192+Dégage!E192+Flexigo!E192+Klimaan!E192+Moovee!E192+Poppy!E192+'Mobilize Share'!E192+Stapp.in!E192</f>
        <v>4</v>
      </c>
      <c r="AL29" s="21">
        <f t="shared" si="0"/>
        <v>0.4556374782536658</v>
      </c>
      <c r="AM29" s="21">
        <f t="shared" si="1"/>
        <v>0.16568635572860574</v>
      </c>
      <c r="AN29" s="25">
        <f t="shared" si="2"/>
        <v>3</v>
      </c>
      <c r="AO29" s="26">
        <f t="shared" si="3"/>
        <v>0.375</v>
      </c>
      <c r="AP29" s="27">
        <f>BattMobility!F192+cambio!F192+Claus2you!F192+CoopStroom!F192+Cozywheels!F192+Dégage!F192+Flexigo!F192+Klimaan!F192+Moovee!F192+Poppy!F192+'Mobilize Share'!F192+Stapp.in!F192</f>
        <v>14</v>
      </c>
      <c r="AQ29" s="25">
        <f>BattMobility!G192+cambio!G192+Claus2you!G192+CoopStroom!G192+Cozywheels!G192+Dégage!G192+Flexigo!G192+Klimaan!G192+Moovee!G192+Poppy!G192+'Mobilize Share'!G192+Stapp.in!G192</f>
        <v>7</v>
      </c>
      <c r="AR29" s="29">
        <f t="shared" si="4"/>
        <v>0.57990224505012011</v>
      </c>
      <c r="AS29" s="29">
        <f t="shared" si="5"/>
        <v>0.28995112252506006</v>
      </c>
      <c r="AT29" s="25">
        <f t="shared" si="6"/>
        <v>3</v>
      </c>
      <c r="AU29" s="30">
        <v>48.55</v>
      </c>
      <c r="AV29" s="31">
        <v>37.549999999999997</v>
      </c>
    </row>
    <row r="30" spans="1:48" ht="14.25" customHeight="1" x14ac:dyDescent="0.35">
      <c r="A30" s="2" t="s">
        <v>80</v>
      </c>
      <c r="B30" s="13" t="s">
        <v>50</v>
      </c>
      <c r="C30" s="13">
        <v>42006</v>
      </c>
      <c r="D30" s="14">
        <v>46325</v>
      </c>
      <c r="E30" s="14">
        <v>46916</v>
      </c>
      <c r="F30" s="14">
        <v>47185</v>
      </c>
      <c r="G30" s="14">
        <v>47539</v>
      </c>
      <c r="H30" s="15">
        <v>5</v>
      </c>
      <c r="I30" s="13">
        <v>0</v>
      </c>
      <c r="J30" s="16">
        <v>0.10793308148947653</v>
      </c>
      <c r="K30" s="15">
        <v>6</v>
      </c>
      <c r="L30" s="13">
        <v>0</v>
      </c>
      <c r="M30" s="16">
        <v>0.12951969778737182</v>
      </c>
      <c r="N30" s="15">
        <v>7</v>
      </c>
      <c r="O30" s="13">
        <v>3</v>
      </c>
      <c r="P30" s="16">
        <v>0.14920283059084319</v>
      </c>
      <c r="Q30" s="16">
        <v>6.3944070253218521E-2</v>
      </c>
      <c r="R30" s="18">
        <v>2</v>
      </c>
      <c r="S30" s="16">
        <v>4.126974910136666E-2</v>
      </c>
      <c r="T30" s="18">
        <v>1</v>
      </c>
      <c r="U30" s="16">
        <v>1.9683132803471365E-2</v>
      </c>
      <c r="V30" s="18">
        <v>1</v>
      </c>
      <c r="W30" s="16">
        <v>2.1314690084406174E-2</v>
      </c>
      <c r="X30" s="15">
        <v>6</v>
      </c>
      <c r="Y30" s="13">
        <v>3</v>
      </c>
      <c r="Z30" s="16">
        <v>0.12788814050643704</v>
      </c>
      <c r="AA30" s="16">
        <v>6.3944070253218521E-2</v>
      </c>
      <c r="AB30" s="15">
        <v>8</v>
      </c>
      <c r="AC30" s="13">
        <v>5</v>
      </c>
      <c r="AD30" s="16">
        <v>0.16954540637914592</v>
      </c>
      <c r="AE30" s="16">
        <v>0.1059658789869662</v>
      </c>
      <c r="AF30" s="19">
        <v>10</v>
      </c>
      <c r="AG30" s="20">
        <v>5</v>
      </c>
      <c r="AH30" s="16">
        <v>0.21193175797393241</v>
      </c>
      <c r="AI30" s="21">
        <v>0.1059658789869662</v>
      </c>
      <c r="AJ30" s="22">
        <f>BattMobility!D53+cambio!D53+Claus2you!D53+CoopStroom!D53+Cozywheels!D53+Dégage!D53+Flexigo!D53+Klimaan!D53+Moovee!D53+Poppy!D53+'Mobilize Share'!D53+Stapp.in!D53</f>
        <v>13</v>
      </c>
      <c r="AK30" s="23">
        <f>BattMobility!E53+cambio!E53+Claus2you!E53+CoopStroom!E53+Cozywheels!E53+Dégage!E53+Flexigo!E53+Klimaan!E53+Moovee!E53+Poppy!E53+'Mobilize Share'!E53+Stapp.in!E53</f>
        <v>5</v>
      </c>
      <c r="AL30" s="21">
        <f t="shared" si="0"/>
        <v>0.27345968573171497</v>
      </c>
      <c r="AM30" s="21">
        <f t="shared" si="1"/>
        <v>0.10517680220450577</v>
      </c>
      <c r="AN30" s="25">
        <f t="shared" si="2"/>
        <v>5</v>
      </c>
      <c r="AO30" s="26">
        <f t="shared" si="3"/>
        <v>0.625</v>
      </c>
      <c r="AP30" s="27">
        <f>BattMobility!F53+cambio!F53+Claus2you!F53+CoopStroom!F53+Cozywheels!F53+Dégage!F53+Flexigo!F53+Klimaan!F53+Moovee!F53+Poppy!F53+'Mobilize Share'!F53+Stapp.in!F53</f>
        <v>13</v>
      </c>
      <c r="AQ30" s="25">
        <f>BattMobility!G53+cambio!G53+Claus2you!G53+CoopStroom!G53+Cozywheels!G53+Dégage!G53+Flexigo!G53+Klimaan!G53+Moovee!G53+Poppy!G53+'Mobilize Share'!G53+Stapp.in!G53</f>
        <v>5</v>
      </c>
      <c r="AR30" s="29">
        <f t="shared" si="4"/>
        <v>0.27345968573171497</v>
      </c>
      <c r="AS30" s="29">
        <f t="shared" si="5"/>
        <v>0.10517680220450577</v>
      </c>
      <c r="AT30" s="25">
        <f t="shared" si="6"/>
        <v>3</v>
      </c>
      <c r="AU30" s="30">
        <v>94.37</v>
      </c>
      <c r="AV30" s="31">
        <v>84.37</v>
      </c>
    </row>
    <row r="31" spans="1:48" ht="14.25" customHeight="1" x14ac:dyDescent="0.35">
      <c r="A31" s="2" t="s">
        <v>81</v>
      </c>
      <c r="B31" s="13" t="s">
        <v>52</v>
      </c>
      <c r="C31" s="13">
        <v>24059</v>
      </c>
      <c r="D31" s="14">
        <v>16149</v>
      </c>
      <c r="E31" s="14">
        <v>16284</v>
      </c>
      <c r="F31" s="14">
        <v>16390</v>
      </c>
      <c r="G31" s="14">
        <v>16375</v>
      </c>
      <c r="H31" s="15">
        <v>2</v>
      </c>
      <c r="I31" s="13">
        <v>0</v>
      </c>
      <c r="J31" s="16">
        <v>0.12384667781286768</v>
      </c>
      <c r="K31" s="15">
        <v>5</v>
      </c>
      <c r="L31" s="13">
        <v>0</v>
      </c>
      <c r="M31" s="16">
        <v>0.30961669453216917</v>
      </c>
      <c r="N31" s="15">
        <v>5</v>
      </c>
      <c r="O31" s="13">
        <v>0</v>
      </c>
      <c r="P31" s="16">
        <v>0.30704986489805947</v>
      </c>
      <c r="Q31" s="16">
        <v>0</v>
      </c>
      <c r="R31" s="18">
        <v>3</v>
      </c>
      <c r="S31" s="16">
        <v>0.18320318708519179</v>
      </c>
      <c r="T31" s="18">
        <v>0</v>
      </c>
      <c r="U31" s="16">
        <v>-2.5668296341097019E-3</v>
      </c>
      <c r="V31" s="18">
        <v>3</v>
      </c>
      <c r="W31" s="16">
        <v>0.18422991893883567</v>
      </c>
      <c r="X31" s="15">
        <v>10</v>
      </c>
      <c r="Y31" s="13">
        <v>4</v>
      </c>
      <c r="Z31" s="16">
        <v>0.61409972979611893</v>
      </c>
      <c r="AA31" s="16">
        <v>0.24563989191844754</v>
      </c>
      <c r="AB31" s="15">
        <v>9</v>
      </c>
      <c r="AC31" s="13">
        <v>4</v>
      </c>
      <c r="AD31" s="16">
        <v>0.54911531421598536</v>
      </c>
      <c r="AE31" s="16">
        <v>0.24405125076266015</v>
      </c>
      <c r="AF31" s="19">
        <v>12</v>
      </c>
      <c r="AG31" s="20">
        <v>8</v>
      </c>
      <c r="AH31" s="16">
        <v>0.73215375228798041</v>
      </c>
      <c r="AI31" s="21">
        <v>0.48810250152532031</v>
      </c>
      <c r="AJ31" s="22">
        <f>BattMobility!D140+cambio!D140+Claus2you!D140+CoopStroom!D140+Cozywheels!D140+Dégage!D140+Flexigo!D140+Klimaan!D140+Moovee!D140+Poppy!D140+'Mobilize Share'!D140+Stapp.in!D140</f>
        <v>12</v>
      </c>
      <c r="AK31" s="23">
        <f>BattMobility!E140+cambio!E140+Claus2you!E140+CoopStroom!E140+Cozywheels!E140+Dégage!E140+Flexigo!E140+Klimaan!E140+Moovee!E140+Poppy!E140+'Mobilize Share'!E140+Stapp.in!E140</f>
        <v>8</v>
      </c>
      <c r="AL31" s="21">
        <f t="shared" si="0"/>
        <v>0.73282442748091603</v>
      </c>
      <c r="AM31" s="21">
        <f t="shared" si="1"/>
        <v>0.48854961832061067</v>
      </c>
      <c r="AN31" s="25">
        <f t="shared" si="2"/>
        <v>3</v>
      </c>
      <c r="AO31" s="26">
        <f t="shared" si="3"/>
        <v>0.33333333333333331</v>
      </c>
      <c r="AP31" s="27">
        <f>BattMobility!F140+cambio!F140+Claus2you!F140+CoopStroom!F140+Cozywheels!F140+Dégage!F140+Flexigo!F140+Klimaan!F140+Moovee!F140+Poppy!F140+'Mobilize Share'!F140+Stapp.in!F140</f>
        <v>12</v>
      </c>
      <c r="AQ31" s="25">
        <f>BattMobility!G140+cambio!G140+Claus2you!G140+CoopStroom!G140+Cozywheels!G140+Dégage!G140+Flexigo!G140+Klimaan!G140+Moovee!G140+Poppy!G140+'Mobilize Share'!G140+Stapp.in!G140</f>
        <v>8</v>
      </c>
      <c r="AR31" s="29">
        <f t="shared" si="4"/>
        <v>0.73282442748091603</v>
      </c>
      <c r="AS31" s="29">
        <f t="shared" si="5"/>
        <v>0.48854961832061067</v>
      </c>
      <c r="AT31" s="25">
        <f t="shared" si="6"/>
        <v>0</v>
      </c>
      <c r="AU31" s="30">
        <v>32.78</v>
      </c>
      <c r="AV31" s="31">
        <v>20.78</v>
      </c>
    </row>
    <row r="32" spans="1:48" ht="14.25" customHeight="1" x14ac:dyDescent="0.35">
      <c r="A32" s="2" t="s">
        <v>82</v>
      </c>
      <c r="B32" s="13" t="s">
        <v>50</v>
      </c>
      <c r="C32" s="13">
        <v>44085</v>
      </c>
      <c r="D32" s="14">
        <v>26657</v>
      </c>
      <c r="E32" s="14">
        <v>26979</v>
      </c>
      <c r="F32" s="14">
        <v>27225</v>
      </c>
      <c r="G32" s="14">
        <v>27350</v>
      </c>
      <c r="H32" s="15">
        <v>9</v>
      </c>
      <c r="I32" s="13">
        <v>0</v>
      </c>
      <c r="J32" s="16">
        <v>0.3376223881156919</v>
      </c>
      <c r="K32" s="15">
        <v>10</v>
      </c>
      <c r="L32" s="13">
        <v>1</v>
      </c>
      <c r="M32" s="16">
        <v>0.37513598679521326</v>
      </c>
      <c r="N32" s="15">
        <v>10</v>
      </c>
      <c r="O32" s="13">
        <v>4</v>
      </c>
      <c r="P32" s="16">
        <v>0.37065866043960116</v>
      </c>
      <c r="Q32" s="16">
        <v>0.14826346417584046</v>
      </c>
      <c r="R32" s="18">
        <v>1</v>
      </c>
      <c r="S32" s="16">
        <v>3.3036272323909266E-2</v>
      </c>
      <c r="T32" s="18">
        <v>0</v>
      </c>
      <c r="U32" s="16">
        <v>-4.477326355612099E-3</v>
      </c>
      <c r="V32" s="18">
        <v>9</v>
      </c>
      <c r="W32" s="16">
        <v>0.3335927943956411</v>
      </c>
      <c r="X32" s="15">
        <v>8</v>
      </c>
      <c r="Y32" s="13">
        <v>4</v>
      </c>
      <c r="Z32" s="16">
        <v>0.29652692835168093</v>
      </c>
      <c r="AA32" s="16">
        <v>0.14826346417584046</v>
      </c>
      <c r="AB32" s="15">
        <v>8</v>
      </c>
      <c r="AC32" s="13">
        <v>4</v>
      </c>
      <c r="AD32" s="16">
        <v>0.29384756657483929</v>
      </c>
      <c r="AE32" s="16">
        <v>0.14692378328741965</v>
      </c>
      <c r="AF32" s="19">
        <v>11</v>
      </c>
      <c r="AG32" s="20">
        <v>6</v>
      </c>
      <c r="AH32" s="16">
        <v>0.40404040404040403</v>
      </c>
      <c r="AI32" s="21">
        <v>0.22038567493112948</v>
      </c>
      <c r="AJ32" s="22">
        <f>BattMobility!D153+cambio!D153+Claus2you!D153+CoopStroom!D153+Cozywheels!D153+Dégage!D153+Flexigo!D153+Klimaan!D153+Moovee!D153+Poppy!D153+'Mobilize Share'!D153+Stapp.in!D153</f>
        <v>13</v>
      </c>
      <c r="AK32" s="23">
        <f>BattMobility!E153+cambio!E153+Claus2you!E153+CoopStroom!E153+Cozywheels!E153+Dégage!E153+Flexigo!E153+Klimaan!E153+Moovee!E153+Poppy!E153+'Mobilize Share'!E153+Stapp.in!E153</f>
        <v>6</v>
      </c>
      <c r="AL32" s="21">
        <f t="shared" si="0"/>
        <v>0.47531992687385743</v>
      </c>
      <c r="AM32" s="21">
        <f t="shared" si="1"/>
        <v>0.2193784277879342</v>
      </c>
      <c r="AN32" s="25">
        <f t="shared" si="2"/>
        <v>5</v>
      </c>
      <c r="AO32" s="26">
        <f t="shared" si="3"/>
        <v>0.625</v>
      </c>
      <c r="AP32" s="27">
        <f>BattMobility!F153+cambio!F153+Claus2you!F153+CoopStroom!F153+Cozywheels!F153+Dégage!F153+Flexigo!F153+Klimaan!F153+Moovee!F153+Poppy!F153+'Mobilize Share'!F153+Stapp.in!F153</f>
        <v>12</v>
      </c>
      <c r="AQ32" s="25">
        <f>BattMobility!G153+cambio!G153+Claus2you!G153+CoopStroom!G153+Cozywheels!G153+Dégage!G153+Flexigo!G153+Klimaan!G153+Moovee!G153+Poppy!G153+'Mobilize Share'!G153+Stapp.in!G153</f>
        <v>6</v>
      </c>
      <c r="AR32" s="29">
        <f t="shared" si="4"/>
        <v>0.43875685557586841</v>
      </c>
      <c r="AS32" s="29">
        <f t="shared" si="5"/>
        <v>0.2193784277879342</v>
      </c>
      <c r="AT32" s="25">
        <f t="shared" si="6"/>
        <v>1</v>
      </c>
      <c r="AU32" s="30">
        <v>54.45</v>
      </c>
      <c r="AV32" s="31">
        <v>43.45</v>
      </c>
    </row>
    <row r="33" spans="1:48" ht="14.25" customHeight="1" x14ac:dyDescent="0.35">
      <c r="A33" s="2" t="s">
        <v>83</v>
      </c>
      <c r="B33" s="13" t="s">
        <v>48</v>
      </c>
      <c r="C33" s="13">
        <v>13011</v>
      </c>
      <c r="D33" s="14">
        <v>28455</v>
      </c>
      <c r="E33" s="14">
        <v>28575</v>
      </c>
      <c r="F33" s="14">
        <v>28865</v>
      </c>
      <c r="G33" s="14">
        <v>29001</v>
      </c>
      <c r="H33" s="15">
        <v>4</v>
      </c>
      <c r="I33" s="13">
        <v>0</v>
      </c>
      <c r="J33" s="16">
        <v>0.14057283429977158</v>
      </c>
      <c r="K33" s="15">
        <v>2</v>
      </c>
      <c r="L33" s="13">
        <v>0</v>
      </c>
      <c r="M33" s="16">
        <v>7.0286417149885788E-2</v>
      </c>
      <c r="N33" s="15">
        <v>7</v>
      </c>
      <c r="O33" s="13">
        <v>4</v>
      </c>
      <c r="P33" s="16">
        <v>0.24496937882764655</v>
      </c>
      <c r="Q33" s="16">
        <v>0.1399825021872266</v>
      </c>
      <c r="R33" s="18">
        <v>3</v>
      </c>
      <c r="S33" s="16">
        <v>0.10439654452787497</v>
      </c>
      <c r="T33" s="18">
        <v>5</v>
      </c>
      <c r="U33" s="16">
        <v>0.17468296167776076</v>
      </c>
      <c r="V33" s="18">
        <v>3</v>
      </c>
      <c r="W33" s="16">
        <v>0.10498687664041995</v>
      </c>
      <c r="X33" s="15">
        <v>7</v>
      </c>
      <c r="Y33" s="13">
        <v>4</v>
      </c>
      <c r="Z33" s="16">
        <v>0.24496937882764655</v>
      </c>
      <c r="AA33" s="16">
        <v>0.1399825021872266</v>
      </c>
      <c r="AB33" s="15">
        <v>6</v>
      </c>
      <c r="AC33" s="13">
        <v>4</v>
      </c>
      <c r="AD33" s="16">
        <v>0.20786419539234369</v>
      </c>
      <c r="AE33" s="16">
        <v>0.13857613026156246</v>
      </c>
      <c r="AF33" s="19">
        <v>8</v>
      </c>
      <c r="AG33" s="20">
        <v>5</v>
      </c>
      <c r="AH33" s="16">
        <v>0.27715226052312492</v>
      </c>
      <c r="AI33" s="21">
        <v>0.17322016282695307</v>
      </c>
      <c r="AJ33" s="22">
        <f>BattMobility!D93+cambio!D93+Claus2you!D93+CoopStroom!D93+Cozywheels!D93+Dégage!D93+Flexigo!D93+Klimaan!D93+Moovee!D93+Poppy!D93+'Mobilize Share'!D93+Stapp.in!D93</f>
        <v>10</v>
      </c>
      <c r="AK33" s="23">
        <f>BattMobility!E93+cambio!E93+Claus2you!E93+CoopStroom!E93+Cozywheels!E93+Dégage!E93+Flexigo!E93+Klimaan!E93+Moovee!E93+Poppy!E93+'Mobilize Share'!E93+Stapp.in!E93</f>
        <v>6</v>
      </c>
      <c r="AL33" s="21">
        <f t="shared" si="0"/>
        <v>0.3448156960104824</v>
      </c>
      <c r="AM33" s="21">
        <f t="shared" si="1"/>
        <v>0.20688941760628946</v>
      </c>
      <c r="AN33" s="25">
        <f t="shared" si="2"/>
        <v>4</v>
      </c>
      <c r="AO33" s="26">
        <f t="shared" si="3"/>
        <v>0.66666666666666663</v>
      </c>
      <c r="AP33" s="27">
        <f>BattMobility!F93+cambio!F93+Claus2you!F93+CoopStroom!F93+Cozywheels!F93+Dégage!F93+Flexigo!F93+Klimaan!F93+Moovee!F93+Poppy!F93+'Mobilize Share'!F93+Stapp.in!F93</f>
        <v>12</v>
      </c>
      <c r="AQ33" s="25">
        <f>BattMobility!G93+cambio!G93+Claus2you!G93+CoopStroom!G93+Cozywheels!G93+Dégage!G93+Flexigo!G93+Klimaan!G93+Moovee!G93+Poppy!G93+'Mobilize Share'!G93+Stapp.in!G93</f>
        <v>7</v>
      </c>
      <c r="AR33" s="29">
        <f t="shared" si="4"/>
        <v>0.41377883521257891</v>
      </c>
      <c r="AS33" s="29">
        <f t="shared" si="5"/>
        <v>0.24137098720733768</v>
      </c>
      <c r="AT33" s="25">
        <f t="shared" si="6"/>
        <v>4</v>
      </c>
      <c r="AU33" s="30">
        <v>57.73</v>
      </c>
      <c r="AV33" s="31">
        <v>49.73</v>
      </c>
    </row>
    <row r="34" spans="1:48" ht="14.25" customHeight="1" x14ac:dyDescent="0.35">
      <c r="A34" s="2" t="s">
        <v>84</v>
      </c>
      <c r="B34" s="13" t="s">
        <v>52</v>
      </c>
      <c r="C34" s="13">
        <v>24001</v>
      </c>
      <c r="D34" s="14">
        <v>30594</v>
      </c>
      <c r="E34" s="14">
        <v>30854</v>
      </c>
      <c r="F34" s="14">
        <v>31138</v>
      </c>
      <c r="G34" s="14">
        <v>31514</v>
      </c>
      <c r="H34" s="15">
        <v>3</v>
      </c>
      <c r="I34" s="13">
        <v>0</v>
      </c>
      <c r="J34" s="16">
        <v>9.8058442831927828E-2</v>
      </c>
      <c r="K34" s="15">
        <v>8</v>
      </c>
      <c r="L34" s="13">
        <v>0</v>
      </c>
      <c r="M34" s="16">
        <v>0.26148918088514084</v>
      </c>
      <c r="N34" s="15">
        <v>6</v>
      </c>
      <c r="O34" s="13">
        <v>6</v>
      </c>
      <c r="P34" s="16">
        <v>0.1944642509885266</v>
      </c>
      <c r="Q34" s="16">
        <v>0.1944642509885266</v>
      </c>
      <c r="R34" s="18">
        <v>3</v>
      </c>
      <c r="S34" s="16">
        <v>9.6405808156598771E-2</v>
      </c>
      <c r="T34" s="18">
        <v>-2</v>
      </c>
      <c r="U34" s="16">
        <v>-6.7024929896614238E-2</v>
      </c>
      <c r="V34" s="18">
        <v>0</v>
      </c>
      <c r="W34" s="16">
        <v>0</v>
      </c>
      <c r="X34" s="15">
        <v>8</v>
      </c>
      <c r="Y34" s="13">
        <v>7</v>
      </c>
      <c r="Z34" s="16">
        <v>0.25928566798470215</v>
      </c>
      <c r="AA34" s="16">
        <v>0.22687495948661437</v>
      </c>
      <c r="AB34" s="15">
        <v>7</v>
      </c>
      <c r="AC34" s="13">
        <v>6</v>
      </c>
      <c r="AD34" s="16">
        <v>0.2248057036418524</v>
      </c>
      <c r="AE34" s="16">
        <v>0.19269060312158778</v>
      </c>
      <c r="AF34" s="19">
        <v>10</v>
      </c>
      <c r="AG34" s="20">
        <v>8</v>
      </c>
      <c r="AH34" s="16">
        <v>0.32115100520264628</v>
      </c>
      <c r="AI34" s="21">
        <v>0.25692080416211704</v>
      </c>
      <c r="AJ34" s="22">
        <f>BattMobility!D4+cambio!D4+Claus2you!D4+CoopStroom!D4+Cozywheels!D4+Dégage!D4+Flexigo!D4+Klimaan!D4+Moovee!D4+Poppy!D4+'Mobilize Share'!D4+Stapp.in!D4</f>
        <v>11</v>
      </c>
      <c r="AK34" s="23">
        <f>BattMobility!E4+cambio!E4+Claus2you!E4+CoopStroom!E4+Cozywheels!E4+Dégage!E4+Flexigo!E4+Klimaan!E4+Moovee!E4+Poppy!E4+'Mobilize Share'!E4+Stapp.in!E4</f>
        <v>8</v>
      </c>
      <c r="AL34" s="21">
        <f t="shared" si="0"/>
        <v>0.34905121533286793</v>
      </c>
      <c r="AM34" s="21">
        <f t="shared" si="1"/>
        <v>0.25385542933299488</v>
      </c>
      <c r="AN34" s="25">
        <f t="shared" si="2"/>
        <v>4</v>
      </c>
      <c r="AO34" s="26">
        <f t="shared" si="3"/>
        <v>0.5714285714285714</v>
      </c>
      <c r="AP34" s="27">
        <f>BattMobility!F4+cambio!F4+Claus2you!F4+CoopStroom!F4+Cozywheels!F4+Dégage!F4+Flexigo!F4+Klimaan!F4+Moovee!F4+Poppy!F4+'Mobilize Share'!F4+Stapp.in!F4</f>
        <v>12</v>
      </c>
      <c r="AQ34" s="25">
        <f>BattMobility!G4+cambio!G4+Claus2you!G4+CoopStroom!G4+Cozywheels!G4+Dégage!G4+Flexigo!G4+Klimaan!G4+Moovee!G4+Poppy!G4+'Mobilize Share'!G4+Stapp.in!G4</f>
        <v>9</v>
      </c>
      <c r="AR34" s="29">
        <f t="shared" si="4"/>
        <v>0.38078314399949226</v>
      </c>
      <c r="AS34" s="29">
        <f t="shared" si="5"/>
        <v>0.28558735799961921</v>
      </c>
      <c r="AT34" s="25">
        <f t="shared" si="6"/>
        <v>2</v>
      </c>
      <c r="AU34" s="30">
        <v>62.276000000000003</v>
      </c>
      <c r="AV34" s="31">
        <v>52.276000000000003</v>
      </c>
    </row>
    <row r="35" spans="1:48" ht="14.25" customHeight="1" x14ac:dyDescent="0.35">
      <c r="A35" s="2" t="s">
        <v>85</v>
      </c>
      <c r="B35" s="13" t="s">
        <v>52</v>
      </c>
      <c r="C35" s="13">
        <v>23016</v>
      </c>
      <c r="D35" s="14">
        <v>44095</v>
      </c>
      <c r="E35" s="14">
        <v>44650</v>
      </c>
      <c r="F35" s="14">
        <v>44878</v>
      </c>
      <c r="G35" s="14">
        <v>45069</v>
      </c>
      <c r="H35" s="15">
        <v>1</v>
      </c>
      <c r="I35" s="13">
        <v>0</v>
      </c>
      <c r="J35" s="16">
        <v>2.2678308198208416E-2</v>
      </c>
      <c r="K35" s="15">
        <v>0</v>
      </c>
      <c r="L35" s="13">
        <v>0</v>
      </c>
      <c r="M35" s="16">
        <v>0</v>
      </c>
      <c r="N35" s="15">
        <v>1</v>
      </c>
      <c r="O35" s="13">
        <v>1</v>
      </c>
      <c r="P35" s="16">
        <v>2.2396416573348267E-2</v>
      </c>
      <c r="Q35" s="16">
        <v>2.2396416573348267E-2</v>
      </c>
      <c r="R35" s="18">
        <v>0</v>
      </c>
      <c r="S35" s="16">
        <v>-2.8189162486014913E-4</v>
      </c>
      <c r="T35" s="18">
        <v>1</v>
      </c>
      <c r="U35" s="16">
        <v>2.2396416573348267E-2</v>
      </c>
      <c r="V35" s="18">
        <v>1</v>
      </c>
      <c r="W35" s="16">
        <v>2.2396416573348267E-2</v>
      </c>
      <c r="X35" s="15">
        <v>4</v>
      </c>
      <c r="Y35" s="13">
        <v>4</v>
      </c>
      <c r="Z35" s="16">
        <v>8.9585666293393068E-2</v>
      </c>
      <c r="AA35" s="16">
        <v>8.9585666293393068E-2</v>
      </c>
      <c r="AB35" s="15">
        <v>6</v>
      </c>
      <c r="AC35" s="13">
        <v>6</v>
      </c>
      <c r="AD35" s="16">
        <v>0.13369579749543206</v>
      </c>
      <c r="AE35" s="16">
        <v>0.13369579749543206</v>
      </c>
      <c r="AF35" s="19">
        <v>9</v>
      </c>
      <c r="AG35" s="20">
        <v>8</v>
      </c>
      <c r="AH35" s="16">
        <v>0.20054369624314808</v>
      </c>
      <c r="AI35" s="21">
        <v>0.17826106332724273</v>
      </c>
      <c r="AJ35" s="22">
        <f>BattMobility!D60+cambio!D60+Claus2you!D60+CoopStroom!D60+Cozywheels!D60+Dégage!D60+Flexigo!D60+Klimaan!D60+Moovee!D60+Poppy!D60+'Mobilize Share'!D60+Stapp.in!D60</f>
        <v>13</v>
      </c>
      <c r="AK35" s="23">
        <f>BattMobility!E60+cambio!E60+Claus2you!E60+CoopStroom!E60+Cozywheels!E60+Dégage!E60+Flexigo!E60+Klimaan!E60+Moovee!E60+Poppy!E60+'Mobilize Share'!E60+Stapp.in!E60</f>
        <v>12</v>
      </c>
      <c r="AL35" s="21">
        <f t="shared" si="0"/>
        <v>0.28844660409594175</v>
      </c>
      <c r="AM35" s="21">
        <f t="shared" si="1"/>
        <v>0.26625840378086935</v>
      </c>
      <c r="AN35" s="25">
        <f t="shared" si="2"/>
        <v>7</v>
      </c>
      <c r="AO35" s="26">
        <f t="shared" si="3"/>
        <v>1.1666666666666667</v>
      </c>
      <c r="AP35" s="27">
        <f>BattMobility!F60+cambio!F60+Claus2you!F60+CoopStroom!F60+Cozywheels!F60+Dégage!F60+Flexigo!F60+Klimaan!F60+Moovee!F60+Poppy!F60+'Mobilize Share'!F60+Stapp.in!F60</f>
        <v>12</v>
      </c>
      <c r="AQ35" s="25">
        <f>BattMobility!G60+cambio!G60+Claus2you!G60+CoopStroom!G60+Cozywheels!G60+Dégage!G60+Flexigo!G60+Klimaan!G60+Moovee!G60+Poppy!G60+'Mobilize Share'!G60+Stapp.in!G60</f>
        <v>12</v>
      </c>
      <c r="AR35" s="29">
        <f t="shared" si="4"/>
        <v>0.26625840378086935</v>
      </c>
      <c r="AS35" s="29">
        <f t="shared" si="5"/>
        <v>0.26625840378086935</v>
      </c>
      <c r="AT35" s="25">
        <f t="shared" si="6"/>
        <v>3</v>
      </c>
      <c r="AU35" s="30">
        <v>89.756</v>
      </c>
      <c r="AV35" s="31">
        <v>80.756</v>
      </c>
    </row>
    <row r="36" spans="1:48" ht="14.25" customHeight="1" x14ac:dyDescent="0.35">
      <c r="A36" s="2" t="s">
        <v>86</v>
      </c>
      <c r="B36" s="13" t="s">
        <v>52</v>
      </c>
      <c r="C36" s="13">
        <v>24043</v>
      </c>
      <c r="D36" s="14">
        <v>10110</v>
      </c>
      <c r="E36" s="14">
        <v>10158</v>
      </c>
      <c r="F36" s="14">
        <v>10207</v>
      </c>
      <c r="G36" s="14">
        <v>10234</v>
      </c>
      <c r="H36" s="15">
        <v>3</v>
      </c>
      <c r="I36" s="13">
        <v>0</v>
      </c>
      <c r="J36" s="16">
        <v>0.29673590504451036</v>
      </c>
      <c r="K36" s="15">
        <v>3</v>
      </c>
      <c r="L36" s="13">
        <v>0</v>
      </c>
      <c r="M36" s="16">
        <v>0.29673590504451036</v>
      </c>
      <c r="N36" s="15">
        <v>2</v>
      </c>
      <c r="O36" s="13">
        <v>1</v>
      </c>
      <c r="P36" s="16">
        <v>0.19688915140775742</v>
      </c>
      <c r="Q36" s="16">
        <v>9.8444575703878712E-2</v>
      </c>
      <c r="R36" s="18">
        <v>-1</v>
      </c>
      <c r="S36" s="16">
        <v>-9.9846753636752938E-2</v>
      </c>
      <c r="T36" s="18">
        <v>-1</v>
      </c>
      <c r="U36" s="16">
        <v>-9.9846753636752938E-2</v>
      </c>
      <c r="V36" s="18">
        <v>2</v>
      </c>
      <c r="W36" s="16">
        <v>0.19688915140775742</v>
      </c>
      <c r="X36" s="15">
        <v>2</v>
      </c>
      <c r="Y36" s="13">
        <v>1</v>
      </c>
      <c r="Z36" s="16">
        <v>0.19688915140775742</v>
      </c>
      <c r="AA36" s="16">
        <v>9.8444575703878712E-2</v>
      </c>
      <c r="AB36" s="15">
        <v>5</v>
      </c>
      <c r="AC36" s="13">
        <v>1</v>
      </c>
      <c r="AD36" s="16">
        <v>0.48985990006858038</v>
      </c>
      <c r="AE36" s="16">
        <v>9.7971980013716084E-2</v>
      </c>
      <c r="AF36" s="19">
        <v>11</v>
      </c>
      <c r="AG36" s="20">
        <v>5</v>
      </c>
      <c r="AH36" s="16">
        <v>1.0776917801508767</v>
      </c>
      <c r="AI36" s="21">
        <v>0.48985990006858038</v>
      </c>
      <c r="AJ36" s="22">
        <f>BattMobility!D103+cambio!D103+Claus2you!D103+CoopStroom!D103+Cozywheels!D103+Dégage!D103+Flexigo!D103+Klimaan!D103+Moovee!D103+Poppy!D103+'Mobilize Share'!D103+Stapp.in!D103</f>
        <v>11</v>
      </c>
      <c r="AK36" s="23">
        <f>BattMobility!E103+cambio!E103+Claus2you!E103+CoopStroom!E103+Cozywheels!E103+Dégage!E103+Flexigo!E103+Klimaan!E103+Moovee!E103+Poppy!E103+'Mobilize Share'!E103+Stapp.in!E103</f>
        <v>5</v>
      </c>
      <c r="AL36" s="21">
        <f t="shared" si="0"/>
        <v>1.0748485440687903</v>
      </c>
      <c r="AM36" s="21">
        <f t="shared" si="1"/>
        <v>0.48856752003126835</v>
      </c>
      <c r="AN36" s="25">
        <f t="shared" si="2"/>
        <v>6</v>
      </c>
      <c r="AO36" s="26">
        <f t="shared" si="3"/>
        <v>1.2</v>
      </c>
      <c r="AP36" s="27">
        <f>BattMobility!F103+cambio!F103+Claus2you!F103+CoopStroom!F103+Cozywheels!F103+Dégage!F103+Flexigo!F103+Klimaan!F103+Moovee!F103+Poppy!F103+'Mobilize Share'!F103+Stapp.in!F103</f>
        <v>11</v>
      </c>
      <c r="AQ36" s="25">
        <f>BattMobility!G103+cambio!G103+Claus2you!G103+CoopStroom!G103+Cozywheels!G103+Dégage!G103+Flexigo!G103+Klimaan!G103+Moovee!G103+Poppy!G103+'Mobilize Share'!G103+Stapp.in!G103</f>
        <v>5</v>
      </c>
      <c r="AR36" s="29">
        <f t="shared" si="4"/>
        <v>1.0748485440687903</v>
      </c>
      <c r="AS36" s="29">
        <f t="shared" si="5"/>
        <v>0.48856752003126835</v>
      </c>
      <c r="AT36" s="25">
        <f t="shared" si="6"/>
        <v>0</v>
      </c>
      <c r="AU36" s="30">
        <v>20.414000000000001</v>
      </c>
      <c r="AV36" s="31">
        <v>9.4140000000000015</v>
      </c>
    </row>
    <row r="37" spans="1:48" ht="14.25" customHeight="1" x14ac:dyDescent="0.35">
      <c r="A37" s="2" t="s">
        <v>87</v>
      </c>
      <c r="B37" s="13" t="s">
        <v>52</v>
      </c>
      <c r="C37" s="13">
        <v>24104</v>
      </c>
      <c r="D37" s="14">
        <v>22852</v>
      </c>
      <c r="E37" s="14">
        <v>23101</v>
      </c>
      <c r="F37" s="14">
        <v>23077</v>
      </c>
      <c r="G37" s="14">
        <v>23246</v>
      </c>
      <c r="H37" s="15">
        <v>3</v>
      </c>
      <c r="I37" s="13">
        <v>0</v>
      </c>
      <c r="J37" s="16">
        <v>0.13127953789602662</v>
      </c>
      <c r="K37" s="15">
        <v>5</v>
      </c>
      <c r="L37" s="13">
        <v>0</v>
      </c>
      <c r="M37" s="16">
        <v>0.21879922982671102</v>
      </c>
      <c r="N37" s="15">
        <v>6</v>
      </c>
      <c r="O37" s="13">
        <v>2</v>
      </c>
      <c r="P37" s="16">
        <v>0.25972901605991083</v>
      </c>
      <c r="Q37" s="16">
        <v>8.6576338686636944E-2</v>
      </c>
      <c r="R37" s="18">
        <v>3</v>
      </c>
      <c r="S37" s="16">
        <v>0.12844947816388422</v>
      </c>
      <c r="T37" s="18">
        <v>1</v>
      </c>
      <c r="U37" s="16">
        <v>4.0929786233199816E-2</v>
      </c>
      <c r="V37" s="18">
        <v>1</v>
      </c>
      <c r="W37" s="16">
        <v>4.3288169343318472E-2</v>
      </c>
      <c r="X37" s="15">
        <v>8</v>
      </c>
      <c r="Y37" s="13">
        <v>3</v>
      </c>
      <c r="Z37" s="16">
        <v>0.34630535474654778</v>
      </c>
      <c r="AA37" s="16">
        <v>0.12986450802995542</v>
      </c>
      <c r="AB37" s="15">
        <v>7</v>
      </c>
      <c r="AC37" s="13">
        <v>2</v>
      </c>
      <c r="AD37" s="16">
        <v>0.30333232222559259</v>
      </c>
      <c r="AE37" s="16">
        <v>8.6666377778740727E-2</v>
      </c>
      <c r="AF37" s="19">
        <v>9</v>
      </c>
      <c r="AG37" s="20">
        <v>3</v>
      </c>
      <c r="AH37" s="16">
        <v>0.38999870000433334</v>
      </c>
      <c r="AI37" s="21">
        <v>0.12999956666811111</v>
      </c>
      <c r="AJ37" s="22">
        <f>BattMobility!D239+cambio!D239+Claus2you!D239+CoopStroom!D239+Cozywheels!D239+Dégage!D239+Flexigo!D239+Klimaan!D239+Moovee!D239+Poppy!D239+'Mobilize Share'!D239+Stapp.in!D239</f>
        <v>9</v>
      </c>
      <c r="AK37" s="23">
        <f>BattMobility!E239+cambio!E239+Claus2you!E239+CoopStroom!E239+Cozywheels!E239+Dégage!E239+Flexigo!E239+Klimaan!E239+Moovee!E239+Poppy!E239+'Mobilize Share'!E239+Stapp.in!E239</f>
        <v>3</v>
      </c>
      <c r="AL37" s="21">
        <f t="shared" si="0"/>
        <v>0.38716338294760388</v>
      </c>
      <c r="AM37" s="21">
        <f t="shared" si="1"/>
        <v>0.12905446098253462</v>
      </c>
      <c r="AN37" s="25">
        <f t="shared" si="2"/>
        <v>2</v>
      </c>
      <c r="AO37" s="26">
        <f t="shared" si="3"/>
        <v>0.2857142857142857</v>
      </c>
      <c r="AP37" s="27">
        <f>BattMobility!F239+cambio!F239+Claus2you!F239+CoopStroom!F239+Cozywheels!F239+Dégage!F239+Flexigo!F239+Klimaan!F239+Moovee!F239+Poppy!F239+'Mobilize Share'!F239+Stapp.in!F239</f>
        <v>11</v>
      </c>
      <c r="AQ37" s="25">
        <f>BattMobility!G239+cambio!G239+Claus2you!G239+CoopStroom!G239+Cozywheels!G239+Dégage!G239+Flexigo!G239+Klimaan!G239+Moovee!G239+Poppy!G239+'Mobilize Share'!G239+Stapp.in!G239</f>
        <v>5</v>
      </c>
      <c r="AR37" s="29">
        <f t="shared" si="4"/>
        <v>0.47319969026929365</v>
      </c>
      <c r="AS37" s="29">
        <f t="shared" si="5"/>
        <v>0.21509076830422438</v>
      </c>
      <c r="AT37" s="25">
        <f t="shared" si="6"/>
        <v>2</v>
      </c>
      <c r="AU37" s="30">
        <v>46.154000000000003</v>
      </c>
      <c r="AV37" s="31">
        <v>37.154000000000003</v>
      </c>
    </row>
    <row r="38" spans="1:48" ht="14.25" customHeight="1" x14ac:dyDescent="0.35">
      <c r="A38" s="2" t="s">
        <v>88</v>
      </c>
      <c r="B38" s="13" t="s">
        <v>52</v>
      </c>
      <c r="C38" s="13">
        <v>24020</v>
      </c>
      <c r="D38" s="14">
        <v>24516</v>
      </c>
      <c r="E38" s="14">
        <v>24677</v>
      </c>
      <c r="F38" s="14">
        <v>24971</v>
      </c>
      <c r="G38" s="14">
        <v>25141</v>
      </c>
      <c r="H38" s="15">
        <v>5</v>
      </c>
      <c r="I38" s="13">
        <v>0</v>
      </c>
      <c r="J38" s="16">
        <v>0.2039484418339044</v>
      </c>
      <c r="K38" s="15">
        <v>5</v>
      </c>
      <c r="L38" s="13">
        <v>0</v>
      </c>
      <c r="M38" s="16">
        <v>0.2039484418339044</v>
      </c>
      <c r="N38" s="15">
        <v>4</v>
      </c>
      <c r="O38" s="13">
        <v>0</v>
      </c>
      <c r="P38" s="16">
        <v>0.16209425781091708</v>
      </c>
      <c r="Q38" s="16">
        <v>0</v>
      </c>
      <c r="R38" s="18">
        <v>-1</v>
      </c>
      <c r="S38" s="16">
        <v>-4.1854184022987323E-2</v>
      </c>
      <c r="T38" s="18">
        <v>-1</v>
      </c>
      <c r="U38" s="16">
        <v>-4.1854184022987323E-2</v>
      </c>
      <c r="V38" s="18">
        <v>0</v>
      </c>
      <c r="W38" s="16">
        <v>0</v>
      </c>
      <c r="X38" s="15">
        <v>6</v>
      </c>
      <c r="Y38" s="13">
        <v>0</v>
      </c>
      <c r="Z38" s="16">
        <v>0.24314138671637558</v>
      </c>
      <c r="AA38" s="16">
        <v>0</v>
      </c>
      <c r="AB38" s="15">
        <v>8</v>
      </c>
      <c r="AC38" s="13">
        <v>0</v>
      </c>
      <c r="AD38" s="16">
        <v>0.32037163109206679</v>
      </c>
      <c r="AE38" s="16">
        <v>0</v>
      </c>
      <c r="AF38" s="19">
        <v>10</v>
      </c>
      <c r="AG38" s="20">
        <v>2</v>
      </c>
      <c r="AH38" s="16">
        <v>0.40046453886508349</v>
      </c>
      <c r="AI38" s="21">
        <v>8.0092907773016697E-2</v>
      </c>
      <c r="AJ38" s="22">
        <f>BattMobility!D58+cambio!D58+Claus2you!D58+CoopStroom!D58+Cozywheels!D58+Dégage!D58+Flexigo!D58+Klimaan!D58+Moovee!D58+Poppy!D58+'Mobilize Share'!D58+Stapp.in!D58</f>
        <v>12</v>
      </c>
      <c r="AK38" s="23">
        <f>BattMobility!E58+cambio!E58+Claus2you!E58+CoopStroom!E58+Cozywheels!E58+Dégage!E58+Flexigo!E58+Klimaan!E58+Moovee!E58+Poppy!E58+'Mobilize Share'!E58+Stapp.in!E58</f>
        <v>4</v>
      </c>
      <c r="AL38" s="21">
        <f t="shared" si="0"/>
        <v>0.47730798297601523</v>
      </c>
      <c r="AM38" s="21">
        <f t="shared" si="1"/>
        <v>0.1591026609920051</v>
      </c>
      <c r="AN38" s="25">
        <f t="shared" si="2"/>
        <v>4</v>
      </c>
      <c r="AO38" s="26">
        <f t="shared" si="3"/>
        <v>0.5</v>
      </c>
      <c r="AP38" s="27">
        <f>BattMobility!F58+cambio!F58+Claus2you!F58+CoopStroom!F58+Cozywheels!F58+Dégage!F58+Flexigo!F58+Klimaan!F58+Moovee!F58+Poppy!F58+'Mobilize Share'!F58+Stapp.in!F58</f>
        <v>11</v>
      </c>
      <c r="AQ38" s="25">
        <f>BattMobility!G58+cambio!G58+Claus2you!G58+CoopStroom!G58+Cozywheels!G58+Dégage!G58+Flexigo!G58+Klimaan!G58+Moovee!G58+Poppy!G58+'Mobilize Share'!G58+Stapp.in!G58</f>
        <v>2</v>
      </c>
      <c r="AR38" s="29">
        <f t="shared" si="4"/>
        <v>0.43753231772801399</v>
      </c>
      <c r="AS38" s="29">
        <f t="shared" si="5"/>
        <v>7.9551330496002548E-2</v>
      </c>
      <c r="AT38" s="25">
        <f t="shared" si="6"/>
        <v>1</v>
      </c>
      <c r="AU38" s="30">
        <v>49.942</v>
      </c>
      <c r="AV38" s="31">
        <v>39.942</v>
      </c>
    </row>
    <row r="39" spans="1:48" ht="14.25" customHeight="1" x14ac:dyDescent="0.35">
      <c r="A39" s="2" t="s">
        <v>89</v>
      </c>
      <c r="B39" s="13" t="s">
        <v>50</v>
      </c>
      <c r="C39" s="13">
        <v>42025</v>
      </c>
      <c r="D39" s="14">
        <v>26444</v>
      </c>
      <c r="E39" s="14">
        <v>26748</v>
      </c>
      <c r="F39" s="14">
        <v>26960</v>
      </c>
      <c r="G39" s="14">
        <v>26926</v>
      </c>
      <c r="H39" s="15">
        <v>7</v>
      </c>
      <c r="I39" s="13">
        <v>1</v>
      </c>
      <c r="J39" s="16">
        <v>0.26471033126607169</v>
      </c>
      <c r="K39" s="15">
        <v>7</v>
      </c>
      <c r="L39" s="13">
        <v>1</v>
      </c>
      <c r="M39" s="16">
        <v>0.26471033126607169</v>
      </c>
      <c r="N39" s="15">
        <v>8</v>
      </c>
      <c r="O39" s="13">
        <v>2</v>
      </c>
      <c r="P39" s="16">
        <v>0.29908778226409449</v>
      </c>
      <c r="Q39" s="16">
        <v>7.4771945566023623E-2</v>
      </c>
      <c r="R39" s="18">
        <v>1</v>
      </c>
      <c r="S39" s="16">
        <v>3.4377450998022807E-2</v>
      </c>
      <c r="T39" s="18">
        <v>1</v>
      </c>
      <c r="U39" s="16">
        <v>3.4377450998022807E-2</v>
      </c>
      <c r="V39" s="18">
        <v>4</v>
      </c>
      <c r="W39" s="16">
        <v>0.14954389113204725</v>
      </c>
      <c r="X39" s="15">
        <v>7</v>
      </c>
      <c r="Y39" s="13">
        <v>1</v>
      </c>
      <c r="Z39" s="16">
        <v>0.26170180948108268</v>
      </c>
      <c r="AA39" s="16">
        <v>3.7385972783011812E-2</v>
      </c>
      <c r="AB39" s="15">
        <v>6</v>
      </c>
      <c r="AC39" s="13">
        <v>1</v>
      </c>
      <c r="AD39" s="16">
        <v>0.22255192878338279</v>
      </c>
      <c r="AE39" s="16">
        <v>3.7091988130563795E-2</v>
      </c>
      <c r="AF39" s="19">
        <v>11</v>
      </c>
      <c r="AG39" s="20">
        <v>4</v>
      </c>
      <c r="AH39" s="16">
        <v>0.40801186943620182</v>
      </c>
      <c r="AI39" s="21">
        <v>0.14836795252225518</v>
      </c>
      <c r="AJ39" s="22">
        <f>BattMobility!D260+cambio!D260+Claus2you!D260+CoopStroom!D260+Cozywheels!D260+Dégage!D260+Flexigo!D260+Klimaan!D260+Moovee!D260+Poppy!D260+'Mobilize Share'!D260+Stapp.in!D260</f>
        <v>10</v>
      </c>
      <c r="AK39" s="23">
        <f>BattMobility!E260+cambio!E260+Claus2you!E260+CoopStroom!E260+Cozywheels!E260+Dégage!E260+Flexigo!E260+Klimaan!E260+Moovee!E260+Poppy!E260+'Mobilize Share'!E260+Stapp.in!E260</f>
        <v>3</v>
      </c>
      <c r="AL39" s="21">
        <f t="shared" si="0"/>
        <v>0.37138824927579295</v>
      </c>
      <c r="AM39" s="21">
        <f t="shared" si="1"/>
        <v>0.11141647478273788</v>
      </c>
      <c r="AN39" s="25">
        <f t="shared" si="2"/>
        <v>4</v>
      </c>
      <c r="AO39" s="26">
        <f t="shared" si="3"/>
        <v>0.66666666666666663</v>
      </c>
      <c r="AP39" s="27">
        <f>BattMobility!F260+cambio!F260+Claus2you!F260+CoopStroom!F260+Cozywheels!F260+Dégage!F260+Flexigo!F260+Klimaan!F260+Moovee!F260+Poppy!F260+'Mobilize Share'!F260+Stapp.in!F260</f>
        <v>11</v>
      </c>
      <c r="AQ39" s="25">
        <f>BattMobility!G260+cambio!G260+Claus2you!G260+CoopStroom!G260+Cozywheels!G260+Dégage!G260+Flexigo!G260+Klimaan!G260+Moovee!G260+Poppy!G260+'Mobilize Share'!G260+Stapp.in!G260</f>
        <v>3</v>
      </c>
      <c r="AR39" s="29">
        <f t="shared" si="4"/>
        <v>0.4085270742033722</v>
      </c>
      <c r="AS39" s="29">
        <f t="shared" si="5"/>
        <v>0.11141647478273788</v>
      </c>
      <c r="AT39" s="25">
        <f t="shared" si="6"/>
        <v>0</v>
      </c>
      <c r="AU39" s="30">
        <v>53.92</v>
      </c>
      <c r="AV39" s="31">
        <v>42.92</v>
      </c>
    </row>
    <row r="40" spans="1:48" ht="14.25" customHeight="1" x14ac:dyDescent="0.35">
      <c r="A40" s="2" t="s">
        <v>90</v>
      </c>
      <c r="B40" s="13" t="s">
        <v>50</v>
      </c>
      <c r="C40" s="13">
        <v>44019</v>
      </c>
      <c r="D40" s="14">
        <v>36087</v>
      </c>
      <c r="E40" s="14">
        <v>36557</v>
      </c>
      <c r="F40" s="14">
        <v>36860</v>
      </c>
      <c r="G40" s="14">
        <v>37254</v>
      </c>
      <c r="H40" s="15">
        <v>6</v>
      </c>
      <c r="I40" s="13">
        <v>0</v>
      </c>
      <c r="J40" s="16">
        <v>0.16626485992185552</v>
      </c>
      <c r="K40" s="15">
        <v>3</v>
      </c>
      <c r="L40" s="13">
        <v>0</v>
      </c>
      <c r="M40" s="16">
        <v>8.3132429960927762E-2</v>
      </c>
      <c r="N40" s="15">
        <v>3</v>
      </c>
      <c r="O40" s="13">
        <v>2</v>
      </c>
      <c r="P40" s="16">
        <v>8.2063626665207751E-2</v>
      </c>
      <c r="Q40" s="16">
        <v>5.4709084443471834E-2</v>
      </c>
      <c r="R40" s="18">
        <v>-3</v>
      </c>
      <c r="S40" s="16">
        <v>-8.4201233256647773E-2</v>
      </c>
      <c r="T40" s="18">
        <v>0</v>
      </c>
      <c r="U40" s="16">
        <v>-1.0688032957200111E-3</v>
      </c>
      <c r="V40" s="18">
        <v>1</v>
      </c>
      <c r="W40" s="16">
        <v>2.7354542221735917E-2</v>
      </c>
      <c r="X40" s="15">
        <v>4</v>
      </c>
      <c r="Y40" s="13">
        <v>2</v>
      </c>
      <c r="Z40" s="16">
        <v>0.10941816888694367</v>
      </c>
      <c r="AA40" s="16">
        <v>5.4709084443471834E-2</v>
      </c>
      <c r="AB40" s="15">
        <v>5</v>
      </c>
      <c r="AC40" s="13">
        <v>3</v>
      </c>
      <c r="AD40" s="16">
        <v>0.13564839934888767</v>
      </c>
      <c r="AE40" s="16">
        <v>8.1389039609332609E-2</v>
      </c>
      <c r="AF40" s="19">
        <v>7</v>
      </c>
      <c r="AG40" s="20">
        <v>5</v>
      </c>
      <c r="AH40" s="16">
        <v>0.18990775908844273</v>
      </c>
      <c r="AI40" s="21">
        <v>0.13564839934888767</v>
      </c>
      <c r="AJ40" s="22">
        <f>BattMobility!D68+cambio!D68+Claus2you!D68+CoopStroom!D68+Cozywheels!D68+Dégage!D68+Flexigo!D68+Klimaan!D68+Moovee!D68+Poppy!D68+'Mobilize Share'!D68+Stapp.in!D68</f>
        <v>11</v>
      </c>
      <c r="AK40" s="23">
        <f>BattMobility!E68+cambio!E68+Claus2you!E68+CoopStroom!E68+Cozywheels!E68+Dégage!E68+Flexigo!E68+Klimaan!E68+Moovee!E68+Poppy!E68+'Mobilize Share'!E68+Stapp.in!E68</f>
        <v>9</v>
      </c>
      <c r="AL40" s="21">
        <f t="shared" si="0"/>
        <v>0.29527030654426367</v>
      </c>
      <c r="AM40" s="21">
        <f t="shared" si="1"/>
        <v>0.24158479626348847</v>
      </c>
      <c r="AN40" s="25">
        <f t="shared" si="2"/>
        <v>6</v>
      </c>
      <c r="AO40" s="26">
        <f t="shared" si="3"/>
        <v>1.2</v>
      </c>
      <c r="AP40" s="27">
        <f>BattMobility!F68+cambio!F68+Claus2you!F68+CoopStroom!F68+Cozywheels!F68+Dégage!F68+Flexigo!F68+Klimaan!F68+Moovee!F68+Poppy!F68+'Mobilize Share'!F68+Stapp.in!F68</f>
        <v>11</v>
      </c>
      <c r="AQ40" s="25">
        <f>BattMobility!G68+cambio!G68+Claus2you!G68+CoopStroom!G68+Cozywheels!G68+Dégage!G68+Flexigo!G68+Klimaan!G68+Moovee!G68+Poppy!G68+'Mobilize Share'!G68+Stapp.in!G68</f>
        <v>9</v>
      </c>
      <c r="AR40" s="29">
        <f t="shared" si="4"/>
        <v>0.29527030654426367</v>
      </c>
      <c r="AS40" s="29">
        <f t="shared" si="5"/>
        <v>0.24158479626348847</v>
      </c>
      <c r="AT40" s="25">
        <f t="shared" si="6"/>
        <v>4</v>
      </c>
      <c r="AU40" s="30">
        <v>73.72</v>
      </c>
      <c r="AV40" s="31">
        <v>66.72</v>
      </c>
    </row>
    <row r="41" spans="1:48" ht="14.25" customHeight="1" x14ac:dyDescent="0.35">
      <c r="A41" s="2" t="s">
        <v>91</v>
      </c>
      <c r="B41" s="13" t="s">
        <v>48</v>
      </c>
      <c r="C41" s="13">
        <v>13008</v>
      </c>
      <c r="D41" s="14">
        <v>41146</v>
      </c>
      <c r="E41" s="14">
        <v>41828</v>
      </c>
      <c r="F41" s="14">
        <v>42331</v>
      </c>
      <c r="G41" s="14">
        <v>42427</v>
      </c>
      <c r="H41" s="15">
        <v>2</v>
      </c>
      <c r="I41" s="13">
        <v>0</v>
      </c>
      <c r="J41" s="16">
        <v>4.8607398045982596E-2</v>
      </c>
      <c r="K41" s="15">
        <v>4</v>
      </c>
      <c r="L41" s="13">
        <v>0</v>
      </c>
      <c r="M41" s="16">
        <v>9.7214796091965192E-2</v>
      </c>
      <c r="N41" s="15">
        <v>7</v>
      </c>
      <c r="O41" s="13">
        <v>3</v>
      </c>
      <c r="P41" s="16">
        <v>0.16735201300564215</v>
      </c>
      <c r="Q41" s="16">
        <v>7.1722291288132359E-2</v>
      </c>
      <c r="R41" s="18">
        <v>5</v>
      </c>
      <c r="S41" s="16">
        <v>0.11874461495965954</v>
      </c>
      <c r="T41" s="18">
        <v>3</v>
      </c>
      <c r="U41" s="16">
        <v>7.0137216913676956E-2</v>
      </c>
      <c r="V41" s="18">
        <v>1</v>
      </c>
      <c r="W41" s="16">
        <v>2.3907430429377451E-2</v>
      </c>
      <c r="X41" s="15">
        <v>8</v>
      </c>
      <c r="Y41" s="13">
        <v>3</v>
      </c>
      <c r="Z41" s="16">
        <v>0.1912594434350196</v>
      </c>
      <c r="AA41" s="16">
        <v>7.1722291288132359E-2</v>
      </c>
      <c r="AB41" s="15">
        <v>9</v>
      </c>
      <c r="AC41" s="13">
        <v>3</v>
      </c>
      <c r="AD41" s="16">
        <v>0.21261014386619734</v>
      </c>
      <c r="AE41" s="16">
        <v>7.0870047955399126E-2</v>
      </c>
      <c r="AF41" s="19">
        <v>9</v>
      </c>
      <c r="AG41" s="20">
        <v>4</v>
      </c>
      <c r="AH41" s="16">
        <v>0.21261014386619734</v>
      </c>
      <c r="AI41" s="21">
        <v>9.4493397273865493E-2</v>
      </c>
      <c r="AJ41" s="22">
        <f>BattMobility!D70+cambio!D70+Claus2you!D70+CoopStroom!D70+Cozywheels!D70+Dégage!D70+Flexigo!D70+Klimaan!D70+Moovee!D70+Poppy!D70+'Mobilize Share'!D70+Stapp.in!D70</f>
        <v>11</v>
      </c>
      <c r="AK41" s="23">
        <f>BattMobility!E70+cambio!E70+Claus2you!E70+CoopStroom!E70+Cozywheels!E70+Dégage!E70+Flexigo!E70+Klimaan!E70+Moovee!E70+Poppy!E70+'Mobilize Share'!E70+Stapp.in!E70</f>
        <v>5</v>
      </c>
      <c r="AL41" s="21">
        <f t="shared" si="0"/>
        <v>0.2592688618096966</v>
      </c>
      <c r="AM41" s="21">
        <f t="shared" si="1"/>
        <v>0.11784948264077121</v>
      </c>
      <c r="AN41" s="25">
        <f t="shared" si="2"/>
        <v>2</v>
      </c>
      <c r="AO41" s="26">
        <f t="shared" si="3"/>
        <v>0.22222222222222221</v>
      </c>
      <c r="AP41" s="27">
        <f>BattMobility!F70+cambio!F70+Claus2you!F70+CoopStroom!F70+Cozywheels!F70+Dégage!F70+Flexigo!F70+Klimaan!F70+Moovee!F70+Poppy!F70+'Mobilize Share'!F70+Stapp.in!F70</f>
        <v>11</v>
      </c>
      <c r="AQ41" s="25">
        <f>BattMobility!G70+cambio!G70+Claus2you!G70+CoopStroom!G70+Cozywheels!G70+Dégage!G70+Flexigo!G70+Klimaan!G70+Moovee!G70+Poppy!G70+'Mobilize Share'!G70+Stapp.in!G70</f>
        <v>5</v>
      </c>
      <c r="AR41" s="29">
        <f t="shared" si="4"/>
        <v>0.2592688618096966</v>
      </c>
      <c r="AS41" s="29">
        <f t="shared" si="5"/>
        <v>0.11784948264077121</v>
      </c>
      <c r="AT41" s="25">
        <f t="shared" si="6"/>
        <v>2</v>
      </c>
      <c r="AU41" s="30">
        <v>84.662000000000006</v>
      </c>
      <c r="AV41" s="31">
        <v>75.662000000000006</v>
      </c>
    </row>
    <row r="42" spans="1:48" ht="14.25" customHeight="1" x14ac:dyDescent="0.35">
      <c r="A42" s="2" t="s">
        <v>92</v>
      </c>
      <c r="B42" s="13" t="s">
        <v>52</v>
      </c>
      <c r="C42" s="13">
        <v>24033</v>
      </c>
      <c r="D42" s="14">
        <v>15264</v>
      </c>
      <c r="E42" s="14">
        <v>15425</v>
      </c>
      <c r="F42" s="14">
        <v>15516</v>
      </c>
      <c r="G42" s="14">
        <v>15671</v>
      </c>
      <c r="H42" s="15">
        <v>5</v>
      </c>
      <c r="I42" s="13">
        <v>0</v>
      </c>
      <c r="J42" s="16">
        <v>0.32756813417190778</v>
      </c>
      <c r="K42" s="15">
        <v>4</v>
      </c>
      <c r="L42" s="13">
        <v>0</v>
      </c>
      <c r="M42" s="16">
        <v>0.26205450733752622</v>
      </c>
      <c r="N42" s="15">
        <v>4</v>
      </c>
      <c r="O42" s="13">
        <v>1</v>
      </c>
      <c r="P42" s="16">
        <v>0.25931928687196115</v>
      </c>
      <c r="Q42" s="16">
        <v>6.4829821717990288E-2</v>
      </c>
      <c r="R42" s="18">
        <v>-1</v>
      </c>
      <c r="S42" s="16">
        <v>-6.8248847299946624E-2</v>
      </c>
      <c r="T42" s="18">
        <v>0</v>
      </c>
      <c r="U42" s="16">
        <v>-2.7352204655650691E-3</v>
      </c>
      <c r="V42" s="18">
        <v>2</v>
      </c>
      <c r="W42" s="16">
        <v>0.12965964343598058</v>
      </c>
      <c r="X42" s="15">
        <v>4</v>
      </c>
      <c r="Y42" s="13">
        <v>2</v>
      </c>
      <c r="Z42" s="16">
        <v>0.25931928687196115</v>
      </c>
      <c r="AA42" s="16">
        <v>0.12965964343598058</v>
      </c>
      <c r="AB42" s="15">
        <v>6</v>
      </c>
      <c r="AC42" s="13">
        <v>4</v>
      </c>
      <c r="AD42" s="16">
        <v>0.38669760247486468</v>
      </c>
      <c r="AE42" s="16">
        <v>0.2577984016499098</v>
      </c>
      <c r="AF42" s="19">
        <v>11</v>
      </c>
      <c r="AG42" s="20">
        <v>5</v>
      </c>
      <c r="AH42" s="16">
        <v>0.70894560453725186</v>
      </c>
      <c r="AI42" s="21">
        <v>0.32224800206238724</v>
      </c>
      <c r="AJ42" s="22">
        <f>BattMobility!D80+cambio!D80+Claus2you!D80+CoopStroom!D80+Cozywheels!D80+Dégage!D80+Flexigo!D80+Klimaan!D80+Moovee!D80+Poppy!D80+'Mobilize Share'!D80+Stapp.in!D80</f>
        <v>10</v>
      </c>
      <c r="AK42" s="23">
        <f>BattMobility!E80+cambio!E80+Claus2you!E80+CoopStroom!E80+Cozywheels!E80+Dégage!E80+Flexigo!E80+Klimaan!E80+Moovee!E80+Poppy!E80+'Mobilize Share'!E80+Stapp.in!E80</f>
        <v>5</v>
      </c>
      <c r="AL42" s="21">
        <f t="shared" si="0"/>
        <v>0.6381213706847042</v>
      </c>
      <c r="AM42" s="21">
        <f t="shared" si="1"/>
        <v>0.3190606853423521</v>
      </c>
      <c r="AN42" s="25">
        <f t="shared" si="2"/>
        <v>4</v>
      </c>
      <c r="AO42" s="26">
        <f t="shared" si="3"/>
        <v>0.66666666666666663</v>
      </c>
      <c r="AP42" s="27">
        <f>BattMobility!F80+cambio!F80+Claus2you!F80+CoopStroom!F80+Cozywheels!F80+Dégage!F80+Flexigo!F80+Klimaan!F80+Moovee!F80+Poppy!F80+'Mobilize Share'!F80+Stapp.in!F80</f>
        <v>10</v>
      </c>
      <c r="AQ42" s="25">
        <f>BattMobility!G80+cambio!G80+Claus2you!G80+CoopStroom!G80+Cozywheels!G80+Dégage!G80+Flexigo!G80+Klimaan!G80+Moovee!G80+Poppy!G80+'Mobilize Share'!G80+Stapp.in!G80</f>
        <v>5</v>
      </c>
      <c r="AR42" s="29">
        <f t="shared" si="4"/>
        <v>0.6381213706847042</v>
      </c>
      <c r="AS42" s="29">
        <f t="shared" si="5"/>
        <v>0.3190606853423521</v>
      </c>
      <c r="AT42" s="25">
        <f t="shared" si="6"/>
        <v>-1</v>
      </c>
      <c r="AU42" s="30">
        <v>31.032</v>
      </c>
      <c r="AV42" s="31">
        <v>20.032</v>
      </c>
    </row>
    <row r="43" spans="1:48" ht="14.25" customHeight="1" x14ac:dyDescent="0.35">
      <c r="A43" s="2" t="s">
        <v>93</v>
      </c>
      <c r="B43" s="13" t="s">
        <v>55</v>
      </c>
      <c r="C43" s="13">
        <v>31033</v>
      </c>
      <c r="D43" s="14">
        <v>20517</v>
      </c>
      <c r="E43" s="14">
        <v>20782</v>
      </c>
      <c r="F43" s="14">
        <v>20965</v>
      </c>
      <c r="G43" s="14">
        <v>21159</v>
      </c>
      <c r="H43" s="15">
        <v>5</v>
      </c>
      <c r="I43" s="13">
        <v>3</v>
      </c>
      <c r="J43" s="16">
        <v>0.2437003460544914</v>
      </c>
      <c r="K43" s="15">
        <v>5</v>
      </c>
      <c r="L43" s="13">
        <v>3</v>
      </c>
      <c r="M43" s="16">
        <v>0.2437003460544914</v>
      </c>
      <c r="N43" s="15">
        <v>5</v>
      </c>
      <c r="O43" s="13">
        <v>3</v>
      </c>
      <c r="P43" s="16">
        <v>0.24059282071023</v>
      </c>
      <c r="Q43" s="16">
        <v>0.14435569242613799</v>
      </c>
      <c r="R43" s="18">
        <v>0</v>
      </c>
      <c r="S43" s="16">
        <v>-3.107525344261397E-3</v>
      </c>
      <c r="T43" s="18">
        <v>0</v>
      </c>
      <c r="U43" s="16">
        <v>-3.107525344261397E-3</v>
      </c>
      <c r="V43" s="18">
        <v>0</v>
      </c>
      <c r="W43" s="16">
        <v>0</v>
      </c>
      <c r="X43" s="15">
        <v>6</v>
      </c>
      <c r="Y43" s="13">
        <v>3</v>
      </c>
      <c r="Z43" s="16">
        <v>0.28871138485227599</v>
      </c>
      <c r="AA43" s="16">
        <v>0.14435569242613799</v>
      </c>
      <c r="AB43" s="15">
        <v>7</v>
      </c>
      <c r="AC43" s="13">
        <v>3</v>
      </c>
      <c r="AD43" s="16">
        <v>0.333889816360601</v>
      </c>
      <c r="AE43" s="16">
        <v>0.14309563558311472</v>
      </c>
      <c r="AF43" s="19">
        <v>8</v>
      </c>
      <c r="AG43" s="20">
        <v>4</v>
      </c>
      <c r="AH43" s="16">
        <v>0.38158836155497255</v>
      </c>
      <c r="AI43" s="21">
        <v>0.19079418077748628</v>
      </c>
      <c r="AJ43" s="22">
        <f>BattMobility!D245+cambio!D245+Claus2you!D245+CoopStroom!D245+Cozywheels!D245+Dégage!D245+Flexigo!D245+Klimaan!D245+Moovee!D245+Poppy!D245+'Mobilize Share'!D245+Stapp.in!D245</f>
        <v>8</v>
      </c>
      <c r="AK43" s="23">
        <f>BattMobility!E245+cambio!E245+Claus2you!E245+CoopStroom!E245+Cozywheels!E245+Dégage!E245+Flexigo!E245+Klimaan!E245+Moovee!E245+Poppy!E245+'Mobilize Share'!E245+Stapp.in!E245</f>
        <v>4</v>
      </c>
      <c r="AL43" s="21">
        <f t="shared" si="0"/>
        <v>0.37808970178174772</v>
      </c>
      <c r="AM43" s="21">
        <f t="shared" si="1"/>
        <v>0.18904485089087386</v>
      </c>
      <c r="AN43" s="25">
        <f t="shared" si="2"/>
        <v>1</v>
      </c>
      <c r="AO43" s="26">
        <f t="shared" si="3"/>
        <v>0.14285714285714285</v>
      </c>
      <c r="AP43" s="27">
        <f>BattMobility!F245+cambio!F245+Claus2you!F245+CoopStroom!F245+Cozywheels!F245+Dégage!F245+Flexigo!F245+Klimaan!F245+Moovee!F245+Poppy!F245+'Mobilize Share'!F245+Stapp.in!F245</f>
        <v>10</v>
      </c>
      <c r="AQ43" s="25">
        <f>BattMobility!G245+cambio!G245+Claus2you!G245+CoopStroom!G245+Cozywheels!G245+Dégage!G245+Flexigo!G245+Klimaan!G245+Moovee!G245+Poppy!G245+'Mobilize Share'!G245+Stapp.in!G245</f>
        <v>4</v>
      </c>
      <c r="AR43" s="29">
        <f t="shared" si="4"/>
        <v>0.47261212722718465</v>
      </c>
      <c r="AS43" s="29">
        <f t="shared" si="5"/>
        <v>0.18904485089087386</v>
      </c>
      <c r="AT43" s="25">
        <f t="shared" si="6"/>
        <v>2</v>
      </c>
      <c r="AU43" s="30">
        <v>41.93</v>
      </c>
      <c r="AV43" s="31">
        <v>33.93</v>
      </c>
    </row>
    <row r="44" spans="1:48" ht="14.25" customHeight="1" x14ac:dyDescent="0.35">
      <c r="A44" s="2" t="s">
        <v>94</v>
      </c>
      <c r="B44" s="13" t="s">
        <v>48</v>
      </c>
      <c r="C44" s="13">
        <v>12041</v>
      </c>
      <c r="D44" s="14">
        <v>26311</v>
      </c>
      <c r="E44" s="14">
        <v>26772</v>
      </c>
      <c r="F44" s="14">
        <v>26957</v>
      </c>
      <c r="G44" s="14">
        <v>27066</v>
      </c>
      <c r="H44" s="15">
        <v>3</v>
      </c>
      <c r="I44" s="13">
        <v>0</v>
      </c>
      <c r="J44" s="16">
        <v>0.11402075177682337</v>
      </c>
      <c r="K44" s="15">
        <v>0</v>
      </c>
      <c r="L44" s="13">
        <v>0</v>
      </c>
      <c r="M44" s="16">
        <v>0</v>
      </c>
      <c r="N44" s="15">
        <v>6</v>
      </c>
      <c r="O44" s="13">
        <v>6</v>
      </c>
      <c r="P44" s="16">
        <v>0.22411474675033619</v>
      </c>
      <c r="Q44" s="16">
        <v>0.22411474675033619</v>
      </c>
      <c r="R44" s="18">
        <v>3</v>
      </c>
      <c r="S44" s="16">
        <v>0.11009399497351281</v>
      </c>
      <c r="T44" s="18">
        <v>6</v>
      </c>
      <c r="U44" s="16">
        <v>0.22411474675033619</v>
      </c>
      <c r="V44" s="18">
        <v>0</v>
      </c>
      <c r="W44" s="16">
        <v>0</v>
      </c>
      <c r="X44" s="15">
        <v>8</v>
      </c>
      <c r="Y44" s="13">
        <v>6</v>
      </c>
      <c r="Z44" s="16">
        <v>0.29881966233378154</v>
      </c>
      <c r="AA44" s="16">
        <v>0.22411474675033619</v>
      </c>
      <c r="AB44" s="15">
        <v>6</v>
      </c>
      <c r="AC44" s="13">
        <v>6</v>
      </c>
      <c r="AD44" s="16">
        <v>0.22257669621990578</v>
      </c>
      <c r="AE44" s="16">
        <v>0.22257669621990578</v>
      </c>
      <c r="AF44" s="19">
        <v>7</v>
      </c>
      <c r="AG44" s="20">
        <v>5</v>
      </c>
      <c r="AH44" s="16">
        <v>0.25967281225655675</v>
      </c>
      <c r="AI44" s="21">
        <v>0.18548058018325481</v>
      </c>
      <c r="AJ44" s="22">
        <f>BattMobility!D208+cambio!D208+Claus2you!D208+CoopStroom!D208+Cozywheels!D208+Dégage!D208+Flexigo!D208+Klimaan!D208+Moovee!D208+Poppy!D208+'Mobilize Share'!D208+Stapp.in!D208</f>
        <v>7</v>
      </c>
      <c r="AK44" s="23">
        <f>BattMobility!E208+cambio!E208+Claus2you!E208+CoopStroom!E208+Cozywheels!E208+Dégage!E208+Flexigo!E208+Klimaan!E208+Moovee!E208+Poppy!E208+'Mobilize Share'!E208+Stapp.in!E208</f>
        <v>5</v>
      </c>
      <c r="AL44" s="21">
        <f t="shared" si="0"/>
        <v>0.25862705977979755</v>
      </c>
      <c r="AM44" s="21">
        <f t="shared" si="1"/>
        <v>0.18473361412842682</v>
      </c>
      <c r="AN44" s="25">
        <f t="shared" si="2"/>
        <v>1</v>
      </c>
      <c r="AO44" s="26">
        <f t="shared" si="3"/>
        <v>0.16666666666666666</v>
      </c>
      <c r="AP44" s="27">
        <f>BattMobility!F208+cambio!F208+Claus2you!F208+CoopStroom!F208+Cozywheels!F208+Dégage!F208+Flexigo!F208+Klimaan!F208+Moovee!F208+Poppy!F208+'Mobilize Share'!F208+Stapp.in!F208</f>
        <v>10</v>
      </c>
      <c r="AQ44" s="25">
        <f>BattMobility!G208+cambio!G208+Claus2you!G208+CoopStroom!G208+Cozywheels!G208+Dégage!G208+Flexigo!G208+Klimaan!G208+Moovee!G208+Poppy!G208+'Mobilize Share'!G208+Stapp.in!G208</f>
        <v>8</v>
      </c>
      <c r="AR44" s="29">
        <f t="shared" si="4"/>
        <v>0.36946722825685363</v>
      </c>
      <c r="AS44" s="29">
        <f t="shared" si="5"/>
        <v>0.29557378260548289</v>
      </c>
      <c r="AT44" s="25">
        <f t="shared" si="6"/>
        <v>3</v>
      </c>
      <c r="AU44" s="30">
        <v>53.914000000000001</v>
      </c>
      <c r="AV44" s="31">
        <v>46.914000000000001</v>
      </c>
    </row>
    <row r="45" spans="1:48" ht="14.25" customHeight="1" x14ac:dyDescent="0.35">
      <c r="A45" s="2" t="s">
        <v>95</v>
      </c>
      <c r="B45" s="13" t="s">
        <v>59</v>
      </c>
      <c r="C45" s="13">
        <v>71016</v>
      </c>
      <c r="D45" s="14">
        <v>67009</v>
      </c>
      <c r="E45" s="14">
        <v>67573</v>
      </c>
      <c r="F45" s="14">
        <v>67877</v>
      </c>
      <c r="G45" s="14">
        <v>68058</v>
      </c>
      <c r="H45" s="15">
        <v>5</v>
      </c>
      <c r="I45" s="13">
        <v>0</v>
      </c>
      <c r="J45" s="16">
        <v>7.4616842513692189E-2</v>
      </c>
      <c r="K45" s="15">
        <v>5</v>
      </c>
      <c r="L45" s="13">
        <v>0</v>
      </c>
      <c r="M45" s="16">
        <v>7.4616842513692189E-2</v>
      </c>
      <c r="N45" s="15">
        <v>9</v>
      </c>
      <c r="O45" s="13">
        <v>0</v>
      </c>
      <c r="P45" s="16">
        <v>0.13318929158095688</v>
      </c>
      <c r="Q45" s="16">
        <v>0</v>
      </c>
      <c r="R45" s="18">
        <v>4</v>
      </c>
      <c r="S45" s="16">
        <v>5.8572449067264692E-2</v>
      </c>
      <c r="T45" s="18">
        <v>4</v>
      </c>
      <c r="U45" s="16">
        <v>5.8572449067264692E-2</v>
      </c>
      <c r="V45" s="18">
        <v>2</v>
      </c>
      <c r="W45" s="16">
        <v>2.9597620351323753E-2</v>
      </c>
      <c r="X45" s="15">
        <v>9</v>
      </c>
      <c r="Y45" s="13">
        <v>1</v>
      </c>
      <c r="Z45" s="16">
        <v>0.13318929158095688</v>
      </c>
      <c r="AA45" s="16">
        <v>1.4798810175661876E-2</v>
      </c>
      <c r="AB45" s="15">
        <v>9</v>
      </c>
      <c r="AC45" s="13">
        <v>1</v>
      </c>
      <c r="AD45" s="16">
        <v>0.1325927781133521</v>
      </c>
      <c r="AE45" s="16">
        <v>1.4732530901483566E-2</v>
      </c>
      <c r="AF45" s="19">
        <v>8</v>
      </c>
      <c r="AG45" s="20">
        <v>1</v>
      </c>
      <c r="AH45" s="16">
        <v>0.11786024721186852</v>
      </c>
      <c r="AI45" s="21">
        <v>1.4732530901483566E-2</v>
      </c>
      <c r="AJ45" s="22">
        <f>BattMobility!D72+cambio!D72+Claus2you!D72+CoopStroom!D72+Cozywheels!D72+Dégage!D72+Flexigo!D72+Klimaan!D72+Moovee!D72+Poppy!D72+'Mobilize Share'!D72+Stapp.in!D72</f>
        <v>10</v>
      </c>
      <c r="AK45" s="23">
        <f>BattMobility!E72+cambio!E72+Claus2you!E72+CoopStroom!E72+Cozywheels!E72+Dégage!E72+Flexigo!E72+Klimaan!E72+Moovee!E72+Poppy!E72+'Mobilize Share'!E72+Stapp.in!E72</f>
        <v>2</v>
      </c>
      <c r="AL45" s="21">
        <f t="shared" si="0"/>
        <v>0.14693349789885096</v>
      </c>
      <c r="AM45" s="21">
        <f t="shared" si="1"/>
        <v>2.9386699579770196E-2</v>
      </c>
      <c r="AN45" s="25">
        <f t="shared" si="2"/>
        <v>1</v>
      </c>
      <c r="AO45" s="26">
        <f t="shared" si="3"/>
        <v>0.1111111111111111</v>
      </c>
      <c r="AP45" s="27">
        <f>BattMobility!F72+cambio!F72+Claus2you!F72+CoopStroom!F72+Cozywheels!F72+Dégage!F72+Flexigo!F72+Klimaan!F72+Moovee!F72+Poppy!F72+'Mobilize Share'!F72+Stapp.in!F72</f>
        <v>10</v>
      </c>
      <c r="AQ45" s="25">
        <f>BattMobility!G72+cambio!G72+Claus2you!G72+CoopStroom!G72+Cozywheels!G72+Dégage!G72+Flexigo!G72+Klimaan!G72+Moovee!G72+Poppy!G72+'Mobilize Share'!G72+Stapp.in!G72</f>
        <v>2</v>
      </c>
      <c r="AR45" s="29">
        <f t="shared" si="4"/>
        <v>0.14693349789885096</v>
      </c>
      <c r="AS45" s="29">
        <f t="shared" si="5"/>
        <v>2.9386699579770196E-2</v>
      </c>
      <c r="AT45" s="25">
        <f t="shared" si="6"/>
        <v>2</v>
      </c>
      <c r="AU45" s="30">
        <v>135.75399999999999</v>
      </c>
      <c r="AV45" s="31">
        <v>127.75399999999999</v>
      </c>
    </row>
    <row r="46" spans="1:48" ht="14.25" customHeight="1" x14ac:dyDescent="0.35">
      <c r="A46" s="2" t="s">
        <v>96</v>
      </c>
      <c r="B46" s="13" t="s">
        <v>55</v>
      </c>
      <c r="C46" s="13">
        <v>31006</v>
      </c>
      <c r="D46" s="14">
        <v>11044</v>
      </c>
      <c r="E46" s="14">
        <v>11146</v>
      </c>
      <c r="F46" s="14">
        <v>11207</v>
      </c>
      <c r="G46" s="14">
        <v>11278</v>
      </c>
      <c r="H46" s="15">
        <v>0</v>
      </c>
      <c r="I46" s="13">
        <v>0</v>
      </c>
      <c r="J46" s="16">
        <v>0</v>
      </c>
      <c r="K46" s="15">
        <v>0</v>
      </c>
      <c r="L46" s="13">
        <v>0</v>
      </c>
      <c r="M46" s="16">
        <v>0</v>
      </c>
      <c r="N46" s="15">
        <v>1</v>
      </c>
      <c r="O46" s="13">
        <v>1</v>
      </c>
      <c r="P46" s="16">
        <v>8.9718284586398717E-2</v>
      </c>
      <c r="Q46" s="16">
        <v>8.9718284586398717E-2</v>
      </c>
      <c r="R46" s="18">
        <v>1</v>
      </c>
      <c r="S46" s="16">
        <v>8.9718284586398717E-2</v>
      </c>
      <c r="T46" s="18">
        <v>1</v>
      </c>
      <c r="U46" s="16">
        <v>8.9718284586398717E-2</v>
      </c>
      <c r="V46" s="18">
        <v>0</v>
      </c>
      <c r="W46" s="16">
        <v>0</v>
      </c>
      <c r="X46" s="15">
        <v>1</v>
      </c>
      <c r="Y46" s="13">
        <v>1</v>
      </c>
      <c r="Z46" s="16">
        <v>8.9718284586398717E-2</v>
      </c>
      <c r="AA46" s="16">
        <v>8.9718284586398717E-2</v>
      </c>
      <c r="AB46" s="15">
        <v>8</v>
      </c>
      <c r="AC46" s="13">
        <v>8</v>
      </c>
      <c r="AD46" s="16">
        <v>0.71383956455786557</v>
      </c>
      <c r="AE46" s="16">
        <v>0.71383956455786557</v>
      </c>
      <c r="AF46" s="19">
        <v>7</v>
      </c>
      <c r="AG46" s="20">
        <v>7</v>
      </c>
      <c r="AH46" s="16">
        <v>0.62460961898813239</v>
      </c>
      <c r="AI46" s="21">
        <v>0.62460961898813239</v>
      </c>
      <c r="AJ46" s="22">
        <f>BattMobility!D47+cambio!D47+Claus2you!D47+CoopStroom!D47+Cozywheels!D47+Dégage!D47+Flexigo!D47+Klimaan!D47+Moovee!D47+Poppy!D47+'Mobilize Share'!D47+Stapp.in!D47</f>
        <v>7</v>
      </c>
      <c r="AK46" s="23">
        <f>BattMobility!E47+cambio!E47+Claus2you!E47+CoopStroom!E47+Cozywheels!E47+Dégage!E47+Flexigo!E47+Klimaan!E47+Moovee!E47+Poppy!E47+'Mobilize Share'!E47+Stapp.in!E47</f>
        <v>7</v>
      </c>
      <c r="AL46" s="21">
        <f t="shared" si="0"/>
        <v>0.62067742507536794</v>
      </c>
      <c r="AM46" s="21">
        <f t="shared" si="1"/>
        <v>0.62067742507536794</v>
      </c>
      <c r="AN46" s="25">
        <f t="shared" si="2"/>
        <v>-1</v>
      </c>
      <c r="AO46" s="26">
        <f t="shared" si="3"/>
        <v>-0.125</v>
      </c>
      <c r="AP46" s="27">
        <f>BattMobility!F47+cambio!F47+Claus2you!F47+CoopStroom!F47+Cozywheels!F47+Dégage!F47+Flexigo!F47+Klimaan!F47+Moovee!F47+Poppy!F47+'Mobilize Share'!F47+Stapp.in!F47</f>
        <v>9</v>
      </c>
      <c r="AQ46" s="25">
        <f>BattMobility!G47+cambio!G47+Claus2you!G47+CoopStroom!G47+Cozywheels!G47+Dégage!G47+Flexigo!G47+Klimaan!G47+Moovee!G47+Poppy!G47+'Mobilize Share'!G47+Stapp.in!G47</f>
        <v>9</v>
      </c>
      <c r="AR46" s="29">
        <f t="shared" si="4"/>
        <v>0.79801383223975886</v>
      </c>
      <c r="AS46" s="29">
        <f t="shared" si="5"/>
        <v>0.79801383223975886</v>
      </c>
      <c r="AT46" s="25">
        <f t="shared" si="6"/>
        <v>2</v>
      </c>
      <c r="AU46" s="30">
        <v>22.414000000000001</v>
      </c>
      <c r="AV46" s="31">
        <v>15.414000000000001</v>
      </c>
    </row>
    <row r="47" spans="1:48" ht="14.25" customHeight="1" x14ac:dyDescent="0.35">
      <c r="A47" s="2" t="s">
        <v>97</v>
      </c>
      <c r="B47" s="13" t="s">
        <v>48</v>
      </c>
      <c r="C47" s="13">
        <v>12005</v>
      </c>
      <c r="D47" s="14">
        <v>15319</v>
      </c>
      <c r="E47" s="14">
        <v>15458</v>
      </c>
      <c r="F47" s="14">
        <v>15454</v>
      </c>
      <c r="G47" s="14">
        <v>15641</v>
      </c>
      <c r="H47" s="15">
        <v>4</v>
      </c>
      <c r="I47" s="13">
        <v>3</v>
      </c>
      <c r="J47" s="16">
        <v>0.2611136497160389</v>
      </c>
      <c r="K47" s="15">
        <v>3</v>
      </c>
      <c r="L47" s="13">
        <v>3</v>
      </c>
      <c r="M47" s="16">
        <v>0.1958352372870292</v>
      </c>
      <c r="N47" s="15">
        <v>6</v>
      </c>
      <c r="O47" s="13">
        <v>3</v>
      </c>
      <c r="P47" s="16">
        <v>0.38814853150472245</v>
      </c>
      <c r="Q47" s="16">
        <v>0.19407426575236122</v>
      </c>
      <c r="R47" s="18">
        <v>2</v>
      </c>
      <c r="S47" s="16">
        <v>0.12703488178868355</v>
      </c>
      <c r="T47" s="18">
        <v>3</v>
      </c>
      <c r="U47" s="16">
        <v>0.19231329421769325</v>
      </c>
      <c r="V47" s="18">
        <v>3</v>
      </c>
      <c r="W47" s="16">
        <v>0.19407426575236122</v>
      </c>
      <c r="X47" s="15">
        <v>6</v>
      </c>
      <c r="Y47" s="13">
        <v>2</v>
      </c>
      <c r="Z47" s="16">
        <v>0.38814853150472245</v>
      </c>
      <c r="AA47" s="16">
        <v>0.12938284383490747</v>
      </c>
      <c r="AB47" s="15">
        <v>9</v>
      </c>
      <c r="AC47" s="13">
        <v>5</v>
      </c>
      <c r="AD47" s="16">
        <v>0.58237349553513651</v>
      </c>
      <c r="AE47" s="16">
        <v>0.32354083085285362</v>
      </c>
      <c r="AF47" s="19">
        <v>10</v>
      </c>
      <c r="AG47" s="20">
        <v>5</v>
      </c>
      <c r="AH47" s="16">
        <v>0.64708166170570725</v>
      </c>
      <c r="AI47" s="21">
        <v>0.32354083085285362</v>
      </c>
      <c r="AJ47" s="22">
        <f>BattMobility!D35+cambio!D35+Claus2you!D35+CoopStroom!D35+Cozywheels!D35+Dégage!D35+Flexigo!D35+Klimaan!D35+Moovee!D35+Poppy!D35+'Mobilize Share'!D35+Stapp.in!D35</f>
        <v>10</v>
      </c>
      <c r="AK47" s="23">
        <f>BattMobility!E35+cambio!E35+Claus2you!E35+CoopStroom!E35+Cozywheels!E35+Dégage!E35+Flexigo!E35+Klimaan!E35+Moovee!E35+Poppy!E35+'Mobilize Share'!E35+Stapp.in!E35</f>
        <v>5</v>
      </c>
      <c r="AL47" s="21">
        <f t="shared" si="0"/>
        <v>0.63934531040214826</v>
      </c>
      <c r="AM47" s="21">
        <f t="shared" si="1"/>
        <v>0.31967265520107413</v>
      </c>
      <c r="AN47" s="25">
        <f t="shared" si="2"/>
        <v>1</v>
      </c>
      <c r="AO47" s="26">
        <f t="shared" si="3"/>
        <v>0.1111111111111111</v>
      </c>
      <c r="AP47" s="27">
        <f>BattMobility!F35+cambio!F35+Claus2you!F35+CoopStroom!F35+Cozywheels!F35+Dégage!F35+Flexigo!F35+Klimaan!F35+Moovee!F35+Poppy!F35+'Mobilize Share'!F35+Stapp.in!F35</f>
        <v>9</v>
      </c>
      <c r="AQ47" s="25">
        <f>BattMobility!G35+cambio!G35+Claus2you!G35+CoopStroom!G35+Cozywheels!G35+Dégage!G35+Flexigo!G35+Klimaan!G35+Moovee!G35+Poppy!G35+'Mobilize Share'!G35+Stapp.in!G35</f>
        <v>6</v>
      </c>
      <c r="AR47" s="29">
        <f t="shared" si="4"/>
        <v>0.5754107793619333</v>
      </c>
      <c r="AS47" s="29">
        <f t="shared" si="5"/>
        <v>0.38360718624128892</v>
      </c>
      <c r="AT47" s="25">
        <f t="shared" si="6"/>
        <v>-1</v>
      </c>
      <c r="AU47" s="30">
        <v>30.908000000000001</v>
      </c>
      <c r="AV47" s="31">
        <v>20.908000000000001</v>
      </c>
    </row>
    <row r="48" spans="1:48" ht="14.25" customHeight="1" x14ac:dyDescent="0.35">
      <c r="A48" s="2" t="s">
        <v>98</v>
      </c>
      <c r="B48" s="13" t="s">
        <v>55</v>
      </c>
      <c r="C48" s="13">
        <v>33021</v>
      </c>
      <c r="D48" s="14">
        <v>19782</v>
      </c>
      <c r="E48" s="14">
        <v>19947</v>
      </c>
      <c r="F48" s="14">
        <v>19921</v>
      </c>
      <c r="G48" s="14">
        <v>19962</v>
      </c>
      <c r="H48" s="15">
        <v>5</v>
      </c>
      <c r="I48" s="13">
        <v>3</v>
      </c>
      <c r="J48" s="16">
        <v>0.25275502982509351</v>
      </c>
      <c r="K48" s="15">
        <v>5</v>
      </c>
      <c r="L48" s="13">
        <v>3</v>
      </c>
      <c r="M48" s="16">
        <v>0.25275502982509351</v>
      </c>
      <c r="N48" s="15">
        <v>6</v>
      </c>
      <c r="O48" s="13">
        <v>4</v>
      </c>
      <c r="P48" s="16">
        <v>0.30079711234772144</v>
      </c>
      <c r="Q48" s="16">
        <v>0.20053140823181431</v>
      </c>
      <c r="R48" s="18">
        <v>1</v>
      </c>
      <c r="S48" s="16">
        <v>4.8042082522627927E-2</v>
      </c>
      <c r="T48" s="18">
        <v>1</v>
      </c>
      <c r="U48" s="16">
        <v>4.8042082522627927E-2</v>
      </c>
      <c r="V48" s="18">
        <v>2</v>
      </c>
      <c r="W48" s="16">
        <v>0.10026570411590716</v>
      </c>
      <c r="X48" s="15">
        <v>6</v>
      </c>
      <c r="Y48" s="13">
        <v>4</v>
      </c>
      <c r="Z48" s="16">
        <v>0.30079711234772144</v>
      </c>
      <c r="AA48" s="16">
        <v>0.20053140823181431</v>
      </c>
      <c r="AB48" s="15">
        <v>7</v>
      </c>
      <c r="AC48" s="13">
        <v>4</v>
      </c>
      <c r="AD48" s="16">
        <v>0.3513879825309974</v>
      </c>
      <c r="AE48" s="16">
        <v>0.20079313287485567</v>
      </c>
      <c r="AF48" s="19">
        <v>8</v>
      </c>
      <c r="AG48" s="20">
        <v>5</v>
      </c>
      <c r="AH48" s="16">
        <v>0.40158626574971135</v>
      </c>
      <c r="AI48" s="21">
        <v>0.25099141609356956</v>
      </c>
      <c r="AJ48" s="22">
        <f>BattMobility!D206+cambio!D206+Claus2you!D206+CoopStroom!D206+Cozywheels!D206+Dégage!D206+Flexigo!D206+Klimaan!D206+Moovee!D206+Poppy!D206+'Mobilize Share'!D206+Stapp.in!D206</f>
        <v>8</v>
      </c>
      <c r="AK48" s="23">
        <f>BattMobility!E206+cambio!E206+Claus2you!E206+CoopStroom!E206+Cozywheels!E206+Dégage!E206+Flexigo!E206+Klimaan!E206+Moovee!E206+Poppy!E206+'Mobilize Share'!E206+Stapp.in!E206</f>
        <v>5</v>
      </c>
      <c r="AL48" s="21">
        <f t="shared" si="0"/>
        <v>0.40076144674882275</v>
      </c>
      <c r="AM48" s="21">
        <f t="shared" si="1"/>
        <v>0.25047590421801419</v>
      </c>
      <c r="AN48" s="25">
        <f t="shared" si="2"/>
        <v>1</v>
      </c>
      <c r="AO48" s="26">
        <f t="shared" si="3"/>
        <v>0.14285714285714285</v>
      </c>
      <c r="AP48" s="27">
        <f>BattMobility!F206+cambio!F206+Claus2you!F206+CoopStroom!F206+Cozywheels!F206+Dégage!F206+Flexigo!F206+Klimaan!F206+Moovee!F206+Poppy!F206+'Mobilize Share'!F206+Stapp.in!F206</f>
        <v>9</v>
      </c>
      <c r="AQ48" s="25">
        <f>BattMobility!G206+cambio!G206+Claus2you!G206+CoopStroom!G206+Cozywheels!G206+Dégage!G206+Flexigo!G206+Klimaan!G206+Moovee!G206+Poppy!G206+'Mobilize Share'!G206+Stapp.in!G206</f>
        <v>6</v>
      </c>
      <c r="AR48" s="29">
        <f t="shared" si="4"/>
        <v>0.45085662759242556</v>
      </c>
      <c r="AS48" s="29">
        <f t="shared" si="5"/>
        <v>0.30057108506161706</v>
      </c>
      <c r="AT48" s="25">
        <f t="shared" si="6"/>
        <v>1</v>
      </c>
      <c r="AU48" s="30">
        <v>39.841999999999999</v>
      </c>
      <c r="AV48" s="31">
        <v>31.841999999999999</v>
      </c>
    </row>
    <row r="49" spans="1:48" ht="14.25" customHeight="1" x14ac:dyDescent="0.35">
      <c r="A49" s="2" t="s">
        <v>99</v>
      </c>
      <c r="B49" s="13" t="s">
        <v>55</v>
      </c>
      <c r="C49" s="13">
        <v>31004</v>
      </c>
      <c r="D49" s="14">
        <v>20408</v>
      </c>
      <c r="E49" s="14">
        <v>20511</v>
      </c>
      <c r="F49" s="14">
        <v>20559</v>
      </c>
      <c r="G49" s="14">
        <v>20654</v>
      </c>
      <c r="H49" s="15">
        <v>0</v>
      </c>
      <c r="I49" s="13">
        <v>0</v>
      </c>
      <c r="J49" s="16">
        <v>0</v>
      </c>
      <c r="K49" s="15">
        <v>0</v>
      </c>
      <c r="L49" s="13">
        <v>0</v>
      </c>
      <c r="M49" s="16">
        <v>0</v>
      </c>
      <c r="N49" s="15">
        <v>0</v>
      </c>
      <c r="O49" s="13">
        <v>0</v>
      </c>
      <c r="P49" s="16">
        <v>0</v>
      </c>
      <c r="Q49" s="16">
        <v>0</v>
      </c>
      <c r="R49" s="18">
        <v>0</v>
      </c>
      <c r="S49" s="16">
        <v>0</v>
      </c>
      <c r="T49" s="18">
        <v>0</v>
      </c>
      <c r="U49" s="16">
        <v>0</v>
      </c>
      <c r="V49" s="18">
        <v>0</v>
      </c>
      <c r="W49" s="16">
        <v>0</v>
      </c>
      <c r="X49" s="15">
        <v>4</v>
      </c>
      <c r="Y49" s="13">
        <v>0</v>
      </c>
      <c r="Z49" s="16">
        <v>0.19501730778606602</v>
      </c>
      <c r="AA49" s="16">
        <v>0</v>
      </c>
      <c r="AB49" s="15">
        <v>7</v>
      </c>
      <c r="AC49" s="13">
        <v>3</v>
      </c>
      <c r="AD49" s="16">
        <v>0.34048348655090227</v>
      </c>
      <c r="AE49" s="16">
        <v>0.14592149423610096</v>
      </c>
      <c r="AF49" s="19">
        <v>7</v>
      </c>
      <c r="AG49" s="20">
        <v>5</v>
      </c>
      <c r="AH49" s="16">
        <v>0.34048348655090227</v>
      </c>
      <c r="AI49" s="21">
        <v>0.24320249039350164</v>
      </c>
      <c r="AJ49" s="22">
        <f>BattMobility!D32+cambio!D32+Claus2you!D32+CoopStroom!D32+Cozywheels!D32+Dégage!D32+Flexigo!D32+Klimaan!D32+Moovee!D32+Poppy!D32+'Mobilize Share'!D32+Stapp.in!D32</f>
        <v>7</v>
      </c>
      <c r="AK49" s="23">
        <f>BattMobility!E32+cambio!E32+Claus2you!E32+CoopStroom!E32+Cozywheels!E32+Dégage!E32+Flexigo!E32+Klimaan!E32+Moovee!E32+Poppy!E32+'Mobilize Share'!E32+Stapp.in!E32</f>
        <v>5</v>
      </c>
      <c r="AL49" s="21">
        <f t="shared" si="0"/>
        <v>0.33891740098770212</v>
      </c>
      <c r="AM49" s="21">
        <f t="shared" si="1"/>
        <v>0.24208385784835867</v>
      </c>
      <c r="AN49" s="25">
        <f t="shared" si="2"/>
        <v>0</v>
      </c>
      <c r="AO49" s="26">
        <f t="shared" si="3"/>
        <v>0</v>
      </c>
      <c r="AP49" s="27">
        <f>BattMobility!F32+cambio!F32+Claus2you!F32+CoopStroom!F32+Cozywheels!F32+Dégage!F32+Flexigo!F32+Klimaan!F32+Moovee!F32+Poppy!F32+'Mobilize Share'!F32+Stapp.in!F32</f>
        <v>9</v>
      </c>
      <c r="AQ49" s="25">
        <f>BattMobility!G32+cambio!G32+Claus2you!G32+CoopStroom!G32+Cozywheels!G32+Dégage!G32+Flexigo!G32+Klimaan!G32+Moovee!G32+Poppy!G32+'Mobilize Share'!G32+Stapp.in!G32</f>
        <v>7</v>
      </c>
      <c r="AR49" s="29">
        <f t="shared" si="4"/>
        <v>0.43575094412704563</v>
      </c>
      <c r="AS49" s="29">
        <f t="shared" si="5"/>
        <v>0.33891740098770212</v>
      </c>
      <c r="AT49" s="25">
        <f t="shared" si="6"/>
        <v>2</v>
      </c>
      <c r="AU49" s="30">
        <v>41.118000000000002</v>
      </c>
      <c r="AV49" s="31">
        <v>34.118000000000002</v>
      </c>
    </row>
    <row r="50" spans="1:48" ht="14.25" customHeight="1" x14ac:dyDescent="0.35">
      <c r="A50" s="2" t="s">
        <v>100</v>
      </c>
      <c r="B50" s="13" t="s">
        <v>55</v>
      </c>
      <c r="C50" s="13">
        <v>38014</v>
      </c>
      <c r="D50" s="14">
        <v>21851</v>
      </c>
      <c r="E50" s="14">
        <v>21664</v>
      </c>
      <c r="F50" s="14">
        <v>21546</v>
      </c>
      <c r="G50" s="14">
        <v>21344</v>
      </c>
      <c r="H50" s="15">
        <v>0</v>
      </c>
      <c r="I50" s="13">
        <v>0</v>
      </c>
      <c r="J50" s="16">
        <v>0</v>
      </c>
      <c r="K50" s="15">
        <v>0</v>
      </c>
      <c r="L50" s="13">
        <v>0</v>
      </c>
      <c r="M50" s="16">
        <v>0</v>
      </c>
      <c r="N50" s="15">
        <v>7</v>
      </c>
      <c r="O50" s="13">
        <v>0</v>
      </c>
      <c r="P50" s="16">
        <v>0.32311669128508125</v>
      </c>
      <c r="Q50" s="16">
        <v>0</v>
      </c>
      <c r="R50" s="18">
        <v>7</v>
      </c>
      <c r="S50" s="16">
        <v>0.32311669128508125</v>
      </c>
      <c r="T50" s="18">
        <v>7</v>
      </c>
      <c r="U50" s="16">
        <v>0.32311669128508125</v>
      </c>
      <c r="V50" s="18">
        <v>0</v>
      </c>
      <c r="W50" s="16">
        <v>0</v>
      </c>
      <c r="X50" s="15">
        <v>7</v>
      </c>
      <c r="Y50" s="13">
        <v>0</v>
      </c>
      <c r="Z50" s="16">
        <v>0.32311669128508125</v>
      </c>
      <c r="AA50" s="16">
        <v>0</v>
      </c>
      <c r="AB50" s="15">
        <v>9</v>
      </c>
      <c r="AC50" s="13">
        <v>0</v>
      </c>
      <c r="AD50" s="16">
        <v>0.41771094402673348</v>
      </c>
      <c r="AE50" s="16">
        <v>0</v>
      </c>
      <c r="AF50" s="19">
        <v>8</v>
      </c>
      <c r="AG50" s="20">
        <v>3</v>
      </c>
      <c r="AH50" s="16">
        <v>0.37129861691265198</v>
      </c>
      <c r="AI50" s="21">
        <v>0.13923698134224449</v>
      </c>
      <c r="AJ50" s="22">
        <f>BattMobility!D128+cambio!D128+Claus2you!D128+CoopStroom!D128+Cozywheels!D128+Dégage!D128+Flexigo!D128+Klimaan!D128+Moovee!D128+Poppy!D128+'Mobilize Share'!D128+Stapp.in!D128</f>
        <v>8</v>
      </c>
      <c r="AK50" s="23">
        <f>BattMobility!E128+cambio!E128+Claus2you!E128+CoopStroom!E128+Cozywheels!E128+Dégage!E128+Flexigo!E128+Klimaan!E128+Moovee!E128+Poppy!E128+'Mobilize Share'!E128+Stapp.in!E128</f>
        <v>3</v>
      </c>
      <c r="AL50" s="21">
        <f t="shared" si="0"/>
        <v>0.3748125937031484</v>
      </c>
      <c r="AM50" s="21">
        <f t="shared" si="1"/>
        <v>0.14055472263868066</v>
      </c>
      <c r="AN50" s="25">
        <f t="shared" si="2"/>
        <v>-1</v>
      </c>
      <c r="AO50" s="26">
        <f t="shared" si="3"/>
        <v>-0.1111111111111111</v>
      </c>
      <c r="AP50" s="27">
        <f>BattMobility!F128+cambio!F128+Claus2you!F128+CoopStroom!F128+Cozywheels!F128+Dégage!F128+Flexigo!F128+Klimaan!F128+Moovee!F128+Poppy!F128+'Mobilize Share'!F128+Stapp.in!F128</f>
        <v>9</v>
      </c>
      <c r="AQ50" s="25">
        <f>BattMobility!G128+cambio!G128+Claus2you!G128+CoopStroom!G128+Cozywheels!G128+Dégage!G128+Flexigo!G128+Klimaan!G128+Moovee!G128+Poppy!G128+'Mobilize Share'!G128+Stapp.in!G128</f>
        <v>4</v>
      </c>
      <c r="AR50" s="29">
        <f t="shared" si="4"/>
        <v>0.421664167916042</v>
      </c>
      <c r="AS50" s="29">
        <f t="shared" si="5"/>
        <v>0.1874062968515742</v>
      </c>
      <c r="AT50" s="25">
        <f t="shared" si="6"/>
        <v>1</v>
      </c>
      <c r="AU50" s="30">
        <v>43.091999999999999</v>
      </c>
      <c r="AV50" s="31">
        <v>35.091999999999999</v>
      </c>
    </row>
    <row r="51" spans="1:48" ht="14.25" customHeight="1" x14ac:dyDescent="0.35">
      <c r="A51" s="2" t="s">
        <v>101</v>
      </c>
      <c r="B51" s="13" t="s">
        <v>48</v>
      </c>
      <c r="C51" s="13">
        <v>13049</v>
      </c>
      <c r="D51" s="14">
        <v>25308</v>
      </c>
      <c r="E51" s="14">
        <v>25466</v>
      </c>
      <c r="F51" s="14">
        <v>25625</v>
      </c>
      <c r="G51" s="14">
        <v>25691</v>
      </c>
      <c r="H51" s="15">
        <v>0</v>
      </c>
      <c r="I51" s="13">
        <v>0</v>
      </c>
      <c r="J51" s="16">
        <v>0</v>
      </c>
      <c r="K51" s="15">
        <v>0</v>
      </c>
      <c r="L51" s="13">
        <v>0</v>
      </c>
      <c r="M51" s="16">
        <v>0</v>
      </c>
      <c r="N51" s="15">
        <v>2</v>
      </c>
      <c r="O51" s="13">
        <v>0</v>
      </c>
      <c r="P51" s="16">
        <v>7.8536087332129106E-2</v>
      </c>
      <c r="Q51" s="16">
        <v>0</v>
      </c>
      <c r="R51" s="18">
        <v>2</v>
      </c>
      <c r="S51" s="16">
        <v>7.8536087332129106E-2</v>
      </c>
      <c r="T51" s="18">
        <v>2</v>
      </c>
      <c r="U51" s="16">
        <v>7.8536087332129106E-2</v>
      </c>
      <c r="V51" s="18">
        <v>2</v>
      </c>
      <c r="W51" s="16">
        <v>7.8536087332129106E-2</v>
      </c>
      <c r="X51" s="15">
        <v>3</v>
      </c>
      <c r="Y51" s="13">
        <v>0</v>
      </c>
      <c r="Z51" s="16">
        <v>0.11780413099819367</v>
      </c>
      <c r="AA51" s="16">
        <v>0</v>
      </c>
      <c r="AB51" s="15">
        <v>7</v>
      </c>
      <c r="AC51" s="13">
        <v>4</v>
      </c>
      <c r="AD51" s="16">
        <v>0.27317073170731709</v>
      </c>
      <c r="AE51" s="16">
        <v>0.15609756097560976</v>
      </c>
      <c r="AF51" s="19">
        <v>7</v>
      </c>
      <c r="AG51" s="20">
        <v>2</v>
      </c>
      <c r="AH51" s="16">
        <v>0.27317073170731709</v>
      </c>
      <c r="AI51" s="21">
        <v>7.8048780487804878E-2</v>
      </c>
      <c r="AJ51" s="22">
        <f>BattMobility!D259+cambio!D259+Claus2you!D259+CoopStroom!D259+Cozywheels!D259+Dégage!D259+Flexigo!D259+Klimaan!D259+Moovee!D259+Poppy!D259+'Mobilize Share'!D259+Stapp.in!D259</f>
        <v>8</v>
      </c>
      <c r="AK51" s="23">
        <f>BattMobility!E259+cambio!E259+Claus2you!E259+CoopStroom!E259+Cozywheels!E259+Dégage!E259+Flexigo!E259+Klimaan!E259+Moovee!E259+Poppy!E259+'Mobilize Share'!E259+Stapp.in!E259</f>
        <v>4</v>
      </c>
      <c r="AL51" s="21">
        <f t="shared" si="0"/>
        <v>0.3113930948581215</v>
      </c>
      <c r="AM51" s="21">
        <f t="shared" si="1"/>
        <v>0.15569654742906075</v>
      </c>
      <c r="AN51" s="25">
        <f t="shared" si="2"/>
        <v>1</v>
      </c>
      <c r="AO51" s="26">
        <f t="shared" si="3"/>
        <v>0.14285714285714285</v>
      </c>
      <c r="AP51" s="27">
        <f>BattMobility!F259+cambio!F259+Claus2you!F259+CoopStroom!F259+Cozywheels!F259+Dégage!F259+Flexigo!F259+Klimaan!F259+Moovee!F259+Poppy!F259+'Mobilize Share'!F259+Stapp.in!F259</f>
        <v>9</v>
      </c>
      <c r="AQ51" s="25">
        <f>BattMobility!G259+cambio!G259+Claus2you!G259+CoopStroom!G259+Cozywheels!G259+Dégage!G259+Flexigo!G259+Klimaan!G259+Moovee!G259+Poppy!G259+'Mobilize Share'!G259+Stapp.in!G259</f>
        <v>4</v>
      </c>
      <c r="AR51" s="29">
        <f t="shared" si="4"/>
        <v>0.35031723171538676</v>
      </c>
      <c r="AS51" s="29">
        <f t="shared" si="5"/>
        <v>0.15569654742906075</v>
      </c>
      <c r="AT51" s="25">
        <f t="shared" si="6"/>
        <v>2</v>
      </c>
      <c r="AU51" s="30">
        <v>51.25</v>
      </c>
      <c r="AV51" s="31">
        <v>44.25</v>
      </c>
    </row>
    <row r="52" spans="1:48" ht="14.25" customHeight="1" x14ac:dyDescent="0.35">
      <c r="A52" s="12" t="s">
        <v>102</v>
      </c>
      <c r="B52" s="13" t="s">
        <v>55</v>
      </c>
      <c r="C52" s="13">
        <v>37022</v>
      </c>
      <c r="D52" s="14">
        <v>20500</v>
      </c>
      <c r="E52" s="14">
        <v>20701</v>
      </c>
      <c r="F52" s="14">
        <v>20627</v>
      </c>
      <c r="G52" s="14">
        <v>31908</v>
      </c>
      <c r="H52" s="15">
        <v>3</v>
      </c>
      <c r="I52" s="13">
        <v>0</v>
      </c>
      <c r="J52" s="16">
        <v>0.14634146341463414</v>
      </c>
      <c r="K52" s="15">
        <v>3</v>
      </c>
      <c r="L52" s="13">
        <v>0</v>
      </c>
      <c r="M52" s="16">
        <v>0.14634146341463414</v>
      </c>
      <c r="N52" s="15">
        <v>3</v>
      </c>
      <c r="O52" s="13">
        <v>0</v>
      </c>
      <c r="P52" s="16">
        <v>0.1449205352398435</v>
      </c>
      <c r="Q52" s="16">
        <v>0</v>
      </c>
      <c r="R52" s="18">
        <v>0</v>
      </c>
      <c r="S52" s="16">
        <v>-1.4209281747906422E-3</v>
      </c>
      <c r="T52" s="18">
        <v>0</v>
      </c>
      <c r="U52" s="16">
        <v>-1.4209281747906422E-3</v>
      </c>
      <c r="V52" s="18">
        <v>1</v>
      </c>
      <c r="W52" s="16">
        <v>4.8306845079947827E-2</v>
      </c>
      <c r="X52" s="15">
        <v>3</v>
      </c>
      <c r="Y52" s="13">
        <v>0</v>
      </c>
      <c r="Z52" s="16">
        <v>0.1449205352398435</v>
      </c>
      <c r="AA52" s="16">
        <v>0</v>
      </c>
      <c r="AB52" s="15">
        <f>3+'overzicht voor jun 25'!AA190</f>
        <v>5</v>
      </c>
      <c r="AC52" s="13">
        <v>0</v>
      </c>
      <c r="AD52" s="16">
        <v>0.14544044213894411</v>
      </c>
      <c r="AE52" s="16">
        <v>0</v>
      </c>
      <c r="AF52" s="19">
        <v>3</v>
      </c>
      <c r="AG52" s="20">
        <v>0</v>
      </c>
      <c r="AH52" s="16">
        <v>0.14544044213894411</v>
      </c>
      <c r="AI52" s="21">
        <v>0</v>
      </c>
      <c r="AJ52" s="22">
        <f>BattMobility!D241+cambio!D241+Claus2you!D241+CoopStroom!D241+Cozywheels!D241+Dégage!D241+Flexigo!D241+Klimaan!D241+Moovee!D241+Poppy!D241+'Mobilize Share'!D241+Stapp.in!D241</f>
        <v>6</v>
      </c>
      <c r="AK52" s="23">
        <f>BattMobility!E241+cambio!E241+Claus2you!E241+CoopStroom!E241+Cozywheels!E241+Dégage!E241+Flexigo!E241+Klimaan!E241+Moovee!E241+Poppy!E241+'Mobilize Share'!E241+Stapp.in!E241</f>
        <v>1</v>
      </c>
      <c r="AL52" s="21">
        <f t="shared" si="0"/>
        <v>0.18804061677322301</v>
      </c>
      <c r="AM52" s="21">
        <f t="shared" si="1"/>
        <v>3.1340102795537166E-2</v>
      </c>
      <c r="AN52" s="25">
        <f t="shared" si="2"/>
        <v>1</v>
      </c>
      <c r="AO52" s="26">
        <f t="shared" si="3"/>
        <v>0.2</v>
      </c>
      <c r="AP52" s="27">
        <f>BattMobility!F241+cambio!F241+Claus2you!F241+CoopStroom!F241+Cozywheels!F241+Dégage!F241+Flexigo!F241+Klimaan!F241+Moovee!F241+Poppy!F241+'Mobilize Share'!F241+Stapp.in!F241</f>
        <v>9</v>
      </c>
      <c r="AQ52" s="25">
        <f>BattMobility!G241+cambio!G241+Claus2you!G241+CoopStroom!G241+Cozywheels!G241+Dégage!G241+Flexigo!G241+Klimaan!G241+Moovee!G241+Poppy!G241+'Mobilize Share'!G241+Stapp.in!G241</f>
        <v>3</v>
      </c>
      <c r="AR52" s="29">
        <f t="shared" si="4"/>
        <v>0.28206092515983455</v>
      </c>
      <c r="AS52" s="29">
        <f t="shared" si="5"/>
        <v>9.4020308386611504E-2</v>
      </c>
      <c r="AT52" s="25">
        <f t="shared" si="6"/>
        <v>6</v>
      </c>
      <c r="AU52" s="30">
        <v>41.253999999999998</v>
      </c>
      <c r="AV52" s="31">
        <v>38.253999999999998</v>
      </c>
    </row>
    <row r="53" spans="1:48" ht="14.25" customHeight="1" x14ac:dyDescent="0.35">
      <c r="A53" s="2" t="s">
        <v>103</v>
      </c>
      <c r="B53" s="13" t="s">
        <v>55</v>
      </c>
      <c r="C53" s="13">
        <v>31043</v>
      </c>
      <c r="D53" s="14">
        <v>32875</v>
      </c>
      <c r="E53" s="14">
        <v>32645</v>
      </c>
      <c r="F53" s="14">
        <v>32514</v>
      </c>
      <c r="G53" s="14">
        <v>32415</v>
      </c>
      <c r="H53" s="15">
        <v>2</v>
      </c>
      <c r="I53" s="13">
        <v>1</v>
      </c>
      <c r="J53" s="16">
        <v>6.0836501901140684E-2</v>
      </c>
      <c r="K53" s="15">
        <v>2</v>
      </c>
      <c r="L53" s="13">
        <v>1</v>
      </c>
      <c r="M53" s="16">
        <v>6.0836501901140684E-2</v>
      </c>
      <c r="N53" s="15">
        <v>2</v>
      </c>
      <c r="O53" s="13">
        <v>1</v>
      </c>
      <c r="P53" s="16">
        <v>6.1265124827691836E-2</v>
      </c>
      <c r="Q53" s="16">
        <v>3.0632562413845918E-2</v>
      </c>
      <c r="R53" s="18">
        <v>0</v>
      </c>
      <c r="S53" s="16">
        <v>4.2862292655115181E-4</v>
      </c>
      <c r="T53" s="18">
        <v>0</v>
      </c>
      <c r="U53" s="16">
        <v>4.2862292655115181E-4</v>
      </c>
      <c r="V53" s="18">
        <v>1</v>
      </c>
      <c r="W53" s="16">
        <v>3.0632562413845918E-2</v>
      </c>
      <c r="X53" s="15">
        <v>9</v>
      </c>
      <c r="Y53" s="13">
        <v>8</v>
      </c>
      <c r="Z53" s="16">
        <v>0.27569306172461322</v>
      </c>
      <c r="AA53" s="16">
        <v>0.24506049931076734</v>
      </c>
      <c r="AB53" s="15">
        <v>8</v>
      </c>
      <c r="AC53" s="13">
        <v>8</v>
      </c>
      <c r="AD53" s="16">
        <v>0.24604785630805193</v>
      </c>
      <c r="AE53" s="16">
        <v>0.24604785630805193</v>
      </c>
      <c r="AF53" s="19">
        <v>8</v>
      </c>
      <c r="AG53" s="20">
        <v>8</v>
      </c>
      <c r="AH53" s="16">
        <v>0.24604785630805193</v>
      </c>
      <c r="AI53" s="21">
        <v>0.24604785630805193</v>
      </c>
      <c r="AJ53" s="22">
        <f>BattMobility!D126+cambio!D126+Claus2you!D126+CoopStroom!D126+Cozywheels!D126+Dégage!D126+Flexigo!D126+Klimaan!D126+Moovee!D126+Poppy!D126+'Mobilize Share'!D126+Stapp.in!D126</f>
        <v>9</v>
      </c>
      <c r="AK53" s="23">
        <f>BattMobility!E126+cambio!E126+Claus2you!E126+CoopStroom!E126+Cozywheels!E126+Dégage!E126+Flexigo!E126+Klimaan!E126+Moovee!E126+Poppy!E126+'Mobilize Share'!E126+Stapp.in!E126</f>
        <v>8</v>
      </c>
      <c r="AL53" s="21">
        <f t="shared" si="0"/>
        <v>0.27764923646459971</v>
      </c>
      <c r="AM53" s="21">
        <f t="shared" si="1"/>
        <v>0.24679932130186644</v>
      </c>
      <c r="AN53" s="25">
        <f t="shared" si="2"/>
        <v>1</v>
      </c>
      <c r="AO53" s="26">
        <f t="shared" si="3"/>
        <v>0.125</v>
      </c>
      <c r="AP53" s="27">
        <f>BattMobility!F126+cambio!F126+Claus2you!F126+CoopStroom!F126+Cozywheels!F126+Dégage!F126+Flexigo!F126+Klimaan!F126+Moovee!F126+Poppy!F126+'Mobilize Share'!F126+Stapp.in!F126</f>
        <v>9</v>
      </c>
      <c r="AQ53" s="25">
        <f>BattMobility!G126+cambio!G126+Claus2you!G126+CoopStroom!G126+Cozywheels!G126+Dégage!G126+Flexigo!G126+Klimaan!G126+Moovee!G126+Poppy!G126+'Mobilize Share'!G126+Stapp.in!G126</f>
        <v>8</v>
      </c>
      <c r="AR53" s="29">
        <f t="shared" si="4"/>
        <v>0.27764923646459971</v>
      </c>
      <c r="AS53" s="29">
        <f t="shared" si="5"/>
        <v>0.24679932130186644</v>
      </c>
      <c r="AT53" s="25">
        <f t="shared" si="6"/>
        <v>1</v>
      </c>
      <c r="AU53" s="30">
        <v>65.028000000000006</v>
      </c>
      <c r="AV53" s="31">
        <v>57.028000000000006</v>
      </c>
    </row>
    <row r="54" spans="1:48" ht="14.25" customHeight="1" x14ac:dyDescent="0.35">
      <c r="A54" s="2" t="s">
        <v>104</v>
      </c>
      <c r="B54" s="13" t="s">
        <v>52</v>
      </c>
      <c r="C54" s="13">
        <v>24107</v>
      </c>
      <c r="D54" s="14">
        <v>35973</v>
      </c>
      <c r="E54" s="14">
        <v>36282</v>
      </c>
      <c r="F54" s="14">
        <v>36581</v>
      </c>
      <c r="G54" s="14">
        <v>36890</v>
      </c>
      <c r="H54" s="15">
        <v>6</v>
      </c>
      <c r="I54" s="13">
        <v>0</v>
      </c>
      <c r="J54" s="16">
        <v>0.16679176048703195</v>
      </c>
      <c r="K54" s="15">
        <v>4</v>
      </c>
      <c r="L54" s="13">
        <v>0</v>
      </c>
      <c r="M54" s="16">
        <v>0.11119450699135462</v>
      </c>
      <c r="N54" s="15">
        <v>4</v>
      </c>
      <c r="O54" s="13">
        <v>3</v>
      </c>
      <c r="P54" s="16">
        <v>0.11024750565018467</v>
      </c>
      <c r="Q54" s="16">
        <v>8.2685629237638503E-2</v>
      </c>
      <c r="R54" s="18">
        <v>-2</v>
      </c>
      <c r="S54" s="16">
        <v>-5.6544254836847288E-2</v>
      </c>
      <c r="T54" s="18">
        <v>0</v>
      </c>
      <c r="U54" s="16">
        <v>-9.4700134116995627E-4</v>
      </c>
      <c r="V54" s="18">
        <v>1</v>
      </c>
      <c r="W54" s="16">
        <v>2.7561876412546166E-2</v>
      </c>
      <c r="X54" s="15">
        <v>4</v>
      </c>
      <c r="Y54" s="13">
        <v>3</v>
      </c>
      <c r="Z54" s="16">
        <v>0.11024750565018467</v>
      </c>
      <c r="AA54" s="16">
        <v>8.2685629237638503E-2</v>
      </c>
      <c r="AB54" s="15">
        <v>5</v>
      </c>
      <c r="AC54" s="13">
        <v>2</v>
      </c>
      <c r="AD54" s="16">
        <v>0.13668297750198188</v>
      </c>
      <c r="AE54" s="16">
        <v>5.4673191000792758E-2</v>
      </c>
      <c r="AF54" s="19">
        <v>8</v>
      </c>
      <c r="AG54" s="20">
        <v>6</v>
      </c>
      <c r="AH54" s="16">
        <v>0.21869276400317103</v>
      </c>
      <c r="AI54" s="21">
        <v>0.16401957300237829</v>
      </c>
      <c r="AJ54" s="22">
        <f>BattMobility!D243+cambio!D243+Claus2you!D243+CoopStroom!D243+Cozywheels!D243+Dégage!D243+Flexigo!D243+Klimaan!D243+Moovee!D243+Poppy!D243+'Mobilize Share'!D243+Stapp.in!D243</f>
        <v>7</v>
      </c>
      <c r="AK54" s="23">
        <f>BattMobility!E243+cambio!E243+Claus2you!E243+CoopStroom!E243+Cozywheels!E243+Dégage!E243+Flexigo!E243+Klimaan!E243+Moovee!E243+Poppy!E243+'Mobilize Share'!E243+Stapp.in!E243</f>
        <v>4</v>
      </c>
      <c r="AL54" s="21">
        <f t="shared" si="0"/>
        <v>0.18975332068311196</v>
      </c>
      <c r="AM54" s="21">
        <f t="shared" si="1"/>
        <v>0.10843046896177826</v>
      </c>
      <c r="AN54" s="25">
        <f t="shared" si="2"/>
        <v>2</v>
      </c>
      <c r="AO54" s="26">
        <f t="shared" si="3"/>
        <v>0.4</v>
      </c>
      <c r="AP54" s="27">
        <f>BattMobility!F243+cambio!F243+Claus2you!F243+CoopStroom!F243+Cozywheels!F243+Dégage!F243+Flexigo!F243+Klimaan!F243+Moovee!F243+Poppy!F243+'Mobilize Share'!F243+Stapp.in!F243</f>
        <v>9</v>
      </c>
      <c r="AQ54" s="25">
        <f>BattMobility!G243+cambio!G243+Claus2you!G243+CoopStroom!G243+Cozywheels!G243+Dégage!G243+Flexigo!G243+Klimaan!G243+Moovee!G243+Poppy!G243+'Mobilize Share'!G243+Stapp.in!G243</f>
        <v>5</v>
      </c>
      <c r="AR54" s="29">
        <f t="shared" si="4"/>
        <v>0.24396855516400109</v>
      </c>
      <c r="AS54" s="29">
        <f t="shared" si="5"/>
        <v>0.13553808620222282</v>
      </c>
      <c r="AT54" s="25">
        <f t="shared" si="6"/>
        <v>1</v>
      </c>
      <c r="AU54" s="30">
        <v>73.162000000000006</v>
      </c>
      <c r="AV54" s="31">
        <v>65.162000000000006</v>
      </c>
    </row>
    <row r="55" spans="1:48" ht="14.25" customHeight="1" x14ac:dyDescent="0.35">
      <c r="A55" s="2" t="s">
        <v>105</v>
      </c>
      <c r="B55" s="13" t="s">
        <v>52</v>
      </c>
      <c r="C55" s="13">
        <v>23094</v>
      </c>
      <c r="D55" s="14">
        <v>35916</v>
      </c>
      <c r="E55" s="14">
        <v>36408</v>
      </c>
      <c r="F55" s="14">
        <v>36676</v>
      </c>
      <c r="G55" s="14">
        <v>37271</v>
      </c>
      <c r="H55" s="15">
        <v>1</v>
      </c>
      <c r="I55" s="13">
        <v>0</v>
      </c>
      <c r="J55" s="16">
        <v>2.7842744180866463E-2</v>
      </c>
      <c r="K55" s="15">
        <v>0</v>
      </c>
      <c r="L55" s="13">
        <v>0</v>
      </c>
      <c r="M55" s="16">
        <v>0</v>
      </c>
      <c r="N55" s="15">
        <v>5</v>
      </c>
      <c r="O55" s="13">
        <v>5</v>
      </c>
      <c r="P55" s="16">
        <v>0.13733245440562514</v>
      </c>
      <c r="Q55" s="16">
        <v>0.13733245440562514</v>
      </c>
      <c r="R55" s="18">
        <v>4</v>
      </c>
      <c r="S55" s="16">
        <v>0.10948971022475867</v>
      </c>
      <c r="T55" s="18">
        <v>5</v>
      </c>
      <c r="U55" s="16">
        <v>0.13733245440562514</v>
      </c>
      <c r="V55" s="18">
        <v>0</v>
      </c>
      <c r="W55" s="16">
        <v>0</v>
      </c>
      <c r="X55" s="15">
        <v>3</v>
      </c>
      <c r="Y55" s="13">
        <v>1</v>
      </c>
      <c r="Z55" s="16">
        <v>8.2399472643375077E-2</v>
      </c>
      <c r="AA55" s="16">
        <v>2.746649088112503E-2</v>
      </c>
      <c r="AB55" s="15">
        <v>6</v>
      </c>
      <c r="AC55" s="13">
        <v>3</v>
      </c>
      <c r="AD55" s="16">
        <v>0.16359472134365799</v>
      </c>
      <c r="AE55" s="16">
        <v>8.1797360671828995E-2</v>
      </c>
      <c r="AF55" s="19">
        <v>9</v>
      </c>
      <c r="AG55" s="20">
        <v>4</v>
      </c>
      <c r="AH55" s="16">
        <v>0.24539208201548696</v>
      </c>
      <c r="AI55" s="21">
        <v>0.10906314756243865</v>
      </c>
      <c r="AJ55" s="22">
        <f>BattMobility!D272+cambio!D272+Claus2you!D272+CoopStroom!D272+Cozywheels!D272+Dégage!D272+Flexigo!D272+Klimaan!D272+Moovee!D272+Poppy!D272+'Mobilize Share'!D272+Stapp.in!D272</f>
        <v>9</v>
      </c>
      <c r="AK55" s="23">
        <f>BattMobility!E272+cambio!E272+Claus2you!E272+CoopStroom!E272+Cozywheels!E272+Dégage!E272+Flexigo!E272+Klimaan!E272+Moovee!E272+Poppy!E272+'Mobilize Share'!E272+Stapp.in!E272</f>
        <v>4</v>
      </c>
      <c r="AL55" s="21">
        <f t="shared" si="0"/>
        <v>0.24147460492071582</v>
      </c>
      <c r="AM55" s="21">
        <f t="shared" si="1"/>
        <v>0.10732204663142926</v>
      </c>
      <c r="AN55" s="25">
        <f t="shared" si="2"/>
        <v>3</v>
      </c>
      <c r="AO55" s="26">
        <f t="shared" si="3"/>
        <v>0.5</v>
      </c>
      <c r="AP55" s="27">
        <f>BattMobility!F272+cambio!F272+Claus2you!F272+CoopStroom!F272+Cozywheels!F272+Dégage!F272+Flexigo!F272+Klimaan!F272+Moovee!F272+Poppy!F272+'Mobilize Share'!F272+Stapp.in!F272</f>
        <v>9</v>
      </c>
      <c r="AQ55" s="25">
        <f>BattMobility!G272+cambio!G272+Claus2you!G272+CoopStroom!G272+Cozywheels!G272+Dégage!G272+Flexigo!G272+Klimaan!G272+Moovee!G272+Poppy!G272+'Mobilize Share'!G272+Stapp.in!G272</f>
        <v>4</v>
      </c>
      <c r="AR55" s="29">
        <f t="shared" si="4"/>
        <v>0.24147460492071582</v>
      </c>
      <c r="AS55" s="29">
        <f t="shared" si="5"/>
        <v>0.10732204663142926</v>
      </c>
      <c r="AT55" s="25">
        <f t="shared" si="6"/>
        <v>0</v>
      </c>
      <c r="AU55" s="30">
        <v>73.352000000000004</v>
      </c>
      <c r="AV55" s="31">
        <v>64.352000000000004</v>
      </c>
    </row>
    <row r="56" spans="1:48" ht="14.25" customHeight="1" x14ac:dyDescent="0.35">
      <c r="A56" s="2" t="s">
        <v>106</v>
      </c>
      <c r="B56" s="13" t="s">
        <v>48</v>
      </c>
      <c r="C56" s="13">
        <v>11008</v>
      </c>
      <c r="D56" s="14">
        <v>38237</v>
      </c>
      <c r="E56" s="14">
        <v>38575</v>
      </c>
      <c r="F56" s="14">
        <v>38470</v>
      </c>
      <c r="G56" s="14">
        <v>38416</v>
      </c>
      <c r="H56" s="15">
        <v>9</v>
      </c>
      <c r="I56" s="13">
        <v>8</v>
      </c>
      <c r="J56" s="16">
        <v>0.23537411407798728</v>
      </c>
      <c r="K56" s="15">
        <v>9</v>
      </c>
      <c r="L56" s="13">
        <v>9</v>
      </c>
      <c r="M56" s="16">
        <v>0.23537411407798728</v>
      </c>
      <c r="N56" s="15">
        <v>7</v>
      </c>
      <c r="O56" s="13">
        <v>7</v>
      </c>
      <c r="P56" s="16">
        <v>0.18146467919637072</v>
      </c>
      <c r="Q56" s="16">
        <v>0.18146467919637072</v>
      </c>
      <c r="R56" s="18">
        <v>-2</v>
      </c>
      <c r="S56" s="16">
        <v>-5.3909434881616564E-2</v>
      </c>
      <c r="T56" s="18">
        <v>-2</v>
      </c>
      <c r="U56" s="16">
        <v>-5.3909434881616564E-2</v>
      </c>
      <c r="V56" s="18">
        <v>0</v>
      </c>
      <c r="W56" s="16">
        <v>0</v>
      </c>
      <c r="X56" s="15">
        <v>1</v>
      </c>
      <c r="Y56" s="13">
        <v>0</v>
      </c>
      <c r="Z56" s="16">
        <v>2.592352559948153E-2</v>
      </c>
      <c r="AA56" s="16">
        <v>0</v>
      </c>
      <c r="AB56" s="15">
        <v>9</v>
      </c>
      <c r="AC56" s="13">
        <v>8</v>
      </c>
      <c r="AD56" s="16">
        <v>0.23394853132310892</v>
      </c>
      <c r="AE56" s="16">
        <v>0.20795425006498569</v>
      </c>
      <c r="AF56" s="19">
        <v>10</v>
      </c>
      <c r="AG56" s="20">
        <v>9</v>
      </c>
      <c r="AH56" s="16">
        <v>0.25994281258123209</v>
      </c>
      <c r="AI56" s="21">
        <v>0.23394853132310892</v>
      </c>
      <c r="AJ56" s="22">
        <f>BattMobility!D41+cambio!D41+Claus2you!D41+CoopStroom!D41+Cozywheels!D41+Dégage!D41+Flexigo!D41+Klimaan!D41+Moovee!D41+Poppy!D41+'Mobilize Share'!D41+Stapp.in!D41</f>
        <v>9</v>
      </c>
      <c r="AK56" s="23">
        <f>BattMobility!E41+cambio!E41+Claus2you!E41+CoopStroom!E41+Cozywheels!E41+Dégage!E41+Flexigo!E41+Klimaan!E41+Moovee!E41+Poppy!E41+'Mobilize Share'!E41+Stapp.in!E41</f>
        <v>8</v>
      </c>
      <c r="AL56" s="21">
        <f t="shared" si="0"/>
        <v>0.23427738442315701</v>
      </c>
      <c r="AM56" s="21">
        <f t="shared" si="1"/>
        <v>0.20824656393169513</v>
      </c>
      <c r="AN56" s="25">
        <f t="shared" si="2"/>
        <v>0</v>
      </c>
      <c r="AO56" s="26">
        <f t="shared" si="3"/>
        <v>0</v>
      </c>
      <c r="AP56" s="27">
        <f>BattMobility!F41+cambio!F41+Claus2you!F41+CoopStroom!F41+Cozywheels!F41+Dégage!F41+Flexigo!F41+Klimaan!F41+Moovee!F41+Poppy!F41+'Mobilize Share'!F41+Stapp.in!F41</f>
        <v>9</v>
      </c>
      <c r="AQ56" s="25">
        <f>BattMobility!G41+cambio!G41+Claus2you!G41+CoopStroom!G41+Cozywheels!G41+Dégage!G41+Flexigo!G41+Klimaan!G41+Moovee!G41+Poppy!G41+'Mobilize Share'!G41+Stapp.in!G41</f>
        <v>8</v>
      </c>
      <c r="AR56" s="29">
        <f t="shared" si="4"/>
        <v>0.23427738442315701</v>
      </c>
      <c r="AS56" s="29">
        <f t="shared" si="5"/>
        <v>0.20824656393169513</v>
      </c>
      <c r="AT56" s="25">
        <f t="shared" si="6"/>
        <v>-1</v>
      </c>
      <c r="AU56" s="30">
        <v>76.94</v>
      </c>
      <c r="AV56" s="31">
        <v>66.94</v>
      </c>
    </row>
    <row r="57" spans="1:48" ht="14.25" customHeight="1" x14ac:dyDescent="0.35">
      <c r="A57" s="2" t="s">
        <v>107</v>
      </c>
      <c r="B57" s="13" t="s">
        <v>52</v>
      </c>
      <c r="C57" s="13">
        <v>23025</v>
      </c>
      <c r="D57" s="14">
        <v>38539</v>
      </c>
      <c r="E57" s="14">
        <v>39368</v>
      </c>
      <c r="F57" s="14">
        <v>39860</v>
      </c>
      <c r="G57" s="14">
        <v>40062</v>
      </c>
      <c r="H57" s="15">
        <v>6</v>
      </c>
      <c r="I57" s="13">
        <v>0</v>
      </c>
      <c r="J57" s="16">
        <v>0.15568644749474558</v>
      </c>
      <c r="K57" s="15">
        <v>6</v>
      </c>
      <c r="L57" s="13">
        <v>0</v>
      </c>
      <c r="M57" s="16">
        <v>0.15568644749474558</v>
      </c>
      <c r="N57" s="15">
        <v>6</v>
      </c>
      <c r="O57" s="13">
        <v>2</v>
      </c>
      <c r="P57" s="16">
        <v>0.15240804714488923</v>
      </c>
      <c r="Q57" s="16">
        <v>5.080268238162975E-2</v>
      </c>
      <c r="R57" s="18">
        <v>0</v>
      </c>
      <c r="S57" s="16">
        <v>-3.278400349856353E-3</v>
      </c>
      <c r="T57" s="18">
        <v>0</v>
      </c>
      <c r="U57" s="16">
        <v>-3.278400349856353E-3</v>
      </c>
      <c r="V57" s="18">
        <v>4</v>
      </c>
      <c r="W57" s="16">
        <v>0.1016053647632595</v>
      </c>
      <c r="X57" s="15">
        <v>7</v>
      </c>
      <c r="Y57" s="13">
        <v>4</v>
      </c>
      <c r="Z57" s="16">
        <v>0.17780938833570414</v>
      </c>
      <c r="AA57" s="16">
        <v>0.1016053647632595</v>
      </c>
      <c r="AB57" s="15">
        <v>8</v>
      </c>
      <c r="AC57" s="13">
        <v>4</v>
      </c>
      <c r="AD57" s="16">
        <v>0.20070245860511793</v>
      </c>
      <c r="AE57" s="16">
        <v>0.10035122930255896</v>
      </c>
      <c r="AF57" s="19">
        <v>10</v>
      </c>
      <c r="AG57" s="20">
        <v>4</v>
      </c>
      <c r="AH57" s="16">
        <v>0.25087807325639738</v>
      </c>
      <c r="AI57" s="21">
        <v>0.10035122930255896</v>
      </c>
      <c r="AJ57" s="22">
        <f>BattMobility!D78+cambio!D78+Claus2you!D78+CoopStroom!D78+Cozywheels!D78+Dégage!D78+Flexigo!D78+Klimaan!D78+Moovee!D78+Poppy!D78+'Mobilize Share'!D78+Stapp.in!D78</f>
        <v>9</v>
      </c>
      <c r="AK57" s="23">
        <f>BattMobility!E78+cambio!E78+Claus2you!E78+CoopStroom!E78+Cozywheels!E78+Dégage!E78+Flexigo!E78+Klimaan!E78+Moovee!E78+Poppy!E78+'Mobilize Share'!E78+Stapp.in!E78</f>
        <v>4</v>
      </c>
      <c r="AL57" s="21">
        <f t="shared" si="0"/>
        <v>0.22465178972592481</v>
      </c>
      <c r="AM57" s="21">
        <f t="shared" si="1"/>
        <v>9.9845239878188802E-2</v>
      </c>
      <c r="AN57" s="25">
        <f t="shared" si="2"/>
        <v>1</v>
      </c>
      <c r="AO57" s="26">
        <f t="shared" si="3"/>
        <v>0.125</v>
      </c>
      <c r="AP57" s="27">
        <f>BattMobility!F78+cambio!F78+Claus2you!F78+CoopStroom!F78+Cozywheels!F78+Dégage!F78+Flexigo!F78+Klimaan!F78+Moovee!F78+Poppy!F78+'Mobilize Share'!F78+Stapp.in!F78</f>
        <v>9</v>
      </c>
      <c r="AQ57" s="25">
        <f>BattMobility!G78+cambio!G78+Claus2you!G78+CoopStroom!G78+Cozywheels!G78+Dégage!G78+Flexigo!G78+Klimaan!G78+Moovee!G78+Poppy!G78+'Mobilize Share'!G78+Stapp.in!G78</f>
        <v>4</v>
      </c>
      <c r="AR57" s="29">
        <f t="shared" si="4"/>
        <v>0.22465178972592481</v>
      </c>
      <c r="AS57" s="29">
        <f t="shared" si="5"/>
        <v>9.9845239878188802E-2</v>
      </c>
      <c r="AT57" s="25">
        <f t="shared" si="6"/>
        <v>-1</v>
      </c>
      <c r="AU57" s="30">
        <v>79.72</v>
      </c>
      <c r="AV57" s="31">
        <v>69.72</v>
      </c>
    </row>
    <row r="58" spans="1:48" ht="14.25" customHeight="1" x14ac:dyDescent="0.35">
      <c r="A58" s="2" t="s">
        <v>108</v>
      </c>
      <c r="B58" s="13" t="s">
        <v>48</v>
      </c>
      <c r="C58" s="13">
        <v>12014</v>
      </c>
      <c r="D58" s="14">
        <v>43594</v>
      </c>
      <c r="E58" s="14">
        <v>44226</v>
      </c>
      <c r="F58" s="14">
        <v>44505</v>
      </c>
      <c r="G58" s="14">
        <v>44723</v>
      </c>
      <c r="H58" s="15">
        <v>2</v>
      </c>
      <c r="I58" s="13">
        <v>0</v>
      </c>
      <c r="J58" s="16">
        <v>4.5877873101803003E-2</v>
      </c>
      <c r="K58" s="15">
        <v>2</v>
      </c>
      <c r="L58" s="13">
        <v>0</v>
      </c>
      <c r="M58" s="16">
        <v>4.5877873101803003E-2</v>
      </c>
      <c r="N58" s="15">
        <v>2</v>
      </c>
      <c r="O58" s="13">
        <v>0</v>
      </c>
      <c r="P58" s="16">
        <v>4.5222267444489664E-2</v>
      </c>
      <c r="Q58" s="16">
        <v>0</v>
      </c>
      <c r="R58" s="18">
        <v>0</v>
      </c>
      <c r="S58" s="16">
        <v>-6.5560565731333925E-4</v>
      </c>
      <c r="T58" s="18">
        <v>0</v>
      </c>
      <c r="U58" s="16">
        <v>-6.5560565731333925E-4</v>
      </c>
      <c r="V58" s="18">
        <v>0</v>
      </c>
      <c r="W58" s="16">
        <v>0</v>
      </c>
      <c r="X58" s="15">
        <v>3</v>
      </c>
      <c r="Y58" s="13">
        <v>0</v>
      </c>
      <c r="Z58" s="16">
        <v>6.7833401166734503E-2</v>
      </c>
      <c r="AA58" s="16">
        <v>0</v>
      </c>
      <c r="AB58" s="15">
        <v>3</v>
      </c>
      <c r="AC58" s="13">
        <v>0</v>
      </c>
      <c r="AD58" s="16">
        <v>6.7408156386922824E-2</v>
      </c>
      <c r="AE58" s="16">
        <v>0</v>
      </c>
      <c r="AF58" s="19">
        <v>1</v>
      </c>
      <c r="AG58" s="20">
        <v>0</v>
      </c>
      <c r="AH58" s="16">
        <v>2.2469385462307607E-2</v>
      </c>
      <c r="AI58" s="21">
        <v>0</v>
      </c>
      <c r="AJ58" s="22">
        <f>BattMobility!D90+cambio!D90+Claus2you!D90+CoopStroom!D90+Cozywheels!D90+Dégage!D90+Flexigo!D90+Klimaan!D90+Moovee!D90+Poppy!D90+'Mobilize Share'!D90+Stapp.in!D90</f>
        <v>8</v>
      </c>
      <c r="AK58" s="23">
        <f>BattMobility!E90+cambio!E90+Claus2you!E90+CoopStroom!E90+Cozywheels!E90+Dégage!E90+Flexigo!E90+Klimaan!E90+Moovee!E90+Poppy!E90+'Mobilize Share'!E90+Stapp.in!E90</f>
        <v>1</v>
      </c>
      <c r="AL58" s="21">
        <f t="shared" si="0"/>
        <v>0.17887887664065469</v>
      </c>
      <c r="AM58" s="21">
        <f t="shared" si="1"/>
        <v>2.2359859580081836E-2</v>
      </c>
      <c r="AN58" s="25">
        <f t="shared" si="2"/>
        <v>5</v>
      </c>
      <c r="AO58" s="26">
        <f t="shared" si="3"/>
        <v>1.6666666666666667</v>
      </c>
      <c r="AP58" s="27">
        <f>BattMobility!F90+cambio!F90+Claus2you!F90+CoopStroom!F90+Cozywheels!F90+Dégage!F90+Flexigo!F90+Klimaan!F90+Moovee!F90+Poppy!F90+'Mobilize Share'!F90+Stapp.in!F90</f>
        <v>9</v>
      </c>
      <c r="AQ58" s="25">
        <f>BattMobility!G90+cambio!G90+Claus2you!G90+CoopStroom!G90+Cozywheels!G90+Dégage!G90+Flexigo!G90+Klimaan!G90+Moovee!G90+Poppy!G90+'Mobilize Share'!G90+Stapp.in!G90</f>
        <v>2</v>
      </c>
      <c r="AR58" s="29">
        <f t="shared" si="4"/>
        <v>0.20123873622073654</v>
      </c>
      <c r="AS58" s="29">
        <f t="shared" si="5"/>
        <v>4.4719719160163672E-2</v>
      </c>
      <c r="AT58" s="25">
        <f t="shared" si="6"/>
        <v>8</v>
      </c>
      <c r="AU58" s="30">
        <v>89.01</v>
      </c>
      <c r="AV58" s="31">
        <v>88.01</v>
      </c>
    </row>
    <row r="59" spans="1:48" ht="14.25" customHeight="1" x14ac:dyDescent="0.35">
      <c r="A59" s="2" t="s">
        <v>109</v>
      </c>
      <c r="B59" s="13" t="s">
        <v>52</v>
      </c>
      <c r="C59" s="13">
        <v>24011</v>
      </c>
      <c r="D59" s="14">
        <v>10277</v>
      </c>
      <c r="E59" s="14">
        <v>10469</v>
      </c>
      <c r="F59" s="14">
        <v>10534</v>
      </c>
      <c r="G59" s="14">
        <v>10778</v>
      </c>
      <c r="H59" s="15">
        <v>1</v>
      </c>
      <c r="I59" s="13">
        <v>0</v>
      </c>
      <c r="J59" s="16">
        <v>9.7304660893256789E-2</v>
      </c>
      <c r="K59" s="15">
        <v>2</v>
      </c>
      <c r="L59" s="13">
        <v>0</v>
      </c>
      <c r="M59" s="16">
        <v>0.19460932178651358</v>
      </c>
      <c r="N59" s="15">
        <v>1</v>
      </c>
      <c r="O59" s="13">
        <v>0</v>
      </c>
      <c r="P59" s="16">
        <v>9.5520106982519809E-2</v>
      </c>
      <c r="Q59" s="16">
        <v>0</v>
      </c>
      <c r="R59" s="18">
        <v>0</v>
      </c>
      <c r="S59" s="16">
        <v>-1.7845539107369801E-3</v>
      </c>
      <c r="T59" s="18">
        <v>-1</v>
      </c>
      <c r="U59" s="16">
        <v>-9.9089214803993769E-2</v>
      </c>
      <c r="V59" s="18">
        <v>1</v>
      </c>
      <c r="W59" s="16">
        <v>9.5520106982519809E-2</v>
      </c>
      <c r="X59" s="15">
        <v>3</v>
      </c>
      <c r="Y59" s="13">
        <v>1</v>
      </c>
      <c r="Z59" s="16">
        <v>0.28656032094755951</v>
      </c>
      <c r="AA59" s="16">
        <v>9.5520106982519809E-2</v>
      </c>
      <c r="AB59" s="15">
        <v>4</v>
      </c>
      <c r="AC59" s="13">
        <v>1</v>
      </c>
      <c r="AD59" s="16">
        <v>0.37972280235428135</v>
      </c>
      <c r="AE59" s="16">
        <v>9.4930700588570338E-2</v>
      </c>
      <c r="AF59" s="19">
        <v>7</v>
      </c>
      <c r="AG59" s="20">
        <v>3</v>
      </c>
      <c r="AH59" s="16">
        <v>0.66451490411999237</v>
      </c>
      <c r="AI59" s="21">
        <v>0.28479210176571101</v>
      </c>
      <c r="AJ59" s="22">
        <f>BattMobility!D30+cambio!D30+Claus2you!D30+CoopStroom!D30+Cozywheels!D30+Dégage!D30+Flexigo!D30+Klimaan!D30+Moovee!D30+Poppy!D30+'Mobilize Share'!D30+Stapp.in!D30</f>
        <v>8</v>
      </c>
      <c r="AK59" s="23">
        <f>BattMobility!E30+cambio!E30+Claus2you!E30+CoopStroom!E30+Cozywheels!E30+Dégage!E30+Flexigo!E30+Klimaan!E30+Moovee!E30+Poppy!E30+'Mobilize Share'!E30+Stapp.in!E30</f>
        <v>4</v>
      </c>
      <c r="AL59" s="21">
        <f t="shared" si="0"/>
        <v>0.74225273705696782</v>
      </c>
      <c r="AM59" s="21">
        <f t="shared" si="1"/>
        <v>0.37112636852848391</v>
      </c>
      <c r="AN59" s="25">
        <f t="shared" si="2"/>
        <v>4</v>
      </c>
      <c r="AO59" s="26">
        <f t="shared" si="3"/>
        <v>1</v>
      </c>
      <c r="AP59" s="27">
        <f>BattMobility!F30+cambio!F30+Claus2you!F30+CoopStroom!F30+Cozywheels!F30+Dégage!F30+Flexigo!F30+Klimaan!F30+Moovee!F30+Poppy!F30+'Mobilize Share'!F30+Stapp.in!F30</f>
        <v>8</v>
      </c>
      <c r="AQ59" s="25">
        <f>BattMobility!G30+cambio!G30+Claus2you!G30+CoopStroom!G30+Cozywheels!G30+Dégage!G30+Flexigo!G30+Klimaan!G30+Moovee!G30+Poppy!G30+'Mobilize Share'!G30+Stapp.in!G30</f>
        <v>4</v>
      </c>
      <c r="AR59" s="29">
        <f t="shared" si="4"/>
        <v>0.74225273705696782</v>
      </c>
      <c r="AS59" s="29">
        <f t="shared" si="5"/>
        <v>0.37112636852848391</v>
      </c>
      <c r="AT59" s="25">
        <f t="shared" si="6"/>
        <v>1</v>
      </c>
      <c r="AU59" s="30">
        <v>21.068000000000001</v>
      </c>
      <c r="AV59" s="31">
        <v>14.068000000000001</v>
      </c>
    </row>
    <row r="60" spans="1:48" ht="14.25" customHeight="1" x14ac:dyDescent="0.35">
      <c r="A60" s="2" t="s">
        <v>110</v>
      </c>
      <c r="B60" s="13" t="s">
        <v>52</v>
      </c>
      <c r="C60" s="13">
        <v>24086</v>
      </c>
      <c r="D60" s="14">
        <v>11470</v>
      </c>
      <c r="E60" s="14">
        <v>11545</v>
      </c>
      <c r="F60" s="14">
        <v>11474</v>
      </c>
      <c r="G60" s="14">
        <v>11406</v>
      </c>
      <c r="H60" s="15">
        <v>5</v>
      </c>
      <c r="I60" s="13">
        <v>0</v>
      </c>
      <c r="J60" s="16">
        <v>0.43591979075850046</v>
      </c>
      <c r="K60" s="15">
        <v>2</v>
      </c>
      <c r="L60" s="13">
        <v>0</v>
      </c>
      <c r="M60" s="16">
        <v>0.17436791630340018</v>
      </c>
      <c r="N60" s="15">
        <v>3</v>
      </c>
      <c r="O60" s="13">
        <v>2</v>
      </c>
      <c r="P60" s="16">
        <v>0.25985275010827197</v>
      </c>
      <c r="Q60" s="16">
        <v>0.17323516673884798</v>
      </c>
      <c r="R60" s="18">
        <v>-2</v>
      </c>
      <c r="S60" s="16">
        <v>-0.17606704065022849</v>
      </c>
      <c r="T60" s="18">
        <v>1</v>
      </c>
      <c r="U60" s="16">
        <v>8.548483380487179E-2</v>
      </c>
      <c r="V60" s="18">
        <v>1</v>
      </c>
      <c r="W60" s="16">
        <v>8.6617583369423989E-2</v>
      </c>
      <c r="X60" s="15">
        <v>2</v>
      </c>
      <c r="Y60" s="13">
        <v>2</v>
      </c>
      <c r="Z60" s="16">
        <v>0.17323516673884798</v>
      </c>
      <c r="AA60" s="16">
        <v>0.17323516673884798</v>
      </c>
      <c r="AB60" s="15">
        <v>6</v>
      </c>
      <c r="AC60" s="13">
        <v>5</v>
      </c>
      <c r="AD60" s="16">
        <v>0.52292138748474815</v>
      </c>
      <c r="AE60" s="16">
        <v>0.43576782290395677</v>
      </c>
      <c r="AF60" s="19">
        <v>8</v>
      </c>
      <c r="AG60" s="20">
        <v>5</v>
      </c>
      <c r="AH60" s="16">
        <v>0.69722851664633079</v>
      </c>
      <c r="AI60" s="21">
        <v>0.43576782290395677</v>
      </c>
      <c r="AJ60" s="22">
        <f>BattMobility!D195+cambio!D195+Claus2you!D195+CoopStroom!D195+Cozywheels!D195+Dégage!D195+Flexigo!D195+Klimaan!D195+Moovee!D195+Poppy!D195+'Mobilize Share'!D195+Stapp.in!D195</f>
        <v>8</v>
      </c>
      <c r="AK60" s="23">
        <f>BattMobility!E195+cambio!E195+Claus2you!E195+CoopStroom!E195+Cozywheels!E195+Dégage!E195+Flexigo!E195+Klimaan!E195+Moovee!E195+Poppy!E195+'Mobilize Share'!E195+Stapp.in!E195</f>
        <v>5</v>
      </c>
      <c r="AL60" s="21">
        <f t="shared" si="0"/>
        <v>0.7013852358407856</v>
      </c>
      <c r="AM60" s="21">
        <f t="shared" si="1"/>
        <v>0.43836577240049096</v>
      </c>
      <c r="AN60" s="25">
        <f t="shared" si="2"/>
        <v>2</v>
      </c>
      <c r="AO60" s="26">
        <f t="shared" si="3"/>
        <v>0.33333333333333331</v>
      </c>
      <c r="AP60" s="27">
        <f>BattMobility!F195+cambio!F195+Claus2you!F195+CoopStroom!F195+Cozywheels!F195+Dégage!F195+Flexigo!F195+Klimaan!F195+Moovee!F195+Poppy!F195+'Mobilize Share'!F195+Stapp.in!F195</f>
        <v>8</v>
      </c>
      <c r="AQ60" s="25">
        <f>BattMobility!G195+cambio!G195+Claus2you!G195+CoopStroom!G195+Cozywheels!G195+Dégage!G195+Flexigo!G195+Klimaan!G195+Moovee!G195+Poppy!G195+'Mobilize Share'!G195+Stapp.in!G195</f>
        <v>4</v>
      </c>
      <c r="AR60" s="29">
        <f t="shared" si="4"/>
        <v>0.7013852358407856</v>
      </c>
      <c r="AS60" s="29">
        <f t="shared" si="5"/>
        <v>0.3506926179203928</v>
      </c>
      <c r="AT60" s="25">
        <f t="shared" si="6"/>
        <v>0</v>
      </c>
      <c r="AU60" s="30">
        <v>22.948</v>
      </c>
      <c r="AV60" s="31">
        <v>14.948</v>
      </c>
    </row>
    <row r="61" spans="1:48" ht="14.25" customHeight="1" x14ac:dyDescent="0.35">
      <c r="A61" s="2" t="s">
        <v>111</v>
      </c>
      <c r="B61" s="13" t="s">
        <v>50</v>
      </c>
      <c r="C61" s="13">
        <v>44081</v>
      </c>
      <c r="D61" s="14">
        <v>15943</v>
      </c>
      <c r="E61" s="14">
        <v>16000</v>
      </c>
      <c r="F61" s="14">
        <v>16095</v>
      </c>
      <c r="G61" s="14">
        <v>16233</v>
      </c>
      <c r="H61" s="15">
        <v>0</v>
      </c>
      <c r="I61" s="13">
        <v>0</v>
      </c>
      <c r="J61" s="16">
        <v>0</v>
      </c>
      <c r="K61" s="15">
        <v>0</v>
      </c>
      <c r="L61" s="13">
        <v>0</v>
      </c>
      <c r="M61" s="16">
        <v>0</v>
      </c>
      <c r="N61" s="15">
        <v>4</v>
      </c>
      <c r="O61" s="13">
        <v>4</v>
      </c>
      <c r="P61" s="16">
        <v>0.25</v>
      </c>
      <c r="Q61" s="16">
        <v>0.25</v>
      </c>
      <c r="R61" s="18">
        <v>4</v>
      </c>
      <c r="S61" s="16">
        <v>0.25</v>
      </c>
      <c r="T61" s="18">
        <v>4</v>
      </c>
      <c r="U61" s="16">
        <v>0.25</v>
      </c>
      <c r="V61" s="18">
        <v>0</v>
      </c>
      <c r="W61" s="16">
        <v>0</v>
      </c>
      <c r="X61" s="15">
        <v>0</v>
      </c>
      <c r="Y61" s="13">
        <v>0</v>
      </c>
      <c r="Z61" s="16">
        <v>0</v>
      </c>
      <c r="AA61" s="16">
        <v>0</v>
      </c>
      <c r="AB61" s="15">
        <v>6</v>
      </c>
      <c r="AC61" s="13">
        <v>6</v>
      </c>
      <c r="AD61" s="16">
        <v>0.37278657968313139</v>
      </c>
      <c r="AE61" s="16">
        <v>0.37278657968313139</v>
      </c>
      <c r="AF61" s="19">
        <v>6</v>
      </c>
      <c r="AG61" s="20">
        <v>6</v>
      </c>
      <c r="AH61" s="16">
        <v>0.37278657968313139</v>
      </c>
      <c r="AI61" s="21">
        <v>0.37278657968313139</v>
      </c>
      <c r="AJ61" s="22">
        <f>BattMobility!D283+cambio!D283+Claus2you!D283+CoopStroom!D283+Cozywheels!D283+Dégage!D283+Flexigo!D283+Klimaan!D283+Moovee!D283+Poppy!D283+'Mobilize Share'!D283+Stapp.in!D283</f>
        <v>6</v>
      </c>
      <c r="AK61" s="23">
        <f>BattMobility!E283+cambio!E283+Claus2you!E283+CoopStroom!E283+Cozywheels!E283+Dégage!E283+Flexigo!E283+Klimaan!E283+Moovee!E283+Poppy!E283+'Mobilize Share'!E283+Stapp.in!E283</f>
        <v>6</v>
      </c>
      <c r="AL61" s="21">
        <f t="shared" si="0"/>
        <v>0.36961744594344853</v>
      </c>
      <c r="AM61" s="21">
        <f t="shared" si="1"/>
        <v>0.36961744594344853</v>
      </c>
      <c r="AN61" s="25">
        <f t="shared" si="2"/>
        <v>0</v>
      </c>
      <c r="AO61" s="26">
        <f t="shared" si="3"/>
        <v>0</v>
      </c>
      <c r="AP61" s="27">
        <f>BattMobility!F283+cambio!F283+Claus2you!F283+CoopStroom!F283+Cozywheels!F283+Dégage!F283+Flexigo!F283+Klimaan!F283+Moovee!F283+Poppy!F283+'Mobilize Share'!F283+Stapp.in!F283</f>
        <v>8</v>
      </c>
      <c r="AQ61" s="25">
        <f>BattMobility!G283+cambio!G283+Claus2you!G283+CoopStroom!G283+Cozywheels!G283+Dégage!G283+Flexigo!G283+Klimaan!G283+Moovee!G283+Poppy!G283+'Mobilize Share'!G283+Stapp.in!G283</f>
        <v>7</v>
      </c>
      <c r="AR61" s="29">
        <f t="shared" si="4"/>
        <v>0.49282326125793141</v>
      </c>
      <c r="AS61" s="29">
        <f t="shared" si="5"/>
        <v>0.43122035360068994</v>
      </c>
      <c r="AT61" s="25">
        <f t="shared" si="6"/>
        <v>2</v>
      </c>
      <c r="AU61" s="30">
        <v>32.19</v>
      </c>
      <c r="AV61" s="31">
        <v>26.189999999999998</v>
      </c>
    </row>
    <row r="62" spans="1:48" ht="14.25" customHeight="1" x14ac:dyDescent="0.35">
      <c r="A62" s="2" t="s">
        <v>112</v>
      </c>
      <c r="B62" s="13" t="s">
        <v>55</v>
      </c>
      <c r="C62" s="13">
        <v>31003</v>
      </c>
      <c r="D62" s="14">
        <v>15966</v>
      </c>
      <c r="E62" s="14">
        <v>16131</v>
      </c>
      <c r="F62" s="14">
        <v>16259</v>
      </c>
      <c r="G62" s="14">
        <v>16318</v>
      </c>
      <c r="H62" s="15">
        <v>2</v>
      </c>
      <c r="I62" s="13">
        <v>2</v>
      </c>
      <c r="J62" s="16">
        <v>0.12526619065514219</v>
      </c>
      <c r="K62" s="15">
        <v>2</v>
      </c>
      <c r="L62" s="13">
        <v>2</v>
      </c>
      <c r="M62" s="16">
        <v>0.12526619065514219</v>
      </c>
      <c r="N62" s="15">
        <v>2</v>
      </c>
      <c r="O62" s="13">
        <v>2</v>
      </c>
      <c r="P62" s="16">
        <v>0.12398487384539088</v>
      </c>
      <c r="Q62" s="16">
        <v>0.12398487384539088</v>
      </c>
      <c r="R62" s="18">
        <v>0</v>
      </c>
      <c r="S62" s="16">
        <v>-1.2813168097513122E-3</v>
      </c>
      <c r="T62" s="18">
        <v>0</v>
      </c>
      <c r="U62" s="16">
        <v>-1.2813168097513122E-3</v>
      </c>
      <c r="V62" s="18">
        <v>0</v>
      </c>
      <c r="W62" s="16">
        <v>0</v>
      </c>
      <c r="X62" s="15">
        <v>3</v>
      </c>
      <c r="Y62" s="13">
        <v>2</v>
      </c>
      <c r="Z62" s="16">
        <v>0.1859773107680863</v>
      </c>
      <c r="AA62" s="16">
        <v>0.12398487384539088</v>
      </c>
      <c r="AB62" s="15">
        <v>3</v>
      </c>
      <c r="AC62" s="13">
        <v>2</v>
      </c>
      <c r="AD62" s="16">
        <v>0.18451319269327757</v>
      </c>
      <c r="AE62" s="16">
        <v>0.1230087951288517</v>
      </c>
      <c r="AF62" s="19">
        <v>6</v>
      </c>
      <c r="AG62" s="20">
        <v>5</v>
      </c>
      <c r="AH62" s="16">
        <v>0.36902638538655513</v>
      </c>
      <c r="AI62" s="21">
        <v>0.30752198782212925</v>
      </c>
      <c r="AJ62" s="22">
        <f>BattMobility!D19+cambio!D19+Claus2you!D19+CoopStroom!D19+Cozywheels!D19+Dégage!D19+Flexigo!D19+Klimaan!D19+Moovee!D19+Poppy!D19+'Mobilize Share'!D19+Stapp.in!D19</f>
        <v>6</v>
      </c>
      <c r="AK62" s="23">
        <f>BattMobility!E19+cambio!E19+Claus2you!E19+CoopStroom!E19+Cozywheels!E19+Dégage!E19+Flexigo!E19+Klimaan!E19+Moovee!E19+Poppy!E19+'Mobilize Share'!E19+Stapp.in!E19</f>
        <v>5</v>
      </c>
      <c r="AL62" s="21">
        <f t="shared" si="0"/>
        <v>0.36769211913224659</v>
      </c>
      <c r="AM62" s="21">
        <f t="shared" si="1"/>
        <v>0.30641009927687218</v>
      </c>
      <c r="AN62" s="25">
        <f t="shared" si="2"/>
        <v>3</v>
      </c>
      <c r="AO62" s="26">
        <f t="shared" si="3"/>
        <v>1</v>
      </c>
      <c r="AP62" s="27">
        <f>BattMobility!F19+cambio!F19+Claus2you!F19+CoopStroom!F19+Cozywheels!F19+Dégage!F19+Flexigo!F19+Klimaan!F19+Moovee!F19+Poppy!F19+'Mobilize Share'!F19+Stapp.in!F19</f>
        <v>8</v>
      </c>
      <c r="AQ62" s="25">
        <f>BattMobility!G19+cambio!G19+Claus2you!G19+CoopStroom!G19+Cozywheels!G19+Dégage!G19+Flexigo!G19+Klimaan!G19+Moovee!G19+Poppy!G19+'Mobilize Share'!G19+Stapp.in!G19</f>
        <v>7</v>
      </c>
      <c r="AR62" s="29">
        <f t="shared" si="4"/>
        <v>0.4902561588429955</v>
      </c>
      <c r="AS62" s="29">
        <f t="shared" si="5"/>
        <v>0.42897413898762105</v>
      </c>
      <c r="AT62" s="25">
        <f t="shared" si="6"/>
        <v>2</v>
      </c>
      <c r="AU62" s="30">
        <v>32.518000000000001</v>
      </c>
      <c r="AV62" s="31">
        <v>26.518000000000001</v>
      </c>
    </row>
    <row r="63" spans="1:48" ht="14.25" customHeight="1" x14ac:dyDescent="0.35">
      <c r="A63" s="2" t="s">
        <v>113</v>
      </c>
      <c r="B63" s="13" t="s">
        <v>50</v>
      </c>
      <c r="C63" s="13">
        <v>41027</v>
      </c>
      <c r="D63" s="14">
        <v>18489</v>
      </c>
      <c r="E63" s="14">
        <v>18715</v>
      </c>
      <c r="F63" s="14">
        <v>18928</v>
      </c>
      <c r="G63" s="14">
        <v>19179</v>
      </c>
      <c r="H63" s="15">
        <v>4</v>
      </c>
      <c r="I63" s="13">
        <v>0</v>
      </c>
      <c r="J63" s="16">
        <v>0.21634485369679268</v>
      </c>
      <c r="K63" s="15">
        <v>3</v>
      </c>
      <c r="L63" s="13">
        <v>0</v>
      </c>
      <c r="M63" s="16">
        <v>0.16225864027259451</v>
      </c>
      <c r="N63" s="15">
        <v>3</v>
      </c>
      <c r="O63" s="13">
        <v>3</v>
      </c>
      <c r="P63" s="16">
        <v>0.16029922522041146</v>
      </c>
      <c r="Q63" s="16">
        <v>0.16029922522041146</v>
      </c>
      <c r="R63" s="18">
        <v>-1</v>
      </c>
      <c r="S63" s="16">
        <v>-5.6045628476381226E-2</v>
      </c>
      <c r="T63" s="18">
        <v>0</v>
      </c>
      <c r="U63" s="16">
        <v>-1.9594150521830556E-3</v>
      </c>
      <c r="V63" s="18">
        <v>0</v>
      </c>
      <c r="W63" s="16">
        <v>0</v>
      </c>
      <c r="X63" s="15">
        <v>4</v>
      </c>
      <c r="Y63" s="13">
        <v>3</v>
      </c>
      <c r="Z63" s="16">
        <v>0.2137323002938819</v>
      </c>
      <c r="AA63" s="16">
        <v>0.16029922522041146</v>
      </c>
      <c r="AB63" s="15">
        <v>5</v>
      </c>
      <c r="AC63" s="13">
        <v>4</v>
      </c>
      <c r="AD63" s="16">
        <v>0.26415891800507185</v>
      </c>
      <c r="AE63" s="16">
        <v>0.21132713440405748</v>
      </c>
      <c r="AF63" s="19">
        <v>5</v>
      </c>
      <c r="AG63" s="20">
        <v>4</v>
      </c>
      <c r="AH63" s="16">
        <v>0.26415891800507185</v>
      </c>
      <c r="AI63" s="21">
        <v>0.21132713440405748</v>
      </c>
      <c r="AJ63" s="22">
        <f>BattMobility!D98+cambio!D98+Claus2you!D98+CoopStroom!D98+Cozywheels!D98+Dégage!D98+Flexigo!D98+Klimaan!D98+Moovee!D98+Poppy!D98+'Mobilize Share'!D98+Stapp.in!D98</f>
        <v>5</v>
      </c>
      <c r="AK63" s="23">
        <f>BattMobility!E98+cambio!E98+Claus2you!E98+CoopStroom!E98+Cozywheels!E98+Dégage!E98+Flexigo!E98+Klimaan!E98+Moovee!E98+Poppy!E98+'Mobilize Share'!E98+Stapp.in!E98</f>
        <v>4</v>
      </c>
      <c r="AL63" s="21">
        <f t="shared" si="0"/>
        <v>0.26070180927055636</v>
      </c>
      <c r="AM63" s="21">
        <f t="shared" si="1"/>
        <v>0.20856144741644508</v>
      </c>
      <c r="AN63" s="25">
        <f t="shared" si="2"/>
        <v>0</v>
      </c>
      <c r="AO63" s="26">
        <f t="shared" si="3"/>
        <v>0</v>
      </c>
      <c r="AP63" s="27">
        <f>BattMobility!F98+cambio!F98+Claus2you!F98+CoopStroom!F98+Cozywheels!F98+Dégage!F98+Flexigo!F98+Klimaan!F98+Moovee!F98+Poppy!F98+'Mobilize Share'!F98+Stapp.in!F98</f>
        <v>8</v>
      </c>
      <c r="AQ63" s="25">
        <f>BattMobility!G98+cambio!G98+Claus2you!G98+CoopStroom!G98+Cozywheels!G98+Dégage!G98+Flexigo!G98+Klimaan!G98+Moovee!G98+Poppy!G98+'Mobilize Share'!G98+Stapp.in!G98</f>
        <v>7</v>
      </c>
      <c r="AR63" s="29">
        <f t="shared" si="4"/>
        <v>0.41712289483289017</v>
      </c>
      <c r="AS63" s="29">
        <f t="shared" si="5"/>
        <v>0.36498253297877886</v>
      </c>
      <c r="AT63" s="25">
        <f t="shared" si="6"/>
        <v>3</v>
      </c>
      <c r="AU63" s="30">
        <v>37.856000000000002</v>
      </c>
      <c r="AV63" s="31">
        <v>32.856000000000002</v>
      </c>
    </row>
    <row r="64" spans="1:48" ht="14.25" customHeight="1" x14ac:dyDescent="0.35">
      <c r="A64" s="2" t="s">
        <v>114</v>
      </c>
      <c r="B64" s="13" t="s">
        <v>50</v>
      </c>
      <c r="C64" s="13">
        <v>42011</v>
      </c>
      <c r="D64" s="14">
        <v>19719</v>
      </c>
      <c r="E64" s="14">
        <v>19925</v>
      </c>
      <c r="F64" s="14">
        <v>20059</v>
      </c>
      <c r="G64" s="14">
        <v>20298</v>
      </c>
      <c r="H64" s="15">
        <v>4</v>
      </c>
      <c r="I64" s="13">
        <v>0</v>
      </c>
      <c r="J64" s="16">
        <v>0.20285004310563415</v>
      </c>
      <c r="K64" s="15">
        <v>4</v>
      </c>
      <c r="L64" s="13">
        <v>0</v>
      </c>
      <c r="M64" s="16">
        <v>0.20285004310563415</v>
      </c>
      <c r="N64" s="15">
        <v>3</v>
      </c>
      <c r="O64" s="13">
        <v>3</v>
      </c>
      <c r="P64" s="16">
        <v>0.15056461731493101</v>
      </c>
      <c r="Q64" s="16">
        <v>0.15056461731493101</v>
      </c>
      <c r="R64" s="18">
        <v>-1</v>
      </c>
      <c r="S64" s="16">
        <v>-5.2285425790703138E-2</v>
      </c>
      <c r="T64" s="18">
        <v>-1</v>
      </c>
      <c r="U64" s="16">
        <v>-5.2285425790703138E-2</v>
      </c>
      <c r="V64" s="18">
        <v>0</v>
      </c>
      <c r="W64" s="16">
        <v>0</v>
      </c>
      <c r="X64" s="15">
        <v>4</v>
      </c>
      <c r="Y64" s="13">
        <v>3</v>
      </c>
      <c r="Z64" s="16">
        <v>0.20075282308657466</v>
      </c>
      <c r="AA64" s="16">
        <v>0.15056461731493101</v>
      </c>
      <c r="AB64" s="15">
        <v>5</v>
      </c>
      <c r="AC64" s="13">
        <v>4</v>
      </c>
      <c r="AD64" s="16">
        <v>0.24926466922578391</v>
      </c>
      <c r="AE64" s="16">
        <v>0.19941173538062715</v>
      </c>
      <c r="AF64" s="19">
        <v>6</v>
      </c>
      <c r="AG64" s="20">
        <v>5</v>
      </c>
      <c r="AH64" s="16">
        <v>0.29911760307094076</v>
      </c>
      <c r="AI64" s="21">
        <v>0.24926466922578391</v>
      </c>
      <c r="AJ64" s="22">
        <f>BattMobility!D142+cambio!D142+Claus2you!D142+CoopStroom!D142+Cozywheels!D142+Dégage!D142+Flexigo!D142+Klimaan!D142+Moovee!D142+Poppy!D142+'Mobilize Share'!D142+Stapp.in!D142</f>
        <v>6</v>
      </c>
      <c r="AK64" s="23">
        <f>BattMobility!E142+cambio!E142+Claus2you!E142+CoopStroom!E142+Cozywheels!E142+Dégage!E142+Flexigo!E142+Klimaan!E142+Moovee!E142+Poppy!E142+'Mobilize Share'!E142+Stapp.in!E142</f>
        <v>5</v>
      </c>
      <c r="AL64" s="21">
        <f t="shared" si="0"/>
        <v>0.2955956251847473</v>
      </c>
      <c r="AM64" s="21">
        <f t="shared" si="1"/>
        <v>0.24632968765395608</v>
      </c>
      <c r="AN64" s="25">
        <f t="shared" si="2"/>
        <v>1</v>
      </c>
      <c r="AO64" s="26">
        <f t="shared" si="3"/>
        <v>0.2</v>
      </c>
      <c r="AP64" s="27">
        <f>BattMobility!F142+cambio!F142+Claus2you!F142+CoopStroom!F142+Cozywheels!F142+Dégage!F142+Flexigo!F142+Klimaan!F142+Moovee!F142+Poppy!F142+'Mobilize Share'!F142+Stapp.in!F142</f>
        <v>8</v>
      </c>
      <c r="AQ64" s="25">
        <f>BattMobility!G142+cambio!G142+Claus2you!G142+CoopStroom!G142+Cozywheels!G142+Dégage!G142+Flexigo!G142+Klimaan!G142+Moovee!G142+Poppy!G142+'Mobilize Share'!G142+Stapp.in!G142</f>
        <v>7</v>
      </c>
      <c r="AR64" s="29">
        <f t="shared" si="4"/>
        <v>0.3941275002463297</v>
      </c>
      <c r="AS64" s="29">
        <f t="shared" si="5"/>
        <v>0.34486156271553847</v>
      </c>
      <c r="AT64" s="25">
        <f t="shared" si="6"/>
        <v>2</v>
      </c>
      <c r="AU64" s="30">
        <v>40.118000000000002</v>
      </c>
      <c r="AV64" s="31">
        <v>34.118000000000002</v>
      </c>
    </row>
    <row r="65" spans="1:48" ht="14.25" customHeight="1" x14ac:dyDescent="0.35">
      <c r="A65" s="12" t="s">
        <v>115</v>
      </c>
      <c r="B65" s="13" t="s">
        <v>55</v>
      </c>
      <c r="C65" s="13">
        <v>37021</v>
      </c>
      <c r="D65" s="14">
        <v>14852</v>
      </c>
      <c r="E65" s="14">
        <v>15039</v>
      </c>
      <c r="F65" s="14">
        <v>15161</v>
      </c>
      <c r="G65" s="14">
        <v>20781</v>
      </c>
      <c r="H65" s="15">
        <v>2</v>
      </c>
      <c r="I65" s="13">
        <v>1</v>
      </c>
      <c r="J65" s="16">
        <v>0.13466199838405601</v>
      </c>
      <c r="K65" s="15">
        <v>2</v>
      </c>
      <c r="L65" s="13">
        <v>1</v>
      </c>
      <c r="M65" s="16">
        <v>0.13466199838405601</v>
      </c>
      <c r="N65" s="15">
        <v>1</v>
      </c>
      <c r="O65" s="13">
        <v>1</v>
      </c>
      <c r="P65" s="16">
        <v>6.6493782831305276E-2</v>
      </c>
      <c r="Q65" s="16">
        <v>6.6493782831305276E-2</v>
      </c>
      <c r="R65" s="18">
        <v>-1</v>
      </c>
      <c r="S65" s="16">
        <v>-6.8168215552750738E-2</v>
      </c>
      <c r="T65" s="18">
        <v>-1</v>
      </c>
      <c r="U65" s="16">
        <v>-6.8168215552750738E-2</v>
      </c>
      <c r="V65" s="18">
        <v>0</v>
      </c>
      <c r="W65" s="16">
        <v>0</v>
      </c>
      <c r="X65" s="15">
        <v>1</v>
      </c>
      <c r="Y65" s="13">
        <v>1</v>
      </c>
      <c r="Z65" s="16">
        <v>6.6493782831305276E-2</v>
      </c>
      <c r="AA65" s="16">
        <v>6.6493782831305276E-2</v>
      </c>
      <c r="AB65" s="15">
        <f>2+'overzicht voor jun 25'!AA230</f>
        <v>5</v>
      </c>
      <c r="AC65" s="13">
        <v>1</v>
      </c>
      <c r="AD65" s="16">
        <v>0.13191741969527077</v>
      </c>
      <c r="AE65" s="16">
        <v>6.5958709847635383E-2</v>
      </c>
      <c r="AF65" s="19">
        <v>3</v>
      </c>
      <c r="AG65" s="20">
        <v>2</v>
      </c>
      <c r="AH65" s="16">
        <v>0.19787612954290615</v>
      </c>
      <c r="AI65" s="21">
        <v>0.13191741969527077</v>
      </c>
      <c r="AJ65" s="22">
        <f>BattMobility!D267+cambio!D267+Claus2you!D267+CoopStroom!D267+Cozywheels!D267+Dégage!D267+Flexigo!D267+Klimaan!D267+Moovee!D267+Poppy!D267+'Mobilize Share'!D267+Stapp.in!D267</f>
        <v>7</v>
      </c>
      <c r="AK65" s="23">
        <f>BattMobility!E267+cambio!E267+Claus2you!E267+CoopStroom!E267+Cozywheels!E267+Dégage!E267+Flexigo!E267+Klimaan!E267+Moovee!E267+Poppy!E267+'Mobilize Share'!E267+Stapp.in!E267</f>
        <v>3</v>
      </c>
      <c r="AL65" s="21">
        <f t="shared" si="0"/>
        <v>0.33684615754775998</v>
      </c>
      <c r="AM65" s="21">
        <f t="shared" si="1"/>
        <v>0.14436263894903997</v>
      </c>
      <c r="AN65" s="25">
        <f t="shared" si="2"/>
        <v>2</v>
      </c>
      <c r="AO65" s="26">
        <f t="shared" si="3"/>
        <v>0.4</v>
      </c>
      <c r="AP65" s="27">
        <f>BattMobility!F267+cambio!F267+Claus2you!F267+CoopStroom!F267+Cozywheels!F267+Dégage!F267+Flexigo!F267+Klimaan!F267+Moovee!F267+Poppy!F267+'Mobilize Share'!F267+Stapp.in!F267</f>
        <v>8</v>
      </c>
      <c r="AQ65" s="25">
        <f>BattMobility!G267+cambio!G267+Claus2you!G267+CoopStroom!G267+Cozywheels!G267+Dégage!G267+Flexigo!G267+Klimaan!G267+Moovee!G267+Poppy!G267+'Mobilize Share'!G267+Stapp.in!G267</f>
        <v>3</v>
      </c>
      <c r="AR65" s="29">
        <f t="shared" si="4"/>
        <v>0.38496703719743997</v>
      </c>
      <c r="AS65" s="29">
        <f t="shared" si="5"/>
        <v>0.14436263894903997</v>
      </c>
      <c r="AT65" s="25">
        <f t="shared" si="6"/>
        <v>5</v>
      </c>
      <c r="AU65" s="30">
        <v>30.321999999999999</v>
      </c>
      <c r="AV65" s="31">
        <v>27.321999999999999</v>
      </c>
    </row>
    <row r="66" spans="1:48" ht="14.25" customHeight="1" x14ac:dyDescent="0.35">
      <c r="A66" s="2" t="s">
        <v>116</v>
      </c>
      <c r="B66" s="13" t="s">
        <v>50</v>
      </c>
      <c r="C66" s="13">
        <v>41082</v>
      </c>
      <c r="D66" s="14">
        <v>20606</v>
      </c>
      <c r="E66" s="14">
        <v>20843</v>
      </c>
      <c r="F66" s="14">
        <v>21013</v>
      </c>
      <c r="G66" s="14">
        <v>21117</v>
      </c>
      <c r="H66" s="15">
        <v>2</v>
      </c>
      <c r="I66" s="13">
        <v>0</v>
      </c>
      <c r="J66" s="16">
        <v>9.7059108997379406E-2</v>
      </c>
      <c r="K66" s="15">
        <v>2</v>
      </c>
      <c r="L66" s="13">
        <v>0</v>
      </c>
      <c r="M66" s="16">
        <v>9.7059108997379406E-2</v>
      </c>
      <c r="N66" s="15">
        <v>2</v>
      </c>
      <c r="O66" s="13">
        <v>2</v>
      </c>
      <c r="P66" s="16">
        <v>9.5955476658830294E-2</v>
      </c>
      <c r="Q66" s="16">
        <v>9.5955476658830294E-2</v>
      </c>
      <c r="R66" s="18">
        <v>0</v>
      </c>
      <c r="S66" s="16">
        <v>-1.1036323385491126E-3</v>
      </c>
      <c r="T66" s="18">
        <v>0</v>
      </c>
      <c r="U66" s="16">
        <v>-1.1036323385491126E-3</v>
      </c>
      <c r="V66" s="18">
        <v>0</v>
      </c>
      <c r="W66" s="16">
        <v>0</v>
      </c>
      <c r="X66" s="15">
        <v>2</v>
      </c>
      <c r="Y66" s="13">
        <v>2</v>
      </c>
      <c r="Z66" s="16">
        <v>9.5955476658830294E-2</v>
      </c>
      <c r="AA66" s="16">
        <v>9.5955476658830294E-2</v>
      </c>
      <c r="AB66" s="15">
        <v>4</v>
      </c>
      <c r="AC66" s="13">
        <v>4</v>
      </c>
      <c r="AD66" s="16">
        <v>0.19035834959310902</v>
      </c>
      <c r="AE66" s="16">
        <v>0.19035834959310902</v>
      </c>
      <c r="AF66" s="19">
        <v>7</v>
      </c>
      <c r="AG66" s="20">
        <v>6</v>
      </c>
      <c r="AH66" s="16">
        <v>0.3331271117879408</v>
      </c>
      <c r="AI66" s="21">
        <v>0.28553752438966351</v>
      </c>
      <c r="AJ66" s="22">
        <f>BattMobility!D66+cambio!D66+Claus2you!D66+CoopStroom!D66+Cozywheels!D66+Dégage!D66+Flexigo!D66+Klimaan!D66+Moovee!D66+Poppy!D66+'Mobilize Share'!D66+Stapp.in!D66</f>
        <v>8</v>
      </c>
      <c r="AK66" s="23">
        <f>BattMobility!E66+cambio!E66+Claus2you!E66+CoopStroom!E66+Cozywheels!E66+Dégage!E66+Flexigo!E66+Klimaan!E66+Moovee!E66+Poppy!E66+'Mobilize Share'!E66+Stapp.in!E66</f>
        <v>6</v>
      </c>
      <c r="AL66" s="21">
        <f t="shared" si="0"/>
        <v>0.37884169152815267</v>
      </c>
      <c r="AM66" s="21">
        <f t="shared" si="1"/>
        <v>0.28413126864611449</v>
      </c>
      <c r="AN66" s="25">
        <f t="shared" si="2"/>
        <v>4</v>
      </c>
      <c r="AO66" s="26">
        <f t="shared" si="3"/>
        <v>1</v>
      </c>
      <c r="AP66" s="27">
        <f>BattMobility!F66+cambio!F66+Claus2you!F66+CoopStroom!F66+Cozywheels!F66+Dégage!F66+Flexigo!F66+Klimaan!F66+Moovee!F66+Poppy!F66+'Mobilize Share'!F66+Stapp.in!F66</f>
        <v>8</v>
      </c>
      <c r="AQ66" s="25">
        <f>BattMobility!G66+cambio!G66+Claus2you!G66+CoopStroom!G66+Cozywheels!G66+Dégage!G66+Flexigo!G66+Klimaan!G66+Moovee!G66+Poppy!G66+'Mobilize Share'!G66+Stapp.in!G66</f>
        <v>6</v>
      </c>
      <c r="AR66" s="29">
        <f t="shared" si="4"/>
        <v>0.37884169152815267</v>
      </c>
      <c r="AS66" s="29">
        <f t="shared" si="5"/>
        <v>0.28413126864611449</v>
      </c>
      <c r="AT66" s="25">
        <f t="shared" si="6"/>
        <v>1</v>
      </c>
      <c r="AU66" s="30">
        <v>42.026000000000003</v>
      </c>
      <c r="AV66" s="31">
        <v>35.026000000000003</v>
      </c>
    </row>
    <row r="67" spans="1:48" ht="14.25" customHeight="1" x14ac:dyDescent="0.35">
      <c r="A67" s="2" t="s">
        <v>117</v>
      </c>
      <c r="B67" s="13" t="s">
        <v>52</v>
      </c>
      <c r="C67" s="13">
        <v>24055</v>
      </c>
      <c r="D67" s="14">
        <v>20462</v>
      </c>
      <c r="E67" s="14">
        <v>20920</v>
      </c>
      <c r="F67" s="14">
        <v>21165</v>
      </c>
      <c r="G67" s="14">
        <v>21386</v>
      </c>
      <c r="H67" s="15">
        <v>1</v>
      </c>
      <c r="I67" s="13">
        <v>0</v>
      </c>
      <c r="J67" s="16">
        <v>4.8871078095982796E-2</v>
      </c>
      <c r="K67" s="15">
        <v>3</v>
      </c>
      <c r="L67" s="13">
        <v>0</v>
      </c>
      <c r="M67" s="16">
        <v>0.1466132342879484</v>
      </c>
      <c r="N67" s="15">
        <v>12</v>
      </c>
      <c r="O67" s="13">
        <v>0</v>
      </c>
      <c r="P67" s="16">
        <v>0.57361376673040154</v>
      </c>
      <c r="Q67" s="16">
        <v>0</v>
      </c>
      <c r="R67" s="18">
        <v>11</v>
      </c>
      <c r="S67" s="16">
        <v>0.52474268863441875</v>
      </c>
      <c r="T67" s="18">
        <v>9</v>
      </c>
      <c r="U67" s="16">
        <v>0.42700053244245317</v>
      </c>
      <c r="V67" s="18">
        <v>3</v>
      </c>
      <c r="W67" s="16">
        <v>0.14340344168260039</v>
      </c>
      <c r="X67" s="15">
        <v>4</v>
      </c>
      <c r="Y67" s="13">
        <v>0</v>
      </c>
      <c r="Z67" s="16">
        <v>0.19120458891013384</v>
      </c>
      <c r="AA67" s="16">
        <v>0</v>
      </c>
      <c r="AB67" s="15">
        <v>6</v>
      </c>
      <c r="AC67" s="13">
        <v>0</v>
      </c>
      <c r="AD67" s="16">
        <v>0.28348688873139616</v>
      </c>
      <c r="AE67" s="16">
        <v>0</v>
      </c>
      <c r="AF67" s="19">
        <v>9</v>
      </c>
      <c r="AG67" s="20">
        <v>1</v>
      </c>
      <c r="AH67" s="16">
        <v>0.42523033309709424</v>
      </c>
      <c r="AI67" s="21">
        <v>4.7247814788566024E-2</v>
      </c>
      <c r="AJ67" s="22">
        <f>BattMobility!D132+cambio!D132+Claus2you!D132+CoopStroom!D132+Cozywheels!D132+Dégage!D132+Flexigo!D132+Klimaan!D132+Moovee!D132+Poppy!D132+'Mobilize Share'!D132+Stapp.in!D132</f>
        <v>7</v>
      </c>
      <c r="AK67" s="23">
        <f>BattMobility!E132+cambio!E132+Claus2you!E132+CoopStroom!E132+Cozywheels!E132+Dégage!E132+Flexigo!E132+Klimaan!E132+Moovee!E132+Poppy!E132+'Mobilize Share'!E132+Stapp.in!E132</f>
        <v>1</v>
      </c>
      <c r="AL67" s="21">
        <f t="shared" si="0"/>
        <v>0.32731693631347608</v>
      </c>
      <c r="AM67" s="21">
        <f t="shared" si="1"/>
        <v>4.6759562330496586E-2</v>
      </c>
      <c r="AN67" s="25">
        <f t="shared" si="2"/>
        <v>1</v>
      </c>
      <c r="AO67" s="26">
        <f t="shared" si="3"/>
        <v>0.16666666666666666</v>
      </c>
      <c r="AP67" s="27">
        <f>BattMobility!F132+cambio!F132+Claus2you!F132+CoopStroom!F132+Cozywheels!F132+Dégage!F132+Flexigo!F132+Klimaan!F132+Moovee!F132+Poppy!F132+'Mobilize Share'!F132+Stapp.in!F132</f>
        <v>8</v>
      </c>
      <c r="AQ67" s="25">
        <f>BattMobility!G132+cambio!G132+Claus2you!G132+CoopStroom!G132+Cozywheels!G132+Dégage!G132+Flexigo!G132+Klimaan!G132+Moovee!G132+Poppy!G132+'Mobilize Share'!G132+Stapp.in!G132</f>
        <v>2</v>
      </c>
      <c r="AR67" s="29">
        <f t="shared" si="4"/>
        <v>0.37407649864397269</v>
      </c>
      <c r="AS67" s="29">
        <f t="shared" si="5"/>
        <v>9.3519124660993172E-2</v>
      </c>
      <c r="AT67" s="25">
        <f t="shared" si="6"/>
        <v>-1</v>
      </c>
      <c r="AU67" s="30">
        <v>42.33</v>
      </c>
      <c r="AV67" s="31">
        <v>33.33</v>
      </c>
    </row>
    <row r="68" spans="1:48" ht="14.25" customHeight="1" x14ac:dyDescent="0.35">
      <c r="A68" s="2" t="s">
        <v>118</v>
      </c>
      <c r="B68" s="13" t="s">
        <v>50</v>
      </c>
      <c r="C68" s="13">
        <v>43005</v>
      </c>
      <c r="D68" s="14">
        <v>21775</v>
      </c>
      <c r="E68" s="14">
        <v>22140</v>
      </c>
      <c r="F68" s="14">
        <v>22401</v>
      </c>
      <c r="G68" s="14">
        <v>22733</v>
      </c>
      <c r="H68" s="15">
        <v>3</v>
      </c>
      <c r="I68" s="13">
        <v>1</v>
      </c>
      <c r="J68" s="16">
        <v>0.13777267508610794</v>
      </c>
      <c r="K68" s="15">
        <v>3</v>
      </c>
      <c r="L68" s="13">
        <v>1</v>
      </c>
      <c r="M68" s="16">
        <v>0.13777267508610794</v>
      </c>
      <c r="N68" s="15">
        <v>4</v>
      </c>
      <c r="O68" s="13">
        <v>1</v>
      </c>
      <c r="P68" s="16">
        <v>0.18066847335140018</v>
      </c>
      <c r="Q68" s="16">
        <v>4.5167118337850046E-2</v>
      </c>
      <c r="R68" s="18">
        <v>1</v>
      </c>
      <c r="S68" s="16">
        <v>4.2895798265292245E-2</v>
      </c>
      <c r="T68" s="18">
        <v>1</v>
      </c>
      <c r="U68" s="16">
        <v>4.2895798265292245E-2</v>
      </c>
      <c r="V68" s="18">
        <v>1</v>
      </c>
      <c r="W68" s="16">
        <v>4.5167118337850046E-2</v>
      </c>
      <c r="X68" s="15">
        <v>8</v>
      </c>
      <c r="Y68" s="13">
        <v>1</v>
      </c>
      <c r="Z68" s="16">
        <v>0.36133694670280037</v>
      </c>
      <c r="AA68" s="16">
        <v>4.5167118337850046E-2</v>
      </c>
      <c r="AB68" s="15">
        <v>8</v>
      </c>
      <c r="AC68" s="13">
        <v>2</v>
      </c>
      <c r="AD68" s="16">
        <v>0.35712691397705459</v>
      </c>
      <c r="AE68" s="16">
        <v>8.9281728494263649E-2</v>
      </c>
      <c r="AF68" s="19">
        <v>8</v>
      </c>
      <c r="AG68" s="20">
        <v>2</v>
      </c>
      <c r="AH68" s="16">
        <v>0.35712691397705459</v>
      </c>
      <c r="AI68" s="21">
        <v>8.9281728494263649E-2</v>
      </c>
      <c r="AJ68" s="22">
        <f>BattMobility!D65+cambio!D65+Claus2you!D65+CoopStroom!D65+Cozywheels!D65+Dégage!D65+Flexigo!D65+Klimaan!D65+Moovee!D65+Poppy!D65+'Mobilize Share'!D65+Stapp.in!D65</f>
        <v>8</v>
      </c>
      <c r="AK68" s="23">
        <f>BattMobility!E65+cambio!E65+Claus2you!E65+CoopStroom!E65+Cozywheels!E65+Dégage!E65+Flexigo!E65+Klimaan!E65+Moovee!E65+Poppy!E65+'Mobilize Share'!E65+Stapp.in!E65</f>
        <v>2</v>
      </c>
      <c r="AL68" s="21">
        <f t="shared" si="0"/>
        <v>0.35191131834777634</v>
      </c>
      <c r="AM68" s="21">
        <f t="shared" si="1"/>
        <v>8.7977829586944084E-2</v>
      </c>
      <c r="AN68" s="25">
        <f t="shared" si="2"/>
        <v>0</v>
      </c>
      <c r="AO68" s="26">
        <f t="shared" si="3"/>
        <v>0</v>
      </c>
      <c r="AP68" s="27">
        <f>BattMobility!F65+cambio!F65+Claus2you!F65+CoopStroom!F65+Cozywheels!F65+Dégage!F65+Flexigo!F65+Klimaan!F65+Moovee!F65+Poppy!F65+'Mobilize Share'!F65+Stapp.in!F65</f>
        <v>8</v>
      </c>
      <c r="AQ68" s="25">
        <f>BattMobility!G65+cambio!G65+Claus2you!G65+CoopStroom!G65+Cozywheels!G65+Dégage!G65+Flexigo!G65+Klimaan!G65+Moovee!G65+Poppy!G65+'Mobilize Share'!G65+Stapp.in!G65</f>
        <v>2</v>
      </c>
      <c r="AR68" s="29">
        <f t="shared" si="4"/>
        <v>0.35191131834777634</v>
      </c>
      <c r="AS68" s="29">
        <f t="shared" si="5"/>
        <v>8.7977829586944084E-2</v>
      </c>
      <c r="AT68" s="25">
        <f t="shared" si="6"/>
        <v>0</v>
      </c>
      <c r="AU68" s="30">
        <v>44.802</v>
      </c>
      <c r="AV68" s="31">
        <v>36.802</v>
      </c>
    </row>
    <row r="69" spans="1:48" ht="14.25" customHeight="1" x14ac:dyDescent="0.35">
      <c r="A69" s="2" t="s">
        <v>119</v>
      </c>
      <c r="B69" s="13" t="s">
        <v>52</v>
      </c>
      <c r="C69" s="13">
        <v>23096</v>
      </c>
      <c r="D69" s="14">
        <v>23306</v>
      </c>
      <c r="E69" s="14">
        <v>23357</v>
      </c>
      <c r="F69" s="14">
        <v>23401</v>
      </c>
      <c r="G69" s="14">
        <v>23369</v>
      </c>
      <c r="H69" s="15">
        <v>5</v>
      </c>
      <c r="I69" s="13">
        <v>0</v>
      </c>
      <c r="J69" s="16">
        <v>0.21453702909122116</v>
      </c>
      <c r="K69" s="15">
        <v>3</v>
      </c>
      <c r="L69" s="13">
        <v>0</v>
      </c>
      <c r="M69" s="16">
        <v>0.1287222174547327</v>
      </c>
      <c r="N69" s="15">
        <v>4</v>
      </c>
      <c r="O69" s="13">
        <v>2</v>
      </c>
      <c r="P69" s="16">
        <v>0.17125487006036733</v>
      </c>
      <c r="Q69" s="16">
        <v>8.5627435030183663E-2</v>
      </c>
      <c r="R69" s="18">
        <v>-1</v>
      </c>
      <c r="S69" s="16">
        <v>-4.3282159030853834E-2</v>
      </c>
      <c r="T69" s="18">
        <v>1</v>
      </c>
      <c r="U69" s="16">
        <v>4.253265260563463E-2</v>
      </c>
      <c r="V69" s="18">
        <v>2</v>
      </c>
      <c r="W69" s="16">
        <v>8.5627435030183663E-2</v>
      </c>
      <c r="X69" s="15">
        <v>5</v>
      </c>
      <c r="Y69" s="13">
        <v>2</v>
      </c>
      <c r="Z69" s="16">
        <v>0.21406858757545916</v>
      </c>
      <c r="AA69" s="16">
        <v>8.5627435030183663E-2</v>
      </c>
      <c r="AB69" s="15">
        <v>7</v>
      </c>
      <c r="AC69" s="13">
        <v>4</v>
      </c>
      <c r="AD69" s="16">
        <v>0.29913251570445709</v>
      </c>
      <c r="AE69" s="16">
        <v>0.17093286611683259</v>
      </c>
      <c r="AF69" s="19">
        <v>7</v>
      </c>
      <c r="AG69" s="20">
        <v>4</v>
      </c>
      <c r="AH69" s="16">
        <v>0.29913251570445709</v>
      </c>
      <c r="AI69" s="21">
        <v>0.17093286611683259</v>
      </c>
      <c r="AJ69" s="22">
        <f>BattMobility!D276+cambio!D276+Claus2you!D276+CoopStroom!D276+Cozywheels!D276+Dégage!D276+Flexigo!D276+Klimaan!D276+Moovee!D276+Poppy!D276+'Mobilize Share'!D276+Stapp.in!D276</f>
        <v>7</v>
      </c>
      <c r="AK69" s="23">
        <f>BattMobility!E276+cambio!E276+Claus2you!E276+CoopStroom!E276+Cozywheels!E276+Dégage!E276+Flexigo!E276+Klimaan!E276+Moovee!E276+Poppy!E276+'Mobilize Share'!E276+Stapp.in!E276</f>
        <v>3</v>
      </c>
      <c r="AL69" s="21">
        <f t="shared" si="0"/>
        <v>0.29954212846078138</v>
      </c>
      <c r="AM69" s="21">
        <f t="shared" si="1"/>
        <v>0.12837519791176344</v>
      </c>
      <c r="AN69" s="25">
        <f t="shared" si="2"/>
        <v>0</v>
      </c>
      <c r="AO69" s="26">
        <f t="shared" si="3"/>
        <v>0</v>
      </c>
      <c r="AP69" s="27">
        <f>BattMobility!F276+cambio!F276+Claus2you!F276+CoopStroom!F276+Cozywheels!F276+Dégage!F276+Flexigo!F276+Klimaan!F276+Moovee!F276+Poppy!F276+'Mobilize Share'!F276+Stapp.in!F276</f>
        <v>8</v>
      </c>
      <c r="AQ69" s="25">
        <f>BattMobility!G276+cambio!G276+Claus2you!G276+CoopStroom!G276+Cozywheels!G276+Dégage!G276+Flexigo!G276+Klimaan!G276+Moovee!G276+Poppy!G276+'Mobilize Share'!G276+Stapp.in!G276</f>
        <v>3</v>
      </c>
      <c r="AR69" s="29">
        <f t="shared" si="4"/>
        <v>0.34233386109803587</v>
      </c>
      <c r="AS69" s="29">
        <f t="shared" si="5"/>
        <v>0.12837519791176344</v>
      </c>
      <c r="AT69" s="25">
        <f t="shared" si="6"/>
        <v>1</v>
      </c>
      <c r="AU69" s="30">
        <v>46.802</v>
      </c>
      <c r="AV69" s="31">
        <v>39.802</v>
      </c>
    </row>
    <row r="70" spans="1:48" ht="14.25" customHeight="1" x14ac:dyDescent="0.35">
      <c r="A70" s="2" t="s">
        <v>120</v>
      </c>
      <c r="B70" s="13" t="s">
        <v>50</v>
      </c>
      <c r="C70" s="13">
        <v>41081</v>
      </c>
      <c r="D70" s="14">
        <v>27341</v>
      </c>
      <c r="E70" s="14">
        <v>27677</v>
      </c>
      <c r="F70" s="14">
        <v>28085</v>
      </c>
      <c r="G70" s="14">
        <v>28236</v>
      </c>
      <c r="H70" s="15">
        <v>3</v>
      </c>
      <c r="I70" s="13">
        <v>0</v>
      </c>
      <c r="J70" s="16">
        <v>0.10972532094656377</v>
      </c>
      <c r="K70" s="15">
        <v>5</v>
      </c>
      <c r="L70" s="13">
        <v>0</v>
      </c>
      <c r="M70" s="16">
        <v>0.18287553491093961</v>
      </c>
      <c r="N70" s="15">
        <v>4</v>
      </c>
      <c r="O70" s="13">
        <v>3</v>
      </c>
      <c r="P70" s="16">
        <v>0.1445243342847852</v>
      </c>
      <c r="Q70" s="16">
        <v>0.10839325071358891</v>
      </c>
      <c r="R70" s="18">
        <v>1</v>
      </c>
      <c r="S70" s="16">
        <v>3.4799013338221427E-2</v>
      </c>
      <c r="T70" s="18">
        <v>-1</v>
      </c>
      <c r="U70" s="16">
        <v>-3.8351200626154408E-2</v>
      </c>
      <c r="V70" s="18">
        <v>1</v>
      </c>
      <c r="W70" s="16">
        <v>3.61310835711963E-2</v>
      </c>
      <c r="X70" s="15">
        <v>5</v>
      </c>
      <c r="Y70" s="13">
        <v>3</v>
      </c>
      <c r="Z70" s="16">
        <v>0.18065541785598149</v>
      </c>
      <c r="AA70" s="16">
        <v>0.10839325071358891</v>
      </c>
      <c r="AB70" s="15">
        <v>5</v>
      </c>
      <c r="AC70" s="13">
        <v>4</v>
      </c>
      <c r="AD70" s="16">
        <v>0.17803097739006588</v>
      </c>
      <c r="AE70" s="16">
        <v>0.14242478191205271</v>
      </c>
      <c r="AF70" s="19">
        <v>8</v>
      </c>
      <c r="AG70" s="20">
        <v>5</v>
      </c>
      <c r="AH70" s="16">
        <v>0.28484956382410542</v>
      </c>
      <c r="AI70" s="21">
        <v>0.17803097739006588</v>
      </c>
      <c r="AJ70" s="22">
        <f>BattMobility!D280+cambio!D280+Claus2you!D280+CoopStroom!D280+Cozywheels!D280+Dégage!D280+Flexigo!D280+Klimaan!D280+Moovee!D280+Poppy!D280+'Mobilize Share'!D280+Stapp.in!D280</f>
        <v>8</v>
      </c>
      <c r="AK70" s="23">
        <f>BattMobility!E280+cambio!E280+Claus2you!E280+CoopStroom!E280+Cozywheels!E280+Dégage!E280+Flexigo!E280+Klimaan!E280+Moovee!E280+Poppy!E280+'Mobilize Share'!E280+Stapp.in!E280</f>
        <v>4</v>
      </c>
      <c r="AL70" s="21">
        <f t="shared" si="0"/>
        <v>0.28332625017707891</v>
      </c>
      <c r="AM70" s="21">
        <f t="shared" si="1"/>
        <v>0.14166312508853945</v>
      </c>
      <c r="AN70" s="25">
        <f t="shared" si="2"/>
        <v>3</v>
      </c>
      <c r="AO70" s="26">
        <f t="shared" si="3"/>
        <v>0.6</v>
      </c>
      <c r="AP70" s="27">
        <f>BattMobility!F280+cambio!F280+Claus2you!F280+CoopStroom!F280+Cozywheels!F280+Dégage!F280+Flexigo!F280+Klimaan!F280+Moovee!F280+Poppy!F280+'Mobilize Share'!F280+Stapp.in!F280</f>
        <v>8</v>
      </c>
      <c r="AQ70" s="25">
        <f>BattMobility!G280+cambio!G280+Claus2you!G280+CoopStroom!G280+Cozywheels!G280+Dégage!G280+Flexigo!G280+Klimaan!G280+Moovee!G280+Poppy!G280+'Mobilize Share'!G280+Stapp.in!G280</f>
        <v>5</v>
      </c>
      <c r="AR70" s="29">
        <f t="shared" si="4"/>
        <v>0.28332625017707891</v>
      </c>
      <c r="AS70" s="29">
        <f t="shared" si="5"/>
        <v>0.1770789063606743</v>
      </c>
      <c r="AT70" s="25">
        <f t="shared" si="6"/>
        <v>0</v>
      </c>
      <c r="AU70" s="30">
        <v>56.17</v>
      </c>
      <c r="AV70" s="31">
        <v>48.17</v>
      </c>
    </row>
    <row r="71" spans="1:48" ht="14.25" customHeight="1" x14ac:dyDescent="0.35">
      <c r="A71" s="2" t="s">
        <v>121</v>
      </c>
      <c r="B71" s="13" t="s">
        <v>50</v>
      </c>
      <c r="C71" s="13">
        <v>44052</v>
      </c>
      <c r="D71" s="14">
        <v>13840</v>
      </c>
      <c r="E71" s="14">
        <v>14024</v>
      </c>
      <c r="F71" s="14">
        <v>14062</v>
      </c>
      <c r="G71" s="14">
        <v>14088</v>
      </c>
      <c r="H71" s="15">
        <v>5</v>
      </c>
      <c r="I71" s="13">
        <v>0</v>
      </c>
      <c r="J71" s="16">
        <v>0.36127167630057799</v>
      </c>
      <c r="K71" s="15">
        <v>7</v>
      </c>
      <c r="L71" s="13">
        <v>0</v>
      </c>
      <c r="M71" s="16">
        <v>0.50578034682080919</v>
      </c>
      <c r="N71" s="15">
        <v>4</v>
      </c>
      <c r="O71" s="13">
        <v>2</v>
      </c>
      <c r="P71" s="16">
        <v>0.2852253280091272</v>
      </c>
      <c r="Q71" s="16">
        <v>0.1426126640045636</v>
      </c>
      <c r="R71" s="18">
        <v>-1</v>
      </c>
      <c r="S71" s="16">
        <v>-7.6046348291450794E-2</v>
      </c>
      <c r="T71" s="18">
        <v>-3</v>
      </c>
      <c r="U71" s="16">
        <v>-0.22055501881168199</v>
      </c>
      <c r="V71" s="18">
        <v>2</v>
      </c>
      <c r="W71" s="16">
        <v>0.1426126640045636</v>
      </c>
      <c r="X71" s="15">
        <v>5</v>
      </c>
      <c r="Y71" s="13">
        <v>2</v>
      </c>
      <c r="Z71" s="16">
        <v>0.35653166001140901</v>
      </c>
      <c r="AA71" s="16">
        <v>0.1426126640045636</v>
      </c>
      <c r="AB71" s="15">
        <v>6</v>
      </c>
      <c r="AC71" s="13">
        <v>2</v>
      </c>
      <c r="AD71" s="16">
        <v>0.42668183757644718</v>
      </c>
      <c r="AE71" s="16">
        <v>0.14222727919214906</v>
      </c>
      <c r="AF71" s="19">
        <v>6</v>
      </c>
      <c r="AG71" s="20">
        <v>3</v>
      </c>
      <c r="AH71" s="16">
        <v>0.42668183757644718</v>
      </c>
      <c r="AI71" s="21">
        <v>0.21334091878822359</v>
      </c>
      <c r="AJ71" s="22">
        <f>BattMobility!D191+cambio!D191+Claus2you!D191+CoopStroom!D191+Cozywheels!D191+Dégage!D191+Flexigo!D191+Klimaan!D191+Moovee!D191+Poppy!D191+'Mobilize Share'!D191+Stapp.in!D191</f>
        <v>7</v>
      </c>
      <c r="AK71" s="23">
        <f>BattMobility!E191+cambio!E191+Claus2you!E191+CoopStroom!E191+Cozywheels!E191+Dégage!E191+Flexigo!E191+Klimaan!E191+Moovee!E191+Poppy!E191+'Mobilize Share'!E191+Stapp.in!E191</f>
        <v>3</v>
      </c>
      <c r="AL71" s="21">
        <f t="shared" si="0"/>
        <v>0.49687677455990908</v>
      </c>
      <c r="AM71" s="21">
        <f t="shared" si="1"/>
        <v>0.21294718909710392</v>
      </c>
      <c r="AN71" s="25">
        <f t="shared" si="2"/>
        <v>1</v>
      </c>
      <c r="AO71" s="26">
        <f t="shared" si="3"/>
        <v>0.16666666666666666</v>
      </c>
      <c r="AP71" s="27">
        <f>BattMobility!F191+cambio!F191+Claus2you!F191+CoopStroom!F191+Cozywheels!F191+Dégage!F191+Flexigo!F191+Klimaan!F191+Moovee!F191+Poppy!F191+'Mobilize Share'!F191+Stapp.in!F191</f>
        <v>7</v>
      </c>
      <c r="AQ71" s="25">
        <f>BattMobility!G191+cambio!G191+Claus2you!G191+CoopStroom!G191+Cozywheels!G191+Dégage!G191+Flexigo!G191+Klimaan!G191+Moovee!G191+Poppy!G191+'Mobilize Share'!G191+Stapp.in!G191</f>
        <v>3</v>
      </c>
      <c r="AR71" s="29">
        <f t="shared" si="4"/>
        <v>0.49687677455990908</v>
      </c>
      <c r="AS71" s="29">
        <f t="shared" si="5"/>
        <v>0.21294718909710392</v>
      </c>
      <c r="AT71" s="25">
        <f t="shared" si="6"/>
        <v>1</v>
      </c>
      <c r="AU71" s="30">
        <v>28.123999999999999</v>
      </c>
      <c r="AV71" s="31">
        <v>22.123999999999999</v>
      </c>
    </row>
    <row r="72" spans="1:48" ht="14.25" customHeight="1" x14ac:dyDescent="0.35">
      <c r="A72" s="2" t="s">
        <v>122</v>
      </c>
      <c r="B72" s="13" t="s">
        <v>50</v>
      </c>
      <c r="C72" s="13">
        <v>45068</v>
      </c>
      <c r="D72" s="14">
        <v>15876</v>
      </c>
      <c r="E72" s="14">
        <v>15952</v>
      </c>
      <c r="F72" s="14">
        <v>15961</v>
      </c>
      <c r="G72" s="14">
        <v>16006</v>
      </c>
      <c r="H72" s="15">
        <v>5</v>
      </c>
      <c r="I72" s="13">
        <v>1</v>
      </c>
      <c r="J72" s="16">
        <v>0.31494079113126733</v>
      </c>
      <c r="K72" s="15">
        <v>4</v>
      </c>
      <c r="L72" s="13">
        <v>1</v>
      </c>
      <c r="M72" s="16">
        <v>0.25195263290501391</v>
      </c>
      <c r="N72" s="15">
        <v>3</v>
      </c>
      <c r="O72" s="13">
        <v>3</v>
      </c>
      <c r="P72" s="16">
        <v>0.18806419257773319</v>
      </c>
      <c r="Q72" s="16">
        <v>0.18806419257773319</v>
      </c>
      <c r="R72" s="18">
        <v>-2</v>
      </c>
      <c r="S72" s="16">
        <v>-0.12687659855353414</v>
      </c>
      <c r="T72" s="18">
        <v>-1</v>
      </c>
      <c r="U72" s="16">
        <v>-6.3888440327280721E-2</v>
      </c>
      <c r="V72" s="18">
        <v>0</v>
      </c>
      <c r="W72" s="16">
        <v>0</v>
      </c>
      <c r="X72" s="15">
        <v>3</v>
      </c>
      <c r="Y72" s="13">
        <v>3</v>
      </c>
      <c r="Z72" s="16">
        <v>0.18806419257773319</v>
      </c>
      <c r="AA72" s="16">
        <v>0.18806419257773319</v>
      </c>
      <c r="AB72" s="15">
        <v>5</v>
      </c>
      <c r="AC72" s="13">
        <v>5</v>
      </c>
      <c r="AD72" s="16">
        <v>0.31326357997619197</v>
      </c>
      <c r="AE72" s="16">
        <v>0.31326357997619197</v>
      </c>
      <c r="AF72" s="19">
        <v>9</v>
      </c>
      <c r="AG72" s="20">
        <v>8</v>
      </c>
      <c r="AH72" s="16">
        <v>0.56387444395714559</v>
      </c>
      <c r="AI72" s="21">
        <v>0.50122172796190712</v>
      </c>
      <c r="AJ72" s="22">
        <f>BattMobility!D135+cambio!D135+Claus2you!D135+CoopStroom!D135+Cozywheels!D135+Dégage!D135+Flexigo!D135+Klimaan!D135+Moovee!D135+Poppy!D135+'Mobilize Share'!D135+Stapp.in!D135</f>
        <v>8</v>
      </c>
      <c r="AK72" s="23">
        <f>BattMobility!E135+cambio!E135+Claus2you!E135+CoopStroom!E135+Cozywheels!E135+Dégage!E135+Flexigo!E135+Klimaan!E135+Moovee!E135+Poppy!E135+'Mobilize Share'!E135+Stapp.in!E135</f>
        <v>8</v>
      </c>
      <c r="AL72" s="21">
        <f t="shared" si="0"/>
        <v>0.49981257028614273</v>
      </c>
      <c r="AM72" s="21">
        <f t="shared" si="1"/>
        <v>0.49981257028614273</v>
      </c>
      <c r="AN72" s="25">
        <f t="shared" si="2"/>
        <v>3</v>
      </c>
      <c r="AO72" s="26">
        <f t="shared" si="3"/>
        <v>0.6</v>
      </c>
      <c r="AP72" s="27">
        <f>BattMobility!F135+cambio!F135+Claus2you!F135+CoopStroom!F135+Cozywheels!F135+Dégage!F135+Flexigo!F135+Klimaan!F135+Moovee!F135+Poppy!F135+'Mobilize Share'!F135+Stapp.in!F135</f>
        <v>7</v>
      </c>
      <c r="AQ72" s="25">
        <f>BattMobility!G135+cambio!G135+Claus2you!G135+CoopStroom!G135+Cozywheels!G135+Dégage!G135+Flexigo!G135+Klimaan!G135+Moovee!G135+Poppy!G135+'Mobilize Share'!G135+Stapp.in!G135</f>
        <v>7</v>
      </c>
      <c r="AR72" s="29">
        <f t="shared" si="4"/>
        <v>0.43733599900037484</v>
      </c>
      <c r="AS72" s="29">
        <f t="shared" si="5"/>
        <v>0.43733599900037484</v>
      </c>
      <c r="AT72" s="25">
        <f t="shared" si="6"/>
        <v>-2</v>
      </c>
      <c r="AU72" s="30">
        <v>31.922000000000001</v>
      </c>
      <c r="AV72" s="31">
        <v>22.922000000000001</v>
      </c>
    </row>
    <row r="73" spans="1:48" ht="14.25" customHeight="1" x14ac:dyDescent="0.35">
      <c r="A73" s="2" t="s">
        <v>123</v>
      </c>
      <c r="B73" s="13" t="s">
        <v>48</v>
      </c>
      <c r="C73" s="13">
        <v>11013</v>
      </c>
      <c r="D73" s="14">
        <v>22386</v>
      </c>
      <c r="E73" s="14">
        <v>22761</v>
      </c>
      <c r="F73" s="14">
        <v>23009</v>
      </c>
      <c r="G73" s="14">
        <v>23502</v>
      </c>
      <c r="H73" s="15">
        <v>10</v>
      </c>
      <c r="I73" s="13">
        <v>0</v>
      </c>
      <c r="J73" s="32">
        <v>0.44670776378093452</v>
      </c>
      <c r="K73" s="15">
        <v>16</v>
      </c>
      <c r="L73" s="13">
        <v>0</v>
      </c>
      <c r="M73" s="32">
        <v>0.71473242204949528</v>
      </c>
      <c r="N73" s="15">
        <v>21</v>
      </c>
      <c r="O73" s="13">
        <v>0</v>
      </c>
      <c r="P73" s="32">
        <v>0.92263081586925</v>
      </c>
      <c r="Q73" s="16">
        <v>0</v>
      </c>
      <c r="R73" s="18">
        <v>11</v>
      </c>
      <c r="S73" s="16">
        <v>0.47592305208831548</v>
      </c>
      <c r="T73" s="18">
        <v>5</v>
      </c>
      <c r="U73" s="16">
        <v>0.20789839381975472</v>
      </c>
      <c r="V73" s="18">
        <v>6</v>
      </c>
      <c r="W73" s="16">
        <v>0.26360880453407143</v>
      </c>
      <c r="X73" s="15">
        <v>27</v>
      </c>
      <c r="Y73" s="13">
        <v>2</v>
      </c>
      <c r="Z73" s="32">
        <v>1.1862396204033216</v>
      </c>
      <c r="AA73" s="16">
        <v>8.7869601511357143E-2</v>
      </c>
      <c r="AB73" s="15">
        <v>41</v>
      </c>
      <c r="AC73" s="13">
        <v>2</v>
      </c>
      <c r="AD73" s="32">
        <v>1.7819114259637534</v>
      </c>
      <c r="AE73" s="16">
        <v>8.6922508583597721E-2</v>
      </c>
      <c r="AF73" s="19">
        <v>9</v>
      </c>
      <c r="AG73" s="20">
        <v>2</v>
      </c>
      <c r="AH73" s="16">
        <v>0.39115128862618975</v>
      </c>
      <c r="AI73" s="21">
        <v>8.6922508583597721E-2</v>
      </c>
      <c r="AJ73" s="22">
        <f>BattMobility!D64+cambio!D64+Claus2you!D64+CoopStroom!D64+Cozywheels!D64+Dégage!D64+Flexigo!D64+Klimaan!D64+Moovee!D64+Poppy!D64+'Mobilize Share'!D64+Stapp.in!D64</f>
        <v>8</v>
      </c>
      <c r="AK73" s="23">
        <f>BattMobility!E64+cambio!E64+Claus2you!E64+CoopStroom!E64+Cozywheels!E64+Dégage!E64+Flexigo!E64+Klimaan!E64+Moovee!E64+Poppy!E64+'Mobilize Share'!E64+Stapp.in!E64</f>
        <v>2</v>
      </c>
      <c r="AL73" s="21">
        <f t="shared" si="0"/>
        <v>0.34039656199472385</v>
      </c>
      <c r="AM73" s="21">
        <f t="shared" si="1"/>
        <v>8.5099140498680961E-2</v>
      </c>
      <c r="AN73" s="25">
        <f t="shared" si="2"/>
        <v>-33</v>
      </c>
      <c r="AO73" s="26">
        <f t="shared" si="3"/>
        <v>-0.80487804878048785</v>
      </c>
      <c r="AP73" s="27">
        <f>BattMobility!F64+cambio!F64+Claus2you!F64+CoopStroom!F64+Cozywheels!F64+Dégage!F64+Flexigo!F64+Klimaan!F64+Moovee!F64+Poppy!F64+'Mobilize Share'!F64+Stapp.in!F64</f>
        <v>7</v>
      </c>
      <c r="AQ73" s="25">
        <f>BattMobility!G64+cambio!G64+Claus2you!G64+CoopStroom!G64+Cozywheels!G64+Dégage!G64+Flexigo!G64+Klimaan!G64+Moovee!G64+Poppy!G64+'Mobilize Share'!G64+Stapp.in!G64</f>
        <v>0</v>
      </c>
      <c r="AR73" s="29">
        <f t="shared" si="4"/>
        <v>0.29784699174538337</v>
      </c>
      <c r="AS73" s="29">
        <f t="shared" si="5"/>
        <v>0</v>
      </c>
      <c r="AT73" s="25">
        <f t="shared" si="6"/>
        <v>-2</v>
      </c>
      <c r="AU73" s="30">
        <v>46.018000000000001</v>
      </c>
      <c r="AV73" s="31">
        <v>37.018000000000001</v>
      </c>
    </row>
    <row r="74" spans="1:48" ht="14.25" customHeight="1" x14ac:dyDescent="0.35">
      <c r="A74" s="2" t="s">
        <v>124</v>
      </c>
      <c r="B74" s="13" t="s">
        <v>48</v>
      </c>
      <c r="C74" s="13">
        <v>12026</v>
      </c>
      <c r="D74" s="14">
        <v>23259</v>
      </c>
      <c r="E74" s="14">
        <v>23409</v>
      </c>
      <c r="F74" s="14">
        <v>23707</v>
      </c>
      <c r="G74" s="14">
        <v>23747</v>
      </c>
      <c r="H74" s="15">
        <v>0</v>
      </c>
      <c r="I74" s="13">
        <v>0</v>
      </c>
      <c r="J74" s="16">
        <v>0</v>
      </c>
      <c r="K74" s="15">
        <v>2</v>
      </c>
      <c r="L74" s="13">
        <v>0</v>
      </c>
      <c r="M74" s="16">
        <v>8.5988219613912883E-2</v>
      </c>
      <c r="N74" s="15">
        <v>2</v>
      </c>
      <c r="O74" s="13">
        <v>0</v>
      </c>
      <c r="P74" s="16">
        <v>8.5437224998932026E-2</v>
      </c>
      <c r="Q74" s="16">
        <v>0</v>
      </c>
      <c r="R74" s="18">
        <v>2</v>
      </c>
      <c r="S74" s="16">
        <v>8.5437224998932026E-2</v>
      </c>
      <c r="T74" s="18">
        <v>0</v>
      </c>
      <c r="U74" s="16">
        <v>-5.50994614980857E-4</v>
      </c>
      <c r="V74" s="18">
        <v>0</v>
      </c>
      <c r="W74" s="16">
        <v>0</v>
      </c>
      <c r="X74" s="15">
        <v>6</v>
      </c>
      <c r="Y74" s="13">
        <v>2</v>
      </c>
      <c r="Z74" s="16">
        <v>0.25631167499679608</v>
      </c>
      <c r="AA74" s="16">
        <v>8.5437224998932026E-2</v>
      </c>
      <c r="AB74" s="15">
        <v>6</v>
      </c>
      <c r="AC74" s="13">
        <v>2</v>
      </c>
      <c r="AD74" s="16">
        <v>0.25308980469903403</v>
      </c>
      <c r="AE74" s="16">
        <v>8.4363268233011338E-2</v>
      </c>
      <c r="AF74" s="19">
        <v>6</v>
      </c>
      <c r="AG74" s="20">
        <v>3</v>
      </c>
      <c r="AH74" s="16">
        <v>0.25308980469903403</v>
      </c>
      <c r="AI74" s="21">
        <v>0.12654490234951701</v>
      </c>
      <c r="AJ74" s="22">
        <f>BattMobility!D187+cambio!D187+Claus2you!D187+CoopStroom!D187+Cozywheels!D187+Dégage!D187+Flexigo!D187+Klimaan!D187+Moovee!D187+Poppy!D187+'Mobilize Share'!D187+Stapp.in!D187</f>
        <v>9</v>
      </c>
      <c r="AK74" s="23">
        <f>BattMobility!E187+cambio!E187+Claus2you!E187+CoopStroom!E187+Cozywheels!E187+Dégage!E187+Flexigo!E187+Klimaan!E187+Moovee!E187+Poppy!E187+'Mobilize Share'!E187+Stapp.in!E187</f>
        <v>4</v>
      </c>
      <c r="AL74" s="21">
        <f t="shared" si="0"/>
        <v>0.37899524150419001</v>
      </c>
      <c r="AM74" s="21">
        <f t="shared" si="1"/>
        <v>0.16844232955741778</v>
      </c>
      <c r="AN74" s="25">
        <f t="shared" si="2"/>
        <v>3</v>
      </c>
      <c r="AO74" s="26">
        <f t="shared" si="3"/>
        <v>0.5</v>
      </c>
      <c r="AP74" s="27">
        <f>BattMobility!F187+cambio!F187+Claus2you!F187+CoopStroom!F187+Cozywheels!F187+Dégage!F187+Flexigo!F187+Klimaan!F187+Moovee!F187+Poppy!F187+'Mobilize Share'!F187+Stapp.in!F187</f>
        <v>7</v>
      </c>
      <c r="AQ74" s="25">
        <f>BattMobility!G187+cambio!G187+Claus2you!G187+CoopStroom!G187+Cozywheels!G187+Dégage!G187+Flexigo!G187+Klimaan!G187+Moovee!G187+Poppy!G187+'Mobilize Share'!G187+Stapp.in!G187</f>
        <v>4</v>
      </c>
      <c r="AR74" s="29">
        <f t="shared" si="4"/>
        <v>0.29477407672548112</v>
      </c>
      <c r="AS74" s="29">
        <f t="shared" si="5"/>
        <v>0.16844232955741778</v>
      </c>
      <c r="AT74" s="25">
        <f t="shared" si="6"/>
        <v>1</v>
      </c>
      <c r="AU74" s="30">
        <v>47.414000000000001</v>
      </c>
      <c r="AV74" s="31">
        <v>41.414000000000001</v>
      </c>
    </row>
    <row r="75" spans="1:48" ht="14.25" customHeight="1" x14ac:dyDescent="0.35">
      <c r="A75" s="2" t="s">
        <v>125</v>
      </c>
      <c r="B75" s="13" t="s">
        <v>48</v>
      </c>
      <c r="C75" s="13">
        <v>13003</v>
      </c>
      <c r="D75" s="14">
        <v>23000</v>
      </c>
      <c r="E75" s="14">
        <v>23308</v>
      </c>
      <c r="F75" s="14">
        <v>23523</v>
      </c>
      <c r="G75" s="14">
        <v>23777</v>
      </c>
      <c r="H75" s="15">
        <v>4</v>
      </c>
      <c r="I75" s="13">
        <v>0</v>
      </c>
      <c r="J75" s="16">
        <v>0.17391304347826089</v>
      </c>
      <c r="K75" s="15">
        <v>2</v>
      </c>
      <c r="L75" s="13">
        <v>0</v>
      </c>
      <c r="M75" s="16">
        <v>8.6956521739130446E-2</v>
      </c>
      <c r="N75" s="15">
        <v>2</v>
      </c>
      <c r="O75" s="13">
        <v>0</v>
      </c>
      <c r="P75" s="16">
        <v>8.5807448086493904E-2</v>
      </c>
      <c r="Q75" s="16">
        <v>0</v>
      </c>
      <c r="R75" s="18">
        <v>-2</v>
      </c>
      <c r="S75" s="16">
        <v>-8.8105595391766989E-2</v>
      </c>
      <c r="T75" s="18">
        <v>0</v>
      </c>
      <c r="U75" s="16">
        <v>-1.1490736526365425E-3</v>
      </c>
      <c r="V75" s="18">
        <v>0</v>
      </c>
      <c r="W75" s="16">
        <v>0</v>
      </c>
      <c r="X75" s="15">
        <v>5</v>
      </c>
      <c r="Y75" s="13">
        <v>1</v>
      </c>
      <c r="Z75" s="16">
        <v>0.21451862021623475</v>
      </c>
      <c r="AA75" s="16">
        <v>4.2903724043246952E-2</v>
      </c>
      <c r="AB75" s="15">
        <v>6</v>
      </c>
      <c r="AC75" s="13">
        <v>1</v>
      </c>
      <c r="AD75" s="16">
        <v>0.25506950644050508</v>
      </c>
      <c r="AE75" s="16">
        <v>4.2511584406750839E-2</v>
      </c>
      <c r="AF75" s="19">
        <v>7</v>
      </c>
      <c r="AG75" s="20">
        <v>2</v>
      </c>
      <c r="AH75" s="16">
        <v>0.29758109084725587</v>
      </c>
      <c r="AI75" s="21">
        <v>8.5023168813501679E-2</v>
      </c>
      <c r="AJ75" s="22">
        <f>BattMobility!D18+cambio!D18+Claus2you!D18+CoopStroom!D18+Cozywheels!D18+Dégage!D18+Flexigo!D18+Klimaan!D18+Moovee!D18+Poppy!D18+'Mobilize Share'!D18+Stapp.in!D18</f>
        <v>6</v>
      </c>
      <c r="AK75" s="23">
        <f>BattMobility!E18+cambio!E18+Claus2you!E18+CoopStroom!E18+Cozywheels!E18+Dégage!E18+Flexigo!E18+Klimaan!E18+Moovee!E18+Poppy!E18+'Mobilize Share'!E18+Stapp.in!E18</f>
        <v>2</v>
      </c>
      <c r="AL75" s="21">
        <f t="shared" si="0"/>
        <v>0.25234470286411237</v>
      </c>
      <c r="AM75" s="21">
        <f t="shared" si="1"/>
        <v>8.4114900954704128E-2</v>
      </c>
      <c r="AN75" s="25">
        <f t="shared" si="2"/>
        <v>0</v>
      </c>
      <c r="AO75" s="26">
        <f t="shared" si="3"/>
        <v>0</v>
      </c>
      <c r="AP75" s="27">
        <f>BattMobility!F18+cambio!F18+Claus2you!F18+CoopStroom!F18+Cozywheels!F18+Dégage!F18+Flexigo!F18+Klimaan!F18+Moovee!F18+Poppy!F18+'Mobilize Share'!F18+Stapp.in!F18</f>
        <v>7</v>
      </c>
      <c r="AQ75" s="25">
        <f>BattMobility!G18+cambio!G18+Claus2you!G18+CoopStroom!G18+Cozywheels!G18+Dégage!G18+Flexigo!G18+Klimaan!G18+Moovee!G18+Poppy!G18+'Mobilize Share'!G18+Stapp.in!G18</f>
        <v>3</v>
      </c>
      <c r="AR75" s="29">
        <f t="shared" si="4"/>
        <v>0.29440215334146447</v>
      </c>
      <c r="AS75" s="29">
        <f t="shared" si="5"/>
        <v>0.12617235143205618</v>
      </c>
      <c r="AT75" s="25">
        <f t="shared" si="6"/>
        <v>0</v>
      </c>
      <c r="AU75" s="30">
        <v>47.045999999999999</v>
      </c>
      <c r="AV75" s="31">
        <v>40.045999999999999</v>
      </c>
    </row>
    <row r="76" spans="1:48" ht="14.25" customHeight="1" x14ac:dyDescent="0.35">
      <c r="A76" s="2" t="s">
        <v>126</v>
      </c>
      <c r="B76" s="13" t="s">
        <v>59</v>
      </c>
      <c r="C76" s="13">
        <v>72020</v>
      </c>
      <c r="D76" s="14">
        <v>34396</v>
      </c>
      <c r="E76" s="14">
        <v>34826</v>
      </c>
      <c r="F76" s="14">
        <v>34913</v>
      </c>
      <c r="G76" s="14">
        <v>35208</v>
      </c>
      <c r="H76" s="15">
        <v>2</v>
      </c>
      <c r="I76" s="13">
        <v>0</v>
      </c>
      <c r="J76" s="16">
        <v>5.8146296080939644E-2</v>
      </c>
      <c r="K76" s="15">
        <v>3</v>
      </c>
      <c r="L76" s="13">
        <v>0</v>
      </c>
      <c r="M76" s="16">
        <v>8.7219444121409473E-2</v>
      </c>
      <c r="N76" s="15">
        <v>2</v>
      </c>
      <c r="O76" s="13">
        <v>2</v>
      </c>
      <c r="P76" s="16">
        <v>5.7428358123241256E-2</v>
      </c>
      <c r="Q76" s="16">
        <v>5.7428358123241256E-2</v>
      </c>
      <c r="R76" s="18">
        <v>0</v>
      </c>
      <c r="S76" s="16">
        <v>-7.179379576983877E-4</v>
      </c>
      <c r="T76" s="18">
        <v>-1</v>
      </c>
      <c r="U76" s="16">
        <v>-2.9791085998168217E-2</v>
      </c>
      <c r="V76" s="18">
        <v>0</v>
      </c>
      <c r="W76" s="16">
        <v>0</v>
      </c>
      <c r="X76" s="15">
        <v>2</v>
      </c>
      <c r="Y76" s="13">
        <v>2</v>
      </c>
      <c r="Z76" s="16">
        <v>5.7428358123241256E-2</v>
      </c>
      <c r="AA76" s="16">
        <v>5.7428358123241256E-2</v>
      </c>
      <c r="AB76" s="15">
        <v>2</v>
      </c>
      <c r="AC76" s="13">
        <v>2</v>
      </c>
      <c r="AD76" s="16">
        <v>5.7285251911895284E-2</v>
      </c>
      <c r="AE76" s="16">
        <v>5.7285251911895284E-2</v>
      </c>
      <c r="AF76" s="19">
        <v>2</v>
      </c>
      <c r="AG76" s="20">
        <v>2</v>
      </c>
      <c r="AH76" s="16">
        <v>5.7285251911895284E-2</v>
      </c>
      <c r="AI76" s="21">
        <v>5.7285251911895284E-2</v>
      </c>
      <c r="AJ76" s="22">
        <f>BattMobility!D161+cambio!D161+Claus2you!D161+CoopStroom!D161+Cozywheels!D161+Dégage!D161+Flexigo!D161+Klimaan!D161+Moovee!D161+Poppy!D161+'Mobilize Share'!D161+Stapp.in!D161</f>
        <v>7</v>
      </c>
      <c r="AK76" s="23">
        <f>BattMobility!E161+cambio!E161+Claus2you!E161+CoopStroom!E161+Cozywheels!E161+Dégage!E161+Flexigo!E161+Klimaan!E161+Moovee!E161+Poppy!E161+'Mobilize Share'!E161+Stapp.in!E161</f>
        <v>7</v>
      </c>
      <c r="AL76" s="21">
        <f t="shared" si="0"/>
        <v>0.19881845035219267</v>
      </c>
      <c r="AM76" s="21">
        <f t="shared" si="1"/>
        <v>0.19881845035219267</v>
      </c>
      <c r="AN76" s="25">
        <f t="shared" si="2"/>
        <v>5</v>
      </c>
      <c r="AO76" s="26">
        <f t="shared" si="3"/>
        <v>2.5</v>
      </c>
      <c r="AP76" s="27">
        <f>BattMobility!F161+cambio!F161+Claus2you!F161+CoopStroom!F161+Cozywheels!F161+Dégage!F161+Flexigo!F161+Klimaan!F161+Moovee!F161+Poppy!F161+'Mobilize Share'!F161+Stapp.in!F161</f>
        <v>7</v>
      </c>
      <c r="AQ76" s="25">
        <f>BattMobility!G161+cambio!G161+Claus2you!G161+CoopStroom!G161+Cozywheels!G161+Dégage!G161+Flexigo!G161+Klimaan!G161+Moovee!G161+Poppy!G161+'Mobilize Share'!G161+Stapp.in!G161</f>
        <v>7</v>
      </c>
      <c r="AR76" s="29">
        <f t="shared" si="4"/>
        <v>0.19881845035219267</v>
      </c>
      <c r="AS76" s="29">
        <f t="shared" si="5"/>
        <v>0.19881845035219267</v>
      </c>
      <c r="AT76" s="25">
        <f t="shared" si="6"/>
        <v>5</v>
      </c>
      <c r="AU76" s="30">
        <v>69.825999999999993</v>
      </c>
      <c r="AV76" s="31">
        <v>67.825999999999993</v>
      </c>
    </row>
    <row r="77" spans="1:48" ht="14.25" customHeight="1" x14ac:dyDescent="0.35">
      <c r="A77" s="2" t="s">
        <v>127</v>
      </c>
      <c r="B77" s="13" t="s">
        <v>50</v>
      </c>
      <c r="C77" s="13">
        <v>42008</v>
      </c>
      <c r="D77" s="14">
        <v>25141</v>
      </c>
      <c r="E77" s="14">
        <v>25368</v>
      </c>
      <c r="F77" s="14">
        <v>25554</v>
      </c>
      <c r="G77" s="14">
        <v>25706</v>
      </c>
      <c r="H77" s="15">
        <v>2</v>
      </c>
      <c r="I77" s="13">
        <v>0</v>
      </c>
      <c r="J77" s="16">
        <v>7.9551330496002548E-2</v>
      </c>
      <c r="K77" s="15">
        <v>2</v>
      </c>
      <c r="L77" s="13">
        <v>0</v>
      </c>
      <c r="M77" s="16">
        <v>7.9551330496002548E-2</v>
      </c>
      <c r="N77" s="15">
        <v>4</v>
      </c>
      <c r="O77" s="13">
        <v>3</v>
      </c>
      <c r="P77" s="16">
        <v>0.15767896562598549</v>
      </c>
      <c r="Q77" s="16">
        <v>0.11825922421948912</v>
      </c>
      <c r="R77" s="18">
        <v>2</v>
      </c>
      <c r="S77" s="16">
        <v>7.8127635129982942E-2</v>
      </c>
      <c r="T77" s="18">
        <v>2</v>
      </c>
      <c r="U77" s="16">
        <v>7.8127635129982942E-2</v>
      </c>
      <c r="V77" s="18">
        <v>1</v>
      </c>
      <c r="W77" s="16">
        <v>3.9419741406496372E-2</v>
      </c>
      <c r="X77" s="15">
        <v>4</v>
      </c>
      <c r="Y77" s="13">
        <v>3</v>
      </c>
      <c r="Z77" s="16">
        <v>0.15767896562598549</v>
      </c>
      <c r="AA77" s="16">
        <v>0.11825922421948912</v>
      </c>
      <c r="AB77" s="15">
        <v>6</v>
      </c>
      <c r="AC77" s="13">
        <v>5</v>
      </c>
      <c r="AD77" s="16">
        <v>0.23479690068091102</v>
      </c>
      <c r="AE77" s="16">
        <v>0.19566408390075918</v>
      </c>
      <c r="AF77" s="19">
        <v>5</v>
      </c>
      <c r="AG77" s="20">
        <v>4</v>
      </c>
      <c r="AH77" s="16">
        <v>0.19566408390075918</v>
      </c>
      <c r="AI77" s="21">
        <v>0.15653126712060736</v>
      </c>
      <c r="AJ77" s="22">
        <f>BattMobility!D84+cambio!D84+Claus2you!D84+CoopStroom!D84+Cozywheels!D84+Dégage!D84+Flexigo!D84+Klimaan!D84+Moovee!D84+Poppy!D84+'Mobilize Share'!D84+Stapp.in!D84</f>
        <v>5</v>
      </c>
      <c r="AK77" s="23">
        <f>BattMobility!E84+cambio!E84+Claus2you!E84+CoopStroom!E84+Cozywheels!E84+Dégage!E84+Flexigo!E84+Klimaan!E84+Moovee!E84+Poppy!E84+'Mobilize Share'!E84+Stapp.in!E84</f>
        <v>4</v>
      </c>
      <c r="AL77" s="21">
        <f t="shared" si="0"/>
        <v>0.19450711896055395</v>
      </c>
      <c r="AM77" s="21">
        <f t="shared" si="1"/>
        <v>0.15560569516844316</v>
      </c>
      <c r="AN77" s="25">
        <f t="shared" si="2"/>
        <v>-1</v>
      </c>
      <c r="AO77" s="26">
        <f t="shared" si="3"/>
        <v>-0.16666666666666666</v>
      </c>
      <c r="AP77" s="27">
        <f>BattMobility!F84+cambio!F84+Claus2you!F84+CoopStroom!F84+Cozywheels!F84+Dégage!F84+Flexigo!F84+Klimaan!F84+Moovee!F84+Poppy!F84+'Mobilize Share'!F84+Stapp.in!F84</f>
        <v>7</v>
      </c>
      <c r="AQ77" s="25">
        <f>BattMobility!G84+cambio!G84+Claus2you!G84+CoopStroom!G84+Cozywheels!G84+Dégage!G84+Flexigo!G84+Klimaan!G84+Moovee!G84+Poppy!G84+'Mobilize Share'!G84+Stapp.in!G84</f>
        <v>6</v>
      </c>
      <c r="AR77" s="29">
        <f t="shared" si="4"/>
        <v>0.27230996654477552</v>
      </c>
      <c r="AS77" s="29">
        <f t="shared" si="5"/>
        <v>0.23340854275266476</v>
      </c>
      <c r="AT77" s="25">
        <f t="shared" si="6"/>
        <v>2</v>
      </c>
      <c r="AU77" s="30">
        <v>51.107999999999997</v>
      </c>
      <c r="AV77" s="31">
        <v>46.107999999999997</v>
      </c>
    </row>
    <row r="78" spans="1:48" ht="14.25" customHeight="1" x14ac:dyDescent="0.35">
      <c r="A78" s="2" t="s">
        <v>128</v>
      </c>
      <c r="B78" s="13" t="s">
        <v>52</v>
      </c>
      <c r="C78" s="13">
        <v>23003</v>
      </c>
      <c r="D78" s="14">
        <v>26013</v>
      </c>
      <c r="E78" s="14">
        <v>26474</v>
      </c>
      <c r="F78" s="14">
        <v>26505</v>
      </c>
      <c r="G78" s="14">
        <v>26593</v>
      </c>
      <c r="H78" s="15">
        <v>4</v>
      </c>
      <c r="I78" s="13">
        <v>1</v>
      </c>
      <c r="J78" s="16">
        <v>0.15376926921154807</v>
      </c>
      <c r="K78" s="15">
        <v>1</v>
      </c>
      <c r="L78" s="13">
        <v>1</v>
      </c>
      <c r="M78" s="16">
        <v>3.8442317302887018E-2</v>
      </c>
      <c r="N78" s="15">
        <v>3</v>
      </c>
      <c r="O78" s="13">
        <v>3</v>
      </c>
      <c r="P78" s="16">
        <v>0.1133187278084158</v>
      </c>
      <c r="Q78" s="16">
        <v>0.1133187278084158</v>
      </c>
      <c r="R78" s="18">
        <v>-1</v>
      </c>
      <c r="S78" s="16">
        <v>-4.045054140313227E-2</v>
      </c>
      <c r="T78" s="18">
        <v>2</v>
      </c>
      <c r="U78" s="16">
        <v>7.487641050552879E-2</v>
      </c>
      <c r="V78" s="18">
        <v>0</v>
      </c>
      <c r="W78" s="16">
        <v>0</v>
      </c>
      <c r="X78" s="15">
        <v>3</v>
      </c>
      <c r="Y78" s="13">
        <v>2</v>
      </c>
      <c r="Z78" s="16">
        <v>0.1133187278084158</v>
      </c>
      <c r="AA78" s="16">
        <v>7.5545818538943876E-2</v>
      </c>
      <c r="AB78" s="15">
        <v>5</v>
      </c>
      <c r="AC78" s="13">
        <v>4</v>
      </c>
      <c r="AD78" s="16">
        <v>0.18864365214110546</v>
      </c>
      <c r="AE78" s="16">
        <v>0.15091492171288437</v>
      </c>
      <c r="AF78" s="19">
        <v>7</v>
      </c>
      <c r="AG78" s="20">
        <v>6</v>
      </c>
      <c r="AH78" s="16">
        <v>0.26410111299754763</v>
      </c>
      <c r="AI78" s="21">
        <v>0.22637238256932654</v>
      </c>
      <c r="AJ78" s="22">
        <f>BattMobility!D21+cambio!D21+Claus2you!D21+CoopStroom!D21+Cozywheels!D21+Dégage!D21+Flexigo!D21+Klimaan!D21+Moovee!D21+Poppy!D21+'Mobilize Share'!D21+Stapp.in!D21</f>
        <v>7</v>
      </c>
      <c r="AK78" s="23">
        <f>BattMobility!E21+cambio!E21+Claus2you!E21+CoopStroom!E21+Cozywheels!E21+Dégage!E21+Flexigo!E21+Klimaan!E21+Moovee!E21+Poppy!E21+'Mobilize Share'!E21+Stapp.in!E21</f>
        <v>6</v>
      </c>
      <c r="AL78" s="21">
        <f t="shared" si="0"/>
        <v>0.26322716504343247</v>
      </c>
      <c r="AM78" s="21">
        <f t="shared" si="1"/>
        <v>0.22562328432294212</v>
      </c>
      <c r="AN78" s="25">
        <f t="shared" si="2"/>
        <v>2</v>
      </c>
      <c r="AO78" s="26">
        <f t="shared" si="3"/>
        <v>0.4</v>
      </c>
      <c r="AP78" s="27">
        <f>BattMobility!F21+cambio!F21+Claus2you!F21+CoopStroom!F21+Cozywheels!F21+Dégage!F21+Flexigo!F21+Klimaan!F21+Moovee!F21+Poppy!F21+'Mobilize Share'!F21+Stapp.in!F21</f>
        <v>7</v>
      </c>
      <c r="AQ78" s="25">
        <f>BattMobility!G21+cambio!G21+Claus2you!G21+CoopStroom!G21+Cozywheels!G21+Dégage!G21+Flexigo!G21+Klimaan!G21+Moovee!G21+Poppy!G21+'Mobilize Share'!G21+Stapp.in!G21</f>
        <v>6</v>
      </c>
      <c r="AR78" s="29">
        <f t="shared" si="4"/>
        <v>0.26322716504343247</v>
      </c>
      <c r="AS78" s="29">
        <f t="shared" si="5"/>
        <v>0.22562328432294212</v>
      </c>
      <c r="AT78" s="25">
        <f t="shared" si="6"/>
        <v>0</v>
      </c>
      <c r="AU78" s="30">
        <v>53.01</v>
      </c>
      <c r="AV78" s="31">
        <v>46.01</v>
      </c>
    </row>
    <row r="79" spans="1:48" ht="14.25" customHeight="1" x14ac:dyDescent="0.35">
      <c r="A79" s="2" t="s">
        <v>129</v>
      </c>
      <c r="B79" s="13" t="s">
        <v>55</v>
      </c>
      <c r="C79" s="13">
        <v>36008</v>
      </c>
      <c r="D79" s="14">
        <v>28845</v>
      </c>
      <c r="E79" s="14">
        <v>29013</v>
      </c>
      <c r="F79" s="14">
        <v>29227</v>
      </c>
      <c r="G79" s="14">
        <v>29427</v>
      </c>
      <c r="H79" s="15">
        <v>0</v>
      </c>
      <c r="I79" s="13">
        <v>0</v>
      </c>
      <c r="J79" s="16">
        <v>0</v>
      </c>
      <c r="K79" s="15">
        <v>2</v>
      </c>
      <c r="L79" s="13">
        <v>0</v>
      </c>
      <c r="M79" s="16">
        <v>6.9336106777604434E-2</v>
      </c>
      <c r="N79" s="15">
        <v>2</v>
      </c>
      <c r="O79" s="13">
        <v>0</v>
      </c>
      <c r="P79" s="16">
        <v>6.8934615517181955E-2</v>
      </c>
      <c r="Q79" s="16">
        <v>0</v>
      </c>
      <c r="R79" s="18">
        <v>2</v>
      </c>
      <c r="S79" s="16">
        <v>6.8934615517181955E-2</v>
      </c>
      <c r="T79" s="18">
        <v>0</v>
      </c>
      <c r="U79" s="16">
        <v>-4.0149126042247907E-4</v>
      </c>
      <c r="V79" s="18">
        <v>0</v>
      </c>
      <c r="W79" s="16">
        <v>0</v>
      </c>
      <c r="X79" s="15">
        <v>6</v>
      </c>
      <c r="Y79" s="13">
        <v>0</v>
      </c>
      <c r="Z79" s="16">
        <v>0.20680384655154585</v>
      </c>
      <c r="AA79" s="16">
        <v>0</v>
      </c>
      <c r="AB79" s="15">
        <v>7</v>
      </c>
      <c r="AC79" s="13">
        <v>1</v>
      </c>
      <c r="AD79" s="16">
        <v>0.23950456769425532</v>
      </c>
      <c r="AE79" s="16">
        <v>3.4214938242036474E-2</v>
      </c>
      <c r="AF79" s="19">
        <v>6</v>
      </c>
      <c r="AG79" s="20">
        <v>2</v>
      </c>
      <c r="AH79" s="16">
        <v>0.20528962945221882</v>
      </c>
      <c r="AI79" s="21">
        <v>6.8429876484072949E-2</v>
      </c>
      <c r="AJ79" s="22">
        <f>BattMobility!D115+cambio!D115+Claus2you!D115+CoopStroom!D115+Cozywheels!D115+Dégage!D115+Flexigo!D115+Klimaan!D115+Moovee!D115+Poppy!D115+'Mobilize Share'!D115+Stapp.in!D115</f>
        <v>6</v>
      </c>
      <c r="AK79" s="23">
        <f>BattMobility!E115+cambio!E115+Claus2you!E115+CoopStroom!E115+Cozywheels!E115+Dégage!E115+Flexigo!E115+Klimaan!E115+Moovee!E115+Poppy!E115+'Mobilize Share'!E115+Stapp.in!E115</f>
        <v>2</v>
      </c>
      <c r="AL79" s="21">
        <f t="shared" si="0"/>
        <v>0.20389438270975635</v>
      </c>
      <c r="AM79" s="21">
        <f t="shared" si="1"/>
        <v>6.7964794236585455E-2</v>
      </c>
      <c r="AN79" s="25">
        <f t="shared" si="2"/>
        <v>-1</v>
      </c>
      <c r="AO79" s="26">
        <f t="shared" si="3"/>
        <v>-0.14285714285714285</v>
      </c>
      <c r="AP79" s="27">
        <f>BattMobility!F115+cambio!F115+Claus2you!F115+CoopStroom!F115+Cozywheels!F115+Dégage!F115+Flexigo!F115+Klimaan!F115+Moovee!F115+Poppy!F115+'Mobilize Share'!F115+Stapp.in!F115</f>
        <v>7</v>
      </c>
      <c r="AQ79" s="25">
        <f>BattMobility!G115+cambio!G115+Claus2you!G115+CoopStroom!G115+Cozywheels!G115+Dégage!G115+Flexigo!G115+Klimaan!G115+Moovee!G115+Poppy!G115+'Mobilize Share'!G115+Stapp.in!G115</f>
        <v>1</v>
      </c>
      <c r="AR79" s="29">
        <f t="shared" si="4"/>
        <v>0.23787677982804906</v>
      </c>
      <c r="AS79" s="29">
        <f t="shared" si="5"/>
        <v>3.3982397118292727E-2</v>
      </c>
      <c r="AT79" s="25">
        <f t="shared" si="6"/>
        <v>1</v>
      </c>
      <c r="AU79" s="30">
        <v>58.454000000000001</v>
      </c>
      <c r="AV79" s="31">
        <v>52.454000000000001</v>
      </c>
    </row>
    <row r="80" spans="1:48" ht="14.25" customHeight="1" x14ac:dyDescent="0.35">
      <c r="A80" s="2" t="s">
        <v>130</v>
      </c>
      <c r="B80" s="13" t="s">
        <v>55</v>
      </c>
      <c r="C80" s="13">
        <v>34027</v>
      </c>
      <c r="D80" s="14">
        <v>33982</v>
      </c>
      <c r="E80" s="14">
        <v>34322</v>
      </c>
      <c r="F80" s="14">
        <v>34417</v>
      </c>
      <c r="G80" s="14">
        <v>34585</v>
      </c>
      <c r="H80" s="15">
        <v>2</v>
      </c>
      <c r="I80" s="13">
        <v>0</v>
      </c>
      <c r="J80" s="16">
        <v>5.8854687775881348E-2</v>
      </c>
      <c r="K80" s="15">
        <v>2</v>
      </c>
      <c r="L80" s="13">
        <v>0</v>
      </c>
      <c r="M80" s="16">
        <v>5.8854687775881348E-2</v>
      </c>
      <c r="N80" s="15">
        <v>3</v>
      </c>
      <c r="O80" s="13">
        <v>3</v>
      </c>
      <c r="P80" s="16">
        <v>8.7407493735796274E-2</v>
      </c>
      <c r="Q80" s="16">
        <v>8.7407493735796274E-2</v>
      </c>
      <c r="R80" s="18">
        <v>1</v>
      </c>
      <c r="S80" s="16">
        <v>2.8552805959914926E-2</v>
      </c>
      <c r="T80" s="18">
        <v>1</v>
      </c>
      <c r="U80" s="16">
        <v>2.8552805959914926E-2</v>
      </c>
      <c r="V80" s="18">
        <v>0</v>
      </c>
      <c r="W80" s="16">
        <v>0</v>
      </c>
      <c r="X80" s="15">
        <v>7</v>
      </c>
      <c r="Y80" s="13">
        <v>4</v>
      </c>
      <c r="Z80" s="16">
        <v>0.203950818716858</v>
      </c>
      <c r="AA80" s="16">
        <v>0.11654332498106171</v>
      </c>
      <c r="AB80" s="15">
        <v>6</v>
      </c>
      <c r="AC80" s="13">
        <v>4</v>
      </c>
      <c r="AD80" s="16">
        <v>0.17433245198593716</v>
      </c>
      <c r="AE80" s="16">
        <v>0.11622163465729145</v>
      </c>
      <c r="AF80" s="19">
        <v>5</v>
      </c>
      <c r="AG80" s="20">
        <v>4</v>
      </c>
      <c r="AH80" s="16">
        <v>0.14527704332161431</v>
      </c>
      <c r="AI80" s="21">
        <v>0.11622163465729145</v>
      </c>
      <c r="AJ80" s="22">
        <f>BattMobility!D174+cambio!D174+Claus2you!D174+CoopStroom!D174+Cozywheels!D174+Dégage!D174+Flexigo!D174+Klimaan!D174+Moovee!D174+Poppy!D174+'Mobilize Share'!D174+Stapp.in!D174</f>
        <v>7</v>
      </c>
      <c r="AK80" s="23">
        <f>BattMobility!E174+cambio!E174+Claus2you!E174+CoopStroom!E174+Cozywheels!E174+Dégage!E174+Flexigo!E174+Klimaan!E174+Moovee!E174+Poppy!E174+'Mobilize Share'!E174+Stapp.in!E174</f>
        <v>4</v>
      </c>
      <c r="AL80" s="21">
        <f t="shared" si="0"/>
        <v>0.20239988434292325</v>
      </c>
      <c r="AM80" s="21">
        <f t="shared" si="1"/>
        <v>0.11565707676738471</v>
      </c>
      <c r="AN80" s="25">
        <f t="shared" si="2"/>
        <v>1</v>
      </c>
      <c r="AO80" s="26">
        <f t="shared" si="3"/>
        <v>0.16666666666666666</v>
      </c>
      <c r="AP80" s="27">
        <f>BattMobility!F174+cambio!F174+Claus2you!F174+CoopStroom!F174+Cozywheels!F174+Dégage!F174+Flexigo!F174+Klimaan!F174+Moovee!F174+Poppy!F174+'Mobilize Share'!F174+Stapp.in!F174</f>
        <v>7</v>
      </c>
      <c r="AQ80" s="25">
        <f>BattMobility!G174+cambio!G174+Claus2you!G174+CoopStroom!G174+Cozywheels!G174+Dégage!G174+Flexigo!G174+Klimaan!G174+Moovee!G174+Poppy!G174+'Mobilize Share'!G174+Stapp.in!G174</f>
        <v>4</v>
      </c>
      <c r="AR80" s="29">
        <f t="shared" si="4"/>
        <v>0.20239988434292325</v>
      </c>
      <c r="AS80" s="29">
        <f t="shared" si="5"/>
        <v>0.11565707676738471</v>
      </c>
      <c r="AT80" s="25">
        <f t="shared" si="6"/>
        <v>2</v>
      </c>
      <c r="AU80" s="30">
        <v>68.834000000000003</v>
      </c>
      <c r="AV80" s="31">
        <v>63.834000000000003</v>
      </c>
    </row>
    <row r="81" spans="1:48" ht="14.25" customHeight="1" x14ac:dyDescent="0.35">
      <c r="A81" s="2" t="s">
        <v>131</v>
      </c>
      <c r="B81" s="13" t="s">
        <v>52</v>
      </c>
      <c r="C81" s="13">
        <v>23002</v>
      </c>
      <c r="D81" s="14">
        <v>34494</v>
      </c>
      <c r="E81" s="14">
        <v>35191</v>
      </c>
      <c r="F81" s="14">
        <v>35755</v>
      </c>
      <c r="G81" s="14">
        <v>35882</v>
      </c>
      <c r="H81" s="15">
        <v>2</v>
      </c>
      <c r="I81" s="13">
        <v>0</v>
      </c>
      <c r="J81" s="16">
        <v>5.7981098161999187E-2</v>
      </c>
      <c r="K81" s="15">
        <v>0</v>
      </c>
      <c r="L81" s="13">
        <v>0</v>
      </c>
      <c r="M81" s="16">
        <v>0</v>
      </c>
      <c r="N81" s="15">
        <v>0</v>
      </c>
      <c r="O81" s="13">
        <v>0</v>
      </c>
      <c r="P81" s="16">
        <v>0</v>
      </c>
      <c r="Q81" s="16">
        <v>0</v>
      </c>
      <c r="R81" s="18">
        <v>-2</v>
      </c>
      <c r="S81" s="16">
        <v>-5.7981098161999187E-2</v>
      </c>
      <c r="T81" s="18">
        <v>0</v>
      </c>
      <c r="U81" s="16">
        <v>0</v>
      </c>
      <c r="V81" s="18">
        <v>0</v>
      </c>
      <c r="W81" s="16">
        <v>0</v>
      </c>
      <c r="X81" s="15">
        <v>0</v>
      </c>
      <c r="Y81" s="13">
        <v>0</v>
      </c>
      <c r="Z81" s="16">
        <v>0</v>
      </c>
      <c r="AA81" s="16">
        <v>0</v>
      </c>
      <c r="AB81" s="15">
        <v>4</v>
      </c>
      <c r="AC81" s="13">
        <v>0</v>
      </c>
      <c r="AD81" s="16">
        <v>0.11187246538945601</v>
      </c>
      <c r="AE81" s="16">
        <v>0</v>
      </c>
      <c r="AF81" s="19">
        <v>6</v>
      </c>
      <c r="AG81" s="20">
        <v>2</v>
      </c>
      <c r="AH81" s="16">
        <v>0.16780869808418403</v>
      </c>
      <c r="AI81" s="21">
        <v>5.5936232694728007E-2</v>
      </c>
      <c r="AJ81" s="22">
        <f>BattMobility!D14+cambio!D14+Claus2you!D14+CoopStroom!D14+Cozywheels!D14+Dégage!D14+Flexigo!D14+Klimaan!D14+Moovee!D14+Poppy!D14+'Mobilize Share'!D14+Stapp.in!D14</f>
        <v>7</v>
      </c>
      <c r="AK81" s="23">
        <f>BattMobility!E14+cambio!E14+Claus2you!E14+CoopStroom!E14+Cozywheels!E14+Dégage!E14+Flexigo!E14+Klimaan!E14+Moovee!E14+Poppy!E14+'Mobilize Share'!E14+Stapp.in!E14</f>
        <v>2</v>
      </c>
      <c r="AL81" s="21">
        <f t="shared" si="0"/>
        <v>0.19508388607101054</v>
      </c>
      <c r="AM81" s="21">
        <f t="shared" si="1"/>
        <v>5.5738253163145873E-2</v>
      </c>
      <c r="AN81" s="25">
        <f t="shared" si="2"/>
        <v>3</v>
      </c>
      <c r="AO81" s="26">
        <f t="shared" si="3"/>
        <v>0.75</v>
      </c>
      <c r="AP81" s="27">
        <f>BattMobility!F14+cambio!F14+Claus2you!F14+CoopStroom!F14+Cozywheels!F14+Dégage!F14+Flexigo!F14+Klimaan!F14+Moovee!F14+Poppy!F14+'Mobilize Share'!F14+Stapp.in!F14</f>
        <v>7</v>
      </c>
      <c r="AQ81" s="25">
        <f>BattMobility!G14+cambio!G14+Claus2you!G14+CoopStroom!G14+Cozywheels!G14+Dégage!G14+Flexigo!G14+Klimaan!G14+Moovee!G14+Poppy!G14+'Mobilize Share'!G14+Stapp.in!G14</f>
        <v>2</v>
      </c>
      <c r="AR81" s="29">
        <f t="shared" si="4"/>
        <v>0.19508388607101054</v>
      </c>
      <c r="AS81" s="29">
        <f t="shared" si="5"/>
        <v>5.5738253163145873E-2</v>
      </c>
      <c r="AT81" s="25">
        <f t="shared" si="6"/>
        <v>1</v>
      </c>
      <c r="AU81" s="30">
        <v>71.510000000000005</v>
      </c>
      <c r="AV81" s="31">
        <v>65.510000000000005</v>
      </c>
    </row>
    <row r="82" spans="1:48" ht="14.25" customHeight="1" x14ac:dyDescent="0.35">
      <c r="A82" s="2" t="s">
        <v>132</v>
      </c>
      <c r="B82" s="13" t="s">
        <v>52</v>
      </c>
      <c r="C82" s="13">
        <v>23077</v>
      </c>
      <c r="D82" s="14">
        <v>35486</v>
      </c>
      <c r="E82" s="14">
        <v>36052</v>
      </c>
      <c r="F82" s="14">
        <v>36525</v>
      </c>
      <c r="G82" s="14">
        <v>36732</v>
      </c>
      <c r="H82" s="15">
        <v>4</v>
      </c>
      <c r="I82" s="13">
        <v>0</v>
      </c>
      <c r="J82" s="16">
        <v>0.11272050949670293</v>
      </c>
      <c r="K82" s="15">
        <v>2</v>
      </c>
      <c r="L82" s="13">
        <v>0</v>
      </c>
      <c r="M82" s="16">
        <v>5.6360254748351463E-2</v>
      </c>
      <c r="N82" s="15">
        <v>0</v>
      </c>
      <c r="O82" s="13">
        <v>0</v>
      </c>
      <c r="P82" s="16">
        <v>0</v>
      </c>
      <c r="Q82" s="16">
        <v>0</v>
      </c>
      <c r="R82" s="18">
        <v>-4</v>
      </c>
      <c r="S82" s="16">
        <v>-0.11272050949670293</v>
      </c>
      <c r="T82" s="18">
        <v>-2</v>
      </c>
      <c r="U82" s="16">
        <v>-5.6360254748351463E-2</v>
      </c>
      <c r="V82" s="18">
        <v>0</v>
      </c>
      <c r="W82" s="16">
        <v>0</v>
      </c>
      <c r="X82" s="15">
        <v>6</v>
      </c>
      <c r="Y82" s="13">
        <v>6</v>
      </c>
      <c r="Z82" s="16">
        <v>0.16642627316098968</v>
      </c>
      <c r="AA82" s="16">
        <v>0.16642627316098968</v>
      </c>
      <c r="AB82" s="15">
        <v>6</v>
      </c>
      <c r="AC82" s="13">
        <v>6</v>
      </c>
      <c r="AD82" s="16">
        <v>0.16427104722792607</v>
      </c>
      <c r="AE82" s="16">
        <v>0.16427104722792607</v>
      </c>
      <c r="AF82" s="19">
        <v>7</v>
      </c>
      <c r="AG82" s="20">
        <v>6</v>
      </c>
      <c r="AH82" s="16">
        <v>0.19164955509924708</v>
      </c>
      <c r="AI82" s="21">
        <v>0.16427104722792607</v>
      </c>
      <c r="AJ82" s="22">
        <f>BattMobility!D230+cambio!D230+Claus2you!D230+CoopStroom!D230+Cozywheels!D230+Dégage!D230+Flexigo!D230+Klimaan!D230+Moovee!D230+Poppy!D230+'Mobilize Share'!D230+Stapp.in!D230</f>
        <v>6</v>
      </c>
      <c r="AK82" s="23">
        <f>BattMobility!E230+cambio!E230+Claus2you!E230+CoopStroom!E230+Cozywheels!E230+Dégage!E230+Flexigo!E230+Klimaan!E230+Moovee!E230+Poppy!E230+'Mobilize Share'!E230+Stapp.in!E230</f>
        <v>6</v>
      </c>
      <c r="AL82" s="21">
        <f t="shared" si="0"/>
        <v>0.16334531198954588</v>
      </c>
      <c r="AM82" s="21">
        <f t="shared" si="1"/>
        <v>0.16334531198954588</v>
      </c>
      <c r="AN82" s="25">
        <f t="shared" si="2"/>
        <v>0</v>
      </c>
      <c r="AO82" s="26">
        <f t="shared" si="3"/>
        <v>0</v>
      </c>
      <c r="AP82" s="27">
        <f>BattMobility!F230+cambio!F230+Claus2you!F230+CoopStroom!F230+Cozywheels!F230+Dégage!F230+Flexigo!F230+Klimaan!F230+Moovee!F230+Poppy!F230+'Mobilize Share'!F230+Stapp.in!F230</f>
        <v>7</v>
      </c>
      <c r="AQ82" s="25">
        <f>BattMobility!G230+cambio!G230+Claus2you!G230+CoopStroom!G230+Cozywheels!G230+Dégage!G230+Flexigo!G230+Klimaan!G230+Moovee!G230+Poppy!G230+'Mobilize Share'!G230+Stapp.in!G230</f>
        <v>6</v>
      </c>
      <c r="AR82" s="29">
        <f t="shared" si="4"/>
        <v>0.19056953065447022</v>
      </c>
      <c r="AS82" s="29">
        <f t="shared" si="5"/>
        <v>0.16334531198954588</v>
      </c>
      <c r="AT82" s="25">
        <f t="shared" si="6"/>
        <v>0</v>
      </c>
      <c r="AU82" s="30">
        <v>73.05</v>
      </c>
      <c r="AV82" s="31">
        <v>66.05</v>
      </c>
    </row>
    <row r="83" spans="1:48" ht="14.25" customHeight="1" x14ac:dyDescent="0.35">
      <c r="A83" s="33" t="s">
        <v>133</v>
      </c>
      <c r="B83" s="13" t="s">
        <v>59</v>
      </c>
      <c r="C83" s="13">
        <v>73111</v>
      </c>
      <c r="D83" s="14">
        <v>31562</v>
      </c>
      <c r="E83" s="14">
        <v>31915</v>
      </c>
      <c r="F83" s="14">
        <v>32138</v>
      </c>
      <c r="G83" s="14">
        <v>43980</v>
      </c>
      <c r="H83" s="15">
        <v>1</v>
      </c>
      <c r="I83" s="13">
        <v>0</v>
      </c>
      <c r="J83" s="16">
        <v>3.1683670236360179E-2</v>
      </c>
      <c r="K83" s="15">
        <v>0</v>
      </c>
      <c r="L83" s="13">
        <v>0</v>
      </c>
      <c r="M83" s="16">
        <v>0</v>
      </c>
      <c r="N83" s="15">
        <v>0</v>
      </c>
      <c r="O83" s="13">
        <v>0</v>
      </c>
      <c r="P83" s="16">
        <v>0</v>
      </c>
      <c r="Q83" s="16">
        <v>0</v>
      </c>
      <c r="R83" s="18">
        <v>-1</v>
      </c>
      <c r="S83" s="16">
        <v>-3.1683670236360179E-2</v>
      </c>
      <c r="T83" s="18">
        <v>0</v>
      </c>
      <c r="U83" s="16">
        <v>0</v>
      </c>
      <c r="V83" s="18">
        <v>0</v>
      </c>
      <c r="W83" s="16">
        <v>0</v>
      </c>
      <c r="X83" s="15">
        <v>3</v>
      </c>
      <c r="Y83" s="13">
        <v>1</v>
      </c>
      <c r="Z83" s="16">
        <v>9.3999686667711108E-2</v>
      </c>
      <c r="AA83" s="16">
        <v>3.1333228889237036E-2</v>
      </c>
      <c r="AB83" s="15">
        <f>5+'overzicht voor jun 25'!AA38</f>
        <v>6</v>
      </c>
      <c r="AC83" s="13">
        <v>2</v>
      </c>
      <c r="AD83" s="16">
        <v>0.15557906528097579</v>
      </c>
      <c r="AE83" s="16">
        <v>6.2231626112390324E-2</v>
      </c>
      <c r="AF83" s="19">
        <v>6</v>
      </c>
      <c r="AG83" s="20">
        <v>2</v>
      </c>
      <c r="AH83" s="16">
        <v>0.18669487833717094</v>
      </c>
      <c r="AI83" s="21">
        <v>6.2231626112390324E-2</v>
      </c>
      <c r="AJ83" s="22">
        <f>BattMobility!D244+cambio!D244+Claus2you!D244+CoopStroom!D244+Cozywheels!D244+Dégage!D244+Flexigo!D244+Klimaan!D244+Moovee!D244+Poppy!D244+'Mobilize Share'!D244+Stapp.in!D244</f>
        <v>6</v>
      </c>
      <c r="AK83" s="23">
        <f>BattMobility!E244+cambio!E244+Claus2you!E244+CoopStroom!E244+Cozywheels!E244+Dégage!E244+Flexigo!E244+Klimaan!E244+Moovee!E244+Poppy!E244+'Mobilize Share'!E244+Stapp.in!E244</f>
        <v>2</v>
      </c>
      <c r="AL83" s="21">
        <f t="shared" si="0"/>
        <v>0.13642564802182811</v>
      </c>
      <c r="AM83" s="21">
        <f t="shared" si="1"/>
        <v>4.5475216007276033E-2</v>
      </c>
      <c r="AN83" s="25">
        <f t="shared" si="2"/>
        <v>0</v>
      </c>
      <c r="AO83" s="26">
        <f t="shared" si="3"/>
        <v>0</v>
      </c>
      <c r="AP83" s="27">
        <f>BattMobility!F244+cambio!F244+Claus2you!F244+CoopStroom!F244+Cozywheels!F244+Dégage!F244+Flexigo!F244+Klimaan!F244+Moovee!F244+Poppy!F244+'Mobilize Share'!F244+Stapp.in!F244</f>
        <v>7</v>
      </c>
      <c r="AQ83" s="25">
        <f>BattMobility!G244+cambio!G244+Claus2you!G244+CoopStroom!G244+Cozywheels!G244+Dégage!G244+Flexigo!G244+Klimaan!G244+Moovee!G244+Poppy!G244+'Mobilize Share'!G244+Stapp.in!G244</f>
        <v>2</v>
      </c>
      <c r="AR83" s="29">
        <f t="shared" si="4"/>
        <v>0.1591632560254661</v>
      </c>
      <c r="AS83" s="29">
        <f t="shared" si="5"/>
        <v>4.5475216007276033E-2</v>
      </c>
      <c r="AT83" s="25">
        <f t="shared" si="6"/>
        <v>1</v>
      </c>
      <c r="AU83" s="30">
        <v>64.275999999999996</v>
      </c>
      <c r="AV83" s="31">
        <v>58.275999999999996</v>
      </c>
    </row>
    <row r="84" spans="1:48" ht="14.25" customHeight="1" x14ac:dyDescent="0.35">
      <c r="A84" s="2" t="s">
        <v>134</v>
      </c>
      <c r="B84" s="13" t="s">
        <v>52</v>
      </c>
      <c r="C84" s="13">
        <v>24045</v>
      </c>
      <c r="D84" s="14">
        <v>10017</v>
      </c>
      <c r="E84" s="14">
        <v>10080</v>
      </c>
      <c r="F84" s="14">
        <v>10083</v>
      </c>
      <c r="G84" s="14">
        <v>10071</v>
      </c>
      <c r="H84" s="15">
        <v>3</v>
      </c>
      <c r="I84" s="13">
        <v>0</v>
      </c>
      <c r="J84" s="16">
        <v>0.29949086552860138</v>
      </c>
      <c r="K84" s="15">
        <v>2</v>
      </c>
      <c r="L84" s="13">
        <v>0</v>
      </c>
      <c r="M84" s="16">
        <v>0.19966057701906759</v>
      </c>
      <c r="N84" s="15">
        <v>2</v>
      </c>
      <c r="O84" s="13">
        <v>2</v>
      </c>
      <c r="P84" s="16">
        <v>0.1984126984126984</v>
      </c>
      <c r="Q84" s="16">
        <v>0.1984126984126984</v>
      </c>
      <c r="R84" s="18">
        <v>-1</v>
      </c>
      <c r="S84" s="16">
        <v>-0.10107816711590298</v>
      </c>
      <c r="T84" s="18">
        <v>0</v>
      </c>
      <c r="U84" s="16">
        <v>-1.2478786063691849E-3</v>
      </c>
      <c r="V84" s="18">
        <v>0</v>
      </c>
      <c r="W84" s="16">
        <v>0</v>
      </c>
      <c r="X84" s="15">
        <v>2</v>
      </c>
      <c r="Y84" s="13">
        <v>2</v>
      </c>
      <c r="Z84" s="16">
        <v>0.1984126984126984</v>
      </c>
      <c r="AA84" s="16">
        <v>0.1984126984126984</v>
      </c>
      <c r="AB84" s="15">
        <v>4</v>
      </c>
      <c r="AC84" s="13">
        <v>4</v>
      </c>
      <c r="AD84" s="16">
        <v>0.39670732916790635</v>
      </c>
      <c r="AE84" s="16">
        <v>0.39670732916790635</v>
      </c>
      <c r="AF84" s="19">
        <v>6</v>
      </c>
      <c r="AG84" s="20">
        <v>5</v>
      </c>
      <c r="AH84" s="16">
        <v>0.59506099375185961</v>
      </c>
      <c r="AI84" s="21">
        <v>0.49588416145988296</v>
      </c>
      <c r="AJ84" s="22">
        <f>BattMobility!D110+cambio!D110+Claus2you!D110+CoopStroom!D110+Cozywheels!D110+Dégage!D110+Flexigo!D110+Klimaan!D110+Moovee!D110+Poppy!D110+'Mobilize Share'!D110+Stapp.in!D110</f>
        <v>6</v>
      </c>
      <c r="AK84" s="23">
        <f>BattMobility!E110+cambio!E110+Claus2you!E110+CoopStroom!E110+Cozywheels!E110+Dégage!E110+Flexigo!E110+Klimaan!E110+Moovee!E110+Poppy!E110+'Mobilize Share'!E110+Stapp.in!E110</f>
        <v>6</v>
      </c>
      <c r="AL84" s="21">
        <f t="shared" si="0"/>
        <v>0.59577003276735174</v>
      </c>
      <c r="AM84" s="21">
        <f t="shared" si="1"/>
        <v>0.59577003276735174</v>
      </c>
      <c r="AN84" s="25">
        <f t="shared" si="2"/>
        <v>2</v>
      </c>
      <c r="AO84" s="26">
        <f t="shared" si="3"/>
        <v>0.5</v>
      </c>
      <c r="AP84" s="27">
        <f>BattMobility!F110+cambio!F110+Claus2you!F110+CoopStroom!F110+Cozywheels!F110+Dégage!F110+Flexigo!F110+Klimaan!F110+Moovee!F110+Poppy!F110+'Mobilize Share'!F110+Stapp.in!F110</f>
        <v>6</v>
      </c>
      <c r="AQ84" s="25">
        <f>BattMobility!G110+cambio!G110+Claus2you!G110+CoopStroom!G110+Cozywheels!G110+Dégage!G110+Flexigo!G110+Klimaan!G110+Moovee!G110+Poppy!G110+'Mobilize Share'!G110+Stapp.in!G110</f>
        <v>6</v>
      </c>
      <c r="AR84" s="29">
        <f t="shared" si="4"/>
        <v>0.59577003276735174</v>
      </c>
      <c r="AS84" s="29">
        <f t="shared" si="5"/>
        <v>0.59577003276735174</v>
      </c>
      <c r="AT84" s="25">
        <f t="shared" si="6"/>
        <v>0</v>
      </c>
      <c r="AU84" s="30">
        <v>20.166</v>
      </c>
      <c r="AV84" s="31">
        <v>14.166</v>
      </c>
    </row>
    <row r="85" spans="1:48" ht="14.25" customHeight="1" x14ac:dyDescent="0.35">
      <c r="A85" s="2" t="s">
        <v>135</v>
      </c>
      <c r="B85" s="13" t="s">
        <v>55</v>
      </c>
      <c r="C85" s="13">
        <v>38008</v>
      </c>
      <c r="D85" s="14">
        <v>11122</v>
      </c>
      <c r="E85" s="14">
        <v>11089</v>
      </c>
      <c r="F85" s="14">
        <v>11021</v>
      </c>
      <c r="G85" s="14">
        <v>10874</v>
      </c>
      <c r="H85" s="15">
        <v>2</v>
      </c>
      <c r="I85" s="13">
        <v>0</v>
      </c>
      <c r="J85" s="16">
        <v>0.17982377270275129</v>
      </c>
      <c r="K85" s="15">
        <v>1</v>
      </c>
      <c r="L85" s="13">
        <v>0</v>
      </c>
      <c r="M85" s="16">
        <v>8.9911886351375647E-2</v>
      </c>
      <c r="N85" s="15">
        <v>1</v>
      </c>
      <c r="O85" s="13">
        <v>0</v>
      </c>
      <c r="P85" s="16">
        <v>9.0179457119668141E-2</v>
      </c>
      <c r="Q85" s="16">
        <v>0</v>
      </c>
      <c r="R85" s="18">
        <v>-1</v>
      </c>
      <c r="S85" s="16">
        <v>-8.9644315583083153E-2</v>
      </c>
      <c r="T85" s="18">
        <v>0</v>
      </c>
      <c r="U85" s="16">
        <v>2.6757076829249382E-4</v>
      </c>
      <c r="V85" s="18">
        <v>1</v>
      </c>
      <c r="W85" s="16">
        <v>9.0179457119668141E-2</v>
      </c>
      <c r="X85" s="15">
        <v>2</v>
      </c>
      <c r="Y85" s="13">
        <v>1</v>
      </c>
      <c r="Z85" s="16">
        <v>0.18035891423933628</v>
      </c>
      <c r="AA85" s="16">
        <v>9.0179457119668141E-2</v>
      </c>
      <c r="AB85" s="15">
        <v>3</v>
      </c>
      <c r="AC85" s="13">
        <v>1</v>
      </c>
      <c r="AD85" s="16">
        <v>0.27220760366572905</v>
      </c>
      <c r="AE85" s="16">
        <v>9.0735867888576363E-2</v>
      </c>
      <c r="AF85" s="19">
        <v>4</v>
      </c>
      <c r="AG85" s="20">
        <v>2</v>
      </c>
      <c r="AH85" s="16">
        <v>0.36294347155430545</v>
      </c>
      <c r="AI85" s="21">
        <v>0.18147173577715273</v>
      </c>
      <c r="AJ85" s="22">
        <f>BattMobility!D49+cambio!D49+Claus2you!D49+CoopStroom!D49+Cozywheels!D49+Dégage!D49+Flexigo!D49+Klimaan!D49+Moovee!D49+Poppy!D49+'Mobilize Share'!D49+Stapp.in!D49</f>
        <v>4</v>
      </c>
      <c r="AK85" s="23">
        <f>BattMobility!E49+cambio!E49+Claus2you!E49+CoopStroom!E49+Cozywheels!E49+Dégage!E49+Flexigo!E49+Klimaan!E49+Moovee!E49+Poppy!E49+'Mobilize Share'!E49+Stapp.in!E49</f>
        <v>2</v>
      </c>
      <c r="AL85" s="21">
        <f t="shared" si="0"/>
        <v>0.36784991723376859</v>
      </c>
      <c r="AM85" s="21">
        <f t="shared" si="1"/>
        <v>0.18392495861688429</v>
      </c>
      <c r="AN85" s="25">
        <f t="shared" si="2"/>
        <v>1</v>
      </c>
      <c r="AO85" s="26">
        <f t="shared" si="3"/>
        <v>0.33333333333333331</v>
      </c>
      <c r="AP85" s="27">
        <f>BattMobility!F49+cambio!F49+Claus2you!F49+CoopStroom!F49+Cozywheels!F49+Dégage!F49+Flexigo!F49+Klimaan!F49+Moovee!F49+Poppy!F49+'Mobilize Share'!F49+Stapp.in!F49</f>
        <v>6</v>
      </c>
      <c r="AQ85" s="25">
        <f>BattMobility!G49+cambio!G49+Claus2you!G49+CoopStroom!G49+Cozywheels!G49+Dégage!G49+Flexigo!G49+Klimaan!G49+Moovee!G49+Poppy!G49+'Mobilize Share'!G49+Stapp.in!G49</f>
        <v>4</v>
      </c>
      <c r="AR85" s="29">
        <f t="shared" si="4"/>
        <v>0.55177487585065299</v>
      </c>
      <c r="AS85" s="29">
        <f t="shared" si="5"/>
        <v>0.36784991723376859</v>
      </c>
      <c r="AT85" s="25">
        <f t="shared" si="6"/>
        <v>2</v>
      </c>
      <c r="AU85" s="30">
        <v>22.042000000000002</v>
      </c>
      <c r="AV85" s="31">
        <v>18.042000000000002</v>
      </c>
    </row>
    <row r="86" spans="1:48" ht="14.25" customHeight="1" x14ac:dyDescent="0.35">
      <c r="A86" s="2" t="s">
        <v>136</v>
      </c>
      <c r="B86" s="13" t="s">
        <v>48</v>
      </c>
      <c r="C86" s="13">
        <v>12002</v>
      </c>
      <c r="D86" s="14">
        <v>11730</v>
      </c>
      <c r="E86" s="14">
        <v>11949</v>
      </c>
      <c r="F86" s="14">
        <v>12061</v>
      </c>
      <c r="G86" s="14">
        <v>12115</v>
      </c>
      <c r="H86" s="15">
        <v>1</v>
      </c>
      <c r="I86" s="13">
        <v>0</v>
      </c>
      <c r="J86" s="16">
        <v>8.525149190110827E-2</v>
      </c>
      <c r="K86" s="15">
        <v>1</v>
      </c>
      <c r="L86" s="13">
        <v>0</v>
      </c>
      <c r="M86" s="16">
        <v>8.525149190110827E-2</v>
      </c>
      <c r="N86" s="15">
        <v>1</v>
      </c>
      <c r="O86" s="13">
        <v>0</v>
      </c>
      <c r="P86" s="16">
        <v>8.368901163277262E-2</v>
      </c>
      <c r="Q86" s="16">
        <v>0</v>
      </c>
      <c r="R86" s="18">
        <v>0</v>
      </c>
      <c r="S86" s="16">
        <v>-1.5624802683356503E-3</v>
      </c>
      <c r="T86" s="18">
        <v>0</v>
      </c>
      <c r="U86" s="16">
        <v>-1.5624802683356503E-3</v>
      </c>
      <c r="V86" s="18">
        <v>1</v>
      </c>
      <c r="W86" s="16">
        <v>8.368901163277262E-2</v>
      </c>
      <c r="X86" s="15">
        <v>2</v>
      </c>
      <c r="Y86" s="13">
        <v>0</v>
      </c>
      <c r="Z86" s="16">
        <v>0.16737802326554524</v>
      </c>
      <c r="AA86" s="16">
        <v>0</v>
      </c>
      <c r="AB86" s="15">
        <v>4</v>
      </c>
      <c r="AC86" s="13">
        <v>2</v>
      </c>
      <c r="AD86" s="16">
        <v>0.33164745875134732</v>
      </c>
      <c r="AE86" s="16">
        <v>0.16582372937567366</v>
      </c>
      <c r="AF86" s="19">
        <v>4</v>
      </c>
      <c r="AG86" s="20">
        <v>2</v>
      </c>
      <c r="AH86" s="16">
        <v>0.33164745875134732</v>
      </c>
      <c r="AI86" s="21">
        <v>0.16582372937567366</v>
      </c>
      <c r="AJ86" s="22">
        <f>BattMobility!D25+cambio!D25+Claus2you!D25+CoopStroom!D25+Cozywheels!D25+Dégage!D25+Flexigo!D25+Klimaan!D25+Moovee!D25+Poppy!D25+'Mobilize Share'!D25+Stapp.in!D25</f>
        <v>6</v>
      </c>
      <c r="AK86" s="23">
        <f>BattMobility!E25+cambio!E25+Claus2you!E25+CoopStroom!E25+Cozywheels!E25+Dégage!E25+Flexigo!E25+Klimaan!E25+Moovee!E25+Poppy!E25+'Mobilize Share'!E25+Stapp.in!E25</f>
        <v>3</v>
      </c>
      <c r="AL86" s="21">
        <f t="shared" si="0"/>
        <v>0.49525381758151049</v>
      </c>
      <c r="AM86" s="21">
        <f t="shared" si="1"/>
        <v>0.24762690879075525</v>
      </c>
      <c r="AN86" s="25">
        <f t="shared" si="2"/>
        <v>2</v>
      </c>
      <c r="AO86" s="26">
        <f t="shared" si="3"/>
        <v>0.5</v>
      </c>
      <c r="AP86" s="27">
        <f>BattMobility!F25+cambio!F25+Claus2you!F25+CoopStroom!F25+Cozywheels!F25+Dégage!F25+Flexigo!F25+Klimaan!F25+Moovee!F25+Poppy!F25+'Mobilize Share'!F25+Stapp.in!F25</f>
        <v>6</v>
      </c>
      <c r="AQ86" s="25">
        <f>BattMobility!G25+cambio!G25+Claus2you!G25+CoopStroom!G25+Cozywheels!G25+Dégage!G25+Flexigo!G25+Klimaan!G25+Moovee!G25+Poppy!G25+'Mobilize Share'!G25+Stapp.in!G25</f>
        <v>3</v>
      </c>
      <c r="AR86" s="29">
        <f t="shared" si="4"/>
        <v>0.49525381758151049</v>
      </c>
      <c r="AS86" s="29">
        <f t="shared" si="5"/>
        <v>0.24762690879075525</v>
      </c>
      <c r="AT86" s="25">
        <f t="shared" si="6"/>
        <v>2</v>
      </c>
      <c r="AU86" s="30">
        <v>24.122</v>
      </c>
      <c r="AV86" s="31">
        <v>20.122</v>
      </c>
    </row>
    <row r="87" spans="1:48" ht="14.25" customHeight="1" x14ac:dyDescent="0.35">
      <c r="A87" s="2" t="s">
        <v>137</v>
      </c>
      <c r="B87" s="13" t="s">
        <v>55</v>
      </c>
      <c r="C87" s="13">
        <v>33037</v>
      </c>
      <c r="D87" s="14">
        <v>12556</v>
      </c>
      <c r="E87" s="14">
        <v>12658</v>
      </c>
      <c r="F87" s="14">
        <v>12705</v>
      </c>
      <c r="G87" s="14">
        <v>12769</v>
      </c>
      <c r="H87" s="15">
        <v>4</v>
      </c>
      <c r="I87" s="13">
        <v>0</v>
      </c>
      <c r="J87" s="16">
        <v>0.31857279388340237</v>
      </c>
      <c r="K87" s="15">
        <v>4</v>
      </c>
      <c r="L87" s="13">
        <v>0</v>
      </c>
      <c r="M87" s="16">
        <v>0.31857279388340237</v>
      </c>
      <c r="N87" s="15">
        <v>5</v>
      </c>
      <c r="O87" s="13">
        <v>1</v>
      </c>
      <c r="P87" s="16">
        <v>0.39500711012798234</v>
      </c>
      <c r="Q87" s="16">
        <v>7.9001422025596457E-2</v>
      </c>
      <c r="R87" s="18">
        <v>1</v>
      </c>
      <c r="S87" s="16">
        <v>7.643431624457997E-2</v>
      </c>
      <c r="T87" s="18">
        <v>1</v>
      </c>
      <c r="U87" s="16">
        <v>7.643431624457997E-2</v>
      </c>
      <c r="V87" s="18">
        <v>0</v>
      </c>
      <c r="W87" s="16">
        <v>0</v>
      </c>
      <c r="X87" s="15">
        <v>5</v>
      </c>
      <c r="Y87" s="13">
        <v>1</v>
      </c>
      <c r="Z87" s="16">
        <v>0.39500711012798234</v>
      </c>
      <c r="AA87" s="16">
        <v>7.9001422025596457E-2</v>
      </c>
      <c r="AB87" s="15">
        <v>6</v>
      </c>
      <c r="AC87" s="13">
        <v>1</v>
      </c>
      <c r="AD87" s="16">
        <v>0.47225501770956319</v>
      </c>
      <c r="AE87" s="16">
        <v>7.8709169618260522E-2</v>
      </c>
      <c r="AF87" s="19">
        <v>6</v>
      </c>
      <c r="AG87" s="20">
        <v>1</v>
      </c>
      <c r="AH87" s="16">
        <v>0.47225501770956319</v>
      </c>
      <c r="AI87" s="21">
        <v>7.8709169618260522E-2</v>
      </c>
      <c r="AJ87" s="22">
        <f>BattMobility!D279+cambio!D279+Claus2you!D279+CoopStroom!D279+Cozywheels!D279+Dégage!D279+Flexigo!D279+Klimaan!D279+Moovee!D279+Poppy!D279+'Mobilize Share'!D279+Stapp.in!D279</f>
        <v>6</v>
      </c>
      <c r="AK87" s="23">
        <f>BattMobility!E279+cambio!E279+Claus2you!E279+CoopStroom!E279+Cozywheels!E279+Dégage!E279+Flexigo!E279+Klimaan!E279+Moovee!E279+Poppy!E279+'Mobilize Share'!E279+Stapp.in!E279</f>
        <v>1</v>
      </c>
      <c r="AL87" s="21">
        <f t="shared" si="0"/>
        <v>0.46988801002427755</v>
      </c>
      <c r="AM87" s="21">
        <f t="shared" si="1"/>
        <v>7.8314668337379587E-2</v>
      </c>
      <c r="AN87" s="25">
        <f t="shared" si="2"/>
        <v>0</v>
      </c>
      <c r="AO87" s="26">
        <f t="shared" si="3"/>
        <v>0</v>
      </c>
      <c r="AP87" s="27">
        <f>BattMobility!F279+cambio!F279+Claus2you!F279+CoopStroom!F279+Cozywheels!F279+Dégage!F279+Flexigo!F279+Klimaan!F279+Moovee!F279+Poppy!F279+'Mobilize Share'!F279+Stapp.in!F279</f>
        <v>6</v>
      </c>
      <c r="AQ87" s="25">
        <f>BattMobility!G279+cambio!G279+Claus2you!G279+CoopStroom!G279+Cozywheels!G279+Dégage!G279+Flexigo!G279+Klimaan!G279+Moovee!G279+Poppy!G279+'Mobilize Share'!G279+Stapp.in!G279</f>
        <v>1</v>
      </c>
      <c r="AR87" s="29">
        <f t="shared" si="4"/>
        <v>0.46988801002427755</v>
      </c>
      <c r="AS87" s="29">
        <f t="shared" si="5"/>
        <v>7.8314668337379587E-2</v>
      </c>
      <c r="AT87" s="25">
        <f t="shared" si="6"/>
        <v>0</v>
      </c>
      <c r="AU87" s="30">
        <v>25.41</v>
      </c>
      <c r="AV87" s="31">
        <v>19.41</v>
      </c>
    </row>
    <row r="88" spans="1:48" ht="14.25" customHeight="1" x14ac:dyDescent="0.35">
      <c r="A88" s="2" t="s">
        <v>138</v>
      </c>
      <c r="B88" s="13" t="s">
        <v>55</v>
      </c>
      <c r="C88" s="13">
        <v>32011</v>
      </c>
      <c r="D88" s="14">
        <v>12803</v>
      </c>
      <c r="E88" s="14">
        <v>12873</v>
      </c>
      <c r="F88" s="14">
        <v>12815</v>
      </c>
      <c r="G88" s="14">
        <v>12882</v>
      </c>
      <c r="H88" s="15">
        <v>1</v>
      </c>
      <c r="I88" s="13">
        <v>0</v>
      </c>
      <c r="J88" s="16">
        <v>7.8106693743653838E-2</v>
      </c>
      <c r="K88" s="15">
        <v>1</v>
      </c>
      <c r="L88" s="13">
        <v>0</v>
      </c>
      <c r="M88" s="16">
        <v>7.8106693743653838E-2</v>
      </c>
      <c r="N88" s="15">
        <v>1</v>
      </c>
      <c r="O88" s="13">
        <v>0</v>
      </c>
      <c r="P88" s="16">
        <v>7.7681970014759572E-2</v>
      </c>
      <c r="Q88" s="16">
        <v>0</v>
      </c>
      <c r="R88" s="18">
        <v>0</v>
      </c>
      <c r="S88" s="16">
        <v>-4.2472372889426624E-4</v>
      </c>
      <c r="T88" s="18">
        <v>0</v>
      </c>
      <c r="U88" s="16">
        <v>-4.2472372889426624E-4</v>
      </c>
      <c r="V88" s="18">
        <v>1</v>
      </c>
      <c r="W88" s="16">
        <v>7.7681970014759572E-2</v>
      </c>
      <c r="X88" s="15">
        <v>1</v>
      </c>
      <c r="Y88" s="13">
        <v>0</v>
      </c>
      <c r="Z88" s="16">
        <v>7.7681970014759572E-2</v>
      </c>
      <c r="AA88" s="16">
        <v>0</v>
      </c>
      <c r="AB88" s="15">
        <v>3</v>
      </c>
      <c r="AC88" s="13">
        <v>0</v>
      </c>
      <c r="AD88" s="16">
        <v>0.23410066328521265</v>
      </c>
      <c r="AE88" s="16">
        <v>0</v>
      </c>
      <c r="AF88" s="19">
        <v>4</v>
      </c>
      <c r="AG88" s="20">
        <v>1</v>
      </c>
      <c r="AH88" s="16">
        <v>0.31213421771361688</v>
      </c>
      <c r="AI88" s="21">
        <v>7.803355442840422E-2</v>
      </c>
      <c r="AJ88" s="22">
        <f>BattMobility!D130+cambio!D130+Claus2you!D130+CoopStroom!D130+Cozywheels!D130+Dégage!D130+Flexigo!D130+Klimaan!D130+Moovee!D130+Poppy!D130+'Mobilize Share'!D130+Stapp.in!D130</f>
        <v>4</v>
      </c>
      <c r="AK88" s="23">
        <f>BattMobility!E130+cambio!E130+Claus2you!E130+CoopStroom!E130+Cozywheels!E130+Dégage!E130+Flexigo!E130+Klimaan!E130+Moovee!E130+Poppy!E130+'Mobilize Share'!E130+Stapp.in!E130</f>
        <v>1</v>
      </c>
      <c r="AL88" s="21">
        <f t="shared" si="0"/>
        <v>0.3105107902499612</v>
      </c>
      <c r="AM88" s="21">
        <f t="shared" si="1"/>
        <v>7.76276975624903E-2</v>
      </c>
      <c r="AN88" s="25">
        <f t="shared" si="2"/>
        <v>1</v>
      </c>
      <c r="AO88" s="26">
        <f t="shared" si="3"/>
        <v>0.33333333333333331</v>
      </c>
      <c r="AP88" s="27">
        <f>BattMobility!F130+cambio!F130+Claus2you!F130+CoopStroom!F130+Cozywheels!F130+Dégage!F130+Flexigo!F130+Klimaan!F130+Moovee!F130+Poppy!F130+'Mobilize Share'!F130+Stapp.in!F130</f>
        <v>6</v>
      </c>
      <c r="AQ88" s="25">
        <f>BattMobility!G130+cambio!G130+Claus2you!G130+CoopStroom!G130+Cozywheels!G130+Dégage!G130+Flexigo!G130+Klimaan!G130+Moovee!G130+Poppy!G130+'Mobilize Share'!G130+Stapp.in!G130</f>
        <v>2</v>
      </c>
      <c r="AR88" s="29">
        <f t="shared" si="4"/>
        <v>0.4657661853749418</v>
      </c>
      <c r="AS88" s="29">
        <f t="shared" si="5"/>
        <v>0.1552553951249806</v>
      </c>
      <c r="AT88" s="25">
        <f t="shared" si="6"/>
        <v>2</v>
      </c>
      <c r="AU88" s="30">
        <v>25.63</v>
      </c>
      <c r="AV88" s="31">
        <v>21.63</v>
      </c>
    </row>
    <row r="89" spans="1:48" ht="14.25" customHeight="1" x14ac:dyDescent="0.35">
      <c r="A89" s="2" t="s">
        <v>139</v>
      </c>
      <c r="B89" s="13" t="s">
        <v>52</v>
      </c>
      <c r="C89" s="13">
        <v>24066</v>
      </c>
      <c r="D89" s="14">
        <v>14776</v>
      </c>
      <c r="E89" s="14">
        <v>14911</v>
      </c>
      <c r="F89" s="14">
        <v>15124</v>
      </c>
      <c r="G89" s="14">
        <v>15236</v>
      </c>
      <c r="H89" s="15">
        <v>1</v>
      </c>
      <c r="I89" s="13">
        <v>0</v>
      </c>
      <c r="J89" s="16">
        <v>6.7677314564158098E-2</v>
      </c>
      <c r="K89" s="15">
        <v>0</v>
      </c>
      <c r="L89" s="13">
        <v>0</v>
      </c>
      <c r="M89" s="16">
        <v>0</v>
      </c>
      <c r="N89" s="15">
        <v>0</v>
      </c>
      <c r="O89" s="13">
        <v>0</v>
      </c>
      <c r="P89" s="16">
        <v>0</v>
      </c>
      <c r="Q89" s="16">
        <v>0</v>
      </c>
      <c r="R89" s="18">
        <v>-1</v>
      </c>
      <c r="S89" s="16">
        <v>-6.7677314564158098E-2</v>
      </c>
      <c r="T89" s="18">
        <v>0</v>
      </c>
      <c r="U89" s="16">
        <v>0</v>
      </c>
      <c r="V89" s="18">
        <v>0</v>
      </c>
      <c r="W89" s="16">
        <v>0</v>
      </c>
      <c r="X89" s="15">
        <v>1</v>
      </c>
      <c r="Y89" s="13">
        <v>0</v>
      </c>
      <c r="Z89" s="16">
        <v>6.7064583193615454E-2</v>
      </c>
      <c r="AA89" s="16">
        <v>0</v>
      </c>
      <c r="AB89" s="15">
        <v>3</v>
      </c>
      <c r="AC89" s="13">
        <v>1</v>
      </c>
      <c r="AD89" s="16">
        <v>0.19836022216344881</v>
      </c>
      <c r="AE89" s="16">
        <v>6.6120074054482947E-2</v>
      </c>
      <c r="AF89" s="19">
        <v>5</v>
      </c>
      <c r="AG89" s="20">
        <v>3</v>
      </c>
      <c r="AH89" s="16">
        <v>0.33060037027241468</v>
      </c>
      <c r="AI89" s="21">
        <v>0.19836022216344881</v>
      </c>
      <c r="AJ89" s="22">
        <f>BattMobility!D163+cambio!D163+Claus2you!D163+CoopStroom!D163+Cozywheels!D163+Dégage!D163+Flexigo!D163+Klimaan!D163+Moovee!D163+Poppy!D163+'Mobilize Share'!D163+Stapp.in!D163</f>
        <v>5</v>
      </c>
      <c r="AK89" s="23">
        <f>BattMobility!E163+cambio!E163+Claus2you!E163+CoopStroom!E163+Cozywheels!E163+Dégage!E163+Flexigo!E163+Klimaan!E163+Moovee!E163+Poppy!E163+'Mobilize Share'!E163+Stapp.in!E163</f>
        <v>3</v>
      </c>
      <c r="AL89" s="21">
        <f t="shared" si="0"/>
        <v>0.32817012339196638</v>
      </c>
      <c r="AM89" s="21">
        <f t="shared" si="1"/>
        <v>0.19690207403517984</v>
      </c>
      <c r="AN89" s="25">
        <f t="shared" si="2"/>
        <v>2</v>
      </c>
      <c r="AO89" s="26">
        <f t="shared" si="3"/>
        <v>0.66666666666666663</v>
      </c>
      <c r="AP89" s="27">
        <f>BattMobility!F163+cambio!F163+Claus2you!F163+CoopStroom!F163+Cozywheels!F163+Dégage!F163+Flexigo!F163+Klimaan!F163+Moovee!F163+Poppy!F163+'Mobilize Share'!F163+Stapp.in!F163</f>
        <v>6</v>
      </c>
      <c r="AQ89" s="25">
        <f>BattMobility!G163+cambio!G163+Claus2you!G163+CoopStroom!G163+Cozywheels!G163+Dégage!G163+Flexigo!G163+Klimaan!G163+Moovee!G163+Poppy!G163+'Mobilize Share'!G163+Stapp.in!G163</f>
        <v>3</v>
      </c>
      <c r="AR89" s="29">
        <f t="shared" si="4"/>
        <v>0.39380414807035968</v>
      </c>
      <c r="AS89" s="29">
        <f t="shared" si="5"/>
        <v>0.19690207403517984</v>
      </c>
      <c r="AT89" s="25">
        <f t="shared" si="6"/>
        <v>1</v>
      </c>
      <c r="AU89" s="30">
        <v>30.248000000000001</v>
      </c>
      <c r="AV89" s="31">
        <v>25.248000000000001</v>
      </c>
    </row>
    <row r="90" spans="1:48" ht="14.25" customHeight="1" x14ac:dyDescent="0.35">
      <c r="A90" s="2" t="s">
        <v>140</v>
      </c>
      <c r="B90" s="13" t="s">
        <v>48</v>
      </c>
      <c r="C90" s="13">
        <v>12009</v>
      </c>
      <c r="D90" s="14">
        <v>17770</v>
      </c>
      <c r="E90" s="14">
        <v>17982</v>
      </c>
      <c r="F90" s="14">
        <v>18062</v>
      </c>
      <c r="G90" s="14">
        <v>18100</v>
      </c>
      <c r="H90" s="15">
        <v>4</v>
      </c>
      <c r="I90" s="13">
        <v>0</v>
      </c>
      <c r="J90" s="16">
        <v>0.22509848058525606</v>
      </c>
      <c r="K90" s="15">
        <v>4</v>
      </c>
      <c r="L90" s="13">
        <v>0</v>
      </c>
      <c r="M90" s="16">
        <v>0.22509848058525606</v>
      </c>
      <c r="N90" s="15">
        <v>3</v>
      </c>
      <c r="O90" s="13">
        <v>0</v>
      </c>
      <c r="P90" s="16">
        <v>0.16683350016683351</v>
      </c>
      <c r="Q90" s="16">
        <v>0</v>
      </c>
      <c r="R90" s="18">
        <v>-1</v>
      </c>
      <c r="S90" s="16">
        <v>-5.8264980418422541E-2</v>
      </c>
      <c r="T90" s="18">
        <v>-1</v>
      </c>
      <c r="U90" s="16">
        <v>-5.8264980418422541E-2</v>
      </c>
      <c r="V90" s="18">
        <v>3</v>
      </c>
      <c r="W90" s="16">
        <v>0.16683350016683351</v>
      </c>
      <c r="X90" s="15">
        <v>5</v>
      </c>
      <c r="Y90" s="13">
        <v>0</v>
      </c>
      <c r="Z90" s="16">
        <v>0.27805583361138914</v>
      </c>
      <c r="AA90" s="16">
        <v>0</v>
      </c>
      <c r="AB90" s="15">
        <v>7</v>
      </c>
      <c r="AC90" s="13">
        <v>3</v>
      </c>
      <c r="AD90" s="16">
        <v>0.38755398073303066</v>
      </c>
      <c r="AE90" s="16">
        <v>0.16609456317129886</v>
      </c>
      <c r="AF90" s="19">
        <v>4</v>
      </c>
      <c r="AG90" s="20">
        <v>3</v>
      </c>
      <c r="AH90" s="16">
        <v>0.22145941756173182</v>
      </c>
      <c r="AI90" s="21">
        <v>0.16609456317129886</v>
      </c>
      <c r="AJ90" s="22">
        <f>BattMobility!D63+cambio!D63+Claus2you!D63+CoopStroom!D63+Cozywheels!D63+Dégage!D63+Flexigo!D63+Klimaan!D63+Moovee!D63+Poppy!D63+'Mobilize Share'!D63+Stapp.in!D63</f>
        <v>4</v>
      </c>
      <c r="AK90" s="23">
        <f>BattMobility!E63+cambio!E63+Claus2you!E63+CoopStroom!E63+Cozywheels!E63+Dégage!E63+Flexigo!E63+Klimaan!E63+Moovee!E63+Poppy!E63+'Mobilize Share'!E63+Stapp.in!E63</f>
        <v>3</v>
      </c>
      <c r="AL90" s="21">
        <f t="shared" si="0"/>
        <v>0.22099447513812154</v>
      </c>
      <c r="AM90" s="21">
        <f t="shared" si="1"/>
        <v>0.16574585635359118</v>
      </c>
      <c r="AN90" s="25">
        <f t="shared" si="2"/>
        <v>-3</v>
      </c>
      <c r="AO90" s="26">
        <f t="shared" si="3"/>
        <v>-0.42857142857142855</v>
      </c>
      <c r="AP90" s="27">
        <f>BattMobility!F63+cambio!F63+Claus2you!F63+CoopStroom!F63+Cozywheels!F63+Dégage!F63+Flexigo!F63+Klimaan!F63+Moovee!F63+Poppy!F63+'Mobilize Share'!F63+Stapp.in!F63</f>
        <v>6</v>
      </c>
      <c r="AQ90" s="25">
        <f>BattMobility!G63+cambio!G63+Claus2you!G63+CoopStroom!G63+Cozywheels!G63+Dégage!G63+Flexigo!G63+Klimaan!G63+Moovee!G63+Poppy!G63+'Mobilize Share'!G63+Stapp.in!G63</f>
        <v>5</v>
      </c>
      <c r="AR90" s="29">
        <f t="shared" si="4"/>
        <v>0.33149171270718236</v>
      </c>
      <c r="AS90" s="29">
        <f t="shared" si="5"/>
        <v>0.27624309392265195</v>
      </c>
      <c r="AT90" s="25">
        <f t="shared" si="6"/>
        <v>2</v>
      </c>
      <c r="AU90" s="30">
        <v>36.124000000000002</v>
      </c>
      <c r="AV90" s="31">
        <v>32.124000000000002</v>
      </c>
    </row>
    <row r="91" spans="1:48" ht="14.25" customHeight="1" x14ac:dyDescent="0.35">
      <c r="A91" s="2" t="s">
        <v>141</v>
      </c>
      <c r="B91" s="13" t="s">
        <v>50</v>
      </c>
      <c r="C91" s="13">
        <v>45041</v>
      </c>
      <c r="D91" s="14">
        <v>26702</v>
      </c>
      <c r="E91" s="14">
        <v>27075</v>
      </c>
      <c r="F91" s="14">
        <v>27356</v>
      </c>
      <c r="G91" s="14">
        <v>27577</v>
      </c>
      <c r="H91" s="15">
        <v>3</v>
      </c>
      <c r="I91" s="13">
        <v>0</v>
      </c>
      <c r="J91" s="16">
        <v>0.11235113474646093</v>
      </c>
      <c r="K91" s="15">
        <v>2</v>
      </c>
      <c r="L91" s="13">
        <v>0</v>
      </c>
      <c r="M91" s="16">
        <v>7.4900756497640636E-2</v>
      </c>
      <c r="N91" s="15">
        <v>2</v>
      </c>
      <c r="O91" s="13">
        <v>2</v>
      </c>
      <c r="P91" s="16">
        <v>7.3868882733148664E-2</v>
      </c>
      <c r="Q91" s="16">
        <v>7.3868882733148664E-2</v>
      </c>
      <c r="R91" s="18">
        <v>-1</v>
      </c>
      <c r="S91" s="16">
        <v>-3.8482252013312263E-2</v>
      </c>
      <c r="T91" s="18">
        <v>0</v>
      </c>
      <c r="U91" s="16">
        <v>-1.0318737644919723E-3</v>
      </c>
      <c r="V91" s="18">
        <v>0</v>
      </c>
      <c r="W91" s="16">
        <v>0</v>
      </c>
      <c r="X91" s="15">
        <v>4</v>
      </c>
      <c r="Y91" s="13">
        <v>3</v>
      </c>
      <c r="Z91" s="16">
        <v>0.14773776546629733</v>
      </c>
      <c r="AA91" s="16">
        <v>0.11080332409972299</v>
      </c>
      <c r="AB91" s="15">
        <v>5</v>
      </c>
      <c r="AC91" s="13">
        <v>4</v>
      </c>
      <c r="AD91" s="16">
        <v>0.18277525954086854</v>
      </c>
      <c r="AE91" s="16">
        <v>0.14622020763269483</v>
      </c>
      <c r="AF91" s="19">
        <v>5</v>
      </c>
      <c r="AG91" s="20">
        <v>4</v>
      </c>
      <c r="AH91" s="16">
        <v>0.18277525954086854</v>
      </c>
      <c r="AI91" s="21">
        <v>0.14622020763269483</v>
      </c>
      <c r="AJ91" s="22">
        <f>BattMobility!D215+cambio!D215+Claus2you!D215+CoopStroom!D215+Cozywheels!D215+Dégage!D215+Flexigo!D215+Klimaan!D215+Moovee!D215+Poppy!D215+'Mobilize Share'!D215+Stapp.in!D215</f>
        <v>4</v>
      </c>
      <c r="AK91" s="23">
        <f>BattMobility!E215+cambio!E215+Claus2you!E215+CoopStroom!E215+Cozywheels!E215+Dégage!E215+Flexigo!E215+Klimaan!E215+Moovee!E215+Poppy!E215+'Mobilize Share'!E215+Stapp.in!E215</f>
        <v>4</v>
      </c>
      <c r="AL91" s="21">
        <f t="shared" si="0"/>
        <v>0.1450484099068064</v>
      </c>
      <c r="AM91" s="21">
        <f t="shared" si="1"/>
        <v>0.1450484099068064</v>
      </c>
      <c r="AN91" s="25">
        <f t="shared" si="2"/>
        <v>-1</v>
      </c>
      <c r="AO91" s="26">
        <f t="shared" si="3"/>
        <v>-0.2</v>
      </c>
      <c r="AP91" s="27">
        <f>BattMobility!F215+cambio!F215+Claus2you!F215+CoopStroom!F215+Cozywheels!F215+Dégage!F215+Flexigo!F215+Klimaan!F215+Moovee!F215+Poppy!F215+'Mobilize Share'!F215+Stapp.in!F215</f>
        <v>6</v>
      </c>
      <c r="AQ91" s="25">
        <f>BattMobility!G215+cambio!G215+Claus2you!G215+CoopStroom!G215+Cozywheels!G215+Dégage!G215+Flexigo!G215+Klimaan!G215+Moovee!G215+Poppy!G215+'Mobilize Share'!G215+Stapp.in!G215</f>
        <v>5</v>
      </c>
      <c r="AR91" s="29">
        <f t="shared" si="4"/>
        <v>0.2175726148602096</v>
      </c>
      <c r="AS91" s="29">
        <f t="shared" si="5"/>
        <v>0.18131051238350801</v>
      </c>
      <c r="AT91" s="25">
        <f t="shared" si="6"/>
        <v>1</v>
      </c>
      <c r="AU91" s="30">
        <v>54.712000000000003</v>
      </c>
      <c r="AV91" s="31">
        <v>49.712000000000003</v>
      </c>
    </row>
    <row r="92" spans="1:48" ht="14.25" customHeight="1" x14ac:dyDescent="0.35">
      <c r="A92" s="2" t="s">
        <v>142</v>
      </c>
      <c r="B92" s="13" t="s">
        <v>48</v>
      </c>
      <c r="C92" s="13">
        <v>12040</v>
      </c>
      <c r="D92" s="14">
        <v>27436</v>
      </c>
      <c r="E92" s="14">
        <v>27773</v>
      </c>
      <c r="F92" s="14">
        <v>28248</v>
      </c>
      <c r="G92" s="14">
        <v>28620</v>
      </c>
      <c r="H92" s="15">
        <v>0</v>
      </c>
      <c r="I92" s="13">
        <v>0</v>
      </c>
      <c r="J92" s="16">
        <v>0</v>
      </c>
      <c r="K92" s="15">
        <v>0</v>
      </c>
      <c r="L92" s="13">
        <v>0</v>
      </c>
      <c r="M92" s="16">
        <v>0</v>
      </c>
      <c r="N92" s="15">
        <v>0</v>
      </c>
      <c r="O92" s="13">
        <v>0</v>
      </c>
      <c r="P92" s="16">
        <v>0</v>
      </c>
      <c r="Q92" s="16">
        <v>0</v>
      </c>
      <c r="R92" s="18">
        <v>0</v>
      </c>
      <c r="S92" s="16">
        <v>0</v>
      </c>
      <c r="T92" s="18">
        <v>0</v>
      </c>
      <c r="U92" s="16">
        <v>0</v>
      </c>
      <c r="V92" s="18">
        <v>0</v>
      </c>
      <c r="W92" s="16">
        <v>0</v>
      </c>
      <c r="X92" s="15">
        <v>2</v>
      </c>
      <c r="Y92" s="13">
        <v>2</v>
      </c>
      <c r="Z92" s="16">
        <v>7.2012386130414427E-2</v>
      </c>
      <c r="AA92" s="16">
        <v>7.2012386130414427E-2</v>
      </c>
      <c r="AB92" s="15">
        <v>2</v>
      </c>
      <c r="AC92" s="13">
        <v>2</v>
      </c>
      <c r="AD92" s="16">
        <v>7.0801472670631541E-2</v>
      </c>
      <c r="AE92" s="16">
        <v>7.0801472670631541E-2</v>
      </c>
      <c r="AF92" s="19">
        <v>2</v>
      </c>
      <c r="AG92" s="20">
        <v>2</v>
      </c>
      <c r="AH92" s="16">
        <v>7.0801472670631541E-2</v>
      </c>
      <c r="AI92" s="21">
        <v>7.0801472670631541E-2</v>
      </c>
      <c r="AJ92" s="22">
        <f>BattMobility!D266+cambio!D266+Claus2you!D266+CoopStroom!D266+Cozywheels!D266+Dégage!D266+Flexigo!D266+Klimaan!D266+Moovee!D266+Poppy!D266+'Mobilize Share'!D266+Stapp.in!D266</f>
        <v>3</v>
      </c>
      <c r="AK92" s="23">
        <f>BattMobility!E266+cambio!E266+Claus2you!E266+CoopStroom!E266+Cozywheels!E266+Dégage!E266+Flexigo!E266+Klimaan!E266+Moovee!E266+Poppy!E266+'Mobilize Share'!E266+Stapp.in!E266</f>
        <v>2</v>
      </c>
      <c r="AL92" s="21">
        <f t="shared" si="0"/>
        <v>0.10482180293501048</v>
      </c>
      <c r="AM92" s="21">
        <f t="shared" si="1"/>
        <v>6.9881201956673647E-2</v>
      </c>
      <c r="AN92" s="25">
        <f t="shared" si="2"/>
        <v>1</v>
      </c>
      <c r="AO92" s="26">
        <f t="shared" si="3"/>
        <v>0.5</v>
      </c>
      <c r="AP92" s="27">
        <f>BattMobility!F266+cambio!F266+Claus2you!F266+CoopStroom!F266+Cozywheels!F266+Dégage!F266+Flexigo!F266+Klimaan!F266+Moovee!F266+Poppy!F266+'Mobilize Share'!F266+Stapp.in!F266</f>
        <v>6</v>
      </c>
      <c r="AQ92" s="25">
        <f>BattMobility!G266+cambio!G266+Claus2you!G266+CoopStroom!G266+Cozywheels!G266+Dégage!G266+Flexigo!G266+Klimaan!G266+Moovee!G266+Poppy!G266+'Mobilize Share'!G266+Stapp.in!G266</f>
        <v>5</v>
      </c>
      <c r="AR92" s="29">
        <f t="shared" si="4"/>
        <v>0.20964360587002095</v>
      </c>
      <c r="AS92" s="29">
        <f t="shared" si="5"/>
        <v>0.17470300489168414</v>
      </c>
      <c r="AT92" s="25">
        <f t="shared" si="6"/>
        <v>4</v>
      </c>
      <c r="AU92" s="30">
        <v>56.496000000000002</v>
      </c>
      <c r="AV92" s="31">
        <v>54.496000000000002</v>
      </c>
    </row>
    <row r="93" spans="1:48" ht="14.25" customHeight="1" x14ac:dyDescent="0.35">
      <c r="A93" s="2" t="s">
        <v>143</v>
      </c>
      <c r="B93" s="13" t="s">
        <v>55</v>
      </c>
      <c r="C93" s="13">
        <v>34041</v>
      </c>
      <c r="D93" s="14">
        <v>31565</v>
      </c>
      <c r="E93" s="14">
        <v>31795</v>
      </c>
      <c r="F93" s="14">
        <v>31884</v>
      </c>
      <c r="G93" s="14">
        <v>31940</v>
      </c>
      <c r="H93" s="15">
        <v>5</v>
      </c>
      <c r="I93" s="13">
        <v>0</v>
      </c>
      <c r="J93" s="16">
        <v>0.1584032947885316</v>
      </c>
      <c r="K93" s="15">
        <v>5</v>
      </c>
      <c r="L93" s="13">
        <v>0</v>
      </c>
      <c r="M93" s="16">
        <v>0.1584032947885316</v>
      </c>
      <c r="N93" s="15">
        <v>5</v>
      </c>
      <c r="O93" s="13">
        <v>5</v>
      </c>
      <c r="P93" s="16">
        <v>0.15725743041358706</v>
      </c>
      <c r="Q93" s="16">
        <v>0.15725743041358706</v>
      </c>
      <c r="R93" s="18">
        <v>0</v>
      </c>
      <c r="S93" s="16">
        <v>-1.1458643749445441E-3</v>
      </c>
      <c r="T93" s="18">
        <v>0</v>
      </c>
      <c r="U93" s="16">
        <v>-1.1458643749445441E-3</v>
      </c>
      <c r="V93" s="18">
        <v>0</v>
      </c>
      <c r="W93" s="16">
        <v>0</v>
      </c>
      <c r="X93" s="15">
        <v>5</v>
      </c>
      <c r="Y93" s="13">
        <v>5</v>
      </c>
      <c r="Z93" s="16">
        <v>0.15725743041358706</v>
      </c>
      <c r="AA93" s="16">
        <v>0.15725743041358706</v>
      </c>
      <c r="AB93" s="15">
        <v>5</v>
      </c>
      <c r="AC93" s="13">
        <v>5</v>
      </c>
      <c r="AD93" s="16">
        <v>0.15681846694266718</v>
      </c>
      <c r="AE93" s="16">
        <v>0.15681846694266718</v>
      </c>
      <c r="AF93" s="19">
        <v>6</v>
      </c>
      <c r="AG93" s="20">
        <v>6</v>
      </c>
      <c r="AH93" s="16">
        <v>0.18818216033120061</v>
      </c>
      <c r="AI93" s="21">
        <v>0.18818216033120061</v>
      </c>
      <c r="AJ93" s="22">
        <f>BattMobility!D261+cambio!D261+Claus2you!D261+CoopStroom!D261+Cozywheels!D261+Dégage!D261+Flexigo!D261+Klimaan!D261+Moovee!D261+Poppy!D261+'Mobilize Share'!D261+Stapp.in!D261</f>
        <v>6</v>
      </c>
      <c r="AK93" s="23">
        <f>BattMobility!E261+cambio!E261+Claus2you!E261+CoopStroom!E261+Cozywheels!E261+Dégage!E261+Flexigo!E261+Klimaan!E261+Moovee!E261+Poppy!E261+'Mobilize Share'!E261+Stapp.in!E261</f>
        <v>6</v>
      </c>
      <c r="AL93" s="21">
        <f t="shared" si="0"/>
        <v>0.18785222291797121</v>
      </c>
      <c r="AM93" s="21">
        <f t="shared" si="1"/>
        <v>0.18785222291797121</v>
      </c>
      <c r="AN93" s="25">
        <f t="shared" si="2"/>
        <v>1</v>
      </c>
      <c r="AO93" s="26">
        <f t="shared" si="3"/>
        <v>0.2</v>
      </c>
      <c r="AP93" s="27">
        <f>BattMobility!F261+cambio!F261+Claus2you!F261+CoopStroom!F261+Cozywheels!F261+Dégage!F261+Flexigo!F261+Klimaan!F261+Moovee!F261+Poppy!F261+'Mobilize Share'!F261+Stapp.in!F261</f>
        <v>6</v>
      </c>
      <c r="AQ93" s="25">
        <f>BattMobility!G261+cambio!G261+Claus2you!G261+CoopStroom!G261+Cozywheels!G261+Dégage!G261+Flexigo!G261+Klimaan!G261+Moovee!G261+Poppy!G261+'Mobilize Share'!G261+Stapp.in!G261</f>
        <v>6</v>
      </c>
      <c r="AR93" s="29">
        <f t="shared" si="4"/>
        <v>0.18785222291797121</v>
      </c>
      <c r="AS93" s="29">
        <f t="shared" si="5"/>
        <v>0.18785222291797121</v>
      </c>
      <c r="AT93" s="25">
        <f t="shared" si="6"/>
        <v>0</v>
      </c>
      <c r="AU93" s="30">
        <v>63.768000000000001</v>
      </c>
      <c r="AV93" s="31">
        <v>57.768000000000001</v>
      </c>
    </row>
    <row r="94" spans="1:48" ht="14.25" customHeight="1" x14ac:dyDescent="0.35">
      <c r="A94" s="2" t="s">
        <v>144</v>
      </c>
      <c r="B94" s="13" t="s">
        <v>50</v>
      </c>
      <c r="C94" s="13">
        <v>41018</v>
      </c>
      <c r="D94" s="14">
        <v>34328</v>
      </c>
      <c r="E94" s="14">
        <v>34724</v>
      </c>
      <c r="F94" s="14">
        <v>34999</v>
      </c>
      <c r="G94" s="14">
        <v>35236</v>
      </c>
      <c r="H94" s="15">
        <v>2</v>
      </c>
      <c r="I94" s="13">
        <v>0</v>
      </c>
      <c r="J94" s="16">
        <v>5.8261477511069686E-2</v>
      </c>
      <c r="K94" s="15">
        <v>2</v>
      </c>
      <c r="L94" s="13">
        <v>0</v>
      </c>
      <c r="M94" s="16">
        <v>5.8261477511069686E-2</v>
      </c>
      <c r="N94" s="15">
        <v>5</v>
      </c>
      <c r="O94" s="13">
        <v>4</v>
      </c>
      <c r="P94" s="16">
        <v>0.14399262757746803</v>
      </c>
      <c r="Q94" s="16">
        <v>0.11519410206197443</v>
      </c>
      <c r="R94" s="18">
        <v>3</v>
      </c>
      <c r="S94" s="16">
        <v>8.5731150066398337E-2</v>
      </c>
      <c r="T94" s="18">
        <v>3</v>
      </c>
      <c r="U94" s="16">
        <v>8.5731150066398337E-2</v>
      </c>
      <c r="V94" s="18">
        <v>1</v>
      </c>
      <c r="W94" s="16">
        <v>2.8798525515493608E-2</v>
      </c>
      <c r="X94" s="15">
        <v>4</v>
      </c>
      <c r="Y94" s="13">
        <v>4</v>
      </c>
      <c r="Z94" s="16">
        <v>0.11519410206197443</v>
      </c>
      <c r="AA94" s="16">
        <v>0.11519410206197443</v>
      </c>
      <c r="AB94" s="15">
        <v>5</v>
      </c>
      <c r="AC94" s="13">
        <v>5</v>
      </c>
      <c r="AD94" s="16">
        <v>0.14286122460641731</v>
      </c>
      <c r="AE94" s="16">
        <v>0.14286122460641731</v>
      </c>
      <c r="AF94" s="19">
        <v>5</v>
      </c>
      <c r="AG94" s="20">
        <v>5</v>
      </c>
      <c r="AH94" s="16">
        <v>0.14286122460641731</v>
      </c>
      <c r="AI94" s="21">
        <v>0.14286122460641731</v>
      </c>
      <c r="AJ94" s="22">
        <f>BattMobility!D74+cambio!D74+Claus2you!D74+CoopStroom!D74+Cozywheels!D74+Dégage!D74+Flexigo!D74+Klimaan!D74+Moovee!D74+Poppy!D74+'Mobilize Share'!D74+Stapp.in!D74</f>
        <v>6</v>
      </c>
      <c r="AK94" s="23">
        <f>BattMobility!E74+cambio!E74+Claus2you!E74+CoopStroom!E74+Cozywheels!E74+Dégage!E74+Flexigo!E74+Klimaan!E74+Moovee!E74+Poppy!E74+'Mobilize Share'!E74+Stapp.in!E74</f>
        <v>6</v>
      </c>
      <c r="AL94" s="21">
        <f t="shared" si="0"/>
        <v>0.17028039505051654</v>
      </c>
      <c r="AM94" s="21">
        <f t="shared" si="1"/>
        <v>0.17028039505051654</v>
      </c>
      <c r="AN94" s="25">
        <f t="shared" si="2"/>
        <v>1</v>
      </c>
      <c r="AO94" s="26">
        <f t="shared" si="3"/>
        <v>0.2</v>
      </c>
      <c r="AP94" s="27">
        <f>BattMobility!F74+cambio!F74+Claus2you!F74+CoopStroom!F74+Cozywheels!F74+Dégage!F74+Flexigo!F74+Klimaan!F74+Moovee!F74+Poppy!F74+'Mobilize Share'!F74+Stapp.in!F74</f>
        <v>6</v>
      </c>
      <c r="AQ94" s="25">
        <f>BattMobility!G74+cambio!G74+Claus2you!G74+CoopStroom!G74+Cozywheels!G74+Dégage!G74+Flexigo!G74+Klimaan!G74+Moovee!G74+Poppy!G74+'Mobilize Share'!G74+Stapp.in!G74</f>
        <v>6</v>
      </c>
      <c r="AR94" s="29">
        <f t="shared" si="4"/>
        <v>0.17028039505051654</v>
      </c>
      <c r="AS94" s="29">
        <f t="shared" si="5"/>
        <v>0.17028039505051654</v>
      </c>
      <c r="AT94" s="25">
        <f t="shared" si="6"/>
        <v>1</v>
      </c>
      <c r="AU94" s="30">
        <v>69.998000000000005</v>
      </c>
      <c r="AV94" s="31">
        <v>64.998000000000005</v>
      </c>
    </row>
    <row r="95" spans="1:48" ht="14.25" customHeight="1" x14ac:dyDescent="0.35">
      <c r="A95" s="2" t="s">
        <v>145</v>
      </c>
      <c r="B95" s="13" t="s">
        <v>48</v>
      </c>
      <c r="C95" s="13">
        <v>13025</v>
      </c>
      <c r="D95" s="14">
        <v>37600</v>
      </c>
      <c r="E95" s="14">
        <v>38159</v>
      </c>
      <c r="F95" s="14">
        <v>38534</v>
      </c>
      <c r="G95" s="14">
        <v>38701</v>
      </c>
      <c r="H95" s="15">
        <v>2</v>
      </c>
      <c r="I95" s="13">
        <v>0</v>
      </c>
      <c r="J95" s="16">
        <v>5.3191489361702128E-2</v>
      </c>
      <c r="K95" s="15">
        <v>1</v>
      </c>
      <c r="L95" s="13">
        <v>0</v>
      </c>
      <c r="M95" s="16">
        <v>2.6595744680851064E-2</v>
      </c>
      <c r="N95" s="15">
        <v>1</v>
      </c>
      <c r="O95" s="13">
        <v>0</v>
      </c>
      <c r="P95" s="16">
        <v>2.6206137477397206E-2</v>
      </c>
      <c r="Q95" s="16">
        <v>0</v>
      </c>
      <c r="R95" s="18">
        <v>-1</v>
      </c>
      <c r="S95" s="16">
        <v>-2.6985351884304922E-2</v>
      </c>
      <c r="T95" s="18">
        <v>0</v>
      </c>
      <c r="U95" s="16">
        <v>-3.8960720345385808E-4</v>
      </c>
      <c r="V95" s="18">
        <v>1</v>
      </c>
      <c r="W95" s="16">
        <v>2.6206137477397206E-2</v>
      </c>
      <c r="X95" s="15">
        <v>4</v>
      </c>
      <c r="Y95" s="13">
        <v>2</v>
      </c>
      <c r="Z95" s="16">
        <v>0.10482454990958882</v>
      </c>
      <c r="AA95" s="16">
        <v>5.2412274954794412E-2</v>
      </c>
      <c r="AB95" s="15">
        <v>4</v>
      </c>
      <c r="AC95" s="13">
        <v>2</v>
      </c>
      <c r="AD95" s="16">
        <v>0.10380443244926559</v>
      </c>
      <c r="AE95" s="16">
        <v>5.1902216224632793E-2</v>
      </c>
      <c r="AF95" s="19">
        <v>4</v>
      </c>
      <c r="AG95" s="20">
        <v>2</v>
      </c>
      <c r="AH95" s="16">
        <v>0.10380443244926559</v>
      </c>
      <c r="AI95" s="21">
        <v>5.1902216224632793E-2</v>
      </c>
      <c r="AJ95" s="22">
        <f>BattMobility!D180+cambio!D180+Claus2you!D180+CoopStroom!D180+Cozywheels!D180+Dégage!D180+Flexigo!D180+Klimaan!D180+Moovee!D180+Poppy!D180+'Mobilize Share'!D180+Stapp.in!D180</f>
        <v>6</v>
      </c>
      <c r="AK95" s="23">
        <f>BattMobility!E180+cambio!E180+Claus2you!E180+CoopStroom!E180+Cozywheels!E180+Dégage!E180+Flexigo!E180+Klimaan!E180+Moovee!E180+Poppy!E180+'Mobilize Share'!E180+Stapp.in!E180</f>
        <v>4</v>
      </c>
      <c r="AL95" s="21">
        <f t="shared" si="0"/>
        <v>0.15503475362393737</v>
      </c>
      <c r="AM95" s="21">
        <f t="shared" si="1"/>
        <v>0.10335650241595824</v>
      </c>
      <c r="AN95" s="25">
        <f t="shared" si="2"/>
        <v>2</v>
      </c>
      <c r="AO95" s="26">
        <f t="shared" si="3"/>
        <v>0.5</v>
      </c>
      <c r="AP95" s="27">
        <f>BattMobility!F180+cambio!F180+Claus2you!F180+CoopStroom!F180+Cozywheels!F180+Dégage!F180+Flexigo!F180+Klimaan!F180+Moovee!F180+Poppy!F180+'Mobilize Share'!F180+Stapp.in!F180</f>
        <v>6</v>
      </c>
      <c r="AQ95" s="25">
        <f>BattMobility!G180+cambio!G180+Claus2you!G180+CoopStroom!G180+Cozywheels!G180+Dégage!G180+Flexigo!G180+Klimaan!G180+Moovee!G180+Poppy!G180+'Mobilize Share'!G180+Stapp.in!G180</f>
        <v>4</v>
      </c>
      <c r="AR95" s="29">
        <f t="shared" si="4"/>
        <v>0.15503475362393737</v>
      </c>
      <c r="AS95" s="29">
        <f t="shared" si="5"/>
        <v>0.10335650241595824</v>
      </c>
      <c r="AT95" s="25">
        <f t="shared" si="6"/>
        <v>2</v>
      </c>
      <c r="AU95" s="30">
        <v>77.067999999999998</v>
      </c>
      <c r="AV95" s="31">
        <v>73.067999999999998</v>
      </c>
    </row>
    <row r="96" spans="1:48" ht="14.25" customHeight="1" x14ac:dyDescent="0.35">
      <c r="A96" s="2" t="s">
        <v>146</v>
      </c>
      <c r="B96" s="13" t="s">
        <v>55</v>
      </c>
      <c r="C96" s="13">
        <v>34040</v>
      </c>
      <c r="D96" s="14">
        <v>38948</v>
      </c>
      <c r="E96" s="14">
        <v>39488</v>
      </c>
      <c r="F96" s="14">
        <v>39997</v>
      </c>
      <c r="G96" s="14">
        <v>40436</v>
      </c>
      <c r="H96" s="15">
        <v>3</v>
      </c>
      <c r="I96" s="13">
        <v>0</v>
      </c>
      <c r="J96" s="16">
        <v>7.7025777960357408E-2</v>
      </c>
      <c r="K96" s="15">
        <v>3</v>
      </c>
      <c r="L96" s="13">
        <v>0</v>
      </c>
      <c r="M96" s="16">
        <v>7.7025777960357408E-2</v>
      </c>
      <c r="N96" s="15">
        <v>4</v>
      </c>
      <c r="O96" s="13">
        <v>3</v>
      </c>
      <c r="P96" s="16">
        <v>0.1012965964343598</v>
      </c>
      <c r="Q96" s="16">
        <v>7.5972447325769854E-2</v>
      </c>
      <c r="R96" s="18">
        <v>1</v>
      </c>
      <c r="S96" s="16">
        <v>2.4270818474002392E-2</v>
      </c>
      <c r="T96" s="18">
        <v>1</v>
      </c>
      <c r="U96" s="16">
        <v>2.4270818474002392E-2</v>
      </c>
      <c r="V96" s="18">
        <v>1</v>
      </c>
      <c r="W96" s="16">
        <v>2.532414910858995E-2</v>
      </c>
      <c r="X96" s="15">
        <v>6</v>
      </c>
      <c r="Y96" s="13">
        <v>4</v>
      </c>
      <c r="Z96" s="16">
        <v>0.15194489465153971</v>
      </c>
      <c r="AA96" s="16">
        <v>0.1012965964343598</v>
      </c>
      <c r="AB96" s="15">
        <v>6</v>
      </c>
      <c r="AC96" s="13">
        <v>3</v>
      </c>
      <c r="AD96" s="16">
        <v>0.15001125084381328</v>
      </c>
      <c r="AE96" s="16">
        <v>7.5005625421906641E-2</v>
      </c>
      <c r="AF96" s="19">
        <v>7</v>
      </c>
      <c r="AG96" s="20">
        <v>4</v>
      </c>
      <c r="AH96" s="16">
        <v>0.17501312598444882</v>
      </c>
      <c r="AI96" s="21">
        <v>0.10000750056254219</v>
      </c>
      <c r="AJ96" s="22">
        <f>BattMobility!D255+cambio!D255+Claus2you!D255+CoopStroom!D255+Cozywheels!D255+Dégage!D255+Flexigo!D255+Klimaan!D255+Moovee!D255+Poppy!D255+'Mobilize Share'!D255+Stapp.in!D255</f>
        <v>7</v>
      </c>
      <c r="AK96" s="23">
        <f>BattMobility!E255+cambio!E255+Claus2you!E255+CoopStroom!E255+Cozywheels!E255+Dégage!E255+Flexigo!E255+Klimaan!E255+Moovee!E255+Poppy!E255+'Mobilize Share'!E255+Stapp.in!E255</f>
        <v>4</v>
      </c>
      <c r="AL96" s="21">
        <f t="shared" si="0"/>
        <v>0.17311306756355724</v>
      </c>
      <c r="AM96" s="21">
        <f t="shared" si="1"/>
        <v>9.8921752893461279E-2</v>
      </c>
      <c r="AN96" s="25">
        <f t="shared" si="2"/>
        <v>1</v>
      </c>
      <c r="AO96" s="26">
        <f t="shared" si="3"/>
        <v>0.16666666666666666</v>
      </c>
      <c r="AP96" s="27">
        <f>BattMobility!F255+cambio!F255+Claus2you!F255+CoopStroom!F255+Cozywheels!F255+Dégage!F255+Flexigo!F255+Klimaan!F255+Moovee!F255+Poppy!F255+'Mobilize Share'!F255+Stapp.in!F255</f>
        <v>6</v>
      </c>
      <c r="AQ96" s="25">
        <f>BattMobility!G255+cambio!G255+Claus2you!G255+CoopStroom!G255+Cozywheels!G255+Dégage!G255+Flexigo!G255+Klimaan!G255+Moovee!G255+Poppy!G255+'Mobilize Share'!G255+Stapp.in!G255</f>
        <v>3</v>
      </c>
      <c r="AR96" s="29">
        <f t="shared" si="4"/>
        <v>0.14838262934019189</v>
      </c>
      <c r="AS96" s="29">
        <f t="shared" si="5"/>
        <v>7.4191314670095945E-2</v>
      </c>
      <c r="AT96" s="25">
        <f t="shared" si="6"/>
        <v>-1</v>
      </c>
      <c r="AU96" s="30">
        <v>79.994</v>
      </c>
      <c r="AV96" s="31">
        <v>72.994</v>
      </c>
    </row>
    <row r="97" spans="1:48" ht="14.25" customHeight="1" x14ac:dyDescent="0.35">
      <c r="A97" s="33" t="s">
        <v>147</v>
      </c>
      <c r="B97" s="13" t="s">
        <v>59</v>
      </c>
      <c r="C97" s="13">
        <v>71071</v>
      </c>
      <c r="D97" s="14">
        <v>18884</v>
      </c>
      <c r="E97" s="14">
        <v>18838</v>
      </c>
      <c r="F97" s="14">
        <v>19011</v>
      </c>
      <c r="G97" s="14">
        <v>30645</v>
      </c>
      <c r="H97" s="15">
        <v>2</v>
      </c>
      <c r="I97" s="13">
        <v>0</v>
      </c>
      <c r="J97" s="16">
        <v>0.10590976488032197</v>
      </c>
      <c r="K97" s="15">
        <v>2</v>
      </c>
      <c r="L97" s="13">
        <v>0</v>
      </c>
      <c r="M97" s="16">
        <v>0.10590976488032197</v>
      </c>
      <c r="N97" s="15">
        <v>3</v>
      </c>
      <c r="O97" s="13">
        <v>0</v>
      </c>
      <c r="P97" s="16">
        <v>0.15925257458328909</v>
      </c>
      <c r="Q97" s="16">
        <v>0</v>
      </c>
      <c r="R97" s="18">
        <v>1</v>
      </c>
      <c r="S97" s="16">
        <v>5.334280970296712E-2</v>
      </c>
      <c r="T97" s="18">
        <v>1</v>
      </c>
      <c r="U97" s="16">
        <v>5.334280970296712E-2</v>
      </c>
      <c r="V97" s="18">
        <v>0</v>
      </c>
      <c r="W97" s="16">
        <v>0</v>
      </c>
      <c r="X97" s="15">
        <v>3</v>
      </c>
      <c r="Y97" s="13">
        <v>0</v>
      </c>
      <c r="Z97" s="16">
        <v>0.15925257458328909</v>
      </c>
      <c r="AA97" s="16">
        <v>0</v>
      </c>
      <c r="AB97" s="15">
        <f>4+'overzicht voor jun 25'!AA89</f>
        <v>6</v>
      </c>
      <c r="AC97" s="13">
        <v>0</v>
      </c>
      <c r="AD97" s="16">
        <v>0.21040450265635685</v>
      </c>
      <c r="AE97" s="16">
        <v>0</v>
      </c>
      <c r="AF97" s="19">
        <v>4</v>
      </c>
      <c r="AG97" s="20">
        <v>0</v>
      </c>
      <c r="AH97" s="16">
        <v>0.21040450265635685</v>
      </c>
      <c r="AI97" s="21">
        <v>0</v>
      </c>
      <c r="AJ97" s="22">
        <f>BattMobility!D240+cambio!D240+Claus2you!D240+CoopStroom!D240+Cozywheels!D240+Dégage!D240+Flexigo!D240+Klimaan!D240+Moovee!D240+Poppy!D240+'Mobilize Share'!D240+Stapp.in!D240</f>
        <v>6</v>
      </c>
      <c r="AK97" s="23">
        <f>BattMobility!E240+cambio!E240+Claus2you!E240+CoopStroom!E240+Cozywheels!E240+Dégage!E240+Flexigo!E240+Klimaan!E240+Moovee!E240+Poppy!E240+'Mobilize Share'!E240+Stapp.in!E240</f>
        <v>0</v>
      </c>
      <c r="AL97" s="21">
        <f t="shared" si="0"/>
        <v>0.19579050416054822</v>
      </c>
      <c r="AM97" s="21">
        <f t="shared" si="1"/>
        <v>0</v>
      </c>
      <c r="AN97" s="25">
        <f t="shared" si="2"/>
        <v>0</v>
      </c>
      <c r="AO97" s="26">
        <f t="shared" si="3"/>
        <v>0</v>
      </c>
      <c r="AP97" s="27">
        <f>BattMobility!F240+cambio!F240+Claus2you!F240+CoopStroom!F240+Cozywheels!F240+Dégage!F240+Flexigo!F240+Klimaan!F240+Moovee!F240+Poppy!F240+'Mobilize Share'!F240+Stapp.in!F240</f>
        <v>6</v>
      </c>
      <c r="AQ97" s="25">
        <f>BattMobility!G240+cambio!G240+Claus2you!G240+CoopStroom!G240+Cozywheels!G240+Dégage!G240+Flexigo!G240+Klimaan!G240+Moovee!G240+Poppy!G240+'Mobilize Share'!G240+Stapp.in!G240</f>
        <v>0</v>
      </c>
      <c r="AR97" s="29">
        <f t="shared" si="4"/>
        <v>0.19579050416054822</v>
      </c>
      <c r="AS97" s="29">
        <f t="shared" si="5"/>
        <v>0</v>
      </c>
      <c r="AT97" s="25">
        <f t="shared" si="6"/>
        <v>2</v>
      </c>
      <c r="AU97" s="30">
        <v>38.021999999999998</v>
      </c>
      <c r="AV97" s="31">
        <v>34.021999999999998</v>
      </c>
    </row>
    <row r="98" spans="1:48" ht="14.25" customHeight="1" x14ac:dyDescent="0.35">
      <c r="A98" s="2" t="s">
        <v>148</v>
      </c>
      <c r="B98" s="13" t="s">
        <v>50</v>
      </c>
      <c r="C98" s="13">
        <v>44064</v>
      </c>
      <c r="D98" s="14">
        <v>8263</v>
      </c>
      <c r="E98" s="14">
        <v>8257</v>
      </c>
      <c r="F98" s="14">
        <v>8208</v>
      </c>
      <c r="G98" s="14">
        <v>8149</v>
      </c>
      <c r="H98" s="15">
        <v>0</v>
      </c>
      <c r="I98" s="13">
        <v>0</v>
      </c>
      <c r="J98" s="16">
        <v>0</v>
      </c>
      <c r="K98" s="15">
        <v>1</v>
      </c>
      <c r="L98" s="13">
        <v>0</v>
      </c>
      <c r="M98" s="16">
        <v>0.12102142079148009</v>
      </c>
      <c r="N98" s="15">
        <v>5</v>
      </c>
      <c r="O98" s="13">
        <v>5</v>
      </c>
      <c r="P98" s="16">
        <v>0.60554680876831779</v>
      </c>
      <c r="Q98" s="16">
        <v>0.60554680876831779</v>
      </c>
      <c r="R98" s="18">
        <v>5</v>
      </c>
      <c r="S98" s="16">
        <v>0.60554680876831779</v>
      </c>
      <c r="T98" s="18">
        <v>4</v>
      </c>
      <c r="U98" s="16">
        <v>0.4845253879768377</v>
      </c>
      <c r="V98" s="18">
        <v>0</v>
      </c>
      <c r="W98" s="16">
        <v>0</v>
      </c>
      <c r="X98" s="15">
        <v>1</v>
      </c>
      <c r="Y98" s="13">
        <v>1</v>
      </c>
      <c r="Z98" s="16">
        <v>0.12110936175366356</v>
      </c>
      <c r="AA98" s="16">
        <v>0.12110936175366356</v>
      </c>
      <c r="AB98" s="15">
        <v>5</v>
      </c>
      <c r="AC98" s="13">
        <v>5</v>
      </c>
      <c r="AD98" s="16">
        <v>0.60916179337231968</v>
      </c>
      <c r="AE98" s="16">
        <v>0.60916179337231968</v>
      </c>
      <c r="AF98" s="19">
        <v>6</v>
      </c>
      <c r="AG98" s="20">
        <v>6</v>
      </c>
      <c r="AH98" s="16">
        <v>0.73099415204678353</v>
      </c>
      <c r="AI98" s="21">
        <v>0.73099415204678353</v>
      </c>
      <c r="AJ98" s="22">
        <f>BattMobility!D228+cambio!D228+Claus2you!D228+CoopStroom!D228+Cozywheels!D228+Dégage!D228+Flexigo!D228+Klimaan!D228+Moovee!D228+Poppy!D228+'Mobilize Share'!D228+Stapp.in!D228</f>
        <v>6</v>
      </c>
      <c r="AK98" s="23">
        <f>BattMobility!E228+cambio!E228+Claus2you!E228+CoopStroom!E228+Cozywheels!E228+Dégage!E228+Flexigo!E228+Klimaan!E228+Moovee!E228+Poppy!E228+'Mobilize Share'!E228+Stapp.in!E228</f>
        <v>6</v>
      </c>
      <c r="AL98" s="21">
        <f t="shared" si="0"/>
        <v>0.73628666093999273</v>
      </c>
      <c r="AM98" s="21">
        <f t="shared" si="1"/>
        <v>0.73628666093999273</v>
      </c>
      <c r="AN98" s="25">
        <f t="shared" si="2"/>
        <v>1</v>
      </c>
      <c r="AO98" s="26">
        <f t="shared" si="3"/>
        <v>0.2</v>
      </c>
      <c r="AP98" s="27">
        <f>BattMobility!F228+cambio!F228+Claus2you!F228+CoopStroom!F228+Cozywheels!F228+Dégage!F228+Flexigo!F228+Klimaan!F228+Moovee!F228+Poppy!F228+'Mobilize Share'!F228+Stapp.in!F228</f>
        <v>5</v>
      </c>
      <c r="AQ98" s="25">
        <f>BattMobility!G228+cambio!G228+Claus2you!G228+CoopStroom!G228+Cozywheels!G228+Dégage!G228+Flexigo!G228+Klimaan!G228+Moovee!G228+Poppy!G228+'Mobilize Share'!G228+Stapp.in!G228</f>
        <v>5</v>
      </c>
      <c r="AR98" s="29">
        <f t="shared" si="4"/>
        <v>0.6135722174499938</v>
      </c>
      <c r="AS98" s="29">
        <f t="shared" si="5"/>
        <v>0.6135722174499938</v>
      </c>
      <c r="AT98" s="25">
        <f t="shared" si="6"/>
        <v>-1</v>
      </c>
      <c r="AU98" s="30">
        <v>16.416</v>
      </c>
      <c r="AV98" s="31">
        <v>10.416</v>
      </c>
    </row>
    <row r="99" spans="1:48" ht="14.25" customHeight="1" x14ac:dyDescent="0.35">
      <c r="A99" s="2" t="s">
        <v>149</v>
      </c>
      <c r="B99" s="13" t="s">
        <v>50</v>
      </c>
      <c r="C99" s="13">
        <v>45065</v>
      </c>
      <c r="D99" s="14">
        <v>8244</v>
      </c>
      <c r="E99" s="14">
        <v>8320</v>
      </c>
      <c r="F99" s="14">
        <v>8340</v>
      </c>
      <c r="G99" s="14">
        <v>8348</v>
      </c>
      <c r="H99" s="15">
        <v>2</v>
      </c>
      <c r="I99" s="13">
        <v>0</v>
      </c>
      <c r="J99" s="16">
        <v>0.24260067928190199</v>
      </c>
      <c r="K99" s="15">
        <v>1</v>
      </c>
      <c r="L99" s="13">
        <v>0</v>
      </c>
      <c r="M99" s="16">
        <v>0.12130033964095099</v>
      </c>
      <c r="N99" s="15">
        <v>1</v>
      </c>
      <c r="O99" s="13">
        <v>0</v>
      </c>
      <c r="P99" s="16">
        <v>0.1201923076923077</v>
      </c>
      <c r="Q99" s="16">
        <v>0</v>
      </c>
      <c r="R99" s="18">
        <v>-1</v>
      </c>
      <c r="S99" s="16">
        <v>-0.12240837158959429</v>
      </c>
      <c r="T99" s="18">
        <v>0</v>
      </c>
      <c r="U99" s="16">
        <v>-1.1080319486432982E-3</v>
      </c>
      <c r="V99" s="18">
        <v>1</v>
      </c>
      <c r="W99" s="16">
        <v>0.1201923076923077</v>
      </c>
      <c r="X99" s="15">
        <v>3</v>
      </c>
      <c r="Y99" s="13">
        <v>0</v>
      </c>
      <c r="Z99" s="16">
        <v>0.36057692307692307</v>
      </c>
      <c r="AA99" s="16">
        <v>0</v>
      </c>
      <c r="AB99" s="15">
        <v>5</v>
      </c>
      <c r="AC99" s="13">
        <v>2</v>
      </c>
      <c r="AD99" s="16">
        <v>0.5995203836930455</v>
      </c>
      <c r="AE99" s="16">
        <v>0.23980815347721823</v>
      </c>
      <c r="AF99" s="19">
        <v>6</v>
      </c>
      <c r="AG99" s="20">
        <v>3</v>
      </c>
      <c r="AH99" s="16">
        <v>0.71942446043165464</v>
      </c>
      <c r="AI99" s="21">
        <v>0.35971223021582732</v>
      </c>
      <c r="AJ99" s="22">
        <f>BattMobility!D285+cambio!D285+Claus2you!D285+CoopStroom!D285+Cozywheels!D285+Dégage!D285+Flexigo!D285+Klimaan!D285+Moovee!D285+Poppy!D285+'Mobilize Share'!D285+Stapp.in!D285</f>
        <v>5</v>
      </c>
      <c r="AK99" s="23">
        <f>BattMobility!E285+cambio!E285+Claus2you!E285+CoopStroom!E285+Cozywheels!E285+Dégage!E285+Flexigo!E285+Klimaan!E285+Moovee!E285+Poppy!E285+'Mobilize Share'!E285+Stapp.in!E285</f>
        <v>2</v>
      </c>
      <c r="AL99" s="21">
        <f t="shared" si="0"/>
        <v>0.59894585529468136</v>
      </c>
      <c r="AM99" s="21">
        <f t="shared" si="1"/>
        <v>0.23957834211787254</v>
      </c>
      <c r="AN99" s="25">
        <f t="shared" si="2"/>
        <v>0</v>
      </c>
      <c r="AO99" s="26">
        <f t="shared" si="3"/>
        <v>0</v>
      </c>
      <c r="AP99" s="27">
        <f>BattMobility!F285+cambio!F285+Claus2you!F285+CoopStroom!F285+Cozywheels!F285+Dégage!F285+Flexigo!F285+Klimaan!F285+Moovee!F285+Poppy!F285+'Mobilize Share'!F285+Stapp.in!F285</f>
        <v>5</v>
      </c>
      <c r="AQ99" s="25">
        <f>BattMobility!G285+cambio!G285+Claus2you!G285+CoopStroom!G285+Cozywheels!G285+Dégage!G285+Flexigo!G285+Klimaan!G285+Moovee!G285+Poppy!G285+'Mobilize Share'!G285+Stapp.in!G285</f>
        <v>2</v>
      </c>
      <c r="AR99" s="29">
        <f t="shared" si="4"/>
        <v>0.59894585529468136</v>
      </c>
      <c r="AS99" s="29">
        <f t="shared" si="5"/>
        <v>0.23957834211787254</v>
      </c>
      <c r="AT99" s="25">
        <f t="shared" si="6"/>
        <v>-1</v>
      </c>
      <c r="AU99" s="30">
        <v>16.68</v>
      </c>
      <c r="AV99" s="31">
        <v>10.68</v>
      </c>
    </row>
    <row r="100" spans="1:48" ht="14.25" customHeight="1" x14ac:dyDescent="0.35">
      <c r="A100" s="2" t="s">
        <v>150</v>
      </c>
      <c r="B100" s="13" t="s">
        <v>55</v>
      </c>
      <c r="C100" s="13">
        <v>36006</v>
      </c>
      <c r="D100" s="14">
        <v>10003</v>
      </c>
      <c r="E100" s="14">
        <v>10142</v>
      </c>
      <c r="F100" s="14">
        <v>10235</v>
      </c>
      <c r="G100" s="14">
        <v>10312</v>
      </c>
      <c r="H100" s="15">
        <v>2</v>
      </c>
      <c r="I100" s="13">
        <v>0</v>
      </c>
      <c r="J100" s="16">
        <v>0.19994001799460162</v>
      </c>
      <c r="K100" s="15">
        <v>2</v>
      </c>
      <c r="L100" s="13">
        <v>0</v>
      </c>
      <c r="M100" s="16">
        <v>0.19994001799460162</v>
      </c>
      <c r="N100" s="15">
        <v>1</v>
      </c>
      <c r="O100" s="13">
        <v>1</v>
      </c>
      <c r="P100" s="16">
        <v>9.8599881680141985E-2</v>
      </c>
      <c r="Q100" s="16">
        <v>9.8599881680141985E-2</v>
      </c>
      <c r="R100" s="18">
        <v>-1</v>
      </c>
      <c r="S100" s="16">
        <v>-0.10134013631445964</v>
      </c>
      <c r="T100" s="18">
        <v>-1</v>
      </c>
      <c r="U100" s="16">
        <v>-0.10134013631445964</v>
      </c>
      <c r="V100" s="18">
        <v>0</v>
      </c>
      <c r="W100" s="16">
        <v>0</v>
      </c>
      <c r="X100" s="15">
        <v>2</v>
      </c>
      <c r="Y100" s="13">
        <v>2</v>
      </c>
      <c r="Z100" s="16">
        <v>0.19719976336028397</v>
      </c>
      <c r="AA100" s="16">
        <v>0.19719976336028397</v>
      </c>
      <c r="AB100" s="15">
        <v>3</v>
      </c>
      <c r="AC100" s="13">
        <v>2</v>
      </c>
      <c r="AD100" s="16">
        <v>0.29311187103077674</v>
      </c>
      <c r="AE100" s="16">
        <v>0.19540791402051783</v>
      </c>
      <c r="AF100" s="19">
        <v>3</v>
      </c>
      <c r="AG100" s="20">
        <v>2</v>
      </c>
      <c r="AH100" s="16">
        <v>0.29311187103077674</v>
      </c>
      <c r="AI100" s="21">
        <v>0.19540791402051783</v>
      </c>
      <c r="AJ100" s="22">
        <f>BattMobility!D104+cambio!D104+Claus2you!D104+CoopStroom!D104+Cozywheels!D104+Dégage!D104+Flexigo!D104+Klimaan!D104+Moovee!D104+Poppy!D104+'Mobilize Share'!D104+Stapp.in!D104</f>
        <v>3</v>
      </c>
      <c r="AK100" s="23">
        <f>BattMobility!E104+cambio!E104+Claus2you!E104+CoopStroom!E104+Cozywheels!E104+Dégage!E104+Flexigo!E104+Klimaan!E104+Moovee!E104+Poppy!E104+'Mobilize Share'!E104+Stapp.in!E104</f>
        <v>3</v>
      </c>
      <c r="AL100" s="21">
        <f t="shared" si="0"/>
        <v>0.29092319627618307</v>
      </c>
      <c r="AM100" s="21">
        <f t="shared" si="1"/>
        <v>0.29092319627618307</v>
      </c>
      <c r="AN100" s="25">
        <f t="shared" si="2"/>
        <v>0</v>
      </c>
      <c r="AO100" s="26">
        <f t="shared" si="3"/>
        <v>0</v>
      </c>
      <c r="AP100" s="27">
        <f>BattMobility!F104+cambio!F104+Claus2you!F104+CoopStroom!F104+Cozywheels!F104+Dégage!F104+Flexigo!F104+Klimaan!F104+Moovee!F104+Poppy!F104+'Mobilize Share'!F104+Stapp.in!F104</f>
        <v>5</v>
      </c>
      <c r="AQ100" s="25">
        <f>BattMobility!G104+cambio!G104+Claus2you!G104+CoopStroom!G104+Cozywheels!G104+Dégage!G104+Flexigo!G104+Klimaan!G104+Moovee!G104+Poppy!G104+'Mobilize Share'!G104+Stapp.in!G104</f>
        <v>4</v>
      </c>
      <c r="AR100" s="29">
        <f t="shared" si="4"/>
        <v>0.48487199379363849</v>
      </c>
      <c r="AS100" s="29">
        <f t="shared" si="5"/>
        <v>0.38789759503491078</v>
      </c>
      <c r="AT100" s="25">
        <f t="shared" si="6"/>
        <v>2</v>
      </c>
      <c r="AU100" s="30">
        <v>20.47</v>
      </c>
      <c r="AV100" s="31">
        <v>17.47</v>
      </c>
    </row>
    <row r="101" spans="1:48" ht="14.25" customHeight="1" x14ac:dyDescent="0.35">
      <c r="A101" s="2" t="s">
        <v>151</v>
      </c>
      <c r="B101" s="13" t="s">
        <v>48</v>
      </c>
      <c r="C101" s="13">
        <v>11050</v>
      </c>
      <c r="D101" s="14">
        <v>10244</v>
      </c>
      <c r="E101" s="14">
        <v>10432</v>
      </c>
      <c r="F101" s="14">
        <v>10580</v>
      </c>
      <c r="G101" s="14">
        <v>10650</v>
      </c>
      <c r="H101" s="15">
        <v>7</v>
      </c>
      <c r="I101" s="13">
        <v>1</v>
      </c>
      <c r="J101" s="16">
        <v>0.68332682545880519</v>
      </c>
      <c r="K101" s="15">
        <v>15</v>
      </c>
      <c r="L101" s="13">
        <v>1</v>
      </c>
      <c r="M101" s="16">
        <v>1.4642717688402969</v>
      </c>
      <c r="N101" s="15">
        <v>8</v>
      </c>
      <c r="O101" s="13">
        <v>4</v>
      </c>
      <c r="P101" s="16">
        <v>0.76687116564417179</v>
      </c>
      <c r="Q101" s="16">
        <v>0.3834355828220859</v>
      </c>
      <c r="R101" s="18">
        <v>1</v>
      </c>
      <c r="S101" s="16">
        <v>8.3544340185366606E-2</v>
      </c>
      <c r="T101" s="18">
        <v>-7</v>
      </c>
      <c r="U101" s="16">
        <v>-0.69740060319612507</v>
      </c>
      <c r="V101" s="18">
        <v>6</v>
      </c>
      <c r="W101" s="16">
        <v>0.57515337423312884</v>
      </c>
      <c r="X101" s="15">
        <v>30</v>
      </c>
      <c r="Y101" s="13">
        <v>2</v>
      </c>
      <c r="Z101" s="17">
        <v>2.8757668711656441</v>
      </c>
      <c r="AA101" s="16">
        <v>0.19171779141104295</v>
      </c>
      <c r="AB101" s="15">
        <v>24</v>
      </c>
      <c r="AC101" s="13">
        <v>4</v>
      </c>
      <c r="AD101" s="17">
        <v>2.2684310018903591</v>
      </c>
      <c r="AE101" s="16">
        <v>0.3780718336483932</v>
      </c>
      <c r="AF101" s="19">
        <v>8</v>
      </c>
      <c r="AG101" s="20">
        <v>5</v>
      </c>
      <c r="AH101" s="16">
        <v>0.75614366729678639</v>
      </c>
      <c r="AI101" s="21">
        <v>0.47258979206049151</v>
      </c>
      <c r="AJ101" s="22">
        <f>BattMobility!D265+cambio!D265+Claus2you!D265+CoopStroom!D265+Cozywheels!D265+Dégage!D265+Flexigo!D265+Klimaan!D265+Moovee!D265+Poppy!D265+'Mobilize Share'!D265+Stapp.in!D265</f>
        <v>9</v>
      </c>
      <c r="AK101" s="23">
        <f>BattMobility!E265+cambio!E265+Claus2you!E265+CoopStroom!E265+Cozywheels!E265+Dégage!E265+Flexigo!E265+Klimaan!E265+Moovee!E265+Poppy!E265+'Mobilize Share'!E265+Stapp.in!E265</f>
        <v>5</v>
      </c>
      <c r="AL101" s="21">
        <f t="shared" si="0"/>
        <v>0.84507042253521136</v>
      </c>
      <c r="AM101" s="21">
        <f t="shared" si="1"/>
        <v>0.46948356807511737</v>
      </c>
      <c r="AN101" s="25">
        <f t="shared" si="2"/>
        <v>-15</v>
      </c>
      <c r="AO101" s="26">
        <f t="shared" si="3"/>
        <v>-0.625</v>
      </c>
      <c r="AP101" s="27">
        <f>BattMobility!F265+cambio!F265+Claus2you!F265+CoopStroom!F265+Cozywheels!F265+Dégage!F265+Flexigo!F265+Klimaan!F265+Moovee!F265+Poppy!F265+'Mobilize Share'!F265+Stapp.in!F265</f>
        <v>5</v>
      </c>
      <c r="AQ101" s="25">
        <f>BattMobility!G265+cambio!G265+Claus2you!G265+CoopStroom!G265+Cozywheels!G265+Dégage!G265+Flexigo!G265+Klimaan!G265+Moovee!G265+Poppy!G265+'Mobilize Share'!G265+Stapp.in!G265</f>
        <v>2</v>
      </c>
      <c r="AR101" s="29">
        <f t="shared" si="4"/>
        <v>0.46948356807511737</v>
      </c>
      <c r="AS101" s="29">
        <f t="shared" si="5"/>
        <v>0.18779342723004694</v>
      </c>
      <c r="AT101" s="25">
        <f t="shared" si="6"/>
        <v>-3</v>
      </c>
      <c r="AU101" s="30">
        <v>21.16</v>
      </c>
      <c r="AV101" s="31">
        <v>13.16</v>
      </c>
    </row>
    <row r="102" spans="1:48" ht="14.25" customHeight="1" x14ac:dyDescent="0.35">
      <c r="A102" s="2" t="s">
        <v>152</v>
      </c>
      <c r="B102" s="13" t="s">
        <v>55</v>
      </c>
      <c r="C102" s="13">
        <v>38016</v>
      </c>
      <c r="D102" s="14">
        <v>11488</v>
      </c>
      <c r="E102" s="14">
        <v>11493</v>
      </c>
      <c r="F102" s="14">
        <v>11455</v>
      </c>
      <c r="G102" s="14">
        <v>11399</v>
      </c>
      <c r="H102" s="15">
        <v>0</v>
      </c>
      <c r="I102" s="13">
        <v>0</v>
      </c>
      <c r="J102" s="16">
        <v>0</v>
      </c>
      <c r="K102" s="15">
        <v>0</v>
      </c>
      <c r="L102" s="13">
        <v>0</v>
      </c>
      <c r="M102" s="16">
        <v>0</v>
      </c>
      <c r="N102" s="15">
        <v>0</v>
      </c>
      <c r="O102" s="13">
        <v>0</v>
      </c>
      <c r="P102" s="16">
        <v>0</v>
      </c>
      <c r="Q102" s="16">
        <v>0</v>
      </c>
      <c r="R102" s="18">
        <v>0</v>
      </c>
      <c r="S102" s="16">
        <v>0</v>
      </c>
      <c r="T102" s="18">
        <v>0</v>
      </c>
      <c r="U102" s="16">
        <v>0</v>
      </c>
      <c r="V102" s="18">
        <v>0</v>
      </c>
      <c r="W102" s="16">
        <v>0</v>
      </c>
      <c r="X102" s="15">
        <v>1</v>
      </c>
      <c r="Y102" s="13">
        <v>0</v>
      </c>
      <c r="Z102" s="16">
        <v>8.7009484033759688E-2</v>
      </c>
      <c r="AA102" s="16">
        <v>0</v>
      </c>
      <c r="AB102" s="15">
        <v>2</v>
      </c>
      <c r="AC102" s="13">
        <v>1</v>
      </c>
      <c r="AD102" s="16">
        <v>0.17459624618070713</v>
      </c>
      <c r="AE102" s="16">
        <v>8.7298123090353563E-2</v>
      </c>
      <c r="AF102" s="19">
        <v>2</v>
      </c>
      <c r="AG102" s="20">
        <v>2</v>
      </c>
      <c r="AH102" s="16">
        <v>0.17459624618070713</v>
      </c>
      <c r="AI102" s="21">
        <v>0.17459624618070713</v>
      </c>
      <c r="AJ102" s="22">
        <f>BattMobility!D186+cambio!D186+Claus2you!D186+CoopStroom!D186+Cozywheels!D186+Dégage!D186+Flexigo!D186+Klimaan!D186+Moovee!D186+Poppy!D186+'Mobilize Share'!D186+Stapp.in!D186</f>
        <v>2</v>
      </c>
      <c r="AK102" s="23">
        <f>BattMobility!E186+cambio!E186+Claus2you!E186+CoopStroom!E186+Cozywheels!E186+Dégage!E186+Flexigo!E186+Klimaan!E186+Moovee!E186+Poppy!E186+'Mobilize Share'!E186+Stapp.in!E186</f>
        <v>2</v>
      </c>
      <c r="AL102" s="21">
        <f t="shared" si="0"/>
        <v>0.17545398719185895</v>
      </c>
      <c r="AM102" s="21">
        <f t="shared" si="1"/>
        <v>0.17545398719185895</v>
      </c>
      <c r="AN102" s="25">
        <f t="shared" si="2"/>
        <v>0</v>
      </c>
      <c r="AO102" s="26">
        <f t="shared" si="3"/>
        <v>0</v>
      </c>
      <c r="AP102" s="27">
        <f>BattMobility!F186+cambio!F186+Claus2you!F186+CoopStroom!F186+Cozywheels!F186+Dégage!F186+Flexigo!F186+Klimaan!F186+Moovee!F186+Poppy!F186+'Mobilize Share'!F186+Stapp.in!F186</f>
        <v>5</v>
      </c>
      <c r="AQ102" s="25">
        <f>BattMobility!G186+cambio!G186+Claus2you!G186+CoopStroom!G186+Cozywheels!G186+Dégage!G186+Flexigo!G186+Klimaan!G186+Moovee!G186+Poppy!G186+'Mobilize Share'!G186+Stapp.in!G186</f>
        <v>4</v>
      </c>
      <c r="AR102" s="29">
        <f t="shared" si="4"/>
        <v>0.43863496797964729</v>
      </c>
      <c r="AS102" s="29">
        <f t="shared" si="5"/>
        <v>0.3509079743837179</v>
      </c>
      <c r="AT102" s="25">
        <f t="shared" si="6"/>
        <v>3</v>
      </c>
      <c r="AU102" s="30">
        <v>22.91</v>
      </c>
      <c r="AV102" s="31">
        <v>20.91</v>
      </c>
    </row>
    <row r="103" spans="1:48" ht="14.25" customHeight="1" x14ac:dyDescent="0.35">
      <c r="A103" s="2" t="s">
        <v>153</v>
      </c>
      <c r="B103" s="13" t="s">
        <v>52</v>
      </c>
      <c r="C103" s="13">
        <v>23033</v>
      </c>
      <c r="D103" s="14">
        <v>11433</v>
      </c>
      <c r="E103" s="14">
        <v>11537</v>
      </c>
      <c r="F103" s="14">
        <v>11636</v>
      </c>
      <c r="G103" s="14">
        <v>11565</v>
      </c>
      <c r="H103" s="15">
        <v>0</v>
      </c>
      <c r="I103" s="13">
        <v>0</v>
      </c>
      <c r="J103" s="16">
        <v>0</v>
      </c>
      <c r="K103" s="15">
        <v>2</v>
      </c>
      <c r="L103" s="13">
        <v>0</v>
      </c>
      <c r="M103" s="16">
        <v>0.17493221376716522</v>
      </c>
      <c r="N103" s="15">
        <v>2</v>
      </c>
      <c r="O103" s="13">
        <v>1</v>
      </c>
      <c r="P103" s="16">
        <v>0.17335529167027824</v>
      </c>
      <c r="Q103" s="16">
        <v>8.6677645835139122E-2</v>
      </c>
      <c r="R103" s="18">
        <v>2</v>
      </c>
      <c r="S103" s="16">
        <v>0.17335529167027824</v>
      </c>
      <c r="T103" s="18">
        <v>0</v>
      </c>
      <c r="U103" s="16">
        <v>-1.576922096886979E-3</v>
      </c>
      <c r="V103" s="18">
        <v>0</v>
      </c>
      <c r="W103" s="16">
        <v>0</v>
      </c>
      <c r="X103" s="15">
        <v>4</v>
      </c>
      <c r="Y103" s="13">
        <v>2</v>
      </c>
      <c r="Z103" s="16">
        <v>0.34671058334055649</v>
      </c>
      <c r="AA103" s="16">
        <v>0.17335529167027824</v>
      </c>
      <c r="AB103" s="15">
        <v>4</v>
      </c>
      <c r="AC103" s="13">
        <v>2</v>
      </c>
      <c r="AD103" s="16">
        <v>0.34376074252320388</v>
      </c>
      <c r="AE103" s="16">
        <v>0.17188037126160194</v>
      </c>
      <c r="AF103" s="19">
        <v>5</v>
      </c>
      <c r="AG103" s="20">
        <v>2</v>
      </c>
      <c r="AH103" s="16">
        <v>0.42970092815400479</v>
      </c>
      <c r="AI103" s="21">
        <v>0.17188037126160194</v>
      </c>
      <c r="AJ103" s="22">
        <f>BattMobility!D102+cambio!D102+Claus2you!D102+CoopStroom!D102+Cozywheels!D102+Dégage!D102+Flexigo!D102+Klimaan!D102+Moovee!D102+Poppy!D102+'Mobilize Share'!D102+Stapp.in!D102</f>
        <v>5</v>
      </c>
      <c r="AK103" s="23">
        <f>BattMobility!E102+cambio!E102+Claus2you!E102+CoopStroom!E102+Cozywheels!E102+Dégage!E102+Flexigo!E102+Klimaan!E102+Moovee!E102+Poppy!E102+'Mobilize Share'!E102+Stapp.in!E102</f>
        <v>2</v>
      </c>
      <c r="AL103" s="21">
        <f t="shared" si="0"/>
        <v>0.43233895373973191</v>
      </c>
      <c r="AM103" s="21">
        <f t="shared" si="1"/>
        <v>0.17293558149589278</v>
      </c>
      <c r="AN103" s="25">
        <f t="shared" si="2"/>
        <v>1</v>
      </c>
      <c r="AO103" s="26">
        <f t="shared" si="3"/>
        <v>0.25</v>
      </c>
      <c r="AP103" s="27">
        <f>BattMobility!F102+cambio!F102+Claus2you!F102+CoopStroom!F102+Cozywheels!F102+Dégage!F102+Flexigo!F102+Klimaan!F102+Moovee!F102+Poppy!F102+'Mobilize Share'!F102+Stapp.in!F102</f>
        <v>5</v>
      </c>
      <c r="AQ103" s="25">
        <f>BattMobility!G102+cambio!G102+Claus2you!G102+CoopStroom!G102+Cozywheels!G102+Dégage!G102+Flexigo!G102+Klimaan!G102+Moovee!G102+Poppy!G102+'Mobilize Share'!G102+Stapp.in!G102</f>
        <v>2</v>
      </c>
      <c r="AR103" s="29">
        <f t="shared" si="4"/>
        <v>0.43233895373973191</v>
      </c>
      <c r="AS103" s="29">
        <f t="shared" si="5"/>
        <v>0.17293558149589278</v>
      </c>
      <c r="AT103" s="25">
        <f t="shared" si="6"/>
        <v>0</v>
      </c>
      <c r="AU103" s="30">
        <v>23.271999999999998</v>
      </c>
      <c r="AV103" s="31">
        <v>18.271999999999998</v>
      </c>
    </row>
    <row r="104" spans="1:48" ht="14.25" customHeight="1" x14ac:dyDescent="0.35">
      <c r="A104" s="2" t="s">
        <v>154</v>
      </c>
      <c r="B104" s="13" t="s">
        <v>55</v>
      </c>
      <c r="C104" s="13">
        <v>36019</v>
      </c>
      <c r="D104" s="14">
        <v>11530</v>
      </c>
      <c r="E104" s="14">
        <v>11639</v>
      </c>
      <c r="F104" s="14">
        <v>11677</v>
      </c>
      <c r="G104" s="14">
        <v>11696</v>
      </c>
      <c r="H104" s="15">
        <v>0</v>
      </c>
      <c r="I104" s="13">
        <v>0</v>
      </c>
      <c r="J104" s="16">
        <v>0</v>
      </c>
      <c r="K104" s="15">
        <v>0</v>
      </c>
      <c r="L104" s="13">
        <v>0</v>
      </c>
      <c r="M104" s="16">
        <v>0</v>
      </c>
      <c r="N104" s="15">
        <v>2</v>
      </c>
      <c r="O104" s="13">
        <v>1</v>
      </c>
      <c r="P104" s="16">
        <v>0.17183606839075521</v>
      </c>
      <c r="Q104" s="16">
        <v>8.5918034195377607E-2</v>
      </c>
      <c r="R104" s="18">
        <v>2</v>
      </c>
      <c r="S104" s="16">
        <v>0.17183606839075521</v>
      </c>
      <c r="T104" s="18">
        <v>2</v>
      </c>
      <c r="U104" s="16">
        <v>0.17183606839075521</v>
      </c>
      <c r="V104" s="18">
        <v>0</v>
      </c>
      <c r="W104" s="16">
        <v>0</v>
      </c>
      <c r="X104" s="15">
        <v>2</v>
      </c>
      <c r="Y104" s="13">
        <v>1</v>
      </c>
      <c r="Z104" s="16">
        <v>0.17183606839075521</v>
      </c>
      <c r="AA104" s="16">
        <v>8.5918034195377607E-2</v>
      </c>
      <c r="AB104" s="15">
        <v>4</v>
      </c>
      <c r="AC104" s="13">
        <v>1</v>
      </c>
      <c r="AD104" s="16">
        <v>0.34255373811766721</v>
      </c>
      <c r="AE104" s="16">
        <v>8.5638434529416801E-2</v>
      </c>
      <c r="AF104" s="19">
        <v>4</v>
      </c>
      <c r="AG104" s="20">
        <v>1</v>
      </c>
      <c r="AH104" s="16">
        <v>0.34255373811766721</v>
      </c>
      <c r="AI104" s="21">
        <v>8.5638434529416801E-2</v>
      </c>
      <c r="AJ104" s="22">
        <f>BattMobility!D234+cambio!D234+Claus2you!D234+CoopStroom!D234+Cozywheels!D234+Dégage!D234+Flexigo!D234+Klimaan!D234+Moovee!D234+Poppy!D234+'Mobilize Share'!D234+Stapp.in!D234</f>
        <v>4</v>
      </c>
      <c r="AK104" s="23">
        <f>BattMobility!E234+cambio!E234+Claus2you!E234+CoopStroom!E234+Cozywheels!E234+Dégage!E234+Flexigo!E234+Klimaan!E234+Moovee!E234+Poppy!E234+'Mobilize Share'!E234+Stapp.in!E234</f>
        <v>1</v>
      </c>
      <c r="AL104" s="21">
        <f t="shared" si="0"/>
        <v>0.34199726402188779</v>
      </c>
      <c r="AM104" s="21">
        <f t="shared" si="1"/>
        <v>8.5499316005471948E-2</v>
      </c>
      <c r="AN104" s="25">
        <f t="shared" si="2"/>
        <v>0</v>
      </c>
      <c r="AO104" s="26">
        <f t="shared" si="3"/>
        <v>0</v>
      </c>
      <c r="AP104" s="27">
        <f>BattMobility!F234+cambio!F234+Claus2you!F234+CoopStroom!F234+Cozywheels!F234+Dégage!F234+Flexigo!F234+Klimaan!F234+Moovee!F234+Poppy!F234+'Mobilize Share'!F234+Stapp.in!F234</f>
        <v>5</v>
      </c>
      <c r="AQ104" s="25">
        <f>BattMobility!G234+cambio!G234+Claus2you!G234+CoopStroom!G234+Cozywheels!G234+Dégage!G234+Flexigo!G234+Klimaan!G234+Moovee!G234+Poppy!G234+'Mobilize Share'!G234+Stapp.in!G234</f>
        <v>1</v>
      </c>
      <c r="AR104" s="29">
        <f t="shared" si="4"/>
        <v>0.4274965800273598</v>
      </c>
      <c r="AS104" s="29">
        <f t="shared" si="5"/>
        <v>8.5499316005471948E-2</v>
      </c>
      <c r="AT104" s="25">
        <f t="shared" si="6"/>
        <v>1</v>
      </c>
      <c r="AU104" s="30">
        <v>23.353999999999999</v>
      </c>
      <c r="AV104" s="31">
        <v>19.353999999999999</v>
      </c>
    </row>
    <row r="105" spans="1:48" ht="14.25" customHeight="1" x14ac:dyDescent="0.35">
      <c r="A105" s="2" t="s">
        <v>155</v>
      </c>
      <c r="B105" s="13" t="s">
        <v>50</v>
      </c>
      <c r="C105" s="13">
        <v>42010</v>
      </c>
      <c r="D105" s="14">
        <v>12518</v>
      </c>
      <c r="E105" s="14">
        <v>12528</v>
      </c>
      <c r="F105" s="14">
        <v>12532</v>
      </c>
      <c r="G105" s="14">
        <v>12496</v>
      </c>
      <c r="H105" s="15">
        <v>3</v>
      </c>
      <c r="I105" s="13">
        <v>0</v>
      </c>
      <c r="J105" s="16">
        <v>0.23965489694839431</v>
      </c>
      <c r="K105" s="15">
        <v>2</v>
      </c>
      <c r="L105" s="13">
        <v>0</v>
      </c>
      <c r="M105" s="16">
        <v>0.15976993129892952</v>
      </c>
      <c r="N105" s="15">
        <v>3</v>
      </c>
      <c r="O105" s="13">
        <v>3</v>
      </c>
      <c r="P105" s="16">
        <v>0.23946360153256704</v>
      </c>
      <c r="Q105" s="16">
        <v>0.23946360153256704</v>
      </c>
      <c r="R105" s="18">
        <v>0</v>
      </c>
      <c r="S105" s="16">
        <v>-1.912954158272695E-4</v>
      </c>
      <c r="T105" s="18">
        <v>1</v>
      </c>
      <c r="U105" s="16">
        <v>7.969367023363752E-2</v>
      </c>
      <c r="V105" s="18">
        <v>0</v>
      </c>
      <c r="W105" s="16">
        <v>0</v>
      </c>
      <c r="X105" s="15">
        <v>5</v>
      </c>
      <c r="Y105" s="13">
        <v>3</v>
      </c>
      <c r="Z105" s="16">
        <v>0.39910600255427842</v>
      </c>
      <c r="AA105" s="16">
        <v>0.23946360153256704</v>
      </c>
      <c r="AB105" s="15">
        <v>4</v>
      </c>
      <c r="AC105" s="13">
        <v>2</v>
      </c>
      <c r="AD105" s="16">
        <v>0.31918289179699971</v>
      </c>
      <c r="AE105" s="16">
        <v>0.15959144589849986</v>
      </c>
      <c r="AF105" s="19">
        <v>5</v>
      </c>
      <c r="AG105" s="20">
        <v>3</v>
      </c>
      <c r="AH105" s="16">
        <v>0.39897861474624957</v>
      </c>
      <c r="AI105" s="21">
        <v>0.23938716884774974</v>
      </c>
      <c r="AJ105" s="22">
        <f>BattMobility!D138+cambio!D138+Claus2you!D138+CoopStroom!D138+Cozywheels!D138+Dégage!D138+Flexigo!D138+Klimaan!D138+Moovee!D138+Poppy!D138+'Mobilize Share'!D138+Stapp.in!D138</f>
        <v>5</v>
      </c>
      <c r="AK105" s="23">
        <f>BattMobility!E138+cambio!E138+Claus2you!E138+CoopStroom!E138+Cozywheels!E138+Dégage!E138+Flexigo!E138+Klimaan!E138+Moovee!E138+Poppy!E138+'Mobilize Share'!E138+Stapp.in!E138</f>
        <v>3</v>
      </c>
      <c r="AL105" s="21">
        <f t="shared" si="0"/>
        <v>0.40012804097311139</v>
      </c>
      <c r="AM105" s="21">
        <f t="shared" si="1"/>
        <v>0.24007682458386684</v>
      </c>
      <c r="AN105" s="25">
        <f t="shared" si="2"/>
        <v>1</v>
      </c>
      <c r="AO105" s="26">
        <f t="shared" si="3"/>
        <v>0.25</v>
      </c>
      <c r="AP105" s="27">
        <f>BattMobility!F138+cambio!F138+Claus2you!F138+CoopStroom!F138+Cozywheels!F138+Dégage!F138+Flexigo!F138+Klimaan!F138+Moovee!F138+Poppy!F138+'Mobilize Share'!F138+Stapp.in!F138</f>
        <v>5</v>
      </c>
      <c r="AQ105" s="25">
        <f>BattMobility!G138+cambio!G138+Claus2you!G138+CoopStroom!G138+Cozywheels!G138+Dégage!G138+Flexigo!G138+Klimaan!G138+Moovee!G138+Poppy!G138+'Mobilize Share'!G138+Stapp.in!G138</f>
        <v>3</v>
      </c>
      <c r="AR105" s="29">
        <f t="shared" si="4"/>
        <v>0.40012804097311139</v>
      </c>
      <c r="AS105" s="29">
        <f t="shared" si="5"/>
        <v>0.24007682458386684</v>
      </c>
      <c r="AT105" s="25">
        <f t="shared" si="6"/>
        <v>0</v>
      </c>
      <c r="AU105" s="30">
        <v>25.064</v>
      </c>
      <c r="AV105" s="31">
        <v>20.064</v>
      </c>
    </row>
    <row r="106" spans="1:48" ht="14.25" customHeight="1" x14ac:dyDescent="0.35">
      <c r="A106" s="2" t="s">
        <v>156</v>
      </c>
      <c r="B106" s="13" t="s">
        <v>55</v>
      </c>
      <c r="C106" s="13">
        <v>34009</v>
      </c>
      <c r="D106" s="14">
        <v>12356</v>
      </c>
      <c r="E106" s="14">
        <v>12561</v>
      </c>
      <c r="F106" s="14">
        <v>12670</v>
      </c>
      <c r="G106" s="14">
        <v>12690</v>
      </c>
      <c r="H106" s="15">
        <v>2</v>
      </c>
      <c r="I106" s="13">
        <v>0</v>
      </c>
      <c r="J106" s="16">
        <v>0.16186468112657817</v>
      </c>
      <c r="K106" s="15">
        <v>2</v>
      </c>
      <c r="L106" s="13">
        <v>0</v>
      </c>
      <c r="M106" s="16">
        <v>0.16186468112657817</v>
      </c>
      <c r="N106" s="15">
        <v>4</v>
      </c>
      <c r="O106" s="13">
        <v>0</v>
      </c>
      <c r="P106" s="16">
        <v>0.31844598360003185</v>
      </c>
      <c r="Q106" s="16">
        <v>0</v>
      </c>
      <c r="R106" s="18">
        <v>2</v>
      </c>
      <c r="S106" s="16">
        <v>0.15658130247345367</v>
      </c>
      <c r="T106" s="18">
        <v>2</v>
      </c>
      <c r="U106" s="16">
        <v>0.15658130247345367</v>
      </c>
      <c r="V106" s="18">
        <v>3</v>
      </c>
      <c r="W106" s="16">
        <v>0.23883448770002388</v>
      </c>
      <c r="X106" s="15">
        <v>5</v>
      </c>
      <c r="Y106" s="13">
        <v>1</v>
      </c>
      <c r="Z106" s="16">
        <v>0.39805747950003983</v>
      </c>
      <c r="AA106" s="16">
        <v>7.9611495900007961E-2</v>
      </c>
      <c r="AB106" s="15">
        <v>5</v>
      </c>
      <c r="AC106" s="13">
        <v>1</v>
      </c>
      <c r="AD106" s="16">
        <v>0.39463299131807417</v>
      </c>
      <c r="AE106" s="16">
        <v>7.8926598263614839E-2</v>
      </c>
      <c r="AF106" s="19">
        <v>5</v>
      </c>
      <c r="AG106" s="20">
        <v>1</v>
      </c>
      <c r="AH106" s="16">
        <v>0.39463299131807417</v>
      </c>
      <c r="AI106" s="21">
        <v>7.8926598263614839E-2</v>
      </c>
      <c r="AJ106" s="22">
        <f>BattMobility!D50+cambio!D50+Claus2you!D50+CoopStroom!D50+Cozywheels!D50+Dégage!D50+Flexigo!D50+Klimaan!D50+Moovee!D50+Poppy!D50+'Mobilize Share'!D50+Stapp.in!D50</f>
        <v>5</v>
      </c>
      <c r="AK106" s="23">
        <f>BattMobility!E50+cambio!E50+Claus2you!E50+CoopStroom!E50+Cozywheels!E50+Dégage!E50+Flexigo!E50+Klimaan!E50+Moovee!E50+Poppy!E50+'Mobilize Share'!E50+Stapp.in!E50</f>
        <v>1</v>
      </c>
      <c r="AL106" s="21">
        <f t="shared" si="0"/>
        <v>0.39401103230890466</v>
      </c>
      <c r="AM106" s="21">
        <f t="shared" si="1"/>
        <v>7.8802206461780933E-2</v>
      </c>
      <c r="AN106" s="25">
        <f t="shared" si="2"/>
        <v>0</v>
      </c>
      <c r="AO106" s="26">
        <f t="shared" si="3"/>
        <v>0</v>
      </c>
      <c r="AP106" s="27">
        <f>BattMobility!F50+cambio!F50+Claus2you!F50+CoopStroom!F50+Cozywheels!F50+Dégage!F50+Flexigo!F50+Klimaan!F50+Moovee!F50+Poppy!F50+'Mobilize Share'!F50+Stapp.in!F50</f>
        <v>5</v>
      </c>
      <c r="AQ106" s="25">
        <f>BattMobility!G50+cambio!G50+Claus2you!G50+CoopStroom!G50+Cozywheels!G50+Dégage!G50+Flexigo!G50+Klimaan!G50+Moovee!G50+Poppy!G50+'Mobilize Share'!G50+Stapp.in!G50</f>
        <v>1</v>
      </c>
      <c r="AR106" s="29">
        <f t="shared" si="4"/>
        <v>0.39401103230890466</v>
      </c>
      <c r="AS106" s="29">
        <f t="shared" si="5"/>
        <v>7.8802206461780933E-2</v>
      </c>
      <c r="AT106" s="25">
        <f t="shared" si="6"/>
        <v>0</v>
      </c>
      <c r="AU106" s="30">
        <v>25.34</v>
      </c>
      <c r="AV106" s="31">
        <v>20.34</v>
      </c>
    </row>
    <row r="107" spans="1:48" ht="14.25" customHeight="1" x14ac:dyDescent="0.35">
      <c r="A107" s="2" t="s">
        <v>157</v>
      </c>
      <c r="B107" s="13" t="s">
        <v>52</v>
      </c>
      <c r="C107" s="13">
        <v>24014</v>
      </c>
      <c r="D107" s="14">
        <v>12968</v>
      </c>
      <c r="E107" s="14">
        <v>13263</v>
      </c>
      <c r="F107" s="14">
        <v>13348</v>
      </c>
      <c r="G107" s="14">
        <v>13400</v>
      </c>
      <c r="H107" s="15">
        <v>1</v>
      </c>
      <c r="I107" s="13">
        <v>0</v>
      </c>
      <c r="J107" s="16">
        <v>7.7112893275755712E-2</v>
      </c>
      <c r="K107" s="15">
        <v>2</v>
      </c>
      <c r="L107" s="13">
        <v>0</v>
      </c>
      <c r="M107" s="16">
        <v>0.15422578655151142</v>
      </c>
      <c r="N107" s="15">
        <v>2</v>
      </c>
      <c r="O107" s="13">
        <v>0</v>
      </c>
      <c r="P107" s="16">
        <v>0.15079544597753147</v>
      </c>
      <c r="Q107" s="16">
        <v>0</v>
      </c>
      <c r="R107" s="18">
        <v>1</v>
      </c>
      <c r="S107" s="16">
        <v>7.3682552701775761E-2</v>
      </c>
      <c r="T107" s="18">
        <v>0</v>
      </c>
      <c r="U107" s="16">
        <v>-3.4303405739799508E-3</v>
      </c>
      <c r="V107" s="18">
        <v>2</v>
      </c>
      <c r="W107" s="16">
        <v>0.15079544597753147</v>
      </c>
      <c r="X107" s="15">
        <v>2</v>
      </c>
      <c r="Y107" s="13">
        <v>0</v>
      </c>
      <c r="Z107" s="16">
        <v>0.15079544597753147</v>
      </c>
      <c r="AA107" s="16">
        <v>0</v>
      </c>
      <c r="AB107" s="15">
        <v>1</v>
      </c>
      <c r="AC107" s="13">
        <v>0</v>
      </c>
      <c r="AD107" s="16">
        <v>7.4917590650284693E-2</v>
      </c>
      <c r="AE107" s="16">
        <v>0</v>
      </c>
      <c r="AF107" s="19">
        <v>2</v>
      </c>
      <c r="AG107" s="20">
        <v>0</v>
      </c>
      <c r="AH107" s="16">
        <v>0.14983518130056939</v>
      </c>
      <c r="AI107" s="21">
        <v>0</v>
      </c>
      <c r="AJ107" s="22">
        <f>BattMobility!D37+cambio!D37+Claus2you!D37+CoopStroom!D37+Cozywheels!D37+Dégage!D37+Flexigo!D37+Klimaan!D37+Moovee!D37+Poppy!D37+'Mobilize Share'!D37+Stapp.in!D37</f>
        <v>3</v>
      </c>
      <c r="AK107" s="23">
        <f>BattMobility!E37+cambio!E37+Claus2you!E37+CoopStroom!E37+Cozywheels!E37+Dégage!E37+Flexigo!E37+Klimaan!E37+Moovee!E37+Poppy!E37+'Mobilize Share'!E37+Stapp.in!E37</f>
        <v>0</v>
      </c>
      <c r="AL107" s="21">
        <f t="shared" si="0"/>
        <v>0.22388059701492538</v>
      </c>
      <c r="AM107" s="21">
        <f t="shared" si="1"/>
        <v>0</v>
      </c>
      <c r="AN107" s="25">
        <f t="shared" si="2"/>
        <v>2</v>
      </c>
      <c r="AO107" s="26">
        <f t="shared" si="3"/>
        <v>2</v>
      </c>
      <c r="AP107" s="27">
        <f>BattMobility!F37+cambio!F37+Claus2you!F37+CoopStroom!F37+Cozywheels!F37+Dégage!F37+Flexigo!F37+Klimaan!F37+Moovee!F37+Poppy!F37+'Mobilize Share'!F37+Stapp.in!F37</f>
        <v>5</v>
      </c>
      <c r="AQ107" s="25">
        <f>BattMobility!G37+cambio!G37+Claus2you!G37+CoopStroom!G37+Cozywheels!G37+Dégage!G37+Flexigo!G37+Klimaan!G37+Moovee!G37+Poppy!G37+'Mobilize Share'!G37+Stapp.in!G37</f>
        <v>2</v>
      </c>
      <c r="AR107" s="29">
        <f t="shared" si="4"/>
        <v>0.37313432835820898</v>
      </c>
      <c r="AS107" s="29">
        <f t="shared" si="5"/>
        <v>0.1492537313432836</v>
      </c>
      <c r="AT107" s="25">
        <f t="shared" si="6"/>
        <v>3</v>
      </c>
      <c r="AU107" s="30">
        <v>26.696000000000002</v>
      </c>
      <c r="AV107" s="31">
        <v>24.696000000000002</v>
      </c>
    </row>
    <row r="108" spans="1:48" ht="14.25" customHeight="1" x14ac:dyDescent="0.35">
      <c r="A108" s="2" t="s">
        <v>158</v>
      </c>
      <c r="B108" s="13" t="s">
        <v>55</v>
      </c>
      <c r="C108" s="13">
        <v>34023</v>
      </c>
      <c r="D108" s="14">
        <v>13975</v>
      </c>
      <c r="E108" s="14">
        <v>14033</v>
      </c>
      <c r="F108" s="14">
        <v>14145</v>
      </c>
      <c r="G108" s="14">
        <v>14244</v>
      </c>
      <c r="H108" s="15">
        <v>4</v>
      </c>
      <c r="I108" s="13">
        <v>0</v>
      </c>
      <c r="J108" s="16">
        <v>0.28622540250447226</v>
      </c>
      <c r="K108" s="15">
        <v>5</v>
      </c>
      <c r="L108" s="13">
        <v>0</v>
      </c>
      <c r="M108" s="16">
        <v>0.35778175313059035</v>
      </c>
      <c r="N108" s="15">
        <v>6</v>
      </c>
      <c r="O108" s="13">
        <v>3</v>
      </c>
      <c r="P108" s="16">
        <v>0.42756360008551275</v>
      </c>
      <c r="Q108" s="16">
        <v>0.21378180004275638</v>
      </c>
      <c r="R108" s="18">
        <v>2</v>
      </c>
      <c r="S108" s="16">
        <v>0.14133819758104049</v>
      </c>
      <c r="T108" s="18">
        <v>1</v>
      </c>
      <c r="U108" s="16">
        <v>6.97818469549224E-2</v>
      </c>
      <c r="V108" s="18">
        <v>3</v>
      </c>
      <c r="W108" s="16">
        <v>0.21378180004275638</v>
      </c>
      <c r="X108" s="15">
        <v>10</v>
      </c>
      <c r="Y108" s="13">
        <v>4</v>
      </c>
      <c r="Z108" s="16">
        <v>0.71260600014252118</v>
      </c>
      <c r="AA108" s="16">
        <v>0.28504240005700848</v>
      </c>
      <c r="AB108" s="15">
        <v>8</v>
      </c>
      <c r="AC108" s="13">
        <v>2</v>
      </c>
      <c r="AD108" s="16">
        <v>0.5655708731000354</v>
      </c>
      <c r="AE108" s="16">
        <v>0.14139271827500885</v>
      </c>
      <c r="AF108" s="19">
        <v>5</v>
      </c>
      <c r="AG108" s="20">
        <v>1</v>
      </c>
      <c r="AH108" s="16">
        <v>0.35348179568752208</v>
      </c>
      <c r="AI108" s="21">
        <v>7.0696359137504425E-2</v>
      </c>
      <c r="AJ108" s="22">
        <f>BattMobility!D136+cambio!D136+Claus2you!D136+CoopStroom!D136+Cozywheels!D136+Dégage!D136+Flexigo!D136+Klimaan!D136+Moovee!D136+Poppy!D136+'Mobilize Share'!D136+Stapp.in!D136</f>
        <v>5</v>
      </c>
      <c r="AK108" s="23">
        <f>BattMobility!E136+cambio!E136+Claus2you!E136+CoopStroom!E136+Cozywheels!E136+Dégage!E136+Flexigo!E136+Klimaan!E136+Moovee!E136+Poppy!E136+'Mobilize Share'!E136+Stapp.in!E136</f>
        <v>1</v>
      </c>
      <c r="AL108" s="21">
        <f t="shared" si="0"/>
        <v>0.35102499297950013</v>
      </c>
      <c r="AM108" s="21">
        <f t="shared" si="1"/>
        <v>7.0204998595900028E-2</v>
      </c>
      <c r="AN108" s="25">
        <f t="shared" si="2"/>
        <v>-3</v>
      </c>
      <c r="AO108" s="26">
        <f t="shared" si="3"/>
        <v>-0.375</v>
      </c>
      <c r="AP108" s="27">
        <f>BattMobility!F136+cambio!F136+Claus2you!F136+CoopStroom!F136+Cozywheels!F136+Dégage!F136+Flexigo!F136+Klimaan!F136+Moovee!F136+Poppy!F136+'Mobilize Share'!F136+Stapp.in!F136</f>
        <v>5</v>
      </c>
      <c r="AQ108" s="25">
        <f>BattMobility!G136+cambio!G136+Claus2you!G136+CoopStroom!G136+Cozywheels!G136+Dégage!G136+Flexigo!G136+Klimaan!G136+Moovee!G136+Poppy!G136+'Mobilize Share'!G136+Stapp.in!G136</f>
        <v>3</v>
      </c>
      <c r="AR108" s="29">
        <f t="shared" si="4"/>
        <v>0.35102499297950013</v>
      </c>
      <c r="AS108" s="29">
        <f t="shared" si="5"/>
        <v>0.21061499578770007</v>
      </c>
      <c r="AT108" s="25">
        <f t="shared" si="6"/>
        <v>0</v>
      </c>
      <c r="AU108" s="30">
        <v>28.29</v>
      </c>
      <c r="AV108" s="31">
        <v>23.29</v>
      </c>
    </row>
    <row r="109" spans="1:48" ht="14.25" customHeight="1" x14ac:dyDescent="0.35">
      <c r="A109" s="2" t="s">
        <v>159</v>
      </c>
      <c r="B109" s="13" t="s">
        <v>48</v>
      </c>
      <c r="C109" s="13">
        <v>13031</v>
      </c>
      <c r="D109" s="14">
        <v>14402</v>
      </c>
      <c r="E109" s="14">
        <v>14734</v>
      </c>
      <c r="F109" s="14">
        <v>14828</v>
      </c>
      <c r="G109" s="14">
        <v>15045</v>
      </c>
      <c r="H109" s="15">
        <v>2</v>
      </c>
      <c r="I109" s="13">
        <v>0</v>
      </c>
      <c r="J109" s="16">
        <v>0.13886960144424385</v>
      </c>
      <c r="K109" s="15">
        <v>3</v>
      </c>
      <c r="L109" s="13">
        <v>0</v>
      </c>
      <c r="M109" s="16">
        <v>0.20830440216636578</v>
      </c>
      <c r="N109" s="15">
        <v>2</v>
      </c>
      <c r="O109" s="13">
        <v>2</v>
      </c>
      <c r="P109" s="16">
        <v>0.13574046423238767</v>
      </c>
      <c r="Q109" s="16">
        <v>0.13574046423238767</v>
      </c>
      <c r="R109" s="18">
        <v>0</v>
      </c>
      <c r="S109" s="16">
        <v>-3.1291372118561755E-3</v>
      </c>
      <c r="T109" s="18">
        <v>-1</v>
      </c>
      <c r="U109" s="16">
        <v>-7.2563937933978112E-2</v>
      </c>
      <c r="V109" s="18">
        <v>0</v>
      </c>
      <c r="W109" s="16">
        <v>0</v>
      </c>
      <c r="X109" s="15">
        <v>3</v>
      </c>
      <c r="Y109" s="13">
        <v>2</v>
      </c>
      <c r="Z109" s="16">
        <v>0.2036106963485815</v>
      </c>
      <c r="AA109" s="16">
        <v>0.13574046423238767</v>
      </c>
      <c r="AB109" s="15">
        <v>3</v>
      </c>
      <c r="AC109" s="13">
        <v>2</v>
      </c>
      <c r="AD109" s="16">
        <v>0.20231993525762071</v>
      </c>
      <c r="AE109" s="16">
        <v>0.13487995683841381</v>
      </c>
      <c r="AF109" s="19">
        <v>3</v>
      </c>
      <c r="AG109" s="20">
        <v>2</v>
      </c>
      <c r="AH109" s="16">
        <v>0.20231993525762071</v>
      </c>
      <c r="AI109" s="21">
        <v>0.13487995683841381</v>
      </c>
      <c r="AJ109" s="22">
        <f>BattMobility!D196+cambio!D196+Claus2you!D196+CoopStroom!D196+Cozywheels!D196+Dégage!D196+Flexigo!D196+Klimaan!D196+Moovee!D196+Poppy!D196+'Mobilize Share'!D196+Stapp.in!D196</f>
        <v>3</v>
      </c>
      <c r="AK109" s="23">
        <f>BattMobility!E196+cambio!E196+Claus2you!E196+CoopStroom!E196+Cozywheels!E196+Dégage!E196+Flexigo!E196+Klimaan!E196+Moovee!E196+Poppy!E196+'Mobilize Share'!E196+Stapp.in!E196</f>
        <v>2</v>
      </c>
      <c r="AL109" s="21">
        <f t="shared" si="0"/>
        <v>0.19940179461615154</v>
      </c>
      <c r="AM109" s="21">
        <f t="shared" si="1"/>
        <v>0.13293452974410105</v>
      </c>
      <c r="AN109" s="25">
        <f t="shared" si="2"/>
        <v>0</v>
      </c>
      <c r="AO109" s="26">
        <f t="shared" si="3"/>
        <v>0</v>
      </c>
      <c r="AP109" s="27">
        <f>BattMobility!F196+cambio!F196+Claus2you!F196+CoopStroom!F196+Cozywheels!F196+Dégage!F196+Flexigo!F196+Klimaan!F196+Moovee!F196+Poppy!F196+'Mobilize Share'!F196+Stapp.in!F196</f>
        <v>5</v>
      </c>
      <c r="AQ109" s="25">
        <f>BattMobility!G196+cambio!G196+Claus2you!G196+CoopStroom!G196+Cozywheels!G196+Dégage!G196+Flexigo!G196+Klimaan!G196+Moovee!G196+Poppy!G196+'Mobilize Share'!G196+Stapp.in!G196</f>
        <v>4</v>
      </c>
      <c r="AR109" s="29">
        <f t="shared" si="4"/>
        <v>0.33233632436025257</v>
      </c>
      <c r="AS109" s="29">
        <f t="shared" si="5"/>
        <v>0.26586905948820211</v>
      </c>
      <c r="AT109" s="25">
        <f t="shared" si="6"/>
        <v>2</v>
      </c>
      <c r="AU109" s="30">
        <v>29.655999999999999</v>
      </c>
      <c r="AV109" s="31">
        <v>26.655999999999999</v>
      </c>
    </row>
    <row r="110" spans="1:48" ht="14.25" customHeight="1" x14ac:dyDescent="0.35">
      <c r="A110" s="2" t="s">
        <v>160</v>
      </c>
      <c r="B110" s="13" t="s">
        <v>48</v>
      </c>
      <c r="C110" s="13">
        <v>11037</v>
      </c>
      <c r="D110" s="14">
        <v>15254</v>
      </c>
      <c r="E110" s="14">
        <v>15417</v>
      </c>
      <c r="F110" s="14">
        <v>15536</v>
      </c>
      <c r="G110" s="14">
        <v>15692</v>
      </c>
      <c r="H110" s="15">
        <v>1</v>
      </c>
      <c r="I110" s="13">
        <v>0</v>
      </c>
      <c r="J110" s="16">
        <v>6.555657532450504E-2</v>
      </c>
      <c r="K110" s="15">
        <v>0</v>
      </c>
      <c r="L110" s="13">
        <v>0</v>
      </c>
      <c r="M110" s="16">
        <v>0</v>
      </c>
      <c r="N110" s="15">
        <v>0</v>
      </c>
      <c r="O110" s="13">
        <v>0</v>
      </c>
      <c r="P110" s="16">
        <v>0</v>
      </c>
      <c r="Q110" s="16">
        <v>0</v>
      </c>
      <c r="R110" s="18">
        <v>-1</v>
      </c>
      <c r="S110" s="16">
        <v>-6.555657532450504E-2</v>
      </c>
      <c r="T110" s="18">
        <v>0</v>
      </c>
      <c r="U110" s="16">
        <v>0</v>
      </c>
      <c r="V110" s="18">
        <v>0</v>
      </c>
      <c r="W110" s="16">
        <v>0</v>
      </c>
      <c r="X110" s="15">
        <v>4</v>
      </c>
      <c r="Y110" s="13">
        <v>4</v>
      </c>
      <c r="Z110" s="16">
        <v>0.25945384964649415</v>
      </c>
      <c r="AA110" s="16">
        <v>0.25945384964649415</v>
      </c>
      <c r="AB110" s="15">
        <v>4</v>
      </c>
      <c r="AC110" s="13">
        <v>4</v>
      </c>
      <c r="AD110" s="16">
        <v>0.25746652935118436</v>
      </c>
      <c r="AE110" s="16">
        <v>0.25746652935118436</v>
      </c>
      <c r="AF110" s="19">
        <v>4</v>
      </c>
      <c r="AG110" s="20">
        <v>4</v>
      </c>
      <c r="AH110" s="16">
        <v>0.25746652935118436</v>
      </c>
      <c r="AI110" s="21">
        <v>0.25746652935118436</v>
      </c>
      <c r="AJ110" s="22">
        <f>BattMobility!D218+cambio!D218+Claus2you!D218+CoopStroom!D218+Cozywheels!D218+Dégage!D218+Flexigo!D218+Klimaan!D218+Moovee!D218+Poppy!D218+'Mobilize Share'!D218+Stapp.in!D218</f>
        <v>4</v>
      </c>
      <c r="AK110" s="23">
        <f>BattMobility!E218+cambio!E218+Claus2you!E218+CoopStroom!E218+Cozywheels!E218+Dégage!E218+Flexigo!E218+Klimaan!E218+Moovee!E218+Poppy!E218+'Mobilize Share'!E218+Stapp.in!E218</f>
        <v>4</v>
      </c>
      <c r="AL110" s="21">
        <f t="shared" si="0"/>
        <v>0.25490695895997961</v>
      </c>
      <c r="AM110" s="21">
        <f t="shared" si="1"/>
        <v>0.25490695895997961</v>
      </c>
      <c r="AN110" s="25">
        <f t="shared" si="2"/>
        <v>0</v>
      </c>
      <c r="AO110" s="26">
        <f t="shared" si="3"/>
        <v>0</v>
      </c>
      <c r="AP110" s="27">
        <f>BattMobility!F218+cambio!F218+Claus2you!F218+CoopStroom!F218+Cozywheels!F218+Dégage!F218+Flexigo!F218+Klimaan!F218+Moovee!F218+Poppy!F218+'Mobilize Share'!F218+Stapp.in!F218</f>
        <v>5</v>
      </c>
      <c r="AQ110" s="25">
        <f>BattMobility!G218+cambio!G218+Claus2you!G218+CoopStroom!G218+Cozywheels!G218+Dégage!G218+Flexigo!G218+Klimaan!G218+Moovee!G218+Poppy!G218+'Mobilize Share'!G218+Stapp.in!G218</f>
        <v>5</v>
      </c>
      <c r="AR110" s="29">
        <f t="shared" si="4"/>
        <v>0.31863369869997454</v>
      </c>
      <c r="AS110" s="29">
        <f t="shared" si="5"/>
        <v>0.31863369869997454</v>
      </c>
      <c r="AT110" s="25">
        <f t="shared" si="6"/>
        <v>1</v>
      </c>
      <c r="AU110" s="30">
        <v>31.071999999999999</v>
      </c>
      <c r="AV110" s="31">
        <v>27.071999999999999</v>
      </c>
    </row>
    <row r="111" spans="1:48" ht="14.25" customHeight="1" x14ac:dyDescent="0.35">
      <c r="A111" s="2" t="s">
        <v>161</v>
      </c>
      <c r="B111" s="13" t="s">
        <v>48</v>
      </c>
      <c r="C111" s="13">
        <v>13019</v>
      </c>
      <c r="D111" s="14">
        <v>16688</v>
      </c>
      <c r="E111" s="14">
        <v>16871</v>
      </c>
      <c r="F111" s="14">
        <v>17026</v>
      </c>
      <c r="G111" s="14">
        <v>17130</v>
      </c>
      <c r="H111" s="15">
        <v>1</v>
      </c>
      <c r="I111" s="13">
        <v>0</v>
      </c>
      <c r="J111" s="16">
        <v>5.9923298178331731E-2</v>
      </c>
      <c r="K111" s="15">
        <v>1</v>
      </c>
      <c r="L111" s="13">
        <v>0</v>
      </c>
      <c r="M111" s="16">
        <v>5.9923298178331731E-2</v>
      </c>
      <c r="N111" s="15">
        <v>0</v>
      </c>
      <c r="O111" s="13">
        <v>0</v>
      </c>
      <c r="P111" s="16">
        <v>0</v>
      </c>
      <c r="Q111" s="16">
        <v>0</v>
      </c>
      <c r="R111" s="18">
        <v>-1</v>
      </c>
      <c r="S111" s="16">
        <v>-5.9923298178331731E-2</v>
      </c>
      <c r="T111" s="18">
        <v>-1</v>
      </c>
      <c r="U111" s="16">
        <v>-5.9923298178331731E-2</v>
      </c>
      <c r="V111" s="18">
        <v>0</v>
      </c>
      <c r="W111" s="16">
        <v>0</v>
      </c>
      <c r="X111" s="15">
        <v>1</v>
      </c>
      <c r="Y111" s="13">
        <v>0</v>
      </c>
      <c r="Z111" s="16">
        <v>5.9273309228854244E-2</v>
      </c>
      <c r="AA111" s="16">
        <v>0</v>
      </c>
      <c r="AB111" s="15">
        <v>1</v>
      </c>
      <c r="AC111" s="13">
        <v>0</v>
      </c>
      <c r="AD111" s="16">
        <v>5.8733701397862097E-2</v>
      </c>
      <c r="AE111" s="16">
        <v>0</v>
      </c>
      <c r="AF111" s="19">
        <v>4</v>
      </c>
      <c r="AG111" s="20">
        <v>2</v>
      </c>
      <c r="AH111" s="16">
        <v>0.23493480559144839</v>
      </c>
      <c r="AI111" s="21">
        <v>0.11746740279572419</v>
      </c>
      <c r="AJ111" s="22">
        <f>BattMobility!D154+cambio!D154+Claus2you!D154+CoopStroom!D154+Cozywheels!D154+Dégage!D154+Flexigo!D154+Klimaan!D154+Moovee!D154+Poppy!D154+'Mobilize Share'!D154+Stapp.in!D154</f>
        <v>5</v>
      </c>
      <c r="AK111" s="23">
        <f>BattMobility!E154+cambio!E154+Claus2you!E154+CoopStroom!E154+Cozywheels!E154+Dégage!E154+Flexigo!E154+Klimaan!E154+Moovee!E154+Poppy!E154+'Mobilize Share'!E154+Stapp.in!E154</f>
        <v>2</v>
      </c>
      <c r="AL111" s="21">
        <f t="shared" si="0"/>
        <v>0.29188558085230587</v>
      </c>
      <c r="AM111" s="21">
        <f t="shared" si="1"/>
        <v>0.11675423234092236</v>
      </c>
      <c r="AN111" s="25">
        <f t="shared" si="2"/>
        <v>4</v>
      </c>
      <c r="AO111" s="26">
        <f t="shared" si="3"/>
        <v>4</v>
      </c>
      <c r="AP111" s="27">
        <f>BattMobility!F154+cambio!F154+Claus2you!F154+CoopStroom!F154+Cozywheels!F154+Dégage!F154+Flexigo!F154+Klimaan!F154+Moovee!F154+Poppy!F154+'Mobilize Share'!F154+Stapp.in!F154</f>
        <v>5</v>
      </c>
      <c r="AQ111" s="25">
        <f>BattMobility!G154+cambio!G154+Claus2you!G154+CoopStroom!G154+Cozywheels!G154+Dégage!G154+Flexigo!G154+Klimaan!G154+Moovee!G154+Poppy!G154+'Mobilize Share'!G154+Stapp.in!G154</f>
        <v>2</v>
      </c>
      <c r="AR111" s="29">
        <f t="shared" si="4"/>
        <v>0.29188558085230587</v>
      </c>
      <c r="AS111" s="29">
        <f t="shared" si="5"/>
        <v>0.11675423234092236</v>
      </c>
      <c r="AT111" s="25">
        <f t="shared" si="6"/>
        <v>1</v>
      </c>
      <c r="AU111" s="30">
        <v>34.052</v>
      </c>
      <c r="AV111" s="31">
        <v>30.052</v>
      </c>
    </row>
    <row r="112" spans="1:48" ht="14.25" customHeight="1" x14ac:dyDescent="0.35">
      <c r="A112" s="2" t="s">
        <v>162</v>
      </c>
      <c r="B112" s="13" t="s">
        <v>52</v>
      </c>
      <c r="C112" s="13">
        <v>23102</v>
      </c>
      <c r="D112" s="14">
        <v>17182</v>
      </c>
      <c r="E112" s="14">
        <v>17743</v>
      </c>
      <c r="F112" s="14">
        <v>18179</v>
      </c>
      <c r="G112" s="14">
        <v>18292</v>
      </c>
      <c r="H112" s="15">
        <v>0</v>
      </c>
      <c r="I112" s="13">
        <v>0</v>
      </c>
      <c r="J112" s="16">
        <v>0</v>
      </c>
      <c r="K112" s="15">
        <v>0</v>
      </c>
      <c r="L112" s="13">
        <v>0</v>
      </c>
      <c r="M112" s="16">
        <v>0</v>
      </c>
      <c r="N112" s="15">
        <v>1</v>
      </c>
      <c r="O112" s="13">
        <v>0</v>
      </c>
      <c r="P112" s="16">
        <v>5.6360254748351463E-2</v>
      </c>
      <c r="Q112" s="16">
        <v>0</v>
      </c>
      <c r="R112" s="18">
        <v>1</v>
      </c>
      <c r="S112" s="16">
        <v>5.6360254748351463E-2</v>
      </c>
      <c r="T112" s="18">
        <v>1</v>
      </c>
      <c r="U112" s="16">
        <v>5.6360254748351463E-2</v>
      </c>
      <c r="V112" s="18">
        <v>1</v>
      </c>
      <c r="W112" s="16">
        <v>5.6360254748351463E-2</v>
      </c>
      <c r="X112" s="15">
        <v>5</v>
      </c>
      <c r="Y112" s="13">
        <v>2</v>
      </c>
      <c r="Z112" s="16">
        <v>0.28180127374175734</v>
      </c>
      <c r="AA112" s="16">
        <v>0.11272050949670293</v>
      </c>
      <c r="AB112" s="15">
        <v>4</v>
      </c>
      <c r="AC112" s="13">
        <v>2</v>
      </c>
      <c r="AD112" s="16">
        <v>0.22003410528631936</v>
      </c>
      <c r="AE112" s="16">
        <v>0.11001705264315968</v>
      </c>
      <c r="AF112" s="19">
        <v>4</v>
      </c>
      <c r="AG112" s="20">
        <v>2</v>
      </c>
      <c r="AH112" s="16">
        <v>0.22003410528631936</v>
      </c>
      <c r="AI112" s="21">
        <v>0.11001705264315968</v>
      </c>
      <c r="AJ112" s="22">
        <f>BattMobility!D257+cambio!D257+Claus2you!D257+CoopStroom!D257+Cozywheels!D257+Dégage!D257+Flexigo!D257+Klimaan!D257+Moovee!D257+Poppy!D257+'Mobilize Share'!D257+Stapp.in!D257</f>
        <v>5</v>
      </c>
      <c r="AK112" s="23">
        <f>BattMobility!E257+cambio!E257+Claus2you!E257+CoopStroom!E257+Cozywheels!E257+Dégage!E257+Flexigo!E257+Klimaan!E257+Moovee!E257+Poppy!E257+'Mobilize Share'!E257+Stapp.in!E257</f>
        <v>4</v>
      </c>
      <c r="AL112" s="21">
        <f t="shared" si="0"/>
        <v>0.27334353815875789</v>
      </c>
      <c r="AM112" s="21">
        <f t="shared" si="1"/>
        <v>0.21867483052700634</v>
      </c>
      <c r="AN112" s="25">
        <f t="shared" si="2"/>
        <v>1</v>
      </c>
      <c r="AO112" s="26">
        <f t="shared" si="3"/>
        <v>0.25</v>
      </c>
      <c r="AP112" s="27">
        <f>BattMobility!F257+cambio!F257+Claus2you!F257+CoopStroom!F257+Cozywheels!F257+Dégage!F257+Flexigo!F257+Klimaan!F257+Moovee!F257+Poppy!F257+'Mobilize Share'!F257+Stapp.in!F257</f>
        <v>5</v>
      </c>
      <c r="AQ112" s="25">
        <f>BattMobility!G257+cambio!G257+Claus2you!G257+CoopStroom!G257+Cozywheels!G257+Dégage!G257+Flexigo!G257+Klimaan!G257+Moovee!G257+Poppy!G257+'Mobilize Share'!G257+Stapp.in!G257</f>
        <v>4</v>
      </c>
      <c r="AR112" s="29">
        <f t="shared" si="4"/>
        <v>0.27334353815875789</v>
      </c>
      <c r="AS112" s="29">
        <f t="shared" si="5"/>
        <v>0.21867483052700634</v>
      </c>
      <c r="AT112" s="25">
        <f t="shared" si="6"/>
        <v>1</v>
      </c>
      <c r="AU112" s="30">
        <v>36.357999999999997</v>
      </c>
      <c r="AV112" s="31">
        <v>32.357999999999997</v>
      </c>
    </row>
    <row r="113" spans="1:48" ht="14.25" customHeight="1" x14ac:dyDescent="0.35">
      <c r="A113" s="2" t="s">
        <v>163</v>
      </c>
      <c r="B113" s="13" t="s">
        <v>48</v>
      </c>
      <c r="C113" s="13">
        <v>11022</v>
      </c>
      <c r="D113" s="14">
        <v>19179</v>
      </c>
      <c r="E113" s="14">
        <v>19422</v>
      </c>
      <c r="F113" s="14">
        <v>19672</v>
      </c>
      <c r="G113" s="14">
        <v>19712</v>
      </c>
      <c r="H113" s="15">
        <v>6</v>
      </c>
      <c r="I113" s="13">
        <v>0</v>
      </c>
      <c r="J113" s="16">
        <v>0.31284217112466761</v>
      </c>
      <c r="K113" s="15">
        <v>5</v>
      </c>
      <c r="L113" s="13">
        <v>0</v>
      </c>
      <c r="M113" s="16">
        <v>0.26070180927055636</v>
      </c>
      <c r="N113" s="15">
        <v>3</v>
      </c>
      <c r="O113" s="13">
        <v>2</v>
      </c>
      <c r="P113" s="16">
        <v>0.15446400988569664</v>
      </c>
      <c r="Q113" s="16">
        <v>0.10297600659046442</v>
      </c>
      <c r="R113" s="18">
        <v>-3</v>
      </c>
      <c r="S113" s="16">
        <v>-0.15837816123897097</v>
      </c>
      <c r="T113" s="18">
        <v>-2</v>
      </c>
      <c r="U113" s="16">
        <v>-0.10623779938485972</v>
      </c>
      <c r="V113" s="18">
        <v>1</v>
      </c>
      <c r="W113" s="16">
        <v>5.1488003295232211E-2</v>
      </c>
      <c r="X113" s="15">
        <v>4</v>
      </c>
      <c r="Y113" s="13">
        <v>2</v>
      </c>
      <c r="Z113" s="16">
        <v>0.20595201318092884</v>
      </c>
      <c r="AA113" s="16">
        <v>0.10297600659046442</v>
      </c>
      <c r="AB113" s="15">
        <v>5</v>
      </c>
      <c r="AC113" s="13">
        <v>3</v>
      </c>
      <c r="AD113" s="16">
        <v>0.25416836112240748</v>
      </c>
      <c r="AE113" s="16">
        <v>0.15250101667344448</v>
      </c>
      <c r="AF113" s="19">
        <v>6</v>
      </c>
      <c r="AG113" s="20">
        <v>4</v>
      </c>
      <c r="AH113" s="16">
        <v>0.30500203334688897</v>
      </c>
      <c r="AI113" s="21">
        <v>0.203334688897926</v>
      </c>
      <c r="AJ113" s="22">
        <f>BattMobility!D117+cambio!D117+Claus2you!D117+CoopStroom!D117+Cozywheels!D117+Dégage!D117+Flexigo!D117+Klimaan!D117+Moovee!D117+Poppy!D117+'Mobilize Share'!D117+Stapp.in!D117</f>
        <v>6</v>
      </c>
      <c r="AK113" s="23">
        <f>BattMobility!E117+cambio!E117+Claus2you!E117+CoopStroom!E117+Cozywheels!E117+Dégage!E117+Flexigo!E117+Klimaan!E117+Moovee!E117+Poppy!E117+'Mobilize Share'!E117+Stapp.in!E117</f>
        <v>4</v>
      </c>
      <c r="AL113" s="21">
        <f t="shared" si="0"/>
        <v>0.30438311688311687</v>
      </c>
      <c r="AM113" s="21">
        <f t="shared" si="1"/>
        <v>0.20292207792207795</v>
      </c>
      <c r="AN113" s="25">
        <f t="shared" si="2"/>
        <v>1</v>
      </c>
      <c r="AO113" s="26">
        <f t="shared" si="3"/>
        <v>0.2</v>
      </c>
      <c r="AP113" s="27">
        <f>BattMobility!F117+cambio!F117+Claus2you!F117+CoopStroom!F117+Cozywheels!F117+Dégage!F117+Flexigo!F117+Klimaan!F117+Moovee!F117+Poppy!F117+'Mobilize Share'!F117+Stapp.in!F117</f>
        <v>5</v>
      </c>
      <c r="AQ113" s="25">
        <f>BattMobility!G117+cambio!G117+Claus2you!G117+CoopStroom!G117+Cozywheels!G117+Dégage!G117+Flexigo!G117+Klimaan!G117+Moovee!G117+Poppy!G117+'Mobilize Share'!G117+Stapp.in!G117</f>
        <v>4</v>
      </c>
      <c r="AR113" s="29">
        <f t="shared" si="4"/>
        <v>0.25365259740259738</v>
      </c>
      <c r="AS113" s="29">
        <f t="shared" si="5"/>
        <v>0.20292207792207795</v>
      </c>
      <c r="AT113" s="25">
        <f t="shared" si="6"/>
        <v>-1</v>
      </c>
      <c r="AU113" s="30">
        <v>39.344000000000001</v>
      </c>
      <c r="AV113" s="31">
        <v>33.344000000000001</v>
      </c>
    </row>
    <row r="114" spans="1:48" ht="14.25" customHeight="1" x14ac:dyDescent="0.35">
      <c r="A114" s="2" t="s">
        <v>164</v>
      </c>
      <c r="B114" s="13" t="s">
        <v>55</v>
      </c>
      <c r="C114" s="13">
        <v>31040</v>
      </c>
      <c r="D114" s="14">
        <v>23157</v>
      </c>
      <c r="E114" s="14">
        <v>23391</v>
      </c>
      <c r="F114" s="14">
        <v>23460</v>
      </c>
      <c r="G114" s="14">
        <v>23635</v>
      </c>
      <c r="H114" s="15">
        <v>2</v>
      </c>
      <c r="I114" s="13">
        <v>0</v>
      </c>
      <c r="J114" s="16">
        <v>8.6366973269421762E-2</v>
      </c>
      <c r="K114" s="15">
        <v>1</v>
      </c>
      <c r="L114" s="13">
        <v>0</v>
      </c>
      <c r="M114" s="16">
        <v>4.3183486634710881E-2</v>
      </c>
      <c r="N114" s="15">
        <v>0</v>
      </c>
      <c r="O114" s="13">
        <v>0</v>
      </c>
      <c r="P114" s="16">
        <v>0</v>
      </c>
      <c r="Q114" s="16">
        <v>0</v>
      </c>
      <c r="R114" s="18">
        <v>-2</v>
      </c>
      <c r="S114" s="16">
        <v>-8.6366973269421762E-2</v>
      </c>
      <c r="T114" s="18">
        <v>-1</v>
      </c>
      <c r="U114" s="16">
        <v>-4.3183486634710881E-2</v>
      </c>
      <c r="V114" s="18">
        <v>0</v>
      </c>
      <c r="W114" s="16">
        <v>0</v>
      </c>
      <c r="X114" s="15">
        <v>1</v>
      </c>
      <c r="Y114" s="13">
        <v>0</v>
      </c>
      <c r="Z114" s="16">
        <v>4.275148561412509E-2</v>
      </c>
      <c r="AA114" s="16">
        <v>0</v>
      </c>
      <c r="AB114" s="15">
        <v>1</v>
      </c>
      <c r="AC114" s="13">
        <v>0</v>
      </c>
      <c r="AD114" s="16">
        <v>4.2625745950554135E-2</v>
      </c>
      <c r="AE114" s="16">
        <v>0</v>
      </c>
      <c r="AF114" s="19">
        <v>1</v>
      </c>
      <c r="AG114" s="20">
        <v>0</v>
      </c>
      <c r="AH114" s="16">
        <v>4.2625745950554135E-2</v>
      </c>
      <c r="AI114" s="21">
        <v>0</v>
      </c>
      <c r="AJ114" s="22">
        <f>BattMobility!D273+cambio!D273+Claus2you!D273+CoopStroom!D273+Cozywheels!D273+Dégage!D273+Flexigo!D273+Klimaan!D273+Moovee!D273+Poppy!D273+'Mobilize Share'!D273+Stapp.in!D273</f>
        <v>1</v>
      </c>
      <c r="AK114" s="23">
        <f>BattMobility!E273+cambio!E273+Claus2you!E273+CoopStroom!E273+Cozywheels!E273+Dégage!E273+Flexigo!E273+Klimaan!E273+Moovee!E273+Poppy!E273+'Mobilize Share'!E273+Stapp.in!E273</f>
        <v>0</v>
      </c>
      <c r="AL114" s="21">
        <f t="shared" si="0"/>
        <v>4.231013327691982E-2</v>
      </c>
      <c r="AM114" s="21">
        <f t="shared" si="1"/>
        <v>0</v>
      </c>
      <c r="AN114" s="25">
        <f t="shared" si="2"/>
        <v>0</v>
      </c>
      <c r="AO114" s="26">
        <f t="shared" si="3"/>
        <v>0</v>
      </c>
      <c r="AP114" s="27">
        <f>BattMobility!F273+cambio!F273+Claus2you!F273+CoopStroom!F273+Cozywheels!F273+Dégage!F273+Flexigo!F273+Klimaan!F273+Moovee!F273+Poppy!F273+'Mobilize Share'!F273+Stapp.in!F273</f>
        <v>5</v>
      </c>
      <c r="AQ114" s="25">
        <f>BattMobility!G273+cambio!G273+Claus2you!G273+CoopStroom!G273+Cozywheels!G273+Dégage!G273+Flexigo!G273+Klimaan!G273+Moovee!G273+Poppy!G273+'Mobilize Share'!G273+Stapp.in!G273</f>
        <v>4</v>
      </c>
      <c r="AR114" s="29">
        <f t="shared" si="4"/>
        <v>0.2115506663845991</v>
      </c>
      <c r="AS114" s="29">
        <f t="shared" si="5"/>
        <v>0.16924053310767928</v>
      </c>
      <c r="AT114" s="25">
        <f t="shared" si="6"/>
        <v>4</v>
      </c>
      <c r="AU114" s="30">
        <v>46.92</v>
      </c>
      <c r="AV114" s="31">
        <v>45.92</v>
      </c>
    </row>
    <row r="115" spans="1:48" ht="14.25" customHeight="1" x14ac:dyDescent="0.35">
      <c r="A115" s="2" t="s">
        <v>165</v>
      </c>
      <c r="B115" s="13" t="s">
        <v>50</v>
      </c>
      <c r="C115" s="13">
        <v>43010</v>
      </c>
      <c r="D115" s="14">
        <v>24409</v>
      </c>
      <c r="E115" s="14">
        <v>24615</v>
      </c>
      <c r="F115" s="14">
        <v>24744</v>
      </c>
      <c r="G115" s="14">
        <v>24883</v>
      </c>
      <c r="H115" s="15">
        <v>3</v>
      </c>
      <c r="I115" s="13">
        <v>0</v>
      </c>
      <c r="J115" s="16">
        <v>0.12290548568151091</v>
      </c>
      <c r="K115" s="15">
        <v>2</v>
      </c>
      <c r="L115" s="13">
        <v>0</v>
      </c>
      <c r="M115" s="16">
        <v>8.1936990454340608E-2</v>
      </c>
      <c r="N115" s="15">
        <v>5</v>
      </c>
      <c r="O115" s="13">
        <v>0</v>
      </c>
      <c r="P115" s="16">
        <v>0.20312817387771684</v>
      </c>
      <c r="Q115" s="16">
        <v>0</v>
      </c>
      <c r="R115" s="18">
        <v>2</v>
      </c>
      <c r="S115" s="16">
        <v>8.0222688196205927E-2</v>
      </c>
      <c r="T115" s="18">
        <v>3</v>
      </c>
      <c r="U115" s="16">
        <v>0.12119118342337623</v>
      </c>
      <c r="V115" s="18">
        <v>3</v>
      </c>
      <c r="W115" s="16">
        <v>0.12187690432663009</v>
      </c>
      <c r="X115" s="15">
        <v>2</v>
      </c>
      <c r="Y115" s="13">
        <v>0</v>
      </c>
      <c r="Z115" s="16">
        <v>8.1251269551086733E-2</v>
      </c>
      <c r="AA115" s="16">
        <v>0</v>
      </c>
      <c r="AB115" s="15">
        <v>2</v>
      </c>
      <c r="AC115" s="13">
        <v>0</v>
      </c>
      <c r="AD115" s="16">
        <v>8.082767539605562E-2</v>
      </c>
      <c r="AE115" s="16">
        <v>0</v>
      </c>
      <c r="AF115" s="19">
        <v>5</v>
      </c>
      <c r="AG115" s="20">
        <v>1</v>
      </c>
      <c r="AH115" s="16">
        <v>0.20206918849013902</v>
      </c>
      <c r="AI115" s="21">
        <v>4.041383769802781E-2</v>
      </c>
      <c r="AJ115" s="22">
        <f>BattMobility!D169+cambio!D169+Claus2you!D169+CoopStroom!D169+Cozywheels!D169+Dégage!D169+Flexigo!D169+Klimaan!D169+Moovee!D169+Poppy!D169+'Mobilize Share'!D169+Stapp.in!D169</f>
        <v>5</v>
      </c>
      <c r="AK115" s="23">
        <f>BattMobility!E169+cambio!E169+Claus2you!E169+CoopStroom!E169+Cozywheels!E169+Dégage!E169+Flexigo!E169+Klimaan!E169+Moovee!E169+Poppy!E169+'Mobilize Share'!E169+Stapp.in!E169</f>
        <v>1</v>
      </c>
      <c r="AL115" s="21">
        <f t="shared" si="0"/>
        <v>0.20094040107704053</v>
      </c>
      <c r="AM115" s="21">
        <f t="shared" si="1"/>
        <v>4.0188080215408109E-2</v>
      </c>
      <c r="AN115" s="25">
        <f t="shared" si="2"/>
        <v>3</v>
      </c>
      <c r="AO115" s="26">
        <f t="shared" si="3"/>
        <v>1.5</v>
      </c>
      <c r="AP115" s="27">
        <f>BattMobility!F169+cambio!F169+Claus2you!F169+CoopStroom!F169+Cozywheels!F169+Dégage!F169+Flexigo!F169+Klimaan!F169+Moovee!F169+Poppy!F169+'Mobilize Share'!F169+Stapp.in!F169</f>
        <v>5</v>
      </c>
      <c r="AQ115" s="25">
        <f>BattMobility!G169+cambio!G169+Claus2you!G169+CoopStroom!G169+Cozywheels!G169+Dégage!G169+Flexigo!G169+Klimaan!G169+Moovee!G169+Poppy!G169+'Mobilize Share'!G169+Stapp.in!G169</f>
        <v>2</v>
      </c>
      <c r="AR115" s="29">
        <f t="shared" si="4"/>
        <v>0.20094040107704053</v>
      </c>
      <c r="AS115" s="29">
        <f t="shared" si="5"/>
        <v>8.0376160430816218E-2</v>
      </c>
      <c r="AT115" s="25">
        <f t="shared" si="6"/>
        <v>0</v>
      </c>
      <c r="AU115" s="30">
        <v>49.488</v>
      </c>
      <c r="AV115" s="31">
        <v>44.488</v>
      </c>
    </row>
    <row r="116" spans="1:48" ht="14.25" customHeight="1" x14ac:dyDescent="0.35">
      <c r="A116" s="2" t="s">
        <v>166</v>
      </c>
      <c r="B116" s="13" t="s">
        <v>50</v>
      </c>
      <c r="C116" s="13">
        <v>46025</v>
      </c>
      <c r="D116" s="14">
        <v>30635</v>
      </c>
      <c r="E116" s="14">
        <v>31191</v>
      </c>
      <c r="F116" s="14">
        <v>31271</v>
      </c>
      <c r="G116" s="14">
        <v>31613</v>
      </c>
      <c r="H116" s="15">
        <v>2</v>
      </c>
      <c r="I116" s="13">
        <v>0</v>
      </c>
      <c r="J116" s="16">
        <v>6.5284804961645168E-2</v>
      </c>
      <c r="K116" s="15">
        <v>2</v>
      </c>
      <c r="L116" s="13">
        <v>0</v>
      </c>
      <c r="M116" s="16">
        <v>6.5284804961645168E-2</v>
      </c>
      <c r="N116" s="15">
        <v>3</v>
      </c>
      <c r="O116" s="13">
        <v>3</v>
      </c>
      <c r="P116" s="16">
        <v>9.6181590843512549E-2</v>
      </c>
      <c r="Q116" s="16">
        <v>9.6181590843512549E-2</v>
      </c>
      <c r="R116" s="18">
        <v>1</v>
      </c>
      <c r="S116" s="16">
        <v>3.0896785881867381E-2</v>
      </c>
      <c r="T116" s="18">
        <v>1</v>
      </c>
      <c r="U116" s="16">
        <v>3.0896785881867381E-2</v>
      </c>
      <c r="V116" s="18">
        <v>0</v>
      </c>
      <c r="W116" s="16">
        <v>0</v>
      </c>
      <c r="X116" s="15">
        <v>4</v>
      </c>
      <c r="Y116" s="13">
        <v>4</v>
      </c>
      <c r="Z116" s="16">
        <v>0.12824212112468339</v>
      </c>
      <c r="AA116" s="16">
        <v>0.12824212112468339</v>
      </c>
      <c r="AB116" s="15">
        <v>4</v>
      </c>
      <c r="AC116" s="13">
        <v>3</v>
      </c>
      <c r="AD116" s="16">
        <v>0.12791404176393464</v>
      </c>
      <c r="AE116" s="16">
        <v>9.5935531322950976E-2</v>
      </c>
      <c r="AF116" s="19">
        <v>6</v>
      </c>
      <c r="AG116" s="20">
        <v>3</v>
      </c>
      <c r="AH116" s="16">
        <v>0.19187106264590195</v>
      </c>
      <c r="AI116" s="21">
        <v>9.5935531322950976E-2</v>
      </c>
      <c r="AJ116" s="22">
        <f>BattMobility!D237+cambio!D237+Claus2you!D237+CoopStroom!D237+Cozywheels!D237+Dégage!D237+Flexigo!D237+Klimaan!D237+Moovee!D237+Poppy!D237+'Mobilize Share'!D237+Stapp.in!D237</f>
        <v>6</v>
      </c>
      <c r="AK116" s="23">
        <f>BattMobility!E237+cambio!E237+Claus2you!E237+CoopStroom!E237+Cozywheels!E237+Dégage!E237+Flexigo!E237+Klimaan!E237+Moovee!E237+Poppy!E237+'Mobilize Share'!E237+Stapp.in!E237</f>
        <v>4</v>
      </c>
      <c r="AL116" s="21">
        <f t="shared" si="0"/>
        <v>0.18979533736121215</v>
      </c>
      <c r="AM116" s="21">
        <f t="shared" si="1"/>
        <v>0.12653022490747479</v>
      </c>
      <c r="AN116" s="25">
        <f t="shared" si="2"/>
        <v>2</v>
      </c>
      <c r="AO116" s="26">
        <f t="shared" si="3"/>
        <v>0.5</v>
      </c>
      <c r="AP116" s="27">
        <f>BattMobility!F237+cambio!F237+Claus2you!F237+CoopStroom!F237+Cozywheels!F237+Dégage!F237+Flexigo!F237+Klimaan!F237+Moovee!F237+Poppy!F237+'Mobilize Share'!F237+Stapp.in!F237</f>
        <v>5</v>
      </c>
      <c r="AQ116" s="25">
        <f>BattMobility!G237+cambio!G237+Claus2you!G237+CoopStroom!G237+Cozywheels!G237+Dégage!G237+Flexigo!G237+Klimaan!G237+Moovee!G237+Poppy!G237+'Mobilize Share'!G237+Stapp.in!G237</f>
        <v>3</v>
      </c>
      <c r="AR116" s="29">
        <f t="shared" si="4"/>
        <v>0.15816278113434346</v>
      </c>
      <c r="AS116" s="29">
        <f t="shared" si="5"/>
        <v>9.4897668680606076E-2</v>
      </c>
      <c r="AT116" s="25">
        <f t="shared" si="6"/>
        <v>-1</v>
      </c>
      <c r="AU116" s="30">
        <v>62.542000000000002</v>
      </c>
      <c r="AV116" s="31">
        <v>56.542000000000002</v>
      </c>
    </row>
    <row r="117" spans="1:48" ht="14.25" customHeight="1" x14ac:dyDescent="0.35">
      <c r="A117" s="2" t="s">
        <v>167</v>
      </c>
      <c r="B117" s="13" t="s">
        <v>55</v>
      </c>
      <c r="C117" s="13">
        <v>33039</v>
      </c>
      <c r="D117" s="14">
        <v>7991</v>
      </c>
      <c r="E117" s="14">
        <v>7958</v>
      </c>
      <c r="F117" s="14">
        <v>7969</v>
      </c>
      <c r="G117" s="14">
        <v>8021</v>
      </c>
      <c r="H117" s="15">
        <v>0</v>
      </c>
      <c r="I117" s="13">
        <v>0</v>
      </c>
      <c r="J117" s="16">
        <v>0</v>
      </c>
      <c r="K117" s="15">
        <v>0</v>
      </c>
      <c r="L117" s="13">
        <v>0</v>
      </c>
      <c r="M117" s="16">
        <v>0</v>
      </c>
      <c r="N117" s="15">
        <v>1</v>
      </c>
      <c r="O117" s="13">
        <v>0</v>
      </c>
      <c r="P117" s="16">
        <v>0.12565971349585323</v>
      </c>
      <c r="Q117" s="16">
        <v>0</v>
      </c>
      <c r="R117" s="18">
        <v>1</v>
      </c>
      <c r="S117" s="16">
        <v>0.12565971349585323</v>
      </c>
      <c r="T117" s="18">
        <v>1</v>
      </c>
      <c r="U117" s="16">
        <v>0.12565971349585323</v>
      </c>
      <c r="V117" s="18">
        <v>0</v>
      </c>
      <c r="W117" s="16">
        <v>0</v>
      </c>
      <c r="X117" s="15">
        <v>1</v>
      </c>
      <c r="Y117" s="13">
        <v>0</v>
      </c>
      <c r="Z117" s="16">
        <v>0.12565971349585323</v>
      </c>
      <c r="AA117" s="16">
        <v>0</v>
      </c>
      <c r="AB117" s="15">
        <v>2</v>
      </c>
      <c r="AC117" s="13">
        <v>0</v>
      </c>
      <c r="AD117" s="16">
        <v>0.25097251850922325</v>
      </c>
      <c r="AE117" s="16">
        <v>0</v>
      </c>
      <c r="AF117" s="19">
        <v>3</v>
      </c>
      <c r="AG117" s="20">
        <v>1</v>
      </c>
      <c r="AH117" s="16">
        <v>0.37645877776383485</v>
      </c>
      <c r="AI117" s="21">
        <v>0.12548625925461163</v>
      </c>
      <c r="AJ117" s="22">
        <f>BattMobility!D100+cambio!D100+Claus2you!D100+CoopStroom!D100+Cozywheels!D100+Dégage!D100+Flexigo!D100+Klimaan!D100+Moovee!D100+Poppy!D100+'Mobilize Share'!D100+Stapp.in!D100</f>
        <v>3</v>
      </c>
      <c r="AK117" s="23">
        <f>BattMobility!E100+cambio!E100+Claus2you!E100+CoopStroom!E100+Cozywheels!E100+Dégage!E100+Flexigo!E100+Klimaan!E100+Moovee!E100+Poppy!E100+'Mobilize Share'!E100+Stapp.in!E100</f>
        <v>1</v>
      </c>
      <c r="AL117" s="21">
        <f t="shared" si="0"/>
        <v>0.37401820221917464</v>
      </c>
      <c r="AM117" s="21">
        <f t="shared" si="1"/>
        <v>0.12467273407305822</v>
      </c>
      <c r="AN117" s="25">
        <f t="shared" si="2"/>
        <v>1</v>
      </c>
      <c r="AO117" s="26">
        <f t="shared" si="3"/>
        <v>0.5</v>
      </c>
      <c r="AP117" s="27">
        <f>BattMobility!F100+cambio!F100+Claus2you!F100+CoopStroom!F100+Cozywheels!F100+Dégage!F100+Flexigo!F100+Klimaan!F100+Moovee!F100+Poppy!F100+'Mobilize Share'!F100+Stapp.in!F100</f>
        <v>4</v>
      </c>
      <c r="AQ117" s="25">
        <f>BattMobility!G100+cambio!G100+Claus2you!G100+CoopStroom!G100+Cozywheels!G100+Dégage!G100+Flexigo!G100+Klimaan!G100+Moovee!G100+Poppy!G100+'Mobilize Share'!G100+Stapp.in!G100</f>
        <v>1</v>
      </c>
      <c r="AR117" s="29">
        <f t="shared" si="4"/>
        <v>0.49869093629223288</v>
      </c>
      <c r="AS117" s="29">
        <f t="shared" si="5"/>
        <v>0.12467273407305822</v>
      </c>
      <c r="AT117" s="25">
        <f t="shared" si="6"/>
        <v>1</v>
      </c>
      <c r="AU117" s="30">
        <v>15.938000000000001</v>
      </c>
      <c r="AV117" s="31">
        <v>12.938000000000001</v>
      </c>
    </row>
    <row r="118" spans="1:48" ht="14.25" customHeight="1" x14ac:dyDescent="0.35">
      <c r="A118" s="2" t="s">
        <v>168</v>
      </c>
      <c r="B118" s="13" t="s">
        <v>55</v>
      </c>
      <c r="C118" s="13">
        <v>37002</v>
      </c>
      <c r="D118" s="14">
        <v>8699</v>
      </c>
      <c r="E118" s="14">
        <v>8632</v>
      </c>
      <c r="F118" s="14">
        <v>8722</v>
      </c>
      <c r="G118" s="14">
        <v>8673</v>
      </c>
      <c r="H118" s="15">
        <v>0</v>
      </c>
      <c r="I118" s="13">
        <v>0</v>
      </c>
      <c r="J118" s="16">
        <v>0</v>
      </c>
      <c r="K118" s="15">
        <v>0</v>
      </c>
      <c r="L118" s="13">
        <v>0</v>
      </c>
      <c r="M118" s="16">
        <v>0</v>
      </c>
      <c r="N118" s="15">
        <v>0</v>
      </c>
      <c r="O118" s="13">
        <v>0</v>
      </c>
      <c r="P118" s="16">
        <v>0</v>
      </c>
      <c r="Q118" s="16">
        <v>0</v>
      </c>
      <c r="R118" s="18">
        <v>0</v>
      </c>
      <c r="S118" s="16">
        <v>0</v>
      </c>
      <c r="T118" s="18">
        <v>0</v>
      </c>
      <c r="U118" s="16">
        <v>0</v>
      </c>
      <c r="V118" s="18">
        <v>0</v>
      </c>
      <c r="W118" s="16">
        <v>0</v>
      </c>
      <c r="X118" s="15">
        <v>1</v>
      </c>
      <c r="Y118" s="13">
        <v>0</v>
      </c>
      <c r="Z118" s="16">
        <v>0.11584800741427248</v>
      </c>
      <c r="AA118" s="16">
        <v>0</v>
      </c>
      <c r="AB118" s="15">
        <v>2</v>
      </c>
      <c r="AC118" s="13">
        <v>0</v>
      </c>
      <c r="AD118" s="16">
        <v>0.22930520522815867</v>
      </c>
      <c r="AE118" s="16">
        <v>0</v>
      </c>
      <c r="AF118" s="19">
        <v>2</v>
      </c>
      <c r="AG118" s="20">
        <v>0</v>
      </c>
      <c r="AH118" s="16">
        <v>0.22930520522815867</v>
      </c>
      <c r="AI118" s="21">
        <v>0</v>
      </c>
      <c r="AJ118" s="22">
        <f>BattMobility!D54+cambio!D54+Claus2you!D54+CoopStroom!D54+Cozywheels!D54+Dégage!D54+Flexigo!D54+Klimaan!D54+Moovee!D54+Poppy!D54+'Mobilize Share'!D54+Stapp.in!D54</f>
        <v>2</v>
      </c>
      <c r="AK118" s="23">
        <f>BattMobility!E54+cambio!E54+Claus2you!E54+CoopStroom!E54+Cozywheels!E54+Dégage!E54+Flexigo!E54+Klimaan!E54+Moovee!E54+Poppy!E54+'Mobilize Share'!E54+Stapp.in!E54</f>
        <v>0</v>
      </c>
      <c r="AL118" s="21">
        <f t="shared" si="0"/>
        <v>0.23060071486221609</v>
      </c>
      <c r="AM118" s="21">
        <f t="shared" si="1"/>
        <v>0</v>
      </c>
      <c r="AN118" s="25">
        <f t="shared" si="2"/>
        <v>0</v>
      </c>
      <c r="AO118" s="26">
        <f t="shared" si="3"/>
        <v>0</v>
      </c>
      <c r="AP118" s="27">
        <f>BattMobility!F54+cambio!F54+Claus2you!F54+CoopStroom!F54+Cozywheels!F54+Dégage!F54+Flexigo!F54+Klimaan!F54+Moovee!F54+Poppy!F54+'Mobilize Share'!F54+Stapp.in!F54</f>
        <v>4</v>
      </c>
      <c r="AQ118" s="25">
        <f>BattMobility!G54+cambio!G54+Claus2you!G54+CoopStroom!G54+Cozywheels!G54+Dégage!G54+Flexigo!G54+Klimaan!G54+Moovee!G54+Poppy!G54+'Mobilize Share'!G54+Stapp.in!G54</f>
        <v>2</v>
      </c>
      <c r="AR118" s="29">
        <f t="shared" si="4"/>
        <v>0.46120142972443218</v>
      </c>
      <c r="AS118" s="29">
        <f t="shared" si="5"/>
        <v>0.23060071486221609</v>
      </c>
      <c r="AT118" s="25">
        <f t="shared" si="6"/>
        <v>2</v>
      </c>
      <c r="AU118" s="30">
        <v>17.443999999999999</v>
      </c>
      <c r="AV118" s="31">
        <v>15.443999999999999</v>
      </c>
    </row>
    <row r="119" spans="1:48" ht="14.25" customHeight="1" x14ac:dyDescent="0.35">
      <c r="A119" s="2" t="s">
        <v>169</v>
      </c>
      <c r="B119" s="13" t="s">
        <v>48</v>
      </c>
      <c r="C119" s="13">
        <v>11038</v>
      </c>
      <c r="D119" s="14">
        <v>8692</v>
      </c>
      <c r="E119" s="14">
        <v>8662</v>
      </c>
      <c r="F119" s="14">
        <v>8614</v>
      </c>
      <c r="G119" s="14">
        <v>8682</v>
      </c>
      <c r="H119" s="15">
        <v>1</v>
      </c>
      <c r="I119" s="13">
        <v>0</v>
      </c>
      <c r="J119" s="16">
        <v>0.11504832029452371</v>
      </c>
      <c r="K119" s="15">
        <v>1</v>
      </c>
      <c r="L119" s="13">
        <v>0</v>
      </c>
      <c r="M119" s="16">
        <v>0.11504832029452371</v>
      </c>
      <c r="N119" s="15">
        <v>0</v>
      </c>
      <c r="O119" s="13">
        <v>0</v>
      </c>
      <c r="P119" s="16">
        <v>0</v>
      </c>
      <c r="Q119" s="16">
        <v>0</v>
      </c>
      <c r="R119" s="18">
        <v>-1</v>
      </c>
      <c r="S119" s="16">
        <v>-0.11504832029452371</v>
      </c>
      <c r="T119" s="18">
        <v>-1</v>
      </c>
      <c r="U119" s="16">
        <v>-0.11504832029452371</v>
      </c>
      <c r="V119" s="18">
        <v>0</v>
      </c>
      <c r="W119" s="16">
        <v>0</v>
      </c>
      <c r="X119" s="15">
        <v>1</v>
      </c>
      <c r="Y119" s="13">
        <v>0</v>
      </c>
      <c r="Z119" s="16">
        <v>0.11544677903486493</v>
      </c>
      <c r="AA119" s="16">
        <v>0</v>
      </c>
      <c r="AB119" s="15">
        <v>1</v>
      </c>
      <c r="AC119" s="13">
        <v>0</v>
      </c>
      <c r="AD119" s="16">
        <v>0.11609008590666357</v>
      </c>
      <c r="AE119" s="16">
        <v>0</v>
      </c>
      <c r="AF119" s="19">
        <v>1</v>
      </c>
      <c r="AG119" s="20">
        <v>0</v>
      </c>
      <c r="AH119" s="16">
        <v>0.11609008590666357</v>
      </c>
      <c r="AI119" s="21">
        <v>0</v>
      </c>
      <c r="AJ119" s="22">
        <f>BattMobility!D219+cambio!D219+Claus2you!D219+CoopStroom!D219+Cozywheels!D219+Dégage!D219+Flexigo!D219+Klimaan!D219+Moovee!D219+Poppy!D219+'Mobilize Share'!D219+Stapp.in!D219</f>
        <v>4</v>
      </c>
      <c r="AK119" s="23">
        <f>BattMobility!E219+cambio!E219+Claus2you!E219+CoopStroom!E219+Cozywheels!E219+Dégage!E219+Flexigo!E219+Klimaan!E219+Moovee!E219+Poppy!E219+'Mobilize Share'!E219+Stapp.in!E219</f>
        <v>3</v>
      </c>
      <c r="AL119" s="21">
        <f t="shared" si="0"/>
        <v>0.46072333563695</v>
      </c>
      <c r="AM119" s="21">
        <f t="shared" si="1"/>
        <v>0.3455425017277125</v>
      </c>
      <c r="AN119" s="25">
        <f t="shared" si="2"/>
        <v>3</v>
      </c>
      <c r="AO119" s="26">
        <f t="shared" si="3"/>
        <v>3</v>
      </c>
      <c r="AP119" s="27">
        <f>BattMobility!F219+cambio!F219+Claus2you!F219+CoopStroom!F219+Cozywheels!F219+Dégage!F219+Flexigo!F219+Klimaan!F219+Moovee!F219+Poppy!F219+'Mobilize Share'!F219+Stapp.in!F219</f>
        <v>4</v>
      </c>
      <c r="AQ119" s="25">
        <f>BattMobility!G219+cambio!G219+Claus2you!G219+CoopStroom!G219+Cozywheels!G219+Dégage!G219+Flexigo!G219+Klimaan!G219+Moovee!G219+Poppy!G219+'Mobilize Share'!G219+Stapp.in!G219</f>
        <v>3</v>
      </c>
      <c r="AR119" s="29">
        <f t="shared" si="4"/>
        <v>0.46072333563695</v>
      </c>
      <c r="AS119" s="29">
        <f t="shared" si="5"/>
        <v>0.3455425017277125</v>
      </c>
      <c r="AT119" s="25">
        <f t="shared" si="6"/>
        <v>3</v>
      </c>
      <c r="AU119" s="30">
        <v>17.228000000000002</v>
      </c>
      <c r="AV119" s="31">
        <v>16.228000000000002</v>
      </c>
    </row>
    <row r="120" spans="1:48" ht="14.25" customHeight="1" x14ac:dyDescent="0.35">
      <c r="A120" s="2" t="s">
        <v>170</v>
      </c>
      <c r="B120" s="13" t="s">
        <v>52</v>
      </c>
      <c r="C120" s="13">
        <v>24016</v>
      </c>
      <c r="D120" s="14">
        <v>8386</v>
      </c>
      <c r="E120" s="14">
        <v>8527</v>
      </c>
      <c r="F120" s="14">
        <v>8634</v>
      </c>
      <c r="G120" s="14">
        <v>8709</v>
      </c>
      <c r="H120" s="15">
        <v>3</v>
      </c>
      <c r="I120" s="13">
        <v>0</v>
      </c>
      <c r="J120" s="16">
        <v>0.35773908895778683</v>
      </c>
      <c r="K120" s="15">
        <v>4</v>
      </c>
      <c r="L120" s="13">
        <v>0</v>
      </c>
      <c r="M120" s="16">
        <v>0.47698545194371572</v>
      </c>
      <c r="N120" s="15">
        <v>1</v>
      </c>
      <c r="O120" s="13">
        <v>0</v>
      </c>
      <c r="P120" s="16">
        <v>0.11727453969743168</v>
      </c>
      <c r="Q120" s="16">
        <v>0</v>
      </c>
      <c r="R120" s="18">
        <v>-2</v>
      </c>
      <c r="S120" s="16">
        <v>-0.24046454926035515</v>
      </c>
      <c r="T120" s="18">
        <v>-3</v>
      </c>
      <c r="U120" s="16">
        <v>-0.35971091224628404</v>
      </c>
      <c r="V120" s="18">
        <v>1</v>
      </c>
      <c r="W120" s="16">
        <v>0.11727453969743168</v>
      </c>
      <c r="X120" s="15">
        <v>4</v>
      </c>
      <c r="Y120" s="13">
        <v>0</v>
      </c>
      <c r="Z120" s="16">
        <v>0.46909815878972672</v>
      </c>
      <c r="AA120" s="16">
        <v>0</v>
      </c>
      <c r="AB120" s="15">
        <v>3</v>
      </c>
      <c r="AC120" s="13">
        <v>0</v>
      </c>
      <c r="AD120" s="16">
        <v>0.34746351633078526</v>
      </c>
      <c r="AE120" s="16">
        <v>0</v>
      </c>
      <c r="AF120" s="19">
        <v>5</v>
      </c>
      <c r="AG120" s="20">
        <v>0</v>
      </c>
      <c r="AH120" s="16">
        <v>0.57910586055130886</v>
      </c>
      <c r="AI120" s="21">
        <v>0</v>
      </c>
      <c r="AJ120" s="22">
        <f>BattMobility!D39+cambio!D39+Claus2you!D39+CoopStroom!D39+Cozywheels!D39+Dégage!D39+Flexigo!D39+Klimaan!D39+Moovee!D39+Poppy!D39+'Mobilize Share'!D39+Stapp.in!D39</f>
        <v>4</v>
      </c>
      <c r="AK120" s="23">
        <f>BattMobility!E39+cambio!E39+Claus2you!E39+CoopStroom!E39+Cozywheels!E39+Dégage!E39+Flexigo!E39+Klimaan!E39+Moovee!E39+Poppy!E39+'Mobilize Share'!E39+Stapp.in!E39</f>
        <v>0</v>
      </c>
      <c r="AL120" s="21">
        <f t="shared" si="0"/>
        <v>0.45929498220231946</v>
      </c>
      <c r="AM120" s="21">
        <f t="shared" si="1"/>
        <v>0</v>
      </c>
      <c r="AN120" s="25">
        <f t="shared" si="2"/>
        <v>1</v>
      </c>
      <c r="AO120" s="26">
        <f t="shared" si="3"/>
        <v>0.33333333333333331</v>
      </c>
      <c r="AP120" s="27">
        <f>BattMobility!F39+cambio!F39+Claus2you!F39+CoopStroom!F39+Cozywheels!F39+Dégage!F39+Flexigo!F39+Klimaan!F39+Moovee!F39+Poppy!F39+'Mobilize Share'!F39+Stapp.in!F39</f>
        <v>4</v>
      </c>
      <c r="AQ120" s="25">
        <f>BattMobility!G39+cambio!G39+Claus2you!G39+CoopStroom!G39+Cozywheels!G39+Dégage!G39+Flexigo!G39+Klimaan!G39+Moovee!G39+Poppy!G39+'Mobilize Share'!G39+Stapp.in!G39</f>
        <v>0</v>
      </c>
      <c r="AR120" s="29">
        <f t="shared" si="4"/>
        <v>0.45929498220231946</v>
      </c>
      <c r="AS120" s="29">
        <f t="shared" si="5"/>
        <v>0</v>
      </c>
      <c r="AT120" s="25">
        <f t="shared" si="6"/>
        <v>-1</v>
      </c>
      <c r="AU120" s="30">
        <v>17.268000000000001</v>
      </c>
      <c r="AV120" s="31">
        <v>12.268000000000001</v>
      </c>
    </row>
    <row r="121" spans="1:48" ht="14.25" customHeight="1" x14ac:dyDescent="0.35">
      <c r="A121" s="2" t="s">
        <v>171</v>
      </c>
      <c r="B121" s="13" t="s">
        <v>55</v>
      </c>
      <c r="C121" s="13">
        <v>36010</v>
      </c>
      <c r="D121" s="14">
        <v>9738</v>
      </c>
      <c r="E121" s="14">
        <v>9770</v>
      </c>
      <c r="F121" s="14">
        <v>9779</v>
      </c>
      <c r="G121" s="14">
        <v>9775</v>
      </c>
      <c r="H121" s="15">
        <v>1</v>
      </c>
      <c r="I121" s="13">
        <v>0</v>
      </c>
      <c r="J121" s="16">
        <v>0.10269049086054631</v>
      </c>
      <c r="K121" s="15">
        <v>1</v>
      </c>
      <c r="L121" s="13">
        <v>0</v>
      </c>
      <c r="M121" s="16">
        <v>0.10269049086054631</v>
      </c>
      <c r="N121" s="15">
        <v>2</v>
      </c>
      <c r="O121" s="13">
        <v>0</v>
      </c>
      <c r="P121" s="16">
        <v>0.20470829068577276</v>
      </c>
      <c r="Q121" s="16">
        <v>0</v>
      </c>
      <c r="R121" s="18">
        <v>1</v>
      </c>
      <c r="S121" s="16">
        <v>0.10201779982522645</v>
      </c>
      <c r="T121" s="18">
        <v>1</v>
      </c>
      <c r="U121" s="16">
        <v>0.10201779982522645</v>
      </c>
      <c r="V121" s="18">
        <v>0</v>
      </c>
      <c r="W121" s="16">
        <v>0</v>
      </c>
      <c r="X121" s="15">
        <v>2</v>
      </c>
      <c r="Y121" s="13">
        <v>0</v>
      </c>
      <c r="Z121" s="16">
        <v>0.20470829068577276</v>
      </c>
      <c r="AA121" s="16">
        <v>0</v>
      </c>
      <c r="AB121" s="15">
        <v>3</v>
      </c>
      <c r="AC121" s="13">
        <v>0</v>
      </c>
      <c r="AD121" s="16">
        <v>0.30677983433888945</v>
      </c>
      <c r="AE121" s="16">
        <v>0</v>
      </c>
      <c r="AF121" s="19">
        <v>3</v>
      </c>
      <c r="AG121" s="20">
        <v>0</v>
      </c>
      <c r="AH121" s="16">
        <v>0.30677983433888945</v>
      </c>
      <c r="AI121" s="21">
        <v>0</v>
      </c>
      <c r="AJ121" s="22">
        <f>BattMobility!D144+cambio!D144+Claus2you!D144+CoopStroom!D144+Cozywheels!D144+Dégage!D144+Flexigo!D144+Klimaan!D144+Moovee!D144+Poppy!D144+'Mobilize Share'!D144+Stapp.in!D144</f>
        <v>3</v>
      </c>
      <c r="AK121" s="23">
        <f>BattMobility!E144+cambio!E144+Claus2you!E144+CoopStroom!E144+Cozywheels!E144+Dégage!E144+Flexigo!E144+Klimaan!E144+Moovee!E144+Poppy!E144+'Mobilize Share'!E144+Stapp.in!E144</f>
        <v>0</v>
      </c>
      <c r="AL121" s="21">
        <f t="shared" si="0"/>
        <v>0.30690537084398972</v>
      </c>
      <c r="AM121" s="21">
        <f t="shared" si="1"/>
        <v>0</v>
      </c>
      <c r="AN121" s="25">
        <f t="shared" si="2"/>
        <v>0</v>
      </c>
      <c r="AO121" s="26">
        <f t="shared" si="3"/>
        <v>0</v>
      </c>
      <c r="AP121" s="27">
        <f>BattMobility!F144+cambio!F144+Claus2you!F144+CoopStroom!F144+Cozywheels!F144+Dégage!F144+Flexigo!F144+Klimaan!F144+Moovee!F144+Poppy!F144+'Mobilize Share'!F144+Stapp.in!F144</f>
        <v>4</v>
      </c>
      <c r="AQ121" s="25">
        <f>BattMobility!G144+cambio!G144+Claus2you!G144+CoopStroom!G144+Cozywheels!G144+Dégage!G144+Flexigo!G144+Klimaan!G144+Moovee!G144+Poppy!G144+'Mobilize Share'!G144+Stapp.in!G144</f>
        <v>1</v>
      </c>
      <c r="AR121" s="29">
        <f t="shared" si="4"/>
        <v>0.40920716112531969</v>
      </c>
      <c r="AS121" s="29">
        <f t="shared" si="5"/>
        <v>0.10230179028132992</v>
      </c>
      <c r="AT121" s="25">
        <f t="shared" si="6"/>
        <v>1</v>
      </c>
      <c r="AU121" s="30">
        <v>19.558</v>
      </c>
      <c r="AV121" s="31">
        <v>16.558</v>
      </c>
    </row>
    <row r="122" spans="1:48" ht="14.25" customHeight="1" x14ac:dyDescent="0.35">
      <c r="A122" s="2" t="s">
        <v>172</v>
      </c>
      <c r="B122" s="13" t="s">
        <v>48</v>
      </c>
      <c r="C122" s="13">
        <v>13021</v>
      </c>
      <c r="D122" s="14">
        <v>10258</v>
      </c>
      <c r="E122" s="14">
        <v>10348</v>
      </c>
      <c r="F122" s="14">
        <v>10396</v>
      </c>
      <c r="G122" s="14">
        <v>10377</v>
      </c>
      <c r="H122" s="15">
        <v>2</v>
      </c>
      <c r="I122" s="13">
        <v>0</v>
      </c>
      <c r="J122" s="16">
        <v>0.19496977968414894</v>
      </c>
      <c r="K122" s="15">
        <v>1</v>
      </c>
      <c r="L122" s="13">
        <v>0</v>
      </c>
      <c r="M122" s="16">
        <v>9.7484889842074471E-2</v>
      </c>
      <c r="N122" s="15">
        <v>1</v>
      </c>
      <c r="O122" s="13">
        <v>0</v>
      </c>
      <c r="P122" s="16">
        <v>9.6637031310398136E-2</v>
      </c>
      <c r="Q122" s="16">
        <v>0</v>
      </c>
      <c r="R122" s="18">
        <v>-1</v>
      </c>
      <c r="S122" s="16">
        <v>-9.8332748373750806E-2</v>
      </c>
      <c r="T122" s="18">
        <v>0</v>
      </c>
      <c r="U122" s="16">
        <v>-8.4785853167633485E-4</v>
      </c>
      <c r="V122" s="18">
        <v>1</v>
      </c>
      <c r="W122" s="16">
        <v>9.6637031310398136E-2</v>
      </c>
      <c r="X122" s="15">
        <v>4</v>
      </c>
      <c r="Y122" s="13">
        <v>2</v>
      </c>
      <c r="Z122" s="16">
        <v>0.38654812524159254</v>
      </c>
      <c r="AA122" s="16">
        <v>0.19327406262079627</v>
      </c>
      <c r="AB122" s="15">
        <v>4</v>
      </c>
      <c r="AC122" s="13">
        <v>2</v>
      </c>
      <c r="AD122" s="16">
        <v>0.38476337052712584</v>
      </c>
      <c r="AE122" s="16">
        <v>0.19238168526356292</v>
      </c>
      <c r="AF122" s="19">
        <v>4</v>
      </c>
      <c r="AG122" s="20">
        <v>3</v>
      </c>
      <c r="AH122" s="16">
        <v>0.38476337052712584</v>
      </c>
      <c r="AI122" s="21">
        <v>0.28857252789534438</v>
      </c>
      <c r="AJ122" s="22">
        <f>BattMobility!D172+cambio!D172+Claus2you!D172+CoopStroom!D172+Cozywheels!D172+Dégage!D172+Flexigo!D172+Klimaan!D172+Moovee!D172+Poppy!D172+'Mobilize Share'!D172+Stapp.in!D172</f>
        <v>4</v>
      </c>
      <c r="AK122" s="23">
        <f>BattMobility!E172+cambio!E172+Claus2you!E172+CoopStroom!E172+Cozywheels!E172+Dégage!E172+Flexigo!E172+Klimaan!E172+Moovee!E172+Poppy!E172+'Mobilize Share'!E172+Stapp.in!E172</f>
        <v>3</v>
      </c>
      <c r="AL122" s="21">
        <f t="shared" si="0"/>
        <v>0.38546786161703767</v>
      </c>
      <c r="AM122" s="21">
        <f t="shared" si="1"/>
        <v>0.28910089621277829</v>
      </c>
      <c r="AN122" s="25">
        <f t="shared" si="2"/>
        <v>0</v>
      </c>
      <c r="AO122" s="26">
        <f t="shared" si="3"/>
        <v>0</v>
      </c>
      <c r="AP122" s="27">
        <f>BattMobility!F172+cambio!F172+Claus2you!F172+CoopStroom!F172+Cozywheels!F172+Dégage!F172+Flexigo!F172+Klimaan!F172+Moovee!F172+Poppy!F172+'Mobilize Share'!F172+Stapp.in!F172</f>
        <v>4</v>
      </c>
      <c r="AQ122" s="25">
        <f>BattMobility!G172+cambio!G172+Claus2you!G172+CoopStroom!G172+Cozywheels!G172+Dégage!G172+Flexigo!G172+Klimaan!G172+Moovee!G172+Poppy!G172+'Mobilize Share'!G172+Stapp.in!G172</f>
        <v>3</v>
      </c>
      <c r="AR122" s="29">
        <f t="shared" si="4"/>
        <v>0.38546786161703767</v>
      </c>
      <c r="AS122" s="29">
        <f t="shared" si="5"/>
        <v>0.28910089621277829</v>
      </c>
      <c r="AT122" s="25">
        <f t="shared" si="6"/>
        <v>0</v>
      </c>
      <c r="AU122" s="30">
        <v>20.792000000000002</v>
      </c>
      <c r="AV122" s="31">
        <v>16.792000000000002</v>
      </c>
    </row>
    <row r="123" spans="1:48" ht="14.25" customHeight="1" x14ac:dyDescent="0.35">
      <c r="A123" s="2" t="s">
        <v>173</v>
      </c>
      <c r="B123" s="13" t="s">
        <v>48</v>
      </c>
      <c r="C123" s="13">
        <v>13016</v>
      </c>
      <c r="D123" s="14">
        <v>10560</v>
      </c>
      <c r="E123" s="14">
        <v>10564</v>
      </c>
      <c r="F123" s="14">
        <v>10594</v>
      </c>
      <c r="G123" s="14">
        <v>10634</v>
      </c>
      <c r="H123" s="15">
        <v>4</v>
      </c>
      <c r="I123" s="13">
        <v>0</v>
      </c>
      <c r="J123" s="16">
        <v>0.37878787878787878</v>
      </c>
      <c r="K123" s="15">
        <v>4</v>
      </c>
      <c r="L123" s="13">
        <v>0</v>
      </c>
      <c r="M123" s="16">
        <v>0.37878787878787878</v>
      </c>
      <c r="N123" s="15">
        <v>4</v>
      </c>
      <c r="O123" s="13">
        <v>0</v>
      </c>
      <c r="P123" s="16">
        <v>0.37864445285876558</v>
      </c>
      <c r="Q123" s="16">
        <v>0</v>
      </c>
      <c r="R123" s="18">
        <v>0</v>
      </c>
      <c r="S123" s="16">
        <v>-1.4342592911320562E-4</v>
      </c>
      <c r="T123" s="18">
        <v>0</v>
      </c>
      <c r="U123" s="16">
        <v>-1.4342592911320562E-4</v>
      </c>
      <c r="V123" s="18">
        <v>0</v>
      </c>
      <c r="W123" s="16">
        <v>0</v>
      </c>
      <c r="X123" s="15">
        <v>4</v>
      </c>
      <c r="Y123" s="13">
        <v>0</v>
      </c>
      <c r="Z123" s="16">
        <v>0.37864445285876558</v>
      </c>
      <c r="AA123" s="16">
        <v>0</v>
      </c>
      <c r="AB123" s="15">
        <v>4</v>
      </c>
      <c r="AC123" s="13">
        <v>0</v>
      </c>
      <c r="AD123" s="16">
        <v>0.37757221068529356</v>
      </c>
      <c r="AE123" s="16">
        <v>0</v>
      </c>
      <c r="AF123" s="19">
        <v>4</v>
      </c>
      <c r="AG123" s="20">
        <v>0</v>
      </c>
      <c r="AH123" s="16">
        <v>0.37757221068529356</v>
      </c>
      <c r="AI123" s="21">
        <v>0</v>
      </c>
      <c r="AJ123" s="22">
        <f>BattMobility!D111+cambio!D111+Claus2you!D111+CoopStroom!D111+Cozywheels!D111+Dégage!D111+Flexigo!D111+Klimaan!D111+Moovee!D111+Poppy!D111+'Mobilize Share'!D111+Stapp.in!D111</f>
        <v>4</v>
      </c>
      <c r="AK123" s="23">
        <f>BattMobility!E111+cambio!E111+Claus2you!E111+CoopStroom!E111+Cozywheels!E111+Dégage!E111+Flexigo!E111+Klimaan!E111+Moovee!E111+Poppy!E111+'Mobilize Share'!E111+Stapp.in!E111</f>
        <v>3</v>
      </c>
      <c r="AL123" s="21">
        <f t="shared" si="0"/>
        <v>0.37615196539401918</v>
      </c>
      <c r="AM123" s="21">
        <f t="shared" si="1"/>
        <v>0.28211397404551442</v>
      </c>
      <c r="AN123" s="25">
        <f t="shared" si="2"/>
        <v>0</v>
      </c>
      <c r="AO123" s="26">
        <f t="shared" si="3"/>
        <v>0</v>
      </c>
      <c r="AP123" s="27">
        <f>BattMobility!F111+cambio!F111+Claus2you!F111+CoopStroom!F111+Cozywheels!F111+Dégage!F111+Flexigo!F111+Klimaan!F111+Moovee!F111+Poppy!F111+'Mobilize Share'!F111+Stapp.in!F111</f>
        <v>4</v>
      </c>
      <c r="AQ123" s="25">
        <f>BattMobility!G111+cambio!G111+Claus2you!G111+CoopStroom!G111+Cozywheels!G111+Dégage!G111+Flexigo!G111+Klimaan!G111+Moovee!G111+Poppy!G111+'Mobilize Share'!G111+Stapp.in!G111</f>
        <v>3</v>
      </c>
      <c r="AR123" s="29">
        <f t="shared" si="4"/>
        <v>0.37615196539401918</v>
      </c>
      <c r="AS123" s="29">
        <f t="shared" si="5"/>
        <v>0.28211397404551442</v>
      </c>
      <c r="AT123" s="25">
        <f t="shared" si="6"/>
        <v>0</v>
      </c>
      <c r="AU123" s="30">
        <v>21.187999999999999</v>
      </c>
      <c r="AV123" s="31">
        <v>17.187999999999999</v>
      </c>
    </row>
    <row r="124" spans="1:48" ht="14.25" customHeight="1" x14ac:dyDescent="0.35">
      <c r="A124" s="2" t="s">
        <v>174</v>
      </c>
      <c r="B124" s="13" t="s">
        <v>55</v>
      </c>
      <c r="C124" s="13">
        <v>36012</v>
      </c>
      <c r="D124" s="14">
        <v>11386</v>
      </c>
      <c r="E124" s="14">
        <v>11451</v>
      </c>
      <c r="F124" s="14">
        <v>11473</v>
      </c>
      <c r="G124" s="14">
        <v>11504</v>
      </c>
      <c r="H124" s="15">
        <v>2</v>
      </c>
      <c r="I124" s="13">
        <v>0</v>
      </c>
      <c r="J124" s="16">
        <v>0.17565431231336731</v>
      </c>
      <c r="K124" s="15">
        <v>2</v>
      </c>
      <c r="L124" s="13">
        <v>0</v>
      </c>
      <c r="M124" s="16">
        <v>0.17565431231336731</v>
      </c>
      <c r="N124" s="15">
        <v>2</v>
      </c>
      <c r="O124" s="13">
        <v>0</v>
      </c>
      <c r="P124" s="16">
        <v>0.17465723517596715</v>
      </c>
      <c r="Q124" s="16">
        <v>0</v>
      </c>
      <c r="R124" s="18">
        <v>0</v>
      </c>
      <c r="S124" s="16">
        <v>-9.9707713740015969E-4</v>
      </c>
      <c r="T124" s="18">
        <v>0</v>
      </c>
      <c r="U124" s="16">
        <v>-9.9707713740015969E-4</v>
      </c>
      <c r="V124" s="18">
        <v>0</v>
      </c>
      <c r="W124" s="16">
        <v>0</v>
      </c>
      <c r="X124" s="15">
        <v>2</v>
      </c>
      <c r="Y124" s="13">
        <v>0</v>
      </c>
      <c r="Z124" s="16">
        <v>0.17465723517596715</v>
      </c>
      <c r="AA124" s="16">
        <v>0</v>
      </c>
      <c r="AB124" s="15">
        <v>3</v>
      </c>
      <c r="AC124" s="13">
        <v>0</v>
      </c>
      <c r="AD124" s="16">
        <v>0.26148348295999302</v>
      </c>
      <c r="AE124" s="16">
        <v>0</v>
      </c>
      <c r="AF124" s="19">
        <v>2</v>
      </c>
      <c r="AG124" s="20">
        <v>0</v>
      </c>
      <c r="AH124" s="16">
        <v>0.1743223219733287</v>
      </c>
      <c r="AI124" s="21">
        <v>0</v>
      </c>
      <c r="AJ124" s="22">
        <f>BattMobility!D181+cambio!D181+Claus2you!D181+CoopStroom!D181+Cozywheels!D181+Dégage!D181+Flexigo!D181+Klimaan!D181+Moovee!D181+Poppy!D181+'Mobilize Share'!D181+Stapp.in!D181</f>
        <v>2</v>
      </c>
      <c r="AK124" s="23">
        <f>BattMobility!E181+cambio!E181+Claus2you!E181+CoopStroom!E181+Cozywheels!E181+Dégage!E181+Flexigo!E181+Klimaan!E181+Moovee!E181+Poppy!E181+'Mobilize Share'!E181+Stapp.in!E181</f>
        <v>0</v>
      </c>
      <c r="AL124" s="21">
        <f t="shared" si="0"/>
        <v>0.17385257301808066</v>
      </c>
      <c r="AM124" s="21">
        <f t="shared" si="1"/>
        <v>0</v>
      </c>
      <c r="AN124" s="25">
        <f t="shared" si="2"/>
        <v>-1</v>
      </c>
      <c r="AO124" s="26">
        <f t="shared" si="3"/>
        <v>-0.33333333333333331</v>
      </c>
      <c r="AP124" s="27">
        <f>BattMobility!F181+cambio!F181+Claus2you!F181+CoopStroom!F181+Cozywheels!F181+Dégage!F181+Flexigo!F181+Klimaan!F181+Moovee!F181+Poppy!F181+'Mobilize Share'!F181+Stapp.in!F181</f>
        <v>4</v>
      </c>
      <c r="AQ124" s="25">
        <f>BattMobility!G181+cambio!G181+Claus2you!G181+CoopStroom!G181+Cozywheels!G181+Dégage!G181+Flexigo!G181+Klimaan!G181+Moovee!G181+Poppy!G181+'Mobilize Share'!G181+Stapp.in!G181</f>
        <v>1</v>
      </c>
      <c r="AR124" s="29">
        <f t="shared" si="4"/>
        <v>0.34770514603616132</v>
      </c>
      <c r="AS124" s="29">
        <f t="shared" si="5"/>
        <v>8.6926286509040329E-2</v>
      </c>
      <c r="AT124" s="25">
        <f t="shared" si="6"/>
        <v>2</v>
      </c>
      <c r="AU124" s="30">
        <v>22.946000000000002</v>
      </c>
      <c r="AV124" s="31">
        <v>20.946000000000002</v>
      </c>
    </row>
    <row r="125" spans="1:48" ht="14.25" customHeight="1" x14ac:dyDescent="0.35">
      <c r="A125" s="2" t="s">
        <v>175</v>
      </c>
      <c r="B125" s="13" t="s">
        <v>55</v>
      </c>
      <c r="C125" s="13">
        <v>38025</v>
      </c>
      <c r="D125" s="14">
        <v>12295</v>
      </c>
      <c r="E125" s="14">
        <v>12419</v>
      </c>
      <c r="F125" s="14">
        <v>12542</v>
      </c>
      <c r="G125" s="14">
        <v>12564</v>
      </c>
      <c r="H125" s="15">
        <v>0</v>
      </c>
      <c r="I125" s="13">
        <v>0</v>
      </c>
      <c r="J125" s="16">
        <v>0</v>
      </c>
      <c r="K125" s="15">
        <v>0</v>
      </c>
      <c r="L125" s="13">
        <v>0</v>
      </c>
      <c r="M125" s="16">
        <v>0</v>
      </c>
      <c r="N125" s="15">
        <v>0</v>
      </c>
      <c r="O125" s="13">
        <v>0</v>
      </c>
      <c r="P125" s="16">
        <v>0</v>
      </c>
      <c r="Q125" s="16">
        <v>0</v>
      </c>
      <c r="R125" s="18">
        <v>0</v>
      </c>
      <c r="S125" s="16">
        <v>0</v>
      </c>
      <c r="T125" s="18">
        <v>0</v>
      </c>
      <c r="U125" s="16">
        <v>0</v>
      </c>
      <c r="V125" s="18">
        <v>0</v>
      </c>
      <c r="W125" s="16">
        <v>0</v>
      </c>
      <c r="X125" s="15">
        <v>0</v>
      </c>
      <c r="Y125" s="13">
        <v>0</v>
      </c>
      <c r="Z125" s="16">
        <v>0</v>
      </c>
      <c r="AA125" s="16">
        <v>0</v>
      </c>
      <c r="AB125" s="15">
        <v>1</v>
      </c>
      <c r="AC125" s="13">
        <v>0</v>
      </c>
      <c r="AD125" s="16">
        <v>7.9732100143517781E-2</v>
      </c>
      <c r="AE125" s="16">
        <v>0</v>
      </c>
      <c r="AF125" s="19">
        <v>3</v>
      </c>
      <c r="AG125" s="20">
        <v>2</v>
      </c>
      <c r="AH125" s="16">
        <v>0.23919630043055334</v>
      </c>
      <c r="AI125" s="21">
        <v>0.15946420028703556</v>
      </c>
      <c r="AJ125" s="22">
        <f>BattMobility!D248+cambio!D248+Claus2you!D248+CoopStroom!D248+Cozywheels!D248+Dégage!D248+Flexigo!D248+Klimaan!D248+Moovee!D248+Poppy!D248+'Mobilize Share'!D248+Stapp.in!D248</f>
        <v>3</v>
      </c>
      <c r="AK125" s="23">
        <f>BattMobility!E248+cambio!E248+Claus2you!E248+CoopStroom!E248+Cozywheels!E248+Dégage!E248+Flexigo!E248+Klimaan!E248+Moovee!E248+Poppy!E248+'Mobilize Share'!E248+Stapp.in!E248</f>
        <v>2</v>
      </c>
      <c r="AL125" s="21">
        <f t="shared" si="0"/>
        <v>0.2387774594078319</v>
      </c>
      <c r="AM125" s="21">
        <f t="shared" si="1"/>
        <v>0.1591849729385546</v>
      </c>
      <c r="AN125" s="25">
        <f t="shared" si="2"/>
        <v>2</v>
      </c>
      <c r="AO125" s="26">
        <f t="shared" si="3"/>
        <v>2</v>
      </c>
      <c r="AP125" s="27">
        <f>BattMobility!F248+cambio!F248+Claus2you!F248+CoopStroom!F248+Cozywheels!F248+Dégage!F248+Flexigo!F248+Klimaan!F248+Moovee!F248+Poppy!F248+'Mobilize Share'!F248+Stapp.in!F248</f>
        <v>4</v>
      </c>
      <c r="AQ125" s="25">
        <f>BattMobility!G248+cambio!G248+Claus2you!G248+CoopStroom!G248+Cozywheels!G248+Dégage!G248+Flexigo!G248+Klimaan!G248+Moovee!G248+Poppy!G248+'Mobilize Share'!G248+Stapp.in!G248</f>
        <v>3</v>
      </c>
      <c r="AR125" s="29">
        <f t="shared" si="4"/>
        <v>0.31836994587710921</v>
      </c>
      <c r="AS125" s="29">
        <f t="shared" si="5"/>
        <v>0.2387774594078319</v>
      </c>
      <c r="AT125" s="25">
        <f t="shared" si="6"/>
        <v>1</v>
      </c>
      <c r="AU125" s="30">
        <v>25.084</v>
      </c>
      <c r="AV125" s="31">
        <v>22.084</v>
      </c>
    </row>
    <row r="126" spans="1:48" ht="14.25" customHeight="1" x14ac:dyDescent="0.35">
      <c r="A126" s="2" t="s">
        <v>176</v>
      </c>
      <c r="B126" s="13" t="s">
        <v>52</v>
      </c>
      <c r="C126" s="13">
        <v>24048</v>
      </c>
      <c r="D126" s="14">
        <v>13118</v>
      </c>
      <c r="E126" s="14">
        <v>13196</v>
      </c>
      <c r="F126" s="14">
        <v>13298</v>
      </c>
      <c r="G126" s="14">
        <v>13355</v>
      </c>
      <c r="H126" s="15">
        <v>0</v>
      </c>
      <c r="I126" s="13">
        <v>0</v>
      </c>
      <c r="J126" s="16">
        <v>0</v>
      </c>
      <c r="K126" s="15">
        <v>0</v>
      </c>
      <c r="L126" s="13">
        <v>0</v>
      </c>
      <c r="M126" s="16">
        <v>0</v>
      </c>
      <c r="N126" s="15">
        <v>0</v>
      </c>
      <c r="O126" s="13">
        <v>0</v>
      </c>
      <c r="P126" s="16">
        <v>0</v>
      </c>
      <c r="Q126" s="16">
        <v>0</v>
      </c>
      <c r="R126" s="18">
        <v>0</v>
      </c>
      <c r="S126" s="16">
        <v>0</v>
      </c>
      <c r="T126" s="18">
        <v>0</v>
      </c>
      <c r="U126" s="16">
        <v>0</v>
      </c>
      <c r="V126" s="18">
        <v>0</v>
      </c>
      <c r="W126" s="16">
        <v>0</v>
      </c>
      <c r="X126" s="15">
        <v>0</v>
      </c>
      <c r="Y126" s="13">
        <v>0</v>
      </c>
      <c r="Z126" s="16">
        <v>0</v>
      </c>
      <c r="AA126" s="16">
        <v>0</v>
      </c>
      <c r="AB126" s="15">
        <v>2</v>
      </c>
      <c r="AC126" s="13">
        <v>2</v>
      </c>
      <c r="AD126" s="16">
        <v>0.15039855617386072</v>
      </c>
      <c r="AE126" s="16">
        <v>0.15039855617386072</v>
      </c>
      <c r="AF126" s="19">
        <v>4</v>
      </c>
      <c r="AG126" s="20">
        <v>2</v>
      </c>
      <c r="AH126" s="16">
        <v>0.30079711234772144</v>
      </c>
      <c r="AI126" s="21">
        <v>0.15039855617386072</v>
      </c>
      <c r="AJ126" s="22">
        <f>BattMobility!D123+cambio!D123+Claus2you!D123+CoopStroom!D123+Cozywheels!D123+Dégage!D123+Flexigo!D123+Klimaan!D123+Moovee!D123+Poppy!D123+'Mobilize Share'!D123+Stapp.in!D123</f>
        <v>4</v>
      </c>
      <c r="AK126" s="23">
        <f>BattMobility!E123+cambio!E123+Claus2you!E123+CoopStroom!E123+Cozywheels!E123+Dégage!E123+Flexigo!E123+Klimaan!E123+Moovee!E123+Poppy!E123+'Mobilize Share'!E123+Stapp.in!E123</f>
        <v>2</v>
      </c>
      <c r="AL126" s="21">
        <f t="shared" si="0"/>
        <v>0.29951329090228379</v>
      </c>
      <c r="AM126" s="21">
        <f t="shared" si="1"/>
        <v>0.1497566454511419</v>
      </c>
      <c r="AN126" s="25">
        <f t="shared" si="2"/>
        <v>2</v>
      </c>
      <c r="AO126" s="26">
        <f t="shared" si="3"/>
        <v>1</v>
      </c>
      <c r="AP126" s="27">
        <f>BattMobility!F123+cambio!F123+Claus2you!F123+CoopStroom!F123+Cozywheels!F123+Dégage!F123+Flexigo!F123+Klimaan!F123+Moovee!F123+Poppy!F123+'Mobilize Share'!F123+Stapp.in!F123</f>
        <v>4</v>
      </c>
      <c r="AQ126" s="25">
        <f>BattMobility!G123+cambio!G123+Claus2you!G123+CoopStroom!G123+Cozywheels!G123+Dégage!G123+Flexigo!G123+Klimaan!G123+Moovee!G123+Poppy!G123+'Mobilize Share'!G123+Stapp.in!G123</f>
        <v>2</v>
      </c>
      <c r="AR126" s="29">
        <f t="shared" si="4"/>
        <v>0.29951329090228379</v>
      </c>
      <c r="AS126" s="29">
        <f t="shared" si="5"/>
        <v>0.1497566454511419</v>
      </c>
      <c r="AT126" s="25">
        <f t="shared" si="6"/>
        <v>0</v>
      </c>
      <c r="AU126" s="30">
        <v>26.596</v>
      </c>
      <c r="AV126" s="31">
        <v>22.596</v>
      </c>
    </row>
    <row r="127" spans="1:48" ht="14.25" customHeight="1" x14ac:dyDescent="0.35">
      <c r="A127" s="2" t="s">
        <v>177</v>
      </c>
      <c r="B127" s="13" t="s">
        <v>50</v>
      </c>
      <c r="C127" s="13">
        <v>43002</v>
      </c>
      <c r="D127" s="14">
        <v>14449</v>
      </c>
      <c r="E127" s="14">
        <v>14636</v>
      </c>
      <c r="F127" s="14">
        <v>14650</v>
      </c>
      <c r="G127" s="14">
        <v>14617</v>
      </c>
      <c r="H127" s="15">
        <v>1</v>
      </c>
      <c r="I127" s="13">
        <v>0</v>
      </c>
      <c r="J127" s="16">
        <v>6.9208941795279949E-2</v>
      </c>
      <c r="K127" s="15">
        <v>1</v>
      </c>
      <c r="L127" s="13">
        <v>0</v>
      </c>
      <c r="M127" s="16">
        <v>6.9208941795279949E-2</v>
      </c>
      <c r="N127" s="15">
        <v>2</v>
      </c>
      <c r="O127" s="13">
        <v>0</v>
      </c>
      <c r="P127" s="16">
        <v>0.13664935774801856</v>
      </c>
      <c r="Q127" s="16">
        <v>0</v>
      </c>
      <c r="R127" s="18">
        <v>1</v>
      </c>
      <c r="S127" s="16">
        <v>6.7440415952738614E-2</v>
      </c>
      <c r="T127" s="18">
        <v>1</v>
      </c>
      <c r="U127" s="16">
        <v>6.7440415952738614E-2</v>
      </c>
      <c r="V127" s="18">
        <v>0</v>
      </c>
      <c r="W127" s="16">
        <v>0</v>
      </c>
      <c r="X127" s="15">
        <v>2</v>
      </c>
      <c r="Y127" s="13">
        <v>0</v>
      </c>
      <c r="Z127" s="16">
        <v>0.13664935774801856</v>
      </c>
      <c r="AA127" s="16">
        <v>0</v>
      </c>
      <c r="AB127" s="15">
        <v>2</v>
      </c>
      <c r="AC127" s="13">
        <v>0</v>
      </c>
      <c r="AD127" s="16">
        <v>0.13651877133105803</v>
      </c>
      <c r="AE127" s="16">
        <v>0</v>
      </c>
      <c r="AF127" s="19">
        <v>5</v>
      </c>
      <c r="AG127" s="20">
        <v>3</v>
      </c>
      <c r="AH127" s="16">
        <v>0.34129692832764508</v>
      </c>
      <c r="AI127" s="21">
        <v>0.20477815699658702</v>
      </c>
      <c r="AJ127" s="22">
        <f>BattMobility!D15+cambio!D15+Claus2you!D15+CoopStroom!D15+Cozywheels!D15+Dégage!D15+Flexigo!D15+Klimaan!D15+Moovee!D15+Poppy!D15+'Mobilize Share'!D15+Stapp.in!D15</f>
        <v>4</v>
      </c>
      <c r="AK127" s="23">
        <f>BattMobility!E15+cambio!E15+Claus2you!E15+CoopStroom!E15+Cozywheels!E15+Dégage!E15+Flexigo!E15+Klimaan!E15+Moovee!E15+Poppy!E15+'Mobilize Share'!E15+Stapp.in!E15</f>
        <v>4</v>
      </c>
      <c r="AL127" s="21">
        <f t="shared" si="0"/>
        <v>0.27365396456181162</v>
      </c>
      <c r="AM127" s="21">
        <f t="shared" si="1"/>
        <v>0.27365396456181162</v>
      </c>
      <c r="AN127" s="25">
        <f t="shared" si="2"/>
        <v>2</v>
      </c>
      <c r="AO127" s="26">
        <f t="shared" si="3"/>
        <v>1</v>
      </c>
      <c r="AP127" s="27">
        <f>BattMobility!F15+cambio!F15+Claus2you!F15+CoopStroom!F15+Cozywheels!F15+Dégage!F15+Flexigo!F15+Klimaan!F15+Moovee!F15+Poppy!F15+'Mobilize Share'!F15+Stapp.in!F15</f>
        <v>4</v>
      </c>
      <c r="AQ127" s="25">
        <f>BattMobility!G15+cambio!G15+Claus2you!G15+CoopStroom!G15+Cozywheels!G15+Dégage!G15+Flexigo!G15+Klimaan!G15+Moovee!G15+Poppy!G15+'Mobilize Share'!G15+Stapp.in!G15</f>
        <v>4</v>
      </c>
      <c r="AR127" s="29">
        <f t="shared" si="4"/>
        <v>0.27365396456181162</v>
      </c>
      <c r="AS127" s="29">
        <f t="shared" si="5"/>
        <v>0.27365396456181162</v>
      </c>
      <c r="AT127" s="25">
        <f t="shared" si="6"/>
        <v>-1</v>
      </c>
      <c r="AU127" s="30">
        <v>29.3</v>
      </c>
      <c r="AV127" s="31">
        <v>24.3</v>
      </c>
    </row>
    <row r="128" spans="1:48" ht="14.25" customHeight="1" x14ac:dyDescent="0.35">
      <c r="A128" s="2" t="s">
        <v>178</v>
      </c>
      <c r="B128" s="13" t="s">
        <v>48</v>
      </c>
      <c r="C128" s="13">
        <v>11057</v>
      </c>
      <c r="D128" s="14">
        <v>15756</v>
      </c>
      <c r="E128" s="14">
        <v>16007</v>
      </c>
      <c r="F128" s="14">
        <v>16194</v>
      </c>
      <c r="G128" s="14">
        <v>16248</v>
      </c>
      <c r="H128" s="15">
        <v>0</v>
      </c>
      <c r="I128" s="13">
        <v>0</v>
      </c>
      <c r="J128" s="16">
        <v>0</v>
      </c>
      <c r="K128" s="15">
        <v>0</v>
      </c>
      <c r="L128" s="13">
        <v>0</v>
      </c>
      <c r="M128" s="16">
        <v>0</v>
      </c>
      <c r="N128" s="15">
        <v>0</v>
      </c>
      <c r="O128" s="13">
        <v>0</v>
      </c>
      <c r="P128" s="16">
        <v>0</v>
      </c>
      <c r="Q128" s="16">
        <v>0</v>
      </c>
      <c r="R128" s="18">
        <v>0</v>
      </c>
      <c r="S128" s="16">
        <v>0</v>
      </c>
      <c r="T128" s="18">
        <v>0</v>
      </c>
      <c r="U128" s="16">
        <v>0</v>
      </c>
      <c r="V128" s="18">
        <v>0</v>
      </c>
      <c r="W128" s="16">
        <v>0</v>
      </c>
      <c r="X128" s="15">
        <v>0</v>
      </c>
      <c r="Y128" s="13">
        <v>0</v>
      </c>
      <c r="Z128" s="16">
        <v>0</v>
      </c>
      <c r="AA128" s="16">
        <v>0</v>
      </c>
      <c r="AB128" s="15">
        <v>0</v>
      </c>
      <c r="AC128" s="13">
        <v>0</v>
      </c>
      <c r="AD128" s="16">
        <v>0</v>
      </c>
      <c r="AE128" s="16">
        <v>0</v>
      </c>
      <c r="AF128" s="19">
        <v>2</v>
      </c>
      <c r="AG128" s="20">
        <v>2</v>
      </c>
      <c r="AH128" s="16">
        <v>0.12350253180190193</v>
      </c>
      <c r="AI128" s="21">
        <v>0.12350253180190193</v>
      </c>
      <c r="AJ128" s="22">
        <f>BattMobility!D170+cambio!D170+Claus2you!D170+CoopStroom!D170+Cozywheels!D170+Dégage!D170+Flexigo!D170+Klimaan!D170+Moovee!D170+Poppy!D170+'Mobilize Share'!D170+Stapp.in!D170</f>
        <v>4</v>
      </c>
      <c r="AK128" s="23">
        <f>BattMobility!E170+cambio!E170+Claus2you!E170+CoopStroom!E170+Cozywheels!E170+Dégage!E170+Flexigo!E170+Klimaan!E170+Moovee!E170+Poppy!E170+'Mobilize Share'!E170+Stapp.in!E170</f>
        <v>4</v>
      </c>
      <c r="AL128" s="21">
        <f t="shared" si="0"/>
        <v>0.2461841457410143</v>
      </c>
      <c r="AM128" s="21">
        <f t="shared" si="1"/>
        <v>0.2461841457410143</v>
      </c>
      <c r="AN128" s="25">
        <f t="shared" si="2"/>
        <v>4</v>
      </c>
      <c r="AO128" s="26" t="e">
        <f t="shared" si="3"/>
        <v>#DIV/0!</v>
      </c>
      <c r="AP128" s="27">
        <f>BattMobility!F170+cambio!F170+Claus2you!F170+CoopStroom!F170+Cozywheels!F170+Dégage!F170+Flexigo!F170+Klimaan!F170+Moovee!F170+Poppy!F170+'Mobilize Share'!F170+Stapp.in!F170</f>
        <v>4</v>
      </c>
      <c r="AQ128" s="25">
        <f>BattMobility!G170+cambio!G170+Claus2you!G170+CoopStroom!G170+Cozywheels!G170+Dégage!G170+Flexigo!G170+Klimaan!G170+Moovee!G170+Poppy!G170+'Mobilize Share'!G170+Stapp.in!G170</f>
        <v>4</v>
      </c>
      <c r="AR128" s="29">
        <f t="shared" si="4"/>
        <v>0.2461841457410143</v>
      </c>
      <c r="AS128" s="29">
        <f t="shared" si="5"/>
        <v>0.2461841457410143</v>
      </c>
      <c r="AT128" s="25">
        <f t="shared" si="6"/>
        <v>2</v>
      </c>
      <c r="AU128" s="30">
        <v>32.387999999999998</v>
      </c>
      <c r="AV128" s="31">
        <v>30.387999999999998</v>
      </c>
    </row>
    <row r="129" spans="1:48" ht="14.25" customHeight="1" x14ac:dyDescent="0.35">
      <c r="A129" s="2" t="s">
        <v>179</v>
      </c>
      <c r="B129" s="13" t="s">
        <v>50</v>
      </c>
      <c r="C129" s="13">
        <v>41034</v>
      </c>
      <c r="D129" s="14">
        <v>19054</v>
      </c>
      <c r="E129" s="14">
        <v>19160</v>
      </c>
      <c r="F129" s="14">
        <v>19310</v>
      </c>
      <c r="G129" s="14">
        <v>19425</v>
      </c>
      <c r="H129" s="15">
        <v>3</v>
      </c>
      <c r="I129" s="13">
        <v>0</v>
      </c>
      <c r="J129" s="16">
        <v>0.15744725516951821</v>
      </c>
      <c r="K129" s="15">
        <v>2</v>
      </c>
      <c r="L129" s="13">
        <v>0</v>
      </c>
      <c r="M129" s="16">
        <v>0.10496483677967881</v>
      </c>
      <c r="N129" s="15">
        <v>2</v>
      </c>
      <c r="O129" s="13">
        <v>2</v>
      </c>
      <c r="P129" s="16">
        <v>0.10438413361169104</v>
      </c>
      <c r="Q129" s="16">
        <v>0.10438413361169104</v>
      </c>
      <c r="R129" s="18">
        <v>-1</v>
      </c>
      <c r="S129" s="16">
        <v>-5.3063121557827178E-2</v>
      </c>
      <c r="T129" s="18">
        <v>0</v>
      </c>
      <c r="U129" s="16">
        <v>-5.8070316798777832E-4</v>
      </c>
      <c r="V129" s="18">
        <v>0</v>
      </c>
      <c r="W129" s="16">
        <v>0</v>
      </c>
      <c r="X129" s="15">
        <v>2</v>
      </c>
      <c r="Y129" s="13">
        <v>2</v>
      </c>
      <c r="Z129" s="16">
        <v>0.10438413361169104</v>
      </c>
      <c r="AA129" s="16">
        <v>0.10438413361169104</v>
      </c>
      <c r="AB129" s="15">
        <v>4</v>
      </c>
      <c r="AC129" s="13">
        <v>4</v>
      </c>
      <c r="AD129" s="16">
        <v>0.20714655618850336</v>
      </c>
      <c r="AE129" s="16">
        <v>0.20714655618850336</v>
      </c>
      <c r="AF129" s="19">
        <v>4</v>
      </c>
      <c r="AG129" s="20">
        <v>4</v>
      </c>
      <c r="AH129" s="16">
        <v>0.20714655618850336</v>
      </c>
      <c r="AI129" s="21">
        <v>0.20714655618850336</v>
      </c>
      <c r="AJ129" s="22">
        <f>BattMobility!D143+cambio!D143+Claus2you!D143+CoopStroom!D143+Cozywheels!D143+Dégage!D143+Flexigo!D143+Klimaan!D143+Moovee!D143+Poppy!D143+'Mobilize Share'!D143+Stapp.in!D143</f>
        <v>4</v>
      </c>
      <c r="AK129" s="23">
        <f>BattMobility!E143+cambio!E143+Claus2you!E143+CoopStroom!E143+Cozywheels!E143+Dégage!E143+Flexigo!E143+Klimaan!E143+Moovee!E143+Poppy!E143+'Mobilize Share'!E143+Stapp.in!E143</f>
        <v>4</v>
      </c>
      <c r="AL129" s="21">
        <f t="shared" si="0"/>
        <v>0.20592020592020591</v>
      </c>
      <c r="AM129" s="21">
        <f t="shared" si="1"/>
        <v>0.20592020592020591</v>
      </c>
      <c r="AN129" s="25">
        <f t="shared" si="2"/>
        <v>0</v>
      </c>
      <c r="AO129" s="26">
        <f t="shared" si="3"/>
        <v>0</v>
      </c>
      <c r="AP129" s="27">
        <f>BattMobility!F143+cambio!F143+Claus2you!F143+CoopStroom!F143+Cozywheels!F143+Dégage!F143+Flexigo!F143+Klimaan!F143+Moovee!F143+Poppy!F143+'Mobilize Share'!F143+Stapp.in!F143</f>
        <v>4</v>
      </c>
      <c r="AQ129" s="25">
        <f>BattMobility!G143+cambio!G143+Claus2you!G143+CoopStroom!G143+Cozywheels!G143+Dégage!G143+Flexigo!G143+Klimaan!G143+Moovee!G143+Poppy!G143+'Mobilize Share'!G143+Stapp.in!G143</f>
        <v>4</v>
      </c>
      <c r="AR129" s="29">
        <f t="shared" si="4"/>
        <v>0.20592020592020591</v>
      </c>
      <c r="AS129" s="29">
        <f t="shared" si="5"/>
        <v>0.20592020592020591</v>
      </c>
      <c r="AT129" s="25">
        <f t="shared" si="6"/>
        <v>0</v>
      </c>
      <c r="AU129" s="30">
        <v>38.619999999999997</v>
      </c>
      <c r="AV129" s="31">
        <v>34.619999999999997</v>
      </c>
    </row>
    <row r="130" spans="1:48" ht="14.25" customHeight="1" x14ac:dyDescent="0.35">
      <c r="A130" s="2" t="s">
        <v>180</v>
      </c>
      <c r="B130" s="13" t="s">
        <v>48</v>
      </c>
      <c r="C130" s="13">
        <v>11016</v>
      </c>
      <c r="D130" s="14">
        <v>19341</v>
      </c>
      <c r="E130" s="14">
        <v>19629</v>
      </c>
      <c r="F130" s="14">
        <v>19630</v>
      </c>
      <c r="G130" s="14">
        <v>19606</v>
      </c>
      <c r="H130" s="15">
        <v>1</v>
      </c>
      <c r="I130" s="13">
        <v>0</v>
      </c>
      <c r="J130" s="16">
        <v>5.1703634765524017E-2</v>
      </c>
      <c r="K130" s="15">
        <v>0</v>
      </c>
      <c r="L130" s="13">
        <v>0</v>
      </c>
      <c r="M130" s="16">
        <v>0</v>
      </c>
      <c r="N130" s="15">
        <v>1</v>
      </c>
      <c r="O130" s="13">
        <v>0</v>
      </c>
      <c r="P130" s="16">
        <v>5.0945030312293034E-2</v>
      </c>
      <c r="Q130" s="16">
        <v>0</v>
      </c>
      <c r="R130" s="18">
        <v>0</v>
      </c>
      <c r="S130" s="16">
        <v>-7.5860445323098352E-4</v>
      </c>
      <c r="T130" s="18">
        <v>1</v>
      </c>
      <c r="U130" s="16">
        <v>5.0945030312293034E-2</v>
      </c>
      <c r="V130" s="18">
        <v>1</v>
      </c>
      <c r="W130" s="16">
        <v>5.0945030312293034E-2</v>
      </c>
      <c r="X130" s="15">
        <v>2</v>
      </c>
      <c r="Y130" s="13">
        <v>0</v>
      </c>
      <c r="Z130" s="16">
        <v>0.10189006062458607</v>
      </c>
      <c r="AA130" s="16">
        <v>0</v>
      </c>
      <c r="AB130" s="15">
        <v>4</v>
      </c>
      <c r="AC130" s="13">
        <v>2</v>
      </c>
      <c r="AD130" s="16">
        <v>0.20376974019358124</v>
      </c>
      <c r="AE130" s="16">
        <v>0.10188487009679062</v>
      </c>
      <c r="AF130" s="19">
        <v>4</v>
      </c>
      <c r="AG130" s="20">
        <v>2</v>
      </c>
      <c r="AH130" s="16">
        <v>0.20376974019358124</v>
      </c>
      <c r="AI130" s="21">
        <v>0.10188487009679062</v>
      </c>
      <c r="AJ130" s="22">
        <f>BattMobility!D67+cambio!D67+Claus2you!D67+CoopStroom!D67+Cozywheels!D67+Dégage!D67+Flexigo!D67+Klimaan!D67+Moovee!D67+Poppy!D67+'Mobilize Share'!D67+Stapp.in!D67</f>
        <v>4</v>
      </c>
      <c r="AK130" s="23">
        <f>BattMobility!E67+cambio!E67+Claus2you!E67+CoopStroom!E67+Cozywheels!E67+Dégage!E67+Flexigo!E67+Klimaan!E67+Moovee!E67+Poppy!E67+'Mobilize Share'!E67+Stapp.in!E67</f>
        <v>2</v>
      </c>
      <c r="AL130" s="21">
        <f t="shared" si="0"/>
        <v>0.20401917780271345</v>
      </c>
      <c r="AM130" s="21">
        <f t="shared" si="1"/>
        <v>0.10200958890135672</v>
      </c>
      <c r="AN130" s="25">
        <f t="shared" si="2"/>
        <v>0</v>
      </c>
      <c r="AO130" s="26">
        <f t="shared" si="3"/>
        <v>0</v>
      </c>
      <c r="AP130" s="27">
        <f>BattMobility!F67+cambio!F67+Claus2you!F67+CoopStroom!F67+Cozywheels!F67+Dégage!F67+Flexigo!F67+Klimaan!F67+Moovee!F67+Poppy!F67+'Mobilize Share'!F67+Stapp.in!F67</f>
        <v>4</v>
      </c>
      <c r="AQ130" s="25">
        <f>BattMobility!G67+cambio!G67+Claus2you!G67+CoopStroom!G67+Cozywheels!G67+Dégage!G67+Flexigo!G67+Klimaan!G67+Moovee!G67+Poppy!G67+'Mobilize Share'!G67+Stapp.in!G67</f>
        <v>2</v>
      </c>
      <c r="AR130" s="29">
        <f t="shared" si="4"/>
        <v>0.20401917780271345</v>
      </c>
      <c r="AS130" s="29">
        <f t="shared" si="5"/>
        <v>0.10200958890135672</v>
      </c>
      <c r="AT130" s="25">
        <f t="shared" si="6"/>
        <v>0</v>
      </c>
      <c r="AU130" s="30">
        <v>39.26</v>
      </c>
      <c r="AV130" s="31">
        <v>35.26</v>
      </c>
    </row>
    <row r="131" spans="1:48" ht="14.25" customHeight="1" x14ac:dyDescent="0.35">
      <c r="A131" s="2" t="s">
        <v>181</v>
      </c>
      <c r="B131" s="13" t="s">
        <v>48</v>
      </c>
      <c r="C131" s="13">
        <v>13017</v>
      </c>
      <c r="D131" s="14">
        <v>19140</v>
      </c>
      <c r="E131" s="14">
        <v>19478</v>
      </c>
      <c r="F131" s="14">
        <v>19648</v>
      </c>
      <c r="G131" s="14">
        <v>19802</v>
      </c>
      <c r="H131" s="15">
        <v>0</v>
      </c>
      <c r="I131" s="13">
        <v>0</v>
      </c>
      <c r="J131" s="16">
        <v>0</v>
      </c>
      <c r="K131" s="15">
        <v>0</v>
      </c>
      <c r="L131" s="13">
        <v>0</v>
      </c>
      <c r="M131" s="16">
        <v>0</v>
      </c>
      <c r="N131" s="15">
        <v>1</v>
      </c>
      <c r="O131" s="13">
        <v>0</v>
      </c>
      <c r="P131" s="16">
        <v>5.1339973303213882E-2</v>
      </c>
      <c r="Q131" s="16">
        <v>0</v>
      </c>
      <c r="R131" s="18">
        <v>1</v>
      </c>
      <c r="S131" s="16">
        <v>5.1339973303213882E-2</v>
      </c>
      <c r="T131" s="18">
        <v>1</v>
      </c>
      <c r="U131" s="16">
        <v>5.1339973303213882E-2</v>
      </c>
      <c r="V131" s="18">
        <v>1</v>
      </c>
      <c r="W131" s="16">
        <v>5.1339973303213882E-2</v>
      </c>
      <c r="X131" s="15">
        <v>3</v>
      </c>
      <c r="Y131" s="13">
        <v>2</v>
      </c>
      <c r="Z131" s="16">
        <v>0.15401991990964164</v>
      </c>
      <c r="AA131" s="16">
        <v>0.10267994660642776</v>
      </c>
      <c r="AB131" s="15">
        <v>3</v>
      </c>
      <c r="AC131" s="13">
        <v>2</v>
      </c>
      <c r="AD131" s="16">
        <v>0.1526872964169381</v>
      </c>
      <c r="AE131" s="16">
        <v>0.10179153094462541</v>
      </c>
      <c r="AF131" s="19">
        <v>2</v>
      </c>
      <c r="AG131" s="20">
        <v>2</v>
      </c>
      <c r="AH131" s="16">
        <v>0.10179153094462541</v>
      </c>
      <c r="AI131" s="21">
        <v>0.10179153094462541</v>
      </c>
      <c r="AJ131" s="22">
        <f>BattMobility!D122+cambio!D122+Claus2you!D122+CoopStroom!D122+Cozywheels!D122+Dégage!D122+Flexigo!D122+Klimaan!D122+Moovee!D122+Poppy!D122+'Mobilize Share'!D122+Stapp.in!D122</f>
        <v>3</v>
      </c>
      <c r="AK131" s="23">
        <f>BattMobility!E122+cambio!E122+Claus2you!E122+CoopStroom!E122+Cozywheels!E122+Dégage!E122+Flexigo!E122+Klimaan!E122+Moovee!E122+Poppy!E122+'Mobilize Share'!E122+Stapp.in!E122</f>
        <v>2</v>
      </c>
      <c r="AL131" s="21">
        <f t="shared" si="0"/>
        <v>0.1514998485001515</v>
      </c>
      <c r="AM131" s="21">
        <f t="shared" si="1"/>
        <v>0.10099989900010101</v>
      </c>
      <c r="AN131" s="25">
        <f t="shared" si="2"/>
        <v>0</v>
      </c>
      <c r="AO131" s="26">
        <f t="shared" si="3"/>
        <v>0</v>
      </c>
      <c r="AP131" s="27">
        <f>BattMobility!F122+cambio!F122+Claus2you!F122+CoopStroom!F122+Cozywheels!F122+Dégage!F122+Flexigo!F122+Klimaan!F122+Moovee!F122+Poppy!F122+'Mobilize Share'!F122+Stapp.in!F122</f>
        <v>4</v>
      </c>
      <c r="AQ131" s="25">
        <f>BattMobility!G122+cambio!G122+Claus2you!G122+CoopStroom!G122+Cozywheels!G122+Dégage!G122+Flexigo!G122+Klimaan!G122+Moovee!G122+Poppy!G122+'Mobilize Share'!G122+Stapp.in!G122</f>
        <v>3</v>
      </c>
      <c r="AR131" s="29">
        <f t="shared" si="4"/>
        <v>0.20199979800020201</v>
      </c>
      <c r="AS131" s="29">
        <f t="shared" si="5"/>
        <v>0.1514998485001515</v>
      </c>
      <c r="AT131" s="25">
        <f t="shared" si="6"/>
        <v>2</v>
      </c>
      <c r="AU131" s="30">
        <v>39.295999999999999</v>
      </c>
      <c r="AV131" s="31">
        <v>37.295999999999999</v>
      </c>
    </row>
    <row r="132" spans="1:48" ht="14.25" customHeight="1" x14ac:dyDescent="0.35">
      <c r="A132" s="2" t="s">
        <v>182</v>
      </c>
      <c r="B132" s="13" t="s">
        <v>50</v>
      </c>
      <c r="C132" s="13">
        <v>41011</v>
      </c>
      <c r="D132" s="14">
        <v>20772</v>
      </c>
      <c r="E132" s="14">
        <v>20973</v>
      </c>
      <c r="F132" s="14">
        <v>21056</v>
      </c>
      <c r="G132" s="14">
        <v>21257</v>
      </c>
      <c r="H132" s="15">
        <v>3</v>
      </c>
      <c r="I132" s="13">
        <v>0</v>
      </c>
      <c r="J132" s="16">
        <v>0.14442518775274407</v>
      </c>
      <c r="K132" s="15">
        <v>2</v>
      </c>
      <c r="L132" s="13">
        <v>0</v>
      </c>
      <c r="M132" s="16">
        <v>9.6283458501829386E-2</v>
      </c>
      <c r="N132" s="15">
        <v>2</v>
      </c>
      <c r="O132" s="13">
        <v>2</v>
      </c>
      <c r="P132" s="16">
        <v>9.5360701854765653E-2</v>
      </c>
      <c r="Q132" s="16">
        <v>9.5360701854765653E-2</v>
      </c>
      <c r="R132" s="18">
        <v>-1</v>
      </c>
      <c r="S132" s="16">
        <v>-4.9064485897978419E-2</v>
      </c>
      <c r="T132" s="18">
        <v>0</v>
      </c>
      <c r="U132" s="16">
        <v>-9.2275664706373273E-4</v>
      </c>
      <c r="V132" s="18">
        <v>0</v>
      </c>
      <c r="W132" s="16">
        <v>0</v>
      </c>
      <c r="X132" s="15">
        <v>3</v>
      </c>
      <c r="Y132" s="13">
        <v>3</v>
      </c>
      <c r="Z132" s="16">
        <v>0.14304105278214846</v>
      </c>
      <c r="AA132" s="16">
        <v>0.14304105278214846</v>
      </c>
      <c r="AB132" s="15">
        <v>4</v>
      </c>
      <c r="AC132" s="13">
        <v>4</v>
      </c>
      <c r="AD132" s="16">
        <v>0.1899696048632219</v>
      </c>
      <c r="AE132" s="16">
        <v>0.1899696048632219</v>
      </c>
      <c r="AF132" s="19">
        <v>4</v>
      </c>
      <c r="AG132" s="20">
        <v>4</v>
      </c>
      <c r="AH132" s="16">
        <v>0.1899696048632219</v>
      </c>
      <c r="AI132" s="21">
        <v>0.1899696048632219</v>
      </c>
      <c r="AJ132" s="22">
        <f>BattMobility!D52+cambio!D52+Claus2you!D52+CoopStroom!D52+Cozywheels!D52+Dégage!D52+Flexigo!D52+Klimaan!D52+Moovee!D52+Poppy!D52+'Mobilize Share'!D52+Stapp.in!D52</f>
        <v>4</v>
      </c>
      <c r="AK132" s="23">
        <f>BattMobility!E52+cambio!E52+Claus2you!E52+CoopStroom!E52+Cozywheels!E52+Dégage!E52+Flexigo!E52+Klimaan!E52+Moovee!E52+Poppy!E52+'Mobilize Share'!E52+Stapp.in!E52</f>
        <v>4</v>
      </c>
      <c r="AL132" s="21">
        <f t="shared" si="0"/>
        <v>0.18817330761631465</v>
      </c>
      <c r="AM132" s="21">
        <f t="shared" si="1"/>
        <v>0.18817330761631465</v>
      </c>
      <c r="AN132" s="25">
        <f t="shared" si="2"/>
        <v>0</v>
      </c>
      <c r="AO132" s="26">
        <f t="shared" si="3"/>
        <v>0</v>
      </c>
      <c r="AP132" s="27">
        <f>BattMobility!F52+cambio!F52+Claus2you!F52+CoopStroom!F52+Cozywheels!F52+Dégage!F52+Flexigo!F52+Klimaan!F52+Moovee!F52+Poppy!F52+'Mobilize Share'!F52+Stapp.in!F52</f>
        <v>4</v>
      </c>
      <c r="AQ132" s="25">
        <f>BattMobility!G52+cambio!G52+Claus2you!G52+CoopStroom!G52+Cozywheels!G52+Dégage!G52+Flexigo!G52+Klimaan!G52+Moovee!G52+Poppy!G52+'Mobilize Share'!G52+Stapp.in!G52</f>
        <v>4</v>
      </c>
      <c r="AR132" s="29">
        <f t="shared" si="4"/>
        <v>0.18817330761631465</v>
      </c>
      <c r="AS132" s="29">
        <f t="shared" si="5"/>
        <v>0.18817330761631465</v>
      </c>
      <c r="AT132" s="25">
        <f t="shared" si="6"/>
        <v>0</v>
      </c>
      <c r="AU132" s="30">
        <v>42.112000000000002</v>
      </c>
      <c r="AV132" s="31">
        <v>38.112000000000002</v>
      </c>
    </row>
    <row r="133" spans="1:48" ht="14.25" customHeight="1" x14ac:dyDescent="0.35">
      <c r="A133" s="2" t="s">
        <v>183</v>
      </c>
      <c r="B133" s="13" t="s">
        <v>48</v>
      </c>
      <c r="C133" s="13">
        <v>12035</v>
      </c>
      <c r="D133" s="14">
        <v>21391</v>
      </c>
      <c r="E133" s="14">
        <v>21595</v>
      </c>
      <c r="F133" s="14">
        <v>21792</v>
      </c>
      <c r="G133" s="14">
        <v>21917</v>
      </c>
      <c r="H133" s="15">
        <v>3</v>
      </c>
      <c r="I133" s="13">
        <v>1</v>
      </c>
      <c r="J133" s="16">
        <v>0.14024589780748914</v>
      </c>
      <c r="K133" s="15">
        <v>5</v>
      </c>
      <c r="L133" s="13">
        <v>0</v>
      </c>
      <c r="M133" s="16">
        <v>0.23374316301248188</v>
      </c>
      <c r="N133" s="15">
        <v>0</v>
      </c>
      <c r="O133" s="13">
        <v>0</v>
      </c>
      <c r="P133" s="16">
        <v>0</v>
      </c>
      <c r="Q133" s="16">
        <v>0</v>
      </c>
      <c r="R133" s="18">
        <v>-3</v>
      </c>
      <c r="S133" s="16">
        <v>-0.14024589780748914</v>
      </c>
      <c r="T133" s="18">
        <v>-5</v>
      </c>
      <c r="U133" s="16">
        <v>-0.23374316301248188</v>
      </c>
      <c r="V133" s="18">
        <v>0</v>
      </c>
      <c r="W133" s="16">
        <v>0</v>
      </c>
      <c r="X133" s="15">
        <v>4</v>
      </c>
      <c r="Y133" s="13">
        <v>0</v>
      </c>
      <c r="Z133" s="16">
        <v>0.18522806205140077</v>
      </c>
      <c r="AA133" s="16">
        <v>0</v>
      </c>
      <c r="AB133" s="15">
        <v>5</v>
      </c>
      <c r="AC133" s="13">
        <v>0</v>
      </c>
      <c r="AD133" s="16">
        <v>0.22944199706314244</v>
      </c>
      <c r="AE133" s="16">
        <v>0</v>
      </c>
      <c r="AF133" s="19">
        <v>5</v>
      </c>
      <c r="AG133" s="20">
        <v>0</v>
      </c>
      <c r="AH133" s="16">
        <v>0.22944199706314244</v>
      </c>
      <c r="AI133" s="21">
        <v>0</v>
      </c>
      <c r="AJ133" s="22">
        <f>BattMobility!D225+cambio!D225+Claus2you!D225+CoopStroom!D225+Cozywheels!D225+Dégage!D225+Flexigo!D225+Klimaan!D225+Moovee!D225+Poppy!D225+'Mobilize Share'!D225+Stapp.in!D225</f>
        <v>4</v>
      </c>
      <c r="AK133" s="23">
        <f>BattMobility!E225+cambio!E225+Claus2you!E225+CoopStroom!E225+Cozywheels!E225+Dégage!E225+Flexigo!E225+Klimaan!E225+Moovee!E225+Poppy!E225+'Mobilize Share'!E225+Stapp.in!E225</f>
        <v>0</v>
      </c>
      <c r="AL133" s="21">
        <f t="shared" si="0"/>
        <v>0.18250672993566638</v>
      </c>
      <c r="AM133" s="21">
        <f t="shared" si="1"/>
        <v>0</v>
      </c>
      <c r="AN133" s="25">
        <f t="shared" si="2"/>
        <v>-1</v>
      </c>
      <c r="AO133" s="26">
        <f t="shared" si="3"/>
        <v>-0.2</v>
      </c>
      <c r="AP133" s="27">
        <f>BattMobility!F225+cambio!F225+Claus2you!F225+CoopStroom!F225+Cozywheels!F225+Dégage!F225+Flexigo!F225+Klimaan!F225+Moovee!F225+Poppy!F225+'Mobilize Share'!F225+Stapp.in!F225</f>
        <v>4</v>
      </c>
      <c r="AQ133" s="25">
        <f>BattMobility!G225+cambio!G225+Claus2you!G225+CoopStroom!G225+Cozywheels!G225+Dégage!G225+Flexigo!G225+Klimaan!G225+Moovee!G225+Poppy!G225+'Mobilize Share'!G225+Stapp.in!G225</f>
        <v>0</v>
      </c>
      <c r="AR133" s="29">
        <f t="shared" si="4"/>
        <v>0.18250672993566638</v>
      </c>
      <c r="AS133" s="29">
        <f t="shared" si="5"/>
        <v>0</v>
      </c>
      <c r="AT133" s="25">
        <f t="shared" si="6"/>
        <v>-1</v>
      </c>
      <c r="AU133" s="30">
        <v>43.584000000000003</v>
      </c>
      <c r="AV133" s="31">
        <v>38.584000000000003</v>
      </c>
    </row>
    <row r="134" spans="1:48" ht="14.25" customHeight="1" x14ac:dyDescent="0.35">
      <c r="A134" s="2" t="s">
        <v>184</v>
      </c>
      <c r="B134" s="13" t="s">
        <v>48</v>
      </c>
      <c r="C134" s="13">
        <v>12007</v>
      </c>
      <c r="D134" s="14">
        <v>21599</v>
      </c>
      <c r="E134" s="14">
        <v>21982</v>
      </c>
      <c r="F134" s="14">
        <v>22076</v>
      </c>
      <c r="G134" s="14">
        <v>22232</v>
      </c>
      <c r="H134" s="15">
        <v>3</v>
      </c>
      <c r="I134" s="13">
        <v>0</v>
      </c>
      <c r="J134" s="16">
        <v>0.13889531922774204</v>
      </c>
      <c r="K134" s="15">
        <v>2</v>
      </c>
      <c r="L134" s="13">
        <v>0</v>
      </c>
      <c r="M134" s="16">
        <v>9.2596879485161349E-2</v>
      </c>
      <c r="N134" s="15">
        <v>1</v>
      </c>
      <c r="O134" s="13">
        <v>0</v>
      </c>
      <c r="P134" s="16">
        <v>4.5491765990355745E-2</v>
      </c>
      <c r="Q134" s="16">
        <v>0</v>
      </c>
      <c r="R134" s="18">
        <v>-2</v>
      </c>
      <c r="S134" s="16">
        <v>-9.3403553237386291E-2</v>
      </c>
      <c r="T134" s="18">
        <v>-1</v>
      </c>
      <c r="U134" s="16">
        <v>-4.7105113494805603E-2</v>
      </c>
      <c r="V134" s="18">
        <v>1</v>
      </c>
      <c r="W134" s="16">
        <v>4.5491765990355745E-2</v>
      </c>
      <c r="X134" s="15">
        <v>4</v>
      </c>
      <c r="Y134" s="13">
        <v>0</v>
      </c>
      <c r="Z134" s="16">
        <v>0.18196706396142298</v>
      </c>
      <c r="AA134" s="16">
        <v>0</v>
      </c>
      <c r="AB134" s="15">
        <v>5</v>
      </c>
      <c r="AC134" s="13">
        <v>2</v>
      </c>
      <c r="AD134" s="16">
        <v>0.22649030621489399</v>
      </c>
      <c r="AE134" s="16">
        <v>9.0596122485957595E-2</v>
      </c>
      <c r="AF134" s="19">
        <v>6</v>
      </c>
      <c r="AG134" s="20">
        <v>3</v>
      </c>
      <c r="AH134" s="16">
        <v>0.27178836745787283</v>
      </c>
      <c r="AI134" s="21">
        <v>0.13589418372893641</v>
      </c>
      <c r="AJ134" s="22">
        <f>BattMobility!D38+cambio!D38+Claus2you!D38+CoopStroom!D38+Cozywheels!D38+Dégage!D38+Flexigo!D38+Klimaan!D38+Moovee!D38+Poppy!D38+'Mobilize Share'!D38+Stapp.in!D38</f>
        <v>6</v>
      </c>
      <c r="AK134" s="23">
        <f>BattMobility!E38+cambio!E38+Claus2you!E38+CoopStroom!E38+Cozywheels!E38+Dégage!E38+Flexigo!E38+Klimaan!E38+Moovee!E38+Poppy!E38+'Mobilize Share'!E38+Stapp.in!E38</f>
        <v>3</v>
      </c>
      <c r="AL134" s="21">
        <f t="shared" si="0"/>
        <v>0.26988125224901044</v>
      </c>
      <c r="AM134" s="21">
        <f t="shared" si="1"/>
        <v>0.13494062612450522</v>
      </c>
      <c r="AN134" s="25">
        <f t="shared" si="2"/>
        <v>1</v>
      </c>
      <c r="AO134" s="26">
        <f t="shared" si="3"/>
        <v>0.2</v>
      </c>
      <c r="AP134" s="27">
        <f>BattMobility!F38+cambio!F38+Claus2you!F38+CoopStroom!F38+Cozywheels!F38+Dégage!F38+Flexigo!F38+Klimaan!F38+Moovee!F38+Poppy!F38+'Mobilize Share'!F38+Stapp.in!F38</f>
        <v>4</v>
      </c>
      <c r="AQ134" s="25">
        <f>BattMobility!G38+cambio!G38+Claus2you!G38+CoopStroom!G38+Cozywheels!G38+Dégage!G38+Flexigo!G38+Klimaan!G38+Moovee!G38+Poppy!G38+'Mobilize Share'!G38+Stapp.in!G38</f>
        <v>2</v>
      </c>
      <c r="AR134" s="29">
        <f t="shared" si="4"/>
        <v>0.1799208348326736</v>
      </c>
      <c r="AS134" s="29">
        <f t="shared" si="5"/>
        <v>8.9960417416336799E-2</v>
      </c>
      <c r="AT134" s="25">
        <f t="shared" si="6"/>
        <v>-2</v>
      </c>
      <c r="AU134" s="30">
        <v>44.152000000000001</v>
      </c>
      <c r="AV134" s="31">
        <v>38.152000000000001</v>
      </c>
    </row>
    <row r="135" spans="1:48" ht="14.25" customHeight="1" x14ac:dyDescent="0.35">
      <c r="A135" s="2" t="s">
        <v>185</v>
      </c>
      <c r="B135" s="13" t="s">
        <v>48</v>
      </c>
      <c r="C135" s="13">
        <v>13014</v>
      </c>
      <c r="D135" s="14">
        <v>21895</v>
      </c>
      <c r="E135" s="14">
        <v>22245</v>
      </c>
      <c r="F135" s="14">
        <v>22278</v>
      </c>
      <c r="G135" s="14">
        <v>22403</v>
      </c>
      <c r="H135" s="15">
        <v>0</v>
      </c>
      <c r="I135" s="13">
        <v>0</v>
      </c>
      <c r="J135" s="16">
        <v>0</v>
      </c>
      <c r="K135" s="15">
        <v>0</v>
      </c>
      <c r="L135" s="13">
        <v>0</v>
      </c>
      <c r="M135" s="16">
        <v>0</v>
      </c>
      <c r="N135" s="15">
        <v>0</v>
      </c>
      <c r="O135" s="13">
        <v>0</v>
      </c>
      <c r="P135" s="16">
        <v>0</v>
      </c>
      <c r="Q135" s="16">
        <v>0</v>
      </c>
      <c r="R135" s="18">
        <v>0</v>
      </c>
      <c r="S135" s="16">
        <v>0</v>
      </c>
      <c r="T135" s="18">
        <v>0</v>
      </c>
      <c r="U135" s="16">
        <v>0</v>
      </c>
      <c r="V135" s="18">
        <v>0</v>
      </c>
      <c r="W135" s="16">
        <v>0</v>
      </c>
      <c r="X135" s="15">
        <v>0</v>
      </c>
      <c r="Y135" s="13">
        <v>0</v>
      </c>
      <c r="Z135" s="16">
        <v>0</v>
      </c>
      <c r="AA135" s="16">
        <v>0</v>
      </c>
      <c r="AB135" s="15">
        <v>0</v>
      </c>
      <c r="AC135" s="13">
        <v>0</v>
      </c>
      <c r="AD135" s="16">
        <v>0</v>
      </c>
      <c r="AE135" s="16">
        <v>0</v>
      </c>
      <c r="AF135" s="19">
        <v>4</v>
      </c>
      <c r="AG135" s="20">
        <v>4</v>
      </c>
      <c r="AH135" s="16">
        <v>0.17954933117874136</v>
      </c>
      <c r="AI135" s="21">
        <v>0.17954933117874136</v>
      </c>
      <c r="AJ135" s="22">
        <f>BattMobility!D105+cambio!D105+Claus2you!D105+CoopStroom!D105+Cozywheels!D105+Dégage!D105+Flexigo!D105+Klimaan!D105+Moovee!D105+Poppy!D105+'Mobilize Share'!D105+Stapp.in!D105</f>
        <v>4</v>
      </c>
      <c r="AK135" s="23">
        <f>BattMobility!E105+cambio!E105+Claus2you!E105+CoopStroom!E105+Cozywheels!E105+Dégage!E105+Flexigo!E105+Klimaan!E105+Moovee!E105+Poppy!E105+'Mobilize Share'!E105+Stapp.in!E105</f>
        <v>4</v>
      </c>
      <c r="AL135" s="21">
        <f t="shared" si="0"/>
        <v>0.17854751595768426</v>
      </c>
      <c r="AM135" s="21">
        <f t="shared" si="1"/>
        <v>0.17854751595768426</v>
      </c>
      <c r="AN135" s="25">
        <f t="shared" si="2"/>
        <v>4</v>
      </c>
      <c r="AO135" s="26" t="e">
        <f t="shared" si="3"/>
        <v>#DIV/0!</v>
      </c>
      <c r="AP135" s="27">
        <f>BattMobility!F105+cambio!F105+Claus2you!F105+CoopStroom!F105+Cozywheels!F105+Dégage!F105+Flexigo!F105+Klimaan!F105+Moovee!F105+Poppy!F105+'Mobilize Share'!F105+Stapp.in!F105</f>
        <v>4</v>
      </c>
      <c r="AQ135" s="25">
        <f>BattMobility!G105+cambio!G105+Claus2you!G105+CoopStroom!G105+Cozywheels!G105+Dégage!G105+Flexigo!G105+Klimaan!G105+Moovee!G105+Poppy!G105+'Mobilize Share'!G105+Stapp.in!G105</f>
        <v>4</v>
      </c>
      <c r="AR135" s="29">
        <f t="shared" si="4"/>
        <v>0.17854751595768426</v>
      </c>
      <c r="AS135" s="29">
        <f t="shared" si="5"/>
        <v>0.17854751595768426</v>
      </c>
      <c r="AT135" s="25">
        <f t="shared" si="6"/>
        <v>0</v>
      </c>
      <c r="AU135" s="30">
        <v>44.555999999999997</v>
      </c>
      <c r="AV135" s="31">
        <v>40.555999999999997</v>
      </c>
    </row>
    <row r="136" spans="1:48" ht="14.25" customHeight="1" x14ac:dyDescent="0.35">
      <c r="A136" s="2" t="s">
        <v>186</v>
      </c>
      <c r="B136" s="13" t="s">
        <v>55</v>
      </c>
      <c r="C136" s="13">
        <v>34042</v>
      </c>
      <c r="D136" s="14">
        <v>25140</v>
      </c>
      <c r="E136" s="14">
        <v>25558</v>
      </c>
      <c r="F136" s="14">
        <v>25785</v>
      </c>
      <c r="G136" s="14">
        <v>25870</v>
      </c>
      <c r="H136" s="15">
        <v>1</v>
      </c>
      <c r="I136" s="13">
        <v>1</v>
      </c>
      <c r="J136" s="16">
        <v>3.9777247414478918E-2</v>
      </c>
      <c r="K136" s="15">
        <v>2</v>
      </c>
      <c r="L136" s="13">
        <v>2</v>
      </c>
      <c r="M136" s="16">
        <v>7.9554494828957836E-2</v>
      </c>
      <c r="N136" s="15">
        <v>3</v>
      </c>
      <c r="O136" s="13">
        <v>2</v>
      </c>
      <c r="P136" s="16">
        <v>0.11738007668831676</v>
      </c>
      <c r="Q136" s="16">
        <v>7.8253384458877848E-2</v>
      </c>
      <c r="R136" s="18">
        <v>2</v>
      </c>
      <c r="S136" s="16">
        <v>7.7602829273837853E-2</v>
      </c>
      <c r="T136" s="18">
        <v>1</v>
      </c>
      <c r="U136" s="16">
        <v>3.7825581859358928E-2</v>
      </c>
      <c r="V136" s="18">
        <v>1</v>
      </c>
      <c r="W136" s="16">
        <v>3.9126692229438924E-2</v>
      </c>
      <c r="X136" s="15">
        <v>3</v>
      </c>
      <c r="Y136" s="13">
        <v>2</v>
      </c>
      <c r="Z136" s="16">
        <v>0.11738007668831676</v>
      </c>
      <c r="AA136" s="16">
        <v>7.8253384458877848E-2</v>
      </c>
      <c r="AB136" s="15">
        <v>3</v>
      </c>
      <c r="AC136" s="13">
        <v>3</v>
      </c>
      <c r="AD136" s="16">
        <v>0.11634671320535195</v>
      </c>
      <c r="AE136" s="16">
        <v>0.11634671320535195</v>
      </c>
      <c r="AF136" s="19">
        <v>4</v>
      </c>
      <c r="AG136" s="20">
        <v>3</v>
      </c>
      <c r="AH136" s="16">
        <v>0.15512895094046925</v>
      </c>
      <c r="AI136" s="21">
        <v>0.11634671320535195</v>
      </c>
      <c r="AJ136" s="22">
        <f>BattMobility!D286+cambio!D286+Claus2you!D286+CoopStroom!D286+Cozywheels!D286+Dégage!D286+Flexigo!D286+Klimaan!D286+Moovee!D286+Poppy!D286+'Mobilize Share'!D286+Stapp.in!D286</f>
        <v>4</v>
      </c>
      <c r="AK136" s="23">
        <f>BattMobility!E286+cambio!E286+Claus2you!E286+CoopStroom!E286+Cozywheels!E286+Dégage!E286+Flexigo!E286+Klimaan!E286+Moovee!E286+Poppy!E286+'Mobilize Share'!E286+Stapp.in!E286</f>
        <v>3</v>
      </c>
      <c r="AL136" s="21">
        <f t="shared" si="0"/>
        <v>0.15461925009663702</v>
      </c>
      <c r="AM136" s="21">
        <f t="shared" si="1"/>
        <v>0.11596443757247778</v>
      </c>
      <c r="AN136" s="25">
        <f t="shared" si="2"/>
        <v>1</v>
      </c>
      <c r="AO136" s="26">
        <f t="shared" si="3"/>
        <v>0.33333333333333331</v>
      </c>
      <c r="AP136" s="27">
        <f>BattMobility!F286+cambio!F286+Claus2you!F286+CoopStroom!F286+Cozywheels!F286+Dégage!F286+Flexigo!F286+Klimaan!F286+Moovee!F286+Poppy!F286+'Mobilize Share'!F286+Stapp.in!F286</f>
        <v>4</v>
      </c>
      <c r="AQ136" s="25">
        <f>BattMobility!G286+cambio!G286+Claus2you!G286+CoopStroom!G286+Cozywheels!G286+Dégage!G286+Flexigo!G286+Klimaan!G286+Moovee!G286+Poppy!G286+'Mobilize Share'!G286+Stapp.in!G286</f>
        <v>3</v>
      </c>
      <c r="AR136" s="29">
        <f t="shared" si="4"/>
        <v>0.15461925009663702</v>
      </c>
      <c r="AS136" s="29">
        <f t="shared" si="5"/>
        <v>0.11596443757247778</v>
      </c>
      <c r="AT136" s="25">
        <f t="shared" si="6"/>
        <v>0</v>
      </c>
      <c r="AU136" s="30">
        <v>51.57</v>
      </c>
      <c r="AV136" s="31">
        <v>47.57</v>
      </c>
    </row>
    <row r="137" spans="1:48" ht="14.25" customHeight="1" x14ac:dyDescent="0.35">
      <c r="A137" s="2" t="s">
        <v>187</v>
      </c>
      <c r="B137" s="13" t="s">
        <v>59</v>
      </c>
      <c r="C137" s="13">
        <v>71024</v>
      </c>
      <c r="D137" s="14">
        <v>12756</v>
      </c>
      <c r="E137" s="14">
        <v>12817</v>
      </c>
      <c r="F137" s="14">
        <v>12841</v>
      </c>
      <c r="G137" s="14">
        <v>12927</v>
      </c>
      <c r="H137" s="15">
        <v>1</v>
      </c>
      <c r="I137" s="13">
        <v>0</v>
      </c>
      <c r="J137" s="16">
        <v>7.8394481028535593E-2</v>
      </c>
      <c r="K137" s="15">
        <v>1</v>
      </c>
      <c r="L137" s="13">
        <v>0</v>
      </c>
      <c r="M137" s="16">
        <v>7.8394481028535593E-2</v>
      </c>
      <c r="N137" s="15">
        <v>2</v>
      </c>
      <c r="O137" s="13">
        <v>2</v>
      </c>
      <c r="P137" s="16">
        <v>0.15604275571506593</v>
      </c>
      <c r="Q137" s="16">
        <v>0.15604275571506593</v>
      </c>
      <c r="R137" s="18">
        <v>1</v>
      </c>
      <c r="S137" s="16">
        <v>7.7648274686530336E-2</v>
      </c>
      <c r="T137" s="18">
        <v>1</v>
      </c>
      <c r="U137" s="16">
        <v>7.7648274686530336E-2</v>
      </c>
      <c r="V137" s="18">
        <v>0</v>
      </c>
      <c r="W137" s="16">
        <v>0</v>
      </c>
      <c r="X137" s="15">
        <v>1</v>
      </c>
      <c r="Y137" s="13">
        <v>1</v>
      </c>
      <c r="Z137" s="16">
        <v>7.8021377857532964E-2</v>
      </c>
      <c r="AA137" s="16">
        <v>7.8021377857532964E-2</v>
      </c>
      <c r="AB137" s="15">
        <v>3</v>
      </c>
      <c r="AC137" s="13">
        <v>1</v>
      </c>
      <c r="AD137" s="16">
        <v>0.23362666458998518</v>
      </c>
      <c r="AE137" s="16">
        <v>7.7875554863328408E-2</v>
      </c>
      <c r="AF137" s="19">
        <v>3</v>
      </c>
      <c r="AG137" s="20">
        <v>1</v>
      </c>
      <c r="AH137" s="16">
        <v>0.23362666458998518</v>
      </c>
      <c r="AI137" s="21">
        <v>7.7875554863328408E-2</v>
      </c>
      <c r="AJ137" s="22">
        <f>BattMobility!D95+cambio!D95+Claus2you!D95+CoopStroom!D95+Cozywheels!D95+Dégage!D95+Flexigo!D95+Klimaan!D95+Moovee!D95+Poppy!D95+'Mobilize Share'!D95+Stapp.in!D95</f>
        <v>1</v>
      </c>
      <c r="AK137" s="23">
        <f>BattMobility!E95+cambio!E95+Claus2you!E95+CoopStroom!E95+Cozywheels!E95+Dégage!E95+Flexigo!E95+Klimaan!E95+Moovee!E95+Poppy!E95+'Mobilize Share'!E95+Stapp.in!E95</f>
        <v>1</v>
      </c>
      <c r="AL137" s="21">
        <f t="shared" si="0"/>
        <v>7.7357468863618786E-2</v>
      </c>
      <c r="AM137" s="21">
        <f t="shared" si="1"/>
        <v>7.7357468863618786E-2</v>
      </c>
      <c r="AN137" s="25">
        <f t="shared" si="2"/>
        <v>-2</v>
      </c>
      <c r="AO137" s="26">
        <f t="shared" si="3"/>
        <v>-0.66666666666666663</v>
      </c>
      <c r="AP137" s="27">
        <f>BattMobility!F95+cambio!F95+Claus2you!F95+CoopStroom!F95+Cozywheels!F95+Dégage!F95+Flexigo!F95+Klimaan!F95+Moovee!F95+Poppy!F95+'Mobilize Share'!F95+Stapp.in!F95</f>
        <v>4</v>
      </c>
      <c r="AQ137" s="25">
        <f>BattMobility!G95+cambio!G95+Claus2you!G95+CoopStroom!G95+Cozywheels!G95+Dégage!G95+Flexigo!G95+Klimaan!G95+Moovee!G95+Poppy!G95+'Mobilize Share'!G95+Stapp.in!G95</f>
        <v>2</v>
      </c>
      <c r="AR137" s="29">
        <f t="shared" si="4"/>
        <v>0.30942987545447515</v>
      </c>
      <c r="AS137" s="29">
        <f t="shared" si="5"/>
        <v>0.15471493772723757</v>
      </c>
      <c r="AT137" s="25">
        <f t="shared" si="6"/>
        <v>1</v>
      </c>
      <c r="AU137" s="30">
        <v>25.681999999999999</v>
      </c>
      <c r="AV137" s="31">
        <v>22.681999999999999</v>
      </c>
    </row>
    <row r="138" spans="1:48" ht="14.25" customHeight="1" x14ac:dyDescent="0.35">
      <c r="A138" s="2" t="s">
        <v>188</v>
      </c>
      <c r="B138" s="13" t="s">
        <v>48</v>
      </c>
      <c r="C138" s="13">
        <v>11040</v>
      </c>
      <c r="D138" s="14">
        <v>34157</v>
      </c>
      <c r="E138" s="14">
        <v>34360</v>
      </c>
      <c r="F138" s="14">
        <v>34641</v>
      </c>
      <c r="G138" s="14">
        <v>34926</v>
      </c>
      <c r="H138" s="15">
        <v>12</v>
      </c>
      <c r="I138" s="13">
        <v>0</v>
      </c>
      <c r="J138" s="16">
        <v>0.35131890974031676</v>
      </c>
      <c r="K138" s="15">
        <v>15</v>
      </c>
      <c r="L138" s="13">
        <v>0</v>
      </c>
      <c r="M138" s="16">
        <v>0.43914863717539598</v>
      </c>
      <c r="N138" s="15">
        <v>33</v>
      </c>
      <c r="O138" s="13">
        <v>0</v>
      </c>
      <c r="P138" s="16">
        <v>0.96041909196740394</v>
      </c>
      <c r="Q138" s="16">
        <v>0</v>
      </c>
      <c r="R138" s="18">
        <v>21</v>
      </c>
      <c r="S138" s="16">
        <v>0.60910018222708717</v>
      </c>
      <c r="T138" s="18">
        <v>18</v>
      </c>
      <c r="U138" s="16">
        <v>0.52127045479200795</v>
      </c>
      <c r="V138" s="18">
        <v>3</v>
      </c>
      <c r="W138" s="16">
        <v>8.7310826542491268E-2</v>
      </c>
      <c r="X138" s="15">
        <v>31</v>
      </c>
      <c r="Y138" s="13">
        <v>0</v>
      </c>
      <c r="Z138" s="16">
        <v>0.90221187427240979</v>
      </c>
      <c r="AA138" s="16">
        <v>0</v>
      </c>
      <c r="AB138" s="15">
        <v>20</v>
      </c>
      <c r="AC138" s="13">
        <v>0</v>
      </c>
      <c r="AD138" s="16">
        <v>0.577350538379377</v>
      </c>
      <c r="AE138" s="16">
        <v>0</v>
      </c>
      <c r="AF138" s="19">
        <v>5</v>
      </c>
      <c r="AG138" s="20">
        <v>0</v>
      </c>
      <c r="AH138" s="16">
        <v>0.14433763459484425</v>
      </c>
      <c r="AI138" s="21">
        <v>0</v>
      </c>
      <c r="AJ138" s="22">
        <f>BattMobility!D222+cambio!D222+Claus2you!D222+CoopStroom!D222+Cozywheels!D222+Dégage!D222+Flexigo!D222+Klimaan!D222+Moovee!D222+Poppy!D222+'Mobilize Share'!D222+Stapp.in!D222</f>
        <v>5</v>
      </c>
      <c r="AK138" s="23">
        <f>BattMobility!E222+cambio!E222+Claus2you!E222+CoopStroom!E222+Cozywheels!E222+Dégage!E222+Flexigo!E222+Klimaan!E222+Moovee!E222+Poppy!E222+'Mobilize Share'!E222+Stapp.in!E222</f>
        <v>0</v>
      </c>
      <c r="AL138" s="21">
        <f t="shared" si="0"/>
        <v>0.14315982362709728</v>
      </c>
      <c r="AM138" s="21">
        <f t="shared" si="1"/>
        <v>0</v>
      </c>
      <c r="AN138" s="25">
        <f t="shared" si="2"/>
        <v>-15</v>
      </c>
      <c r="AO138" s="26">
        <f t="shared" si="3"/>
        <v>-0.75</v>
      </c>
      <c r="AP138" s="27">
        <f>BattMobility!F222+cambio!F222+Claus2you!F222+CoopStroom!F222+Cozywheels!F222+Dégage!F222+Flexigo!F222+Klimaan!F222+Moovee!F222+Poppy!F222+'Mobilize Share'!F222+Stapp.in!F222</f>
        <v>4</v>
      </c>
      <c r="AQ138" s="25">
        <f>BattMobility!G222+cambio!G222+Claus2you!G222+CoopStroom!G222+Cozywheels!G222+Dégage!G222+Flexigo!G222+Klimaan!G222+Moovee!G222+Poppy!G222+'Mobilize Share'!G222+Stapp.in!G222</f>
        <v>0</v>
      </c>
      <c r="AR138" s="29">
        <f t="shared" si="4"/>
        <v>0.11452785890167783</v>
      </c>
      <c r="AS138" s="29">
        <f t="shared" si="5"/>
        <v>0</v>
      </c>
      <c r="AT138" s="25">
        <f t="shared" si="6"/>
        <v>-1</v>
      </c>
      <c r="AU138" s="30">
        <v>69.281999999999996</v>
      </c>
      <c r="AV138" s="31">
        <v>64.281999999999996</v>
      </c>
    </row>
    <row r="139" spans="1:48" ht="14.25" customHeight="1" x14ac:dyDescent="0.35">
      <c r="A139" s="2" t="s">
        <v>189</v>
      </c>
      <c r="B139" s="13" t="s">
        <v>59</v>
      </c>
      <c r="C139" s="13">
        <v>71053</v>
      </c>
      <c r="D139" s="14">
        <v>40845</v>
      </c>
      <c r="E139" s="14">
        <v>41353</v>
      </c>
      <c r="F139" s="14">
        <v>41469</v>
      </c>
      <c r="G139" s="14">
        <v>41743</v>
      </c>
      <c r="H139" s="15">
        <v>2</v>
      </c>
      <c r="I139" s="13">
        <v>0</v>
      </c>
      <c r="J139" s="16">
        <v>4.8965601664830452E-2</v>
      </c>
      <c r="K139" s="15">
        <v>2</v>
      </c>
      <c r="L139" s="13">
        <v>0</v>
      </c>
      <c r="M139" s="16">
        <v>4.8965601664830452E-2</v>
      </c>
      <c r="N139" s="15">
        <v>2</v>
      </c>
      <c r="O139" s="13">
        <v>0</v>
      </c>
      <c r="P139" s="16">
        <v>4.8364084830604795E-2</v>
      </c>
      <c r="Q139" s="16">
        <v>0</v>
      </c>
      <c r="R139" s="18">
        <v>0</v>
      </c>
      <c r="S139" s="16">
        <v>-6.0151683422565716E-4</v>
      </c>
      <c r="T139" s="18">
        <v>0</v>
      </c>
      <c r="U139" s="16">
        <v>-6.0151683422565716E-4</v>
      </c>
      <c r="V139" s="18">
        <v>2</v>
      </c>
      <c r="W139" s="16">
        <v>4.8364084830604795E-2</v>
      </c>
      <c r="X139" s="15">
        <v>2</v>
      </c>
      <c r="Y139" s="13">
        <v>0</v>
      </c>
      <c r="Z139" s="16">
        <v>4.8364084830604795E-2</v>
      </c>
      <c r="AA139" s="16">
        <v>0</v>
      </c>
      <c r="AB139" s="15">
        <v>3</v>
      </c>
      <c r="AC139" s="13">
        <v>2</v>
      </c>
      <c r="AD139" s="16">
        <v>7.2343196122404682E-2</v>
      </c>
      <c r="AE139" s="16">
        <v>4.8228797414936457E-2</v>
      </c>
      <c r="AF139" s="19">
        <v>3</v>
      </c>
      <c r="AG139" s="20">
        <v>2</v>
      </c>
      <c r="AH139" s="16">
        <v>7.2343196122404682E-2</v>
      </c>
      <c r="AI139" s="21">
        <v>4.8228797414936457E-2</v>
      </c>
      <c r="AJ139" s="22">
        <f>BattMobility!D231+cambio!D231+Claus2you!D231+CoopStroom!D231+Cozywheels!D231+Dégage!D231+Flexigo!D231+Klimaan!D231+Moovee!D231+Poppy!D231+'Mobilize Share'!D231+Stapp.in!D231</f>
        <v>2</v>
      </c>
      <c r="AK139" s="23">
        <f>BattMobility!E231+cambio!E231+Claus2you!E231+CoopStroom!E231+Cozywheels!E231+Dégage!E231+Flexigo!E231+Klimaan!E231+Moovee!E231+Poppy!E231+'Mobilize Share'!E231+Stapp.in!E231</f>
        <v>2</v>
      </c>
      <c r="AL139" s="21">
        <f t="shared" si="0"/>
        <v>4.7912224804158778E-2</v>
      </c>
      <c r="AM139" s="21">
        <f t="shared" si="1"/>
        <v>4.7912224804158778E-2</v>
      </c>
      <c r="AN139" s="25">
        <f t="shared" si="2"/>
        <v>-1</v>
      </c>
      <c r="AO139" s="26">
        <f t="shared" si="3"/>
        <v>-0.33333333333333331</v>
      </c>
      <c r="AP139" s="27">
        <f>BattMobility!F231+cambio!F231+Claus2you!F231+CoopStroom!F231+Cozywheels!F231+Dégage!F231+Flexigo!F231+Klimaan!F231+Moovee!F231+Poppy!F231+'Mobilize Share'!F231+Stapp.in!F231</f>
        <v>4</v>
      </c>
      <c r="AQ139" s="25">
        <f>BattMobility!G231+cambio!G231+Claus2you!G231+CoopStroom!G231+Cozywheels!G231+Dégage!G231+Flexigo!G231+Klimaan!G231+Moovee!G231+Poppy!G231+'Mobilize Share'!G231+Stapp.in!G231</f>
        <v>3</v>
      </c>
      <c r="AR139" s="29">
        <f t="shared" si="4"/>
        <v>9.5824449608317555E-2</v>
      </c>
      <c r="AS139" s="29">
        <f t="shared" si="5"/>
        <v>7.186833720623817E-2</v>
      </c>
      <c r="AT139" s="25">
        <f t="shared" si="6"/>
        <v>1</v>
      </c>
      <c r="AU139" s="30">
        <v>82.938000000000002</v>
      </c>
      <c r="AV139" s="31">
        <v>79.938000000000002</v>
      </c>
    </row>
    <row r="140" spans="1:48" ht="14.25" customHeight="1" x14ac:dyDescent="0.35">
      <c r="A140" s="2" t="s">
        <v>190</v>
      </c>
      <c r="B140" s="13" t="s">
        <v>59</v>
      </c>
      <c r="C140" s="13">
        <v>71070</v>
      </c>
      <c r="D140" s="14">
        <v>34243</v>
      </c>
      <c r="E140" s="14">
        <v>34623</v>
      </c>
      <c r="F140" s="14">
        <v>35017</v>
      </c>
      <c r="G140" s="14">
        <v>34985</v>
      </c>
      <c r="H140" s="15">
        <v>0</v>
      </c>
      <c r="I140" s="13">
        <v>0</v>
      </c>
      <c r="J140" s="16">
        <v>0</v>
      </c>
      <c r="K140" s="15">
        <v>1</v>
      </c>
      <c r="L140" s="13">
        <v>0</v>
      </c>
      <c r="M140" s="16">
        <v>2.920304879829454E-2</v>
      </c>
      <c r="N140" s="15">
        <v>1</v>
      </c>
      <c r="O140" s="13">
        <v>0</v>
      </c>
      <c r="P140" s="16">
        <v>2.8882534731248015E-2</v>
      </c>
      <c r="Q140" s="16">
        <v>0</v>
      </c>
      <c r="R140" s="18">
        <v>1</v>
      </c>
      <c r="S140" s="16">
        <v>2.8882534731248015E-2</v>
      </c>
      <c r="T140" s="18">
        <v>0</v>
      </c>
      <c r="U140" s="16">
        <v>-3.2051406704652549E-4</v>
      </c>
      <c r="V140" s="18">
        <v>1</v>
      </c>
      <c r="W140" s="16">
        <v>2.8882534731248015E-2</v>
      </c>
      <c r="X140" s="15">
        <v>1</v>
      </c>
      <c r="Y140" s="13">
        <v>0</v>
      </c>
      <c r="Z140" s="16">
        <v>2.8882534731248015E-2</v>
      </c>
      <c r="AA140" s="16">
        <v>0</v>
      </c>
      <c r="AB140" s="15">
        <v>4</v>
      </c>
      <c r="AC140" s="13">
        <v>2</v>
      </c>
      <c r="AD140" s="16">
        <v>0.11423023103064225</v>
      </c>
      <c r="AE140" s="16">
        <v>5.7115115515321127E-2</v>
      </c>
      <c r="AF140" s="19">
        <v>4</v>
      </c>
      <c r="AG140" s="20">
        <v>2</v>
      </c>
      <c r="AH140" s="16">
        <v>0.11423023103064225</v>
      </c>
      <c r="AI140" s="21">
        <v>5.7115115515321127E-2</v>
      </c>
      <c r="AJ140" s="22">
        <f>BattMobility!D99+cambio!D99+Claus2you!D99+CoopStroom!D99+Cozywheels!D99+Dégage!D99+Flexigo!D99+Klimaan!D99+Moovee!D99+Poppy!D99+'Mobilize Share'!D99+Stapp.in!D99</f>
        <v>4</v>
      </c>
      <c r="AK140" s="23">
        <f>BattMobility!E99+cambio!E99+Claus2you!E99+CoopStroom!E99+Cozywheels!E99+Dégage!E99+Flexigo!E99+Klimaan!E99+Moovee!E99+Poppy!E99+'Mobilize Share'!E99+Stapp.in!E99</f>
        <v>2</v>
      </c>
      <c r="AL140" s="21">
        <f t="shared" si="0"/>
        <v>0.11433471487780478</v>
      </c>
      <c r="AM140" s="21">
        <f t="shared" si="1"/>
        <v>5.7167357438902389E-2</v>
      </c>
      <c r="AN140" s="25">
        <f t="shared" si="2"/>
        <v>0</v>
      </c>
      <c r="AO140" s="26">
        <f t="shared" si="3"/>
        <v>0</v>
      </c>
      <c r="AP140" s="27">
        <f>BattMobility!F99+cambio!F99+Claus2you!F99+CoopStroom!F99+Cozywheels!F99+Dégage!F99+Flexigo!F99+Klimaan!F99+Moovee!F99+Poppy!F99+'Mobilize Share'!F99+Stapp.in!F99</f>
        <v>4</v>
      </c>
      <c r="AQ140" s="25">
        <f>BattMobility!G99+cambio!G99+Claus2you!G99+CoopStroom!G99+Cozywheels!G99+Dégage!G99+Flexigo!G99+Klimaan!G99+Moovee!G99+Poppy!G99+'Mobilize Share'!G99+Stapp.in!G99</f>
        <v>2</v>
      </c>
      <c r="AR140" s="29">
        <f t="shared" si="4"/>
        <v>0.11433471487780478</v>
      </c>
      <c r="AS140" s="29">
        <f t="shared" si="5"/>
        <v>5.7167357438902389E-2</v>
      </c>
      <c r="AT140" s="25">
        <f t="shared" si="6"/>
        <v>0</v>
      </c>
      <c r="AU140" s="30">
        <v>70.034000000000006</v>
      </c>
      <c r="AV140" s="31">
        <v>66.034000000000006</v>
      </c>
    </row>
    <row r="141" spans="1:48" ht="14.25" customHeight="1" x14ac:dyDescent="0.35">
      <c r="A141" s="2" t="s">
        <v>191</v>
      </c>
      <c r="B141" s="13" t="s">
        <v>50</v>
      </c>
      <c r="C141" s="13">
        <v>45060</v>
      </c>
      <c r="D141" s="14">
        <v>6791</v>
      </c>
      <c r="E141" s="14">
        <v>6874</v>
      </c>
      <c r="F141" s="14">
        <v>6888</v>
      </c>
      <c r="G141" s="14">
        <v>6869</v>
      </c>
      <c r="H141" s="15">
        <v>1</v>
      </c>
      <c r="I141" s="13">
        <v>0</v>
      </c>
      <c r="J141" s="16">
        <v>0.14725371815638344</v>
      </c>
      <c r="K141" s="15">
        <v>1</v>
      </c>
      <c r="L141" s="13">
        <v>0</v>
      </c>
      <c r="M141" s="16">
        <v>0.14725371815638344</v>
      </c>
      <c r="N141" s="15">
        <v>1</v>
      </c>
      <c r="O141" s="13">
        <v>1</v>
      </c>
      <c r="P141" s="16">
        <v>0.14547570555717196</v>
      </c>
      <c r="Q141" s="16">
        <v>0.14547570555717196</v>
      </c>
      <c r="R141" s="18">
        <v>0</v>
      </c>
      <c r="S141" s="16">
        <v>-1.7780125992114815E-3</v>
      </c>
      <c r="T141" s="18">
        <v>0</v>
      </c>
      <c r="U141" s="16">
        <v>-1.7780125992114815E-3</v>
      </c>
      <c r="V141" s="18">
        <v>0</v>
      </c>
      <c r="W141" s="16">
        <v>0</v>
      </c>
      <c r="X141" s="15">
        <v>1</v>
      </c>
      <c r="Y141" s="13">
        <v>1</v>
      </c>
      <c r="Z141" s="16">
        <v>0.14547570555717196</v>
      </c>
      <c r="AA141" s="16">
        <v>0.14547570555717196</v>
      </c>
      <c r="AB141" s="15">
        <v>2</v>
      </c>
      <c r="AC141" s="13">
        <v>2</v>
      </c>
      <c r="AD141" s="16">
        <v>0.29036004645760743</v>
      </c>
      <c r="AE141" s="16">
        <v>0.29036004645760743</v>
      </c>
      <c r="AF141" s="19">
        <v>2</v>
      </c>
      <c r="AG141" s="20">
        <v>2</v>
      </c>
      <c r="AH141" s="16">
        <v>0.29036004645760743</v>
      </c>
      <c r="AI141" s="21">
        <v>0.29036004645760743</v>
      </c>
      <c r="AJ141" s="22">
        <f>BattMobility!D125+cambio!D125+Claus2you!D125+CoopStroom!D125+Cozywheels!D125+Dégage!D125+Flexigo!D125+Klimaan!D125+Moovee!D125+Poppy!D125+'Mobilize Share'!D125+Stapp.in!D125</f>
        <v>2</v>
      </c>
      <c r="AK141" s="23">
        <f>BattMobility!E125+cambio!E125+Claus2you!E125+CoopStroom!E125+Cozywheels!E125+Dégage!E125+Flexigo!E125+Klimaan!E125+Moovee!E125+Poppy!E125+'Mobilize Share'!E125+Stapp.in!E125</f>
        <v>2</v>
      </c>
      <c r="AL141" s="21">
        <f t="shared" si="0"/>
        <v>0.29116319697190274</v>
      </c>
      <c r="AM141" s="21">
        <f t="shared" si="1"/>
        <v>0.29116319697190274</v>
      </c>
      <c r="AN141" s="25">
        <f t="shared" si="2"/>
        <v>0</v>
      </c>
      <c r="AO141" s="26">
        <f t="shared" si="3"/>
        <v>0</v>
      </c>
      <c r="AP141" s="27">
        <f>BattMobility!F125+cambio!F125+Claus2you!F125+CoopStroom!F125+Cozywheels!F125+Dégage!F125+Flexigo!F125+Klimaan!F125+Moovee!F125+Poppy!F125+'Mobilize Share'!F125+Stapp.in!F125</f>
        <v>3</v>
      </c>
      <c r="AQ141" s="25">
        <f>BattMobility!G125+cambio!G125+Claus2you!G125+CoopStroom!G125+Cozywheels!G125+Dégage!G125+Flexigo!G125+Klimaan!G125+Moovee!G125+Poppy!G125+'Mobilize Share'!G125+Stapp.in!G125</f>
        <v>3</v>
      </c>
      <c r="AR141" s="29">
        <f t="shared" si="4"/>
        <v>0.43674479545785411</v>
      </c>
      <c r="AS141" s="29">
        <f t="shared" si="5"/>
        <v>0.43674479545785411</v>
      </c>
      <c r="AT141" s="25">
        <f t="shared" si="6"/>
        <v>1</v>
      </c>
      <c r="AU141" s="30">
        <v>13.776</v>
      </c>
      <c r="AV141" s="31">
        <v>11.776</v>
      </c>
    </row>
    <row r="142" spans="1:48" ht="14.25" customHeight="1" x14ac:dyDescent="0.35">
      <c r="A142" s="2" t="s">
        <v>192</v>
      </c>
      <c r="B142" s="13" t="s">
        <v>52</v>
      </c>
      <c r="C142" s="13">
        <v>24041</v>
      </c>
      <c r="D142" s="14">
        <v>6811</v>
      </c>
      <c r="E142" s="14">
        <v>6797</v>
      </c>
      <c r="F142" s="14">
        <v>6873</v>
      </c>
      <c r="G142" s="14">
        <v>6963</v>
      </c>
      <c r="H142" s="15">
        <v>1</v>
      </c>
      <c r="I142" s="13">
        <v>0</v>
      </c>
      <c r="J142" s="16">
        <v>0.14682131845543972</v>
      </c>
      <c r="K142" s="15">
        <v>2</v>
      </c>
      <c r="L142" s="13">
        <v>0</v>
      </c>
      <c r="M142" s="16">
        <v>0.29364263691087944</v>
      </c>
      <c r="N142" s="15">
        <v>2</v>
      </c>
      <c r="O142" s="13">
        <v>0</v>
      </c>
      <c r="P142" s="16">
        <v>0.29424746211563924</v>
      </c>
      <c r="Q142" s="16">
        <v>0</v>
      </c>
      <c r="R142" s="18">
        <v>1</v>
      </c>
      <c r="S142" s="16">
        <v>0.14742614366019952</v>
      </c>
      <c r="T142" s="18">
        <v>0</v>
      </c>
      <c r="U142" s="16">
        <v>6.0482520475979573E-4</v>
      </c>
      <c r="V142" s="18">
        <v>2</v>
      </c>
      <c r="W142" s="16">
        <v>0.29424746211563924</v>
      </c>
      <c r="X142" s="15">
        <v>1</v>
      </c>
      <c r="Y142" s="13">
        <v>0</v>
      </c>
      <c r="Z142" s="16">
        <v>0.14712373105781962</v>
      </c>
      <c r="AA142" s="16">
        <v>0</v>
      </c>
      <c r="AB142" s="15">
        <v>1</v>
      </c>
      <c r="AC142" s="13">
        <v>0</v>
      </c>
      <c r="AD142" s="16">
        <v>0.14549687181725593</v>
      </c>
      <c r="AE142" s="16">
        <v>0</v>
      </c>
      <c r="AF142" s="19">
        <v>3</v>
      </c>
      <c r="AG142" s="20">
        <v>1</v>
      </c>
      <c r="AH142" s="16">
        <v>0.43649061545176776</v>
      </c>
      <c r="AI142" s="21">
        <v>0.14549687181725593</v>
      </c>
      <c r="AJ142" s="22">
        <f>BattMobility!D101+cambio!D101+Claus2you!D101+CoopStroom!D101+Cozywheels!D101+Dégage!D101+Flexigo!D101+Klimaan!D101+Moovee!D101+Poppy!D101+'Mobilize Share'!D101+Stapp.in!D101</f>
        <v>3</v>
      </c>
      <c r="AK142" s="23">
        <f>BattMobility!E101+cambio!E101+Claus2you!E101+CoopStroom!E101+Cozywheels!E101+Dégage!E101+Flexigo!E101+Klimaan!E101+Moovee!E101+Poppy!E101+'Mobilize Share'!E101+Stapp.in!E101</f>
        <v>1</v>
      </c>
      <c r="AL142" s="21">
        <f t="shared" si="0"/>
        <v>0.43084877208099959</v>
      </c>
      <c r="AM142" s="21">
        <f t="shared" si="1"/>
        <v>0.14361625736033318</v>
      </c>
      <c r="AN142" s="25">
        <f t="shared" si="2"/>
        <v>2</v>
      </c>
      <c r="AO142" s="26">
        <f t="shared" si="3"/>
        <v>2</v>
      </c>
      <c r="AP142" s="27">
        <f>BattMobility!F101+cambio!F101+Claus2you!F101+CoopStroom!F101+Cozywheels!F101+Dégage!F101+Flexigo!F101+Klimaan!F101+Moovee!F101+Poppy!F101+'Mobilize Share'!F101+Stapp.in!F101</f>
        <v>3</v>
      </c>
      <c r="AQ142" s="25">
        <f>BattMobility!G101+cambio!G101+Claus2you!G101+CoopStroom!G101+Cozywheels!G101+Dégage!G101+Flexigo!G101+Klimaan!G101+Moovee!G101+Poppy!G101+'Mobilize Share'!G101+Stapp.in!G101</f>
        <v>1</v>
      </c>
      <c r="AR142" s="29">
        <f t="shared" si="4"/>
        <v>0.43084877208099959</v>
      </c>
      <c r="AS142" s="29">
        <f t="shared" si="5"/>
        <v>0.14361625736033318</v>
      </c>
      <c r="AT142" s="25">
        <f t="shared" si="6"/>
        <v>0</v>
      </c>
      <c r="AU142" s="30">
        <v>13.746</v>
      </c>
      <c r="AV142" s="31">
        <v>10.746</v>
      </c>
    </row>
    <row r="143" spans="1:48" ht="14.25" customHeight="1" x14ac:dyDescent="0.35">
      <c r="A143" s="2" t="s">
        <v>193</v>
      </c>
      <c r="B143" s="13" t="s">
        <v>52</v>
      </c>
      <c r="C143" s="13">
        <v>24133</v>
      </c>
      <c r="D143" s="14">
        <v>7276</v>
      </c>
      <c r="E143" s="14">
        <v>7317</v>
      </c>
      <c r="F143" s="14">
        <v>7323</v>
      </c>
      <c r="G143" s="14">
        <v>7354</v>
      </c>
      <c r="H143" s="15">
        <v>1</v>
      </c>
      <c r="I143" s="13">
        <v>0</v>
      </c>
      <c r="J143" s="16">
        <v>0.13743815283122596</v>
      </c>
      <c r="K143" s="15">
        <v>1</v>
      </c>
      <c r="L143" s="13">
        <v>0</v>
      </c>
      <c r="M143" s="16">
        <v>0.13743815283122596</v>
      </c>
      <c r="N143" s="15">
        <v>1</v>
      </c>
      <c r="O143" s="13">
        <v>0</v>
      </c>
      <c r="P143" s="16">
        <v>0.13666803334700012</v>
      </c>
      <c r="Q143" s="16">
        <v>0</v>
      </c>
      <c r="R143" s="18">
        <v>0</v>
      </c>
      <c r="S143" s="16">
        <v>-7.7011948422583965E-4</v>
      </c>
      <c r="T143" s="18">
        <v>0</v>
      </c>
      <c r="U143" s="16">
        <v>-7.7011948422583965E-4</v>
      </c>
      <c r="V143" s="18">
        <v>1</v>
      </c>
      <c r="W143" s="16">
        <v>0.13666803334700012</v>
      </c>
      <c r="X143" s="15">
        <v>1</v>
      </c>
      <c r="Y143" s="13">
        <v>0</v>
      </c>
      <c r="Z143" s="16">
        <v>0.13666803334700012</v>
      </c>
      <c r="AA143" s="16">
        <v>0</v>
      </c>
      <c r="AB143" s="15">
        <v>1</v>
      </c>
      <c r="AC143" s="13">
        <v>0</v>
      </c>
      <c r="AD143" s="16">
        <v>0.13655605626109518</v>
      </c>
      <c r="AE143" s="16">
        <v>0</v>
      </c>
      <c r="AF143" s="19">
        <v>3</v>
      </c>
      <c r="AG143" s="20">
        <v>0</v>
      </c>
      <c r="AH143" s="16">
        <v>0.40966816878328555</v>
      </c>
      <c r="AI143" s="21">
        <v>0</v>
      </c>
      <c r="AJ143" s="22">
        <f>BattMobility!D157+cambio!D157+Claus2you!D157+CoopStroom!D157+Cozywheels!D157+Dégage!D157+Flexigo!D157+Klimaan!D157+Moovee!D157+Poppy!D157+'Mobilize Share'!D157+Stapp.in!D157</f>
        <v>3</v>
      </c>
      <c r="AK143" s="23">
        <f>BattMobility!E157+cambio!E157+Claus2you!E157+CoopStroom!E157+Cozywheels!E157+Dégage!E157+Flexigo!E157+Klimaan!E157+Moovee!E157+Poppy!E157+'Mobilize Share'!E157+Stapp.in!E157</f>
        <v>0</v>
      </c>
      <c r="AL143" s="21">
        <f t="shared" si="0"/>
        <v>0.40794125645906992</v>
      </c>
      <c r="AM143" s="21">
        <f t="shared" si="1"/>
        <v>0</v>
      </c>
      <c r="AN143" s="25">
        <f t="shared" si="2"/>
        <v>2</v>
      </c>
      <c r="AO143" s="26">
        <f t="shared" si="3"/>
        <v>2</v>
      </c>
      <c r="AP143" s="27">
        <f>BattMobility!F157+cambio!F157+Claus2you!F157+CoopStroom!F157+Cozywheels!F157+Dégage!F157+Flexigo!F157+Klimaan!F157+Moovee!F157+Poppy!F157+'Mobilize Share'!F157+Stapp.in!F157</f>
        <v>3</v>
      </c>
      <c r="AQ143" s="25">
        <f>BattMobility!G157+cambio!G157+Claus2you!G157+CoopStroom!G157+Cozywheels!G157+Dégage!G157+Flexigo!G157+Klimaan!G157+Moovee!G157+Poppy!G157+'Mobilize Share'!G157+Stapp.in!G157</f>
        <v>0</v>
      </c>
      <c r="AR143" s="29">
        <f t="shared" si="4"/>
        <v>0.40794125645906992</v>
      </c>
      <c r="AS143" s="29">
        <f t="shared" si="5"/>
        <v>0</v>
      </c>
      <c r="AT143" s="25">
        <f t="shared" si="6"/>
        <v>0</v>
      </c>
      <c r="AU143" s="30">
        <v>14.646000000000001</v>
      </c>
      <c r="AV143" s="31">
        <v>11.646000000000001</v>
      </c>
    </row>
    <row r="144" spans="1:48" ht="14.25" customHeight="1" x14ac:dyDescent="0.35">
      <c r="A144" s="2" t="s">
        <v>194</v>
      </c>
      <c r="B144" s="13" t="s">
        <v>55</v>
      </c>
      <c r="C144" s="13">
        <v>37010</v>
      </c>
      <c r="D144" s="14">
        <v>7972</v>
      </c>
      <c r="E144" s="14">
        <v>8021</v>
      </c>
      <c r="F144" s="14">
        <v>8064</v>
      </c>
      <c r="G144" s="14">
        <v>8013</v>
      </c>
      <c r="H144" s="15">
        <v>0</v>
      </c>
      <c r="I144" s="13">
        <v>0</v>
      </c>
      <c r="J144" s="16">
        <v>0</v>
      </c>
      <c r="K144" s="15">
        <v>0</v>
      </c>
      <c r="L144" s="13">
        <v>0</v>
      </c>
      <c r="M144" s="16">
        <v>0</v>
      </c>
      <c r="N144" s="15">
        <v>0</v>
      </c>
      <c r="O144" s="13">
        <v>0</v>
      </c>
      <c r="P144" s="16">
        <v>0</v>
      </c>
      <c r="Q144" s="16">
        <v>0</v>
      </c>
      <c r="R144" s="18">
        <v>0</v>
      </c>
      <c r="S144" s="16">
        <v>0</v>
      </c>
      <c r="T144" s="18">
        <v>0</v>
      </c>
      <c r="U144" s="16">
        <v>0</v>
      </c>
      <c r="V144" s="18">
        <v>0</v>
      </c>
      <c r="W144" s="16">
        <v>0</v>
      </c>
      <c r="X144" s="15">
        <v>0</v>
      </c>
      <c r="Y144" s="13">
        <v>0</v>
      </c>
      <c r="Z144" s="16">
        <v>0</v>
      </c>
      <c r="AA144" s="16">
        <v>0</v>
      </c>
      <c r="AB144" s="15">
        <v>3</v>
      </c>
      <c r="AC144" s="13">
        <v>2</v>
      </c>
      <c r="AD144" s="16">
        <v>0.37202380952380948</v>
      </c>
      <c r="AE144" s="16">
        <v>0.248015873015873</v>
      </c>
      <c r="AF144" s="19">
        <v>3</v>
      </c>
      <c r="AG144" s="20">
        <v>2</v>
      </c>
      <c r="AH144" s="16">
        <v>0.37202380952380948</v>
      </c>
      <c r="AI144" s="21">
        <v>0.248015873015873</v>
      </c>
      <c r="AJ144" s="22">
        <f>BattMobility!D193+cambio!D193+Claus2you!D193+CoopStroom!D193+Cozywheels!D193+Dégage!D193+Flexigo!D193+Klimaan!D193+Moovee!D193+Poppy!D193+'Mobilize Share'!D193+Stapp.in!D193</f>
        <v>3</v>
      </c>
      <c r="AK144" s="23">
        <f>BattMobility!E193+cambio!E193+Claus2you!E193+CoopStroom!E193+Cozywheels!E193+Dégage!E193+Flexigo!E193+Klimaan!E193+Moovee!E193+Poppy!E193+'Mobilize Share'!E193+Stapp.in!E193</f>
        <v>2</v>
      </c>
      <c r="AL144" s="21">
        <f t="shared" si="0"/>
        <v>0.37439161362785478</v>
      </c>
      <c r="AM144" s="21">
        <f t="shared" si="1"/>
        <v>0.2495944090852365</v>
      </c>
      <c r="AN144" s="25">
        <f t="shared" si="2"/>
        <v>0</v>
      </c>
      <c r="AO144" s="26">
        <f t="shared" si="3"/>
        <v>0</v>
      </c>
      <c r="AP144" s="27">
        <f>BattMobility!F193+cambio!F193+Claus2you!F193+CoopStroom!F193+Cozywheels!F193+Dégage!F193+Flexigo!F193+Klimaan!F193+Moovee!F193+Poppy!F193+'Mobilize Share'!F193+Stapp.in!F193</f>
        <v>3</v>
      </c>
      <c r="AQ144" s="25">
        <f>BattMobility!G193+cambio!G193+Claus2you!G193+CoopStroom!G193+Cozywheels!G193+Dégage!G193+Flexigo!G193+Klimaan!G193+Moovee!G193+Poppy!G193+'Mobilize Share'!G193+Stapp.in!G193</f>
        <v>2</v>
      </c>
      <c r="AR144" s="29">
        <f t="shared" si="4"/>
        <v>0.37439161362785478</v>
      </c>
      <c r="AS144" s="29">
        <f t="shared" si="5"/>
        <v>0.2495944090852365</v>
      </c>
      <c r="AT144" s="25">
        <f t="shared" si="6"/>
        <v>0</v>
      </c>
      <c r="AU144" s="30">
        <v>16.128</v>
      </c>
      <c r="AV144" s="31">
        <v>13.128</v>
      </c>
    </row>
    <row r="145" spans="1:48" ht="14.25" customHeight="1" x14ac:dyDescent="0.35">
      <c r="A145" s="2" t="s">
        <v>195</v>
      </c>
      <c r="B145" s="13" t="s">
        <v>48</v>
      </c>
      <c r="C145" s="13">
        <v>13044</v>
      </c>
      <c r="D145" s="14">
        <v>8019</v>
      </c>
      <c r="E145" s="14">
        <v>8044</v>
      </c>
      <c r="F145" s="14">
        <v>8034</v>
      </c>
      <c r="G145" s="14">
        <v>8079</v>
      </c>
      <c r="H145" s="15">
        <v>0</v>
      </c>
      <c r="I145" s="13">
        <v>0</v>
      </c>
      <c r="J145" s="16">
        <v>0</v>
      </c>
      <c r="K145" s="15">
        <v>2</v>
      </c>
      <c r="L145" s="13">
        <v>0</v>
      </c>
      <c r="M145" s="16">
        <v>0.24940765681506424</v>
      </c>
      <c r="N145" s="15">
        <v>2</v>
      </c>
      <c r="O145" s="13">
        <v>2</v>
      </c>
      <c r="P145" s="16">
        <v>0.24863252113376427</v>
      </c>
      <c r="Q145" s="16">
        <v>0.24863252113376427</v>
      </c>
      <c r="R145" s="18">
        <v>2</v>
      </c>
      <c r="S145" s="16">
        <v>0.24863252113376427</v>
      </c>
      <c r="T145" s="18">
        <v>0</v>
      </c>
      <c r="U145" s="16">
        <v>-7.7513568129997101E-4</v>
      </c>
      <c r="V145" s="18">
        <v>0</v>
      </c>
      <c r="W145" s="16">
        <v>0</v>
      </c>
      <c r="X145" s="15">
        <v>3</v>
      </c>
      <c r="Y145" s="13">
        <v>2</v>
      </c>
      <c r="Z145" s="16">
        <v>0.37294878170064644</v>
      </c>
      <c r="AA145" s="16">
        <v>0.24863252113376427</v>
      </c>
      <c r="AB145" s="15">
        <v>3</v>
      </c>
      <c r="AC145" s="13">
        <v>2</v>
      </c>
      <c r="AD145" s="16">
        <v>0.37341299477221812</v>
      </c>
      <c r="AE145" s="16">
        <v>0.24894199651481205</v>
      </c>
      <c r="AF145" s="19">
        <v>3</v>
      </c>
      <c r="AG145" s="20">
        <v>2</v>
      </c>
      <c r="AH145" s="16">
        <v>0.37341299477221812</v>
      </c>
      <c r="AI145" s="21">
        <v>0.24894199651481205</v>
      </c>
      <c r="AJ145" s="22">
        <f>BattMobility!D252+cambio!D252+Claus2you!D252+CoopStroom!D252+Cozywheels!D252+Dégage!D252+Flexigo!D252+Klimaan!D252+Moovee!D252+Poppy!D252+'Mobilize Share'!D252+Stapp.in!D252</f>
        <v>3</v>
      </c>
      <c r="AK145" s="23">
        <f>BattMobility!E252+cambio!E252+Claus2you!E252+CoopStroom!E252+Cozywheels!E252+Dégage!E252+Flexigo!E252+Klimaan!E252+Moovee!E252+Poppy!E252+'Mobilize Share'!E252+Stapp.in!E252</f>
        <v>2</v>
      </c>
      <c r="AL145" s="21">
        <f t="shared" si="0"/>
        <v>0.37133308577794283</v>
      </c>
      <c r="AM145" s="21">
        <f t="shared" si="1"/>
        <v>0.24755539051862854</v>
      </c>
      <c r="AN145" s="25">
        <f t="shared" si="2"/>
        <v>0</v>
      </c>
      <c r="AO145" s="26">
        <f t="shared" si="3"/>
        <v>0</v>
      </c>
      <c r="AP145" s="27">
        <f>BattMobility!F252+cambio!F252+Claus2you!F252+CoopStroom!F252+Cozywheels!F252+Dégage!F252+Flexigo!F252+Klimaan!F252+Moovee!F252+Poppy!F252+'Mobilize Share'!F252+Stapp.in!F252</f>
        <v>3</v>
      </c>
      <c r="AQ145" s="25">
        <f>BattMobility!G252+cambio!G252+Claus2you!G252+CoopStroom!G252+Cozywheels!G252+Dégage!G252+Flexigo!G252+Klimaan!G252+Moovee!G252+Poppy!G252+'Mobilize Share'!G252+Stapp.in!G252</f>
        <v>2</v>
      </c>
      <c r="AR145" s="29">
        <f t="shared" si="4"/>
        <v>0.37133308577794283</v>
      </c>
      <c r="AS145" s="29">
        <f t="shared" si="5"/>
        <v>0.24755539051862854</v>
      </c>
      <c r="AT145" s="25">
        <f t="shared" si="6"/>
        <v>0</v>
      </c>
      <c r="AU145" s="30">
        <v>16.068000000000001</v>
      </c>
      <c r="AV145" s="31">
        <v>13.068000000000001</v>
      </c>
    </row>
    <row r="146" spans="1:48" ht="14.25" customHeight="1" x14ac:dyDescent="0.35">
      <c r="A146" s="2" t="s">
        <v>196</v>
      </c>
      <c r="B146" s="13" t="s">
        <v>48</v>
      </c>
      <c r="C146" s="13">
        <v>11021</v>
      </c>
      <c r="D146" s="14">
        <v>8311</v>
      </c>
      <c r="E146" s="14">
        <v>8444</v>
      </c>
      <c r="F146" s="14">
        <v>8406</v>
      </c>
      <c r="G146" s="14">
        <v>8366</v>
      </c>
      <c r="H146" s="15">
        <v>0</v>
      </c>
      <c r="I146" s="13">
        <v>0</v>
      </c>
      <c r="J146" s="16">
        <v>0</v>
      </c>
      <c r="K146" s="15">
        <v>0</v>
      </c>
      <c r="L146" s="13">
        <v>0</v>
      </c>
      <c r="M146" s="16">
        <v>0</v>
      </c>
      <c r="N146" s="15">
        <v>0</v>
      </c>
      <c r="O146" s="13">
        <v>0</v>
      </c>
      <c r="P146" s="16">
        <v>0</v>
      </c>
      <c r="Q146" s="16">
        <v>0</v>
      </c>
      <c r="R146" s="18">
        <v>0</v>
      </c>
      <c r="S146" s="16">
        <v>0</v>
      </c>
      <c r="T146" s="18">
        <v>0</v>
      </c>
      <c r="U146" s="16">
        <v>0</v>
      </c>
      <c r="V146" s="18">
        <v>0</v>
      </c>
      <c r="W146" s="16">
        <v>0</v>
      </c>
      <c r="X146" s="15">
        <v>2</v>
      </c>
      <c r="Y146" s="13">
        <v>1</v>
      </c>
      <c r="Z146" s="16">
        <v>0.23685457129322596</v>
      </c>
      <c r="AA146" s="16">
        <v>0.11842728564661298</v>
      </c>
      <c r="AB146" s="15">
        <v>2</v>
      </c>
      <c r="AC146" s="13">
        <v>1</v>
      </c>
      <c r="AD146" s="16">
        <v>0.23792529145848204</v>
      </c>
      <c r="AE146" s="16">
        <v>0.11896264572924102</v>
      </c>
      <c r="AF146" s="19">
        <v>3</v>
      </c>
      <c r="AG146" s="20">
        <v>1</v>
      </c>
      <c r="AH146" s="16">
        <v>0.35688793718772305</v>
      </c>
      <c r="AI146" s="21">
        <v>0.11896264572924102</v>
      </c>
      <c r="AJ146" s="22">
        <f>BattMobility!D109+cambio!D109+Claus2you!D109+CoopStroom!D109+Cozywheels!D109+Dégage!D109+Flexigo!D109+Klimaan!D109+Moovee!D109+Poppy!D109+'Mobilize Share'!D109+Stapp.in!D109</f>
        <v>3</v>
      </c>
      <c r="AK146" s="23">
        <f>BattMobility!E109+cambio!E109+Claus2you!E109+CoopStroom!E109+Cozywheels!E109+Dégage!E109+Flexigo!E109+Klimaan!E109+Moovee!E109+Poppy!E109+'Mobilize Share'!E109+Stapp.in!E109</f>
        <v>0</v>
      </c>
      <c r="AL146" s="21">
        <f t="shared" si="0"/>
        <v>0.35859431030360983</v>
      </c>
      <c r="AM146" s="21">
        <f t="shared" si="1"/>
        <v>0</v>
      </c>
      <c r="AN146" s="25">
        <f t="shared" si="2"/>
        <v>1</v>
      </c>
      <c r="AO146" s="26">
        <f t="shared" si="3"/>
        <v>0.5</v>
      </c>
      <c r="AP146" s="27">
        <f>BattMobility!F109+cambio!F109+Claus2you!F109+CoopStroom!F109+Cozywheels!F109+Dégage!F109+Flexigo!F109+Klimaan!F109+Moovee!F109+Poppy!F109+'Mobilize Share'!F109+Stapp.in!F109</f>
        <v>3</v>
      </c>
      <c r="AQ146" s="25">
        <f>BattMobility!G109+cambio!G109+Claus2you!G109+CoopStroom!G109+Cozywheels!G109+Dégage!G109+Flexigo!G109+Klimaan!G109+Moovee!G109+Poppy!G109+'Mobilize Share'!G109+Stapp.in!G109</f>
        <v>0</v>
      </c>
      <c r="AR146" s="29">
        <f t="shared" si="4"/>
        <v>0.35859431030360983</v>
      </c>
      <c r="AS146" s="29">
        <f t="shared" si="5"/>
        <v>0</v>
      </c>
      <c r="AT146" s="25">
        <f t="shared" si="6"/>
        <v>0</v>
      </c>
      <c r="AU146" s="30">
        <v>16.812000000000001</v>
      </c>
      <c r="AV146" s="31">
        <v>13.812000000000001</v>
      </c>
    </row>
    <row r="147" spans="1:48" ht="14.25" customHeight="1" x14ac:dyDescent="0.35">
      <c r="A147" s="2" t="s">
        <v>197</v>
      </c>
      <c r="B147" s="13" t="s">
        <v>48</v>
      </c>
      <c r="C147" s="13">
        <v>13023</v>
      </c>
      <c r="D147" s="14">
        <v>8683</v>
      </c>
      <c r="E147" s="14">
        <v>8799</v>
      </c>
      <c r="F147" s="14">
        <v>8883</v>
      </c>
      <c r="G147" s="14">
        <v>8921</v>
      </c>
      <c r="H147" s="15">
        <v>1</v>
      </c>
      <c r="I147" s="13">
        <v>0</v>
      </c>
      <c r="J147" s="16">
        <v>0.11516756881262236</v>
      </c>
      <c r="K147" s="15">
        <v>2</v>
      </c>
      <c r="L147" s="13">
        <v>0</v>
      </c>
      <c r="M147" s="16">
        <v>0.23033513762524471</v>
      </c>
      <c r="N147" s="15">
        <v>2</v>
      </c>
      <c r="O147" s="13">
        <v>2</v>
      </c>
      <c r="P147" s="16">
        <v>0.22729855665416523</v>
      </c>
      <c r="Q147" s="16">
        <v>0.22729855665416523</v>
      </c>
      <c r="R147" s="18">
        <v>1</v>
      </c>
      <c r="S147" s="16">
        <v>0.11213098784154288</v>
      </c>
      <c r="T147" s="18">
        <v>0</v>
      </c>
      <c r="U147" s="16">
        <v>-3.0365809710794778E-3</v>
      </c>
      <c r="V147" s="18">
        <v>0</v>
      </c>
      <c r="W147" s="16">
        <v>0</v>
      </c>
      <c r="X147" s="15">
        <v>2</v>
      </c>
      <c r="Y147" s="13">
        <v>2</v>
      </c>
      <c r="Z147" s="16">
        <v>0.22729855665416523</v>
      </c>
      <c r="AA147" s="16">
        <v>0.22729855665416523</v>
      </c>
      <c r="AB147" s="15">
        <v>2</v>
      </c>
      <c r="AC147" s="13">
        <v>2</v>
      </c>
      <c r="AD147" s="16">
        <v>0.22514916131937407</v>
      </c>
      <c r="AE147" s="16">
        <v>0.22514916131937407</v>
      </c>
      <c r="AF147" s="19">
        <v>3</v>
      </c>
      <c r="AG147" s="20">
        <v>3</v>
      </c>
      <c r="AH147" s="16">
        <v>0.33772374197906113</v>
      </c>
      <c r="AI147" s="21">
        <v>0.33772374197906113</v>
      </c>
      <c r="AJ147" s="22">
        <f>BattMobility!D177+cambio!D177+Claus2you!D177+CoopStroom!D177+Cozywheels!D177+Dégage!D177+Flexigo!D177+Klimaan!D177+Moovee!D177+Poppy!D177+'Mobilize Share'!D177+Stapp.in!D177</f>
        <v>3</v>
      </c>
      <c r="AK147" s="23">
        <f>BattMobility!E177+cambio!E177+Claus2you!E177+CoopStroom!E177+Cozywheels!E177+Dégage!E177+Flexigo!E177+Klimaan!E177+Moovee!E177+Poppy!E177+'Mobilize Share'!E177+Stapp.in!E177</f>
        <v>3</v>
      </c>
      <c r="AL147" s="21">
        <f t="shared" si="0"/>
        <v>0.3362851698240108</v>
      </c>
      <c r="AM147" s="21">
        <f t="shared" si="1"/>
        <v>0.3362851698240108</v>
      </c>
      <c r="AN147" s="25">
        <f t="shared" si="2"/>
        <v>1</v>
      </c>
      <c r="AO147" s="26">
        <f t="shared" si="3"/>
        <v>0.5</v>
      </c>
      <c r="AP147" s="27">
        <f>BattMobility!F177+cambio!F177+Claus2you!F177+CoopStroom!F177+Cozywheels!F177+Dégage!F177+Flexigo!F177+Klimaan!F177+Moovee!F177+Poppy!F177+'Mobilize Share'!F177+Stapp.in!F177</f>
        <v>3</v>
      </c>
      <c r="AQ147" s="25">
        <f>BattMobility!G177+cambio!G177+Claus2you!G177+CoopStroom!G177+Cozywheels!G177+Dégage!G177+Flexigo!G177+Klimaan!G177+Moovee!G177+Poppy!G177+'Mobilize Share'!G177+Stapp.in!G177</f>
        <v>2</v>
      </c>
      <c r="AR147" s="29">
        <f t="shared" si="4"/>
        <v>0.3362851698240108</v>
      </c>
      <c r="AS147" s="29">
        <f t="shared" si="5"/>
        <v>0.22419011321600718</v>
      </c>
      <c r="AT147" s="25">
        <f t="shared" si="6"/>
        <v>0</v>
      </c>
      <c r="AU147" s="30">
        <v>17.765999999999998</v>
      </c>
      <c r="AV147" s="31">
        <v>14.765999999999998</v>
      </c>
    </row>
    <row r="148" spans="1:48" ht="14.25" customHeight="1" x14ac:dyDescent="0.35">
      <c r="A148" s="2" t="s">
        <v>198</v>
      </c>
      <c r="B148" s="13" t="s">
        <v>55</v>
      </c>
      <c r="C148" s="13">
        <v>36011</v>
      </c>
      <c r="D148" s="14">
        <v>9018</v>
      </c>
      <c r="E148" s="14">
        <v>9166</v>
      </c>
      <c r="F148" s="14">
        <v>9319</v>
      </c>
      <c r="G148" s="14">
        <v>9437</v>
      </c>
      <c r="H148" s="15">
        <v>0</v>
      </c>
      <c r="I148" s="13">
        <v>0</v>
      </c>
      <c r="J148" s="32">
        <v>0</v>
      </c>
      <c r="K148" s="15">
        <v>0</v>
      </c>
      <c r="L148" s="13">
        <v>0</v>
      </c>
      <c r="M148" s="32">
        <v>0</v>
      </c>
      <c r="N148" s="15">
        <v>1</v>
      </c>
      <c r="O148" s="13">
        <v>0</v>
      </c>
      <c r="P148" s="32">
        <v>0.10909884355225835</v>
      </c>
      <c r="Q148" s="16">
        <v>0</v>
      </c>
      <c r="R148" s="18">
        <v>1</v>
      </c>
      <c r="S148" s="16">
        <v>0.10909884355225835</v>
      </c>
      <c r="T148" s="18">
        <v>1</v>
      </c>
      <c r="U148" s="16">
        <v>0.10909884355225835</v>
      </c>
      <c r="V148" s="18">
        <v>1</v>
      </c>
      <c r="W148" s="16">
        <v>0.10909884355225835</v>
      </c>
      <c r="X148" s="15">
        <v>0</v>
      </c>
      <c r="Y148" s="13">
        <v>0</v>
      </c>
      <c r="Z148" s="32">
        <v>0</v>
      </c>
      <c r="AA148" s="16">
        <v>0</v>
      </c>
      <c r="AB148" s="15">
        <v>1</v>
      </c>
      <c r="AC148" s="13">
        <v>0</v>
      </c>
      <c r="AD148" s="32">
        <v>0.10730765103551884</v>
      </c>
      <c r="AE148" s="16">
        <v>0</v>
      </c>
      <c r="AF148" s="19">
        <v>2</v>
      </c>
      <c r="AG148" s="20">
        <v>1</v>
      </c>
      <c r="AH148" s="16">
        <v>0.21461530207103768</v>
      </c>
      <c r="AI148" s="21">
        <v>0.10730765103551884</v>
      </c>
      <c r="AJ148" s="22">
        <f>BattMobility!D149+cambio!D149+Claus2you!D149+CoopStroom!D149+Cozywheels!D149+Dégage!D149+Flexigo!D149+Klimaan!D149+Moovee!D149+Poppy!D149+'Mobilize Share'!D149+Stapp.in!D149</f>
        <v>2</v>
      </c>
      <c r="AK148" s="23">
        <f>BattMobility!E149+cambio!E149+Claus2you!E149+CoopStroom!E149+Cozywheels!E149+Dégage!E149+Flexigo!E149+Klimaan!E149+Moovee!E149+Poppy!E149+'Mobilize Share'!E149+Stapp.in!E149</f>
        <v>1</v>
      </c>
      <c r="AL148" s="21">
        <f t="shared" si="0"/>
        <v>0.21193175797393241</v>
      </c>
      <c r="AM148" s="21">
        <f t="shared" si="1"/>
        <v>0.1059658789869662</v>
      </c>
      <c r="AN148" s="25">
        <f t="shared" si="2"/>
        <v>1</v>
      </c>
      <c r="AO148" s="26">
        <f t="shared" si="3"/>
        <v>1</v>
      </c>
      <c r="AP148" s="27">
        <f>BattMobility!F149+cambio!F149+Claus2you!F149+CoopStroom!F149+Cozywheels!F149+Dégage!F149+Flexigo!F149+Klimaan!F149+Moovee!F149+Poppy!F149+'Mobilize Share'!F149+Stapp.in!F149</f>
        <v>3</v>
      </c>
      <c r="AQ148" s="25">
        <f>BattMobility!G149+cambio!G149+Claus2you!G149+CoopStroom!G149+Cozywheels!G149+Dégage!G149+Flexigo!G149+Klimaan!G149+Moovee!G149+Poppy!G149+'Mobilize Share'!G149+Stapp.in!G149</f>
        <v>2</v>
      </c>
      <c r="AR148" s="29">
        <f t="shared" si="4"/>
        <v>0.31789763696089862</v>
      </c>
      <c r="AS148" s="29">
        <f t="shared" si="5"/>
        <v>0.21193175797393241</v>
      </c>
      <c r="AT148" s="25">
        <f t="shared" si="6"/>
        <v>1</v>
      </c>
      <c r="AU148" s="30">
        <v>18.638000000000002</v>
      </c>
      <c r="AV148" s="31">
        <v>16.638000000000002</v>
      </c>
    </row>
    <row r="149" spans="1:48" ht="14.25" customHeight="1" x14ac:dyDescent="0.35">
      <c r="A149" s="2" t="s">
        <v>199</v>
      </c>
      <c r="B149" s="13" t="s">
        <v>55</v>
      </c>
      <c r="C149" s="13">
        <v>37020</v>
      </c>
      <c r="D149" s="14">
        <v>9195</v>
      </c>
      <c r="E149" s="14">
        <v>9338</v>
      </c>
      <c r="F149" s="14">
        <v>9355</v>
      </c>
      <c r="G149" s="14">
        <v>9514</v>
      </c>
      <c r="H149" s="15">
        <v>1</v>
      </c>
      <c r="I149" s="13">
        <v>0</v>
      </c>
      <c r="J149" s="16">
        <v>0.10875475802066341</v>
      </c>
      <c r="K149" s="15">
        <v>1</v>
      </c>
      <c r="L149" s="13">
        <v>0</v>
      </c>
      <c r="M149" s="16">
        <v>0.10875475802066341</v>
      </c>
      <c r="N149" s="15">
        <v>0</v>
      </c>
      <c r="O149" s="13">
        <v>0</v>
      </c>
      <c r="P149" s="16">
        <v>0</v>
      </c>
      <c r="Q149" s="16">
        <v>0</v>
      </c>
      <c r="R149" s="18">
        <v>-1</v>
      </c>
      <c r="S149" s="16">
        <v>-0.10875475802066341</v>
      </c>
      <c r="T149" s="18">
        <v>-1</v>
      </c>
      <c r="U149" s="16">
        <v>-0.10875475802066341</v>
      </c>
      <c r="V149" s="18">
        <v>0</v>
      </c>
      <c r="W149" s="16">
        <v>0</v>
      </c>
      <c r="X149" s="15">
        <v>0</v>
      </c>
      <c r="Y149" s="13">
        <v>0</v>
      </c>
      <c r="Z149" s="16">
        <v>0</v>
      </c>
      <c r="AA149" s="16">
        <v>0</v>
      </c>
      <c r="AB149" s="15">
        <v>2</v>
      </c>
      <c r="AC149" s="13">
        <v>0</v>
      </c>
      <c r="AD149" s="16">
        <v>0.21378941742383753</v>
      </c>
      <c r="AE149" s="16">
        <v>0</v>
      </c>
      <c r="AF149" s="19">
        <v>3</v>
      </c>
      <c r="AG149" s="20">
        <v>1</v>
      </c>
      <c r="AH149" s="16">
        <v>0.32068412613575625</v>
      </c>
      <c r="AI149" s="21">
        <v>0.10689470871191876</v>
      </c>
      <c r="AJ149" s="22">
        <f>BattMobility!D11+cambio!D11+Claus2you!D11+CoopStroom!D11+Cozywheels!D11+Dégage!D11+Flexigo!D11+Klimaan!D11+Moovee!D11+Poppy!D11+'Mobilize Share'!D11+Stapp.in!D11</f>
        <v>3</v>
      </c>
      <c r="AK149" s="23">
        <f>BattMobility!E11+cambio!E11+Claus2you!E11+CoopStroom!E11+Cozywheels!E11+Dégage!E11+Flexigo!E11+Klimaan!E11+Moovee!E11+Poppy!E11+'Mobilize Share'!E11+Stapp.in!E11</f>
        <v>1</v>
      </c>
      <c r="AL149" s="21">
        <f t="shared" si="0"/>
        <v>0.3153247845280639</v>
      </c>
      <c r="AM149" s="21">
        <f t="shared" si="1"/>
        <v>0.10510826150935464</v>
      </c>
      <c r="AN149" s="25">
        <f t="shared" si="2"/>
        <v>1</v>
      </c>
      <c r="AO149" s="26">
        <f t="shared" si="3"/>
        <v>0.5</v>
      </c>
      <c r="AP149" s="27">
        <f>BattMobility!F11+cambio!F11+Claus2you!F11+CoopStroom!F11+Cozywheels!F11+Dégage!F11+Flexigo!F11+Klimaan!F11+Moovee!F11+Poppy!F11+'Mobilize Share'!F11+Stapp.in!F11</f>
        <v>3</v>
      </c>
      <c r="AQ149" s="25">
        <f>BattMobility!G11+cambio!G11+Claus2you!G11+CoopStroom!G11+Cozywheels!G11+Dégage!G11+Flexigo!G11+Klimaan!G11+Moovee!G11+Poppy!G11+'Mobilize Share'!G11+Stapp.in!G11</f>
        <v>1</v>
      </c>
      <c r="AR149" s="29">
        <f t="shared" si="4"/>
        <v>0.3153247845280639</v>
      </c>
      <c r="AS149" s="29">
        <f t="shared" si="5"/>
        <v>0.10510826150935464</v>
      </c>
      <c r="AT149" s="25">
        <f t="shared" si="6"/>
        <v>0</v>
      </c>
      <c r="AU149" s="30">
        <v>18.71</v>
      </c>
      <c r="AV149" s="31">
        <v>15.71</v>
      </c>
    </row>
    <row r="150" spans="1:48" ht="14.25" customHeight="1" x14ac:dyDescent="0.35">
      <c r="A150" s="2" t="s">
        <v>200</v>
      </c>
      <c r="B150" s="13" t="s">
        <v>55</v>
      </c>
      <c r="C150" s="13">
        <v>35014</v>
      </c>
      <c r="D150" s="14">
        <v>9717</v>
      </c>
      <c r="E150" s="14">
        <v>9911</v>
      </c>
      <c r="F150" s="14">
        <v>9933</v>
      </c>
      <c r="G150" s="14">
        <v>10231</v>
      </c>
      <c r="H150" s="15">
        <v>0</v>
      </c>
      <c r="I150" s="13">
        <v>0</v>
      </c>
      <c r="J150" s="16">
        <v>0</v>
      </c>
      <c r="K150" s="15">
        <v>0</v>
      </c>
      <c r="L150" s="13">
        <v>0</v>
      </c>
      <c r="M150" s="16">
        <v>0</v>
      </c>
      <c r="N150" s="15">
        <v>0</v>
      </c>
      <c r="O150" s="13">
        <v>0</v>
      </c>
      <c r="P150" s="16">
        <v>0</v>
      </c>
      <c r="Q150" s="16">
        <v>0</v>
      </c>
      <c r="R150" s="18">
        <v>0</v>
      </c>
      <c r="S150" s="16">
        <v>0</v>
      </c>
      <c r="T150" s="18">
        <v>0</v>
      </c>
      <c r="U150" s="16">
        <v>0</v>
      </c>
      <c r="V150" s="18">
        <v>0</v>
      </c>
      <c r="W150" s="16">
        <v>0</v>
      </c>
      <c r="X150" s="15">
        <v>0</v>
      </c>
      <c r="Y150" s="13">
        <v>0</v>
      </c>
      <c r="Z150" s="16">
        <v>0</v>
      </c>
      <c r="AA150" s="16">
        <v>0</v>
      </c>
      <c r="AB150" s="15">
        <v>0</v>
      </c>
      <c r="AC150" s="13">
        <v>0</v>
      </c>
      <c r="AD150" s="16">
        <v>0</v>
      </c>
      <c r="AE150" s="16">
        <v>0</v>
      </c>
      <c r="AF150" s="19">
        <v>0</v>
      </c>
      <c r="AG150" s="20">
        <v>0</v>
      </c>
      <c r="AH150" s="16">
        <v>0</v>
      </c>
      <c r="AI150" s="21">
        <v>0</v>
      </c>
      <c r="AJ150" s="22">
        <f>BattMobility!D198+cambio!D198+Claus2you!D198+CoopStroom!D198+Cozywheels!D198+Dégage!D198+Flexigo!D198+Klimaan!D198+Moovee!D198+Poppy!D198+'Mobilize Share'!D198+Stapp.in!D198</f>
        <v>0</v>
      </c>
      <c r="AK150" s="23">
        <f>BattMobility!E198+cambio!E198+Claus2you!E198+CoopStroom!E198+Cozywheels!E198+Dégage!E198+Flexigo!E198+Klimaan!E198+Moovee!E198+Poppy!E198+'Mobilize Share'!E198+Stapp.in!E198</f>
        <v>0</v>
      </c>
      <c r="AL150" s="21">
        <f t="shared" si="0"/>
        <v>0</v>
      </c>
      <c r="AM150" s="21">
        <f t="shared" si="1"/>
        <v>0</v>
      </c>
      <c r="AN150" s="25">
        <f t="shared" si="2"/>
        <v>0</v>
      </c>
      <c r="AO150" s="26" t="e">
        <f t="shared" si="3"/>
        <v>#DIV/0!</v>
      </c>
      <c r="AP150" s="27">
        <f>BattMobility!F198+cambio!F198+Claus2you!F198+CoopStroom!F198+Cozywheels!F198+Dégage!F198+Flexigo!F198+Klimaan!F198+Moovee!F198+Poppy!F198+'Mobilize Share'!F198+Stapp.in!F198</f>
        <v>3</v>
      </c>
      <c r="AQ150" s="25">
        <f>BattMobility!G198+cambio!G198+Claus2you!G198+CoopStroom!G198+Cozywheels!G198+Dégage!G198+Flexigo!G198+Klimaan!G198+Moovee!G198+Poppy!G198+'Mobilize Share'!G198+Stapp.in!G198</f>
        <v>2</v>
      </c>
      <c r="AR150" s="29">
        <f t="shared" si="4"/>
        <v>0.29322646857589679</v>
      </c>
      <c r="AS150" s="29">
        <f t="shared" si="5"/>
        <v>0.19548431238393119</v>
      </c>
      <c r="AT150" s="25">
        <f t="shared" si="6"/>
        <v>3</v>
      </c>
      <c r="AU150" s="30">
        <v>19.866</v>
      </c>
      <c r="AV150" s="31">
        <v>19.866</v>
      </c>
    </row>
    <row r="151" spans="1:48" ht="14.25" customHeight="1" x14ac:dyDescent="0.35">
      <c r="A151" s="2" t="s">
        <v>201</v>
      </c>
      <c r="B151" s="13" t="s">
        <v>55</v>
      </c>
      <c r="C151" s="13">
        <v>37017</v>
      </c>
      <c r="D151" s="14">
        <v>9917</v>
      </c>
      <c r="E151" s="14">
        <v>10013</v>
      </c>
      <c r="F151" s="14">
        <v>10138</v>
      </c>
      <c r="G151" s="14">
        <v>10256</v>
      </c>
      <c r="H151" s="15">
        <v>0</v>
      </c>
      <c r="I151" s="13">
        <v>0</v>
      </c>
      <c r="J151" s="16">
        <v>0</v>
      </c>
      <c r="K151" s="15">
        <v>0</v>
      </c>
      <c r="L151" s="13">
        <v>0</v>
      </c>
      <c r="M151" s="16">
        <v>0</v>
      </c>
      <c r="N151" s="15">
        <v>0</v>
      </c>
      <c r="O151" s="13">
        <v>0</v>
      </c>
      <c r="P151" s="16">
        <v>0</v>
      </c>
      <c r="Q151" s="16">
        <v>0</v>
      </c>
      <c r="R151" s="18">
        <v>0</v>
      </c>
      <c r="S151" s="16">
        <v>0</v>
      </c>
      <c r="T151" s="18">
        <v>0</v>
      </c>
      <c r="U151" s="16">
        <v>0</v>
      </c>
      <c r="V151" s="18">
        <v>0</v>
      </c>
      <c r="W151" s="16">
        <v>0</v>
      </c>
      <c r="X151" s="15">
        <v>0</v>
      </c>
      <c r="Y151" s="13">
        <v>0</v>
      </c>
      <c r="Z151" s="16">
        <v>0</v>
      </c>
      <c r="AA151" s="16">
        <v>0</v>
      </c>
      <c r="AB151" s="15">
        <v>1</v>
      </c>
      <c r="AC151" s="13">
        <v>0</v>
      </c>
      <c r="AD151" s="16">
        <v>9.8638784770171628E-2</v>
      </c>
      <c r="AE151" s="16">
        <v>0</v>
      </c>
      <c r="AF151" s="19">
        <v>2</v>
      </c>
      <c r="AG151" s="20">
        <v>1</v>
      </c>
      <c r="AH151" s="16">
        <v>0.19727756954034326</v>
      </c>
      <c r="AI151" s="21">
        <v>9.8638784770171628E-2</v>
      </c>
      <c r="AJ151" s="22">
        <f>BattMobility!D264+cambio!D264+Claus2you!D264+CoopStroom!D264+Cozywheels!D264+Dégage!D264+Flexigo!D264+Klimaan!D264+Moovee!D264+Poppy!D264+'Mobilize Share'!D264+Stapp.in!D264</f>
        <v>2</v>
      </c>
      <c r="AK151" s="23">
        <f>BattMobility!E264+cambio!E264+Claus2you!E264+CoopStroom!E264+Cozywheels!E264+Dégage!E264+Flexigo!E264+Klimaan!E264+Moovee!E264+Poppy!E264+'Mobilize Share'!E264+Stapp.in!E264</f>
        <v>1</v>
      </c>
      <c r="AL151" s="21">
        <f t="shared" si="0"/>
        <v>0.19500780031201248</v>
      </c>
      <c r="AM151" s="21">
        <f t="shared" si="1"/>
        <v>9.750390015600624E-2</v>
      </c>
      <c r="AN151" s="25">
        <f t="shared" si="2"/>
        <v>1</v>
      </c>
      <c r="AO151" s="26">
        <f t="shared" si="3"/>
        <v>1</v>
      </c>
      <c r="AP151" s="27">
        <f>BattMobility!F264+cambio!F264+Claus2you!F264+CoopStroom!F264+Cozywheels!F264+Dégage!F264+Flexigo!F264+Klimaan!F264+Moovee!F264+Poppy!F264+'Mobilize Share'!F264+Stapp.in!F264</f>
        <v>3</v>
      </c>
      <c r="AQ151" s="25">
        <f>BattMobility!G264+cambio!G264+Claus2you!G264+CoopStroom!G264+Cozywheels!G264+Dégage!G264+Flexigo!G264+Klimaan!G264+Moovee!G264+Poppy!G264+'Mobilize Share'!G264+Stapp.in!G264</f>
        <v>1</v>
      </c>
      <c r="AR151" s="29">
        <f t="shared" si="4"/>
        <v>0.29251170046801872</v>
      </c>
      <c r="AS151" s="29">
        <f t="shared" si="5"/>
        <v>9.750390015600624E-2</v>
      </c>
      <c r="AT151" s="25">
        <f t="shared" si="6"/>
        <v>1</v>
      </c>
      <c r="AU151" s="30">
        <v>20.276</v>
      </c>
      <c r="AV151" s="31">
        <v>18.276</v>
      </c>
    </row>
    <row r="152" spans="1:48" ht="14.25" customHeight="1" x14ac:dyDescent="0.35">
      <c r="A152" s="2" t="s">
        <v>202</v>
      </c>
      <c r="B152" s="13" t="s">
        <v>50</v>
      </c>
      <c r="C152" s="13">
        <v>41063</v>
      </c>
      <c r="D152" s="14">
        <v>10534</v>
      </c>
      <c r="E152" s="14">
        <v>10658</v>
      </c>
      <c r="F152" s="14">
        <v>10687</v>
      </c>
      <c r="G152" s="14">
        <v>10748</v>
      </c>
      <c r="H152" s="15">
        <v>2</v>
      </c>
      <c r="I152" s="13">
        <v>0</v>
      </c>
      <c r="J152" s="16">
        <v>0.18986140117714068</v>
      </c>
      <c r="K152" s="15">
        <v>3</v>
      </c>
      <c r="L152" s="13">
        <v>0</v>
      </c>
      <c r="M152" s="16">
        <v>0.28479210176571101</v>
      </c>
      <c r="N152" s="15">
        <v>2</v>
      </c>
      <c r="O152" s="13">
        <v>2</v>
      </c>
      <c r="P152" s="16">
        <v>0.18765246762994933</v>
      </c>
      <c r="Q152" s="16">
        <v>0.18765246762994933</v>
      </c>
      <c r="R152" s="18">
        <v>0</v>
      </c>
      <c r="S152" s="16">
        <v>-2.208933547191344E-3</v>
      </c>
      <c r="T152" s="18">
        <v>-1</v>
      </c>
      <c r="U152" s="16">
        <v>-9.7139634135761682E-2</v>
      </c>
      <c r="V152" s="18">
        <v>0</v>
      </c>
      <c r="W152" s="16">
        <v>0</v>
      </c>
      <c r="X152" s="15">
        <v>2</v>
      </c>
      <c r="Y152" s="13">
        <v>2</v>
      </c>
      <c r="Z152" s="16">
        <v>0.18765246762994933</v>
      </c>
      <c r="AA152" s="16">
        <v>0.18765246762994933</v>
      </c>
      <c r="AB152" s="15">
        <v>3</v>
      </c>
      <c r="AC152" s="13">
        <v>3</v>
      </c>
      <c r="AD152" s="16">
        <v>0.28071488724618693</v>
      </c>
      <c r="AE152" s="16">
        <v>0.28071488724618693</v>
      </c>
      <c r="AF152" s="19">
        <v>3</v>
      </c>
      <c r="AG152" s="20">
        <v>3</v>
      </c>
      <c r="AH152" s="16">
        <v>0.28071488724618693</v>
      </c>
      <c r="AI152" s="21">
        <v>0.28071488724618693</v>
      </c>
      <c r="AJ152" s="22">
        <f>BattMobility!D227+cambio!D227+Claus2you!D227+CoopStroom!D227+Cozywheels!D227+Dégage!D227+Flexigo!D227+Klimaan!D227+Moovee!D227+Poppy!D227+'Mobilize Share'!D227+Stapp.in!D227</f>
        <v>4</v>
      </c>
      <c r="AK152" s="23">
        <f>BattMobility!E227+cambio!E227+Claus2you!E227+CoopStroom!E227+Cozywheels!E227+Dégage!E227+Flexigo!E227+Klimaan!E227+Moovee!E227+Poppy!E227+'Mobilize Share'!E227+Stapp.in!E227</f>
        <v>4</v>
      </c>
      <c r="AL152" s="21">
        <f t="shared" si="0"/>
        <v>0.3721622627465575</v>
      </c>
      <c r="AM152" s="21">
        <f t="shared" si="1"/>
        <v>0.3721622627465575</v>
      </c>
      <c r="AN152" s="25">
        <f t="shared" si="2"/>
        <v>1</v>
      </c>
      <c r="AO152" s="26">
        <f t="shared" si="3"/>
        <v>0.33333333333333331</v>
      </c>
      <c r="AP152" s="27">
        <f>BattMobility!F227+cambio!F227+Claus2you!F227+CoopStroom!F227+Cozywheels!F227+Dégage!F227+Flexigo!F227+Klimaan!F227+Moovee!F227+Poppy!F227+'Mobilize Share'!F227+Stapp.in!F227</f>
        <v>3</v>
      </c>
      <c r="AQ152" s="25">
        <f>BattMobility!G227+cambio!G227+Claus2you!G227+CoopStroom!G227+Cozywheels!G227+Dégage!G227+Flexigo!G227+Klimaan!G227+Moovee!G227+Poppy!G227+'Mobilize Share'!G227+Stapp.in!G227</f>
        <v>3</v>
      </c>
      <c r="AR152" s="29">
        <f t="shared" si="4"/>
        <v>0.27912169705991813</v>
      </c>
      <c r="AS152" s="29">
        <f t="shared" si="5"/>
        <v>0.27912169705991813</v>
      </c>
      <c r="AT152" s="25">
        <f t="shared" si="6"/>
        <v>0</v>
      </c>
      <c r="AU152" s="30">
        <v>21.373999999999999</v>
      </c>
      <c r="AV152" s="31">
        <v>18.373999999999999</v>
      </c>
    </row>
    <row r="153" spans="1:48" ht="14.25" customHeight="1" x14ac:dyDescent="0.35">
      <c r="A153" s="2" t="s">
        <v>203</v>
      </c>
      <c r="B153" s="13" t="s">
        <v>48</v>
      </c>
      <c r="C153" s="13">
        <v>11030</v>
      </c>
      <c r="D153" s="14">
        <v>10595</v>
      </c>
      <c r="E153" s="14">
        <v>10799</v>
      </c>
      <c r="F153" s="14">
        <v>10966</v>
      </c>
      <c r="G153" s="14">
        <v>11032</v>
      </c>
      <c r="H153" s="15">
        <v>3</v>
      </c>
      <c r="I153" s="13">
        <v>0</v>
      </c>
      <c r="J153" s="16">
        <v>0.28315243039169419</v>
      </c>
      <c r="K153" s="15">
        <v>1</v>
      </c>
      <c r="L153" s="13">
        <v>0</v>
      </c>
      <c r="M153" s="16">
        <v>9.4384143463898063E-2</v>
      </c>
      <c r="N153" s="15">
        <v>0</v>
      </c>
      <c r="O153" s="13">
        <v>0</v>
      </c>
      <c r="P153" s="16">
        <v>0</v>
      </c>
      <c r="Q153" s="16">
        <v>0</v>
      </c>
      <c r="R153" s="18">
        <v>-3</v>
      </c>
      <c r="S153" s="16">
        <v>-0.28315243039169419</v>
      </c>
      <c r="T153" s="18">
        <v>-1</v>
      </c>
      <c r="U153" s="16">
        <v>-9.4384143463898063E-2</v>
      </c>
      <c r="V153" s="18">
        <v>0</v>
      </c>
      <c r="W153" s="16">
        <v>0</v>
      </c>
      <c r="X153" s="15">
        <v>1</v>
      </c>
      <c r="Y153" s="13">
        <v>0</v>
      </c>
      <c r="Z153" s="16">
        <v>9.2601166774701371E-2</v>
      </c>
      <c r="AA153" s="16">
        <v>0</v>
      </c>
      <c r="AB153" s="15">
        <v>1</v>
      </c>
      <c r="AC153" s="13">
        <v>0</v>
      </c>
      <c r="AD153" s="16">
        <v>9.1190953857377341E-2</v>
      </c>
      <c r="AE153" s="16">
        <v>0</v>
      </c>
      <c r="AF153" s="19">
        <v>3</v>
      </c>
      <c r="AG153" s="20">
        <v>2</v>
      </c>
      <c r="AH153" s="16">
        <v>0.27357286157213201</v>
      </c>
      <c r="AI153" s="21">
        <v>0.18238190771475468</v>
      </c>
      <c r="AJ153" s="22">
        <f>BattMobility!D184+cambio!D184+Claus2you!D184+CoopStroom!D184+Cozywheels!D184+Dégage!D184+Flexigo!D184+Klimaan!D184+Moovee!D184+Poppy!D184+'Mobilize Share'!D184+Stapp.in!D184</f>
        <v>3</v>
      </c>
      <c r="AK153" s="23">
        <f>BattMobility!E184+cambio!E184+Claus2you!E184+CoopStroom!E184+Cozywheels!E184+Dégage!E184+Flexigo!E184+Klimaan!E184+Moovee!E184+Poppy!E184+'Mobilize Share'!E184+Stapp.in!E184</f>
        <v>2</v>
      </c>
      <c r="AL153" s="21">
        <f t="shared" si="0"/>
        <v>0.27193618564176941</v>
      </c>
      <c r="AM153" s="21">
        <f t="shared" si="1"/>
        <v>0.18129079042784627</v>
      </c>
      <c r="AN153" s="25">
        <f t="shared" si="2"/>
        <v>2</v>
      </c>
      <c r="AO153" s="26">
        <f t="shared" si="3"/>
        <v>2</v>
      </c>
      <c r="AP153" s="27">
        <f>BattMobility!F184+cambio!F184+Claus2you!F184+CoopStroom!F184+Cozywheels!F184+Dégage!F184+Flexigo!F184+Klimaan!F184+Moovee!F184+Poppy!F184+'Mobilize Share'!F184+Stapp.in!F184</f>
        <v>3</v>
      </c>
      <c r="AQ153" s="25">
        <f>BattMobility!G184+cambio!G184+Claus2you!G184+CoopStroom!G184+Cozywheels!G184+Dégage!G184+Flexigo!G184+Klimaan!G184+Moovee!G184+Poppy!G184+'Mobilize Share'!G184+Stapp.in!G184</f>
        <v>1</v>
      </c>
      <c r="AR153" s="29">
        <f t="shared" si="4"/>
        <v>0.27193618564176941</v>
      </c>
      <c r="AS153" s="29">
        <f t="shared" si="5"/>
        <v>9.0645395213923133E-2</v>
      </c>
      <c r="AT153" s="25">
        <f t="shared" si="6"/>
        <v>0</v>
      </c>
      <c r="AU153" s="30">
        <v>21.931999999999999</v>
      </c>
      <c r="AV153" s="31">
        <v>18.931999999999999</v>
      </c>
    </row>
    <row r="154" spans="1:48" ht="14.25" customHeight="1" x14ac:dyDescent="0.35">
      <c r="A154" s="2" t="s">
        <v>204</v>
      </c>
      <c r="B154" s="13" t="s">
        <v>48</v>
      </c>
      <c r="C154" s="13">
        <v>13036</v>
      </c>
      <c r="D154" s="14">
        <v>11663</v>
      </c>
      <c r="E154" s="14">
        <v>11841</v>
      </c>
      <c r="F154" s="14">
        <v>11867</v>
      </c>
      <c r="G154" s="14">
        <v>11995</v>
      </c>
      <c r="H154" s="15">
        <v>1</v>
      </c>
      <c r="I154" s="13">
        <v>0</v>
      </c>
      <c r="J154" s="16">
        <v>8.574123295892995E-2</v>
      </c>
      <c r="K154" s="15">
        <v>0</v>
      </c>
      <c r="L154" s="13">
        <v>0</v>
      </c>
      <c r="M154" s="16">
        <v>0</v>
      </c>
      <c r="N154" s="15">
        <v>0</v>
      </c>
      <c r="O154" s="13">
        <v>0</v>
      </c>
      <c r="P154" s="16">
        <v>0</v>
      </c>
      <c r="Q154" s="16">
        <v>0</v>
      </c>
      <c r="R154" s="18">
        <v>-1</v>
      </c>
      <c r="S154" s="16">
        <v>-8.574123295892995E-2</v>
      </c>
      <c r="T154" s="18">
        <v>0</v>
      </c>
      <c r="U154" s="16">
        <v>0</v>
      </c>
      <c r="V154" s="18">
        <v>0</v>
      </c>
      <c r="W154" s="16">
        <v>0</v>
      </c>
      <c r="X154" s="15">
        <v>1</v>
      </c>
      <c r="Y154" s="13">
        <v>0</v>
      </c>
      <c r="Z154" s="16">
        <v>8.4452326661599533E-2</v>
      </c>
      <c r="AA154" s="16">
        <v>0</v>
      </c>
      <c r="AB154" s="15">
        <v>3</v>
      </c>
      <c r="AC154" s="13">
        <v>2</v>
      </c>
      <c r="AD154" s="16">
        <v>0.25280188758742733</v>
      </c>
      <c r="AE154" s="16">
        <v>0.16853459172495155</v>
      </c>
      <c r="AF154" s="19">
        <v>3</v>
      </c>
      <c r="AG154" s="20">
        <v>2</v>
      </c>
      <c r="AH154" s="16">
        <v>0.25280188758742733</v>
      </c>
      <c r="AI154" s="21">
        <v>0.16853459172495155</v>
      </c>
      <c r="AJ154" s="22">
        <f>BattMobility!D211+cambio!D211+Claus2you!D211+CoopStroom!D211+Cozywheels!D211+Dégage!D211+Flexigo!D211+Klimaan!D211+Moovee!D211+Poppy!D211+'Mobilize Share'!D211+Stapp.in!D211</f>
        <v>3</v>
      </c>
      <c r="AK154" s="23">
        <f>BattMobility!E211+cambio!E211+Claus2you!E211+CoopStroom!E211+Cozywheels!E211+Dégage!E211+Flexigo!E211+Klimaan!E211+Moovee!E211+Poppy!E211+'Mobilize Share'!E211+Stapp.in!E211</f>
        <v>2</v>
      </c>
      <c r="AL154" s="21">
        <f t="shared" si="0"/>
        <v>0.25010421008753647</v>
      </c>
      <c r="AM154" s="21">
        <f t="shared" si="1"/>
        <v>0.16673614005835763</v>
      </c>
      <c r="AN154" s="25">
        <f t="shared" si="2"/>
        <v>0</v>
      </c>
      <c r="AO154" s="26">
        <f t="shared" si="3"/>
        <v>0</v>
      </c>
      <c r="AP154" s="27">
        <f>BattMobility!F211+cambio!F211+Claus2you!F211+CoopStroom!F211+Cozywheels!F211+Dégage!F211+Flexigo!F211+Klimaan!F211+Moovee!F211+Poppy!F211+'Mobilize Share'!F211+Stapp.in!F211</f>
        <v>3</v>
      </c>
      <c r="AQ154" s="25">
        <f>BattMobility!G211+cambio!G211+Claus2you!G211+CoopStroom!G211+Cozywheels!G211+Dégage!G211+Flexigo!G211+Klimaan!G211+Moovee!G211+Poppy!G211+'Mobilize Share'!G211+Stapp.in!G211</f>
        <v>2</v>
      </c>
      <c r="AR154" s="29">
        <f t="shared" si="4"/>
        <v>0.25010421008753647</v>
      </c>
      <c r="AS154" s="29">
        <f t="shared" si="5"/>
        <v>0.16673614005835763</v>
      </c>
      <c r="AT154" s="25">
        <f t="shared" si="6"/>
        <v>0</v>
      </c>
      <c r="AU154" s="30">
        <v>23.734000000000002</v>
      </c>
      <c r="AV154" s="31">
        <v>20.734000000000002</v>
      </c>
    </row>
    <row r="155" spans="1:48" ht="14.25" customHeight="1" x14ac:dyDescent="0.35">
      <c r="A155" s="2" t="s">
        <v>205</v>
      </c>
      <c r="B155" s="13" t="s">
        <v>50</v>
      </c>
      <c r="C155" s="13">
        <v>42026</v>
      </c>
      <c r="D155" s="14">
        <v>11765</v>
      </c>
      <c r="E155" s="14">
        <v>11960</v>
      </c>
      <c r="F155" s="14">
        <v>12032</v>
      </c>
      <c r="G155" s="14">
        <v>12050</v>
      </c>
      <c r="H155" s="15">
        <v>1</v>
      </c>
      <c r="I155" s="13">
        <v>0</v>
      </c>
      <c r="J155" s="16">
        <v>8.4997875053123673E-2</v>
      </c>
      <c r="K155" s="15">
        <v>1</v>
      </c>
      <c r="L155" s="13">
        <v>0</v>
      </c>
      <c r="M155" s="16">
        <v>8.4997875053123673E-2</v>
      </c>
      <c r="N155" s="15">
        <v>1</v>
      </c>
      <c r="O155" s="13">
        <v>1</v>
      </c>
      <c r="P155" s="16">
        <v>8.3612040133779264E-2</v>
      </c>
      <c r="Q155" s="16">
        <v>8.3612040133779264E-2</v>
      </c>
      <c r="R155" s="18">
        <v>0</v>
      </c>
      <c r="S155" s="16">
        <v>-1.3858349193444086E-3</v>
      </c>
      <c r="T155" s="18">
        <v>0</v>
      </c>
      <c r="U155" s="16">
        <v>-1.3858349193444086E-3</v>
      </c>
      <c r="V155" s="18">
        <v>0</v>
      </c>
      <c r="W155" s="16">
        <v>0</v>
      </c>
      <c r="X155" s="15">
        <v>1</v>
      </c>
      <c r="Y155" s="13">
        <v>1</v>
      </c>
      <c r="Z155" s="16">
        <v>8.3612040133779264E-2</v>
      </c>
      <c r="AA155" s="16">
        <v>8.3612040133779264E-2</v>
      </c>
      <c r="AB155" s="15">
        <v>2</v>
      </c>
      <c r="AC155" s="13">
        <v>2</v>
      </c>
      <c r="AD155" s="16">
        <v>0.16622340425531915</v>
      </c>
      <c r="AE155" s="16">
        <v>0.16622340425531915</v>
      </c>
      <c r="AF155" s="19">
        <v>2</v>
      </c>
      <c r="AG155" s="20">
        <v>2</v>
      </c>
      <c r="AH155" s="16">
        <v>0.16622340425531915</v>
      </c>
      <c r="AI155" s="21">
        <v>0.16622340425531915</v>
      </c>
      <c r="AJ155" s="22">
        <f>BattMobility!D263+cambio!D263+Claus2you!D263+CoopStroom!D263+Cozywheels!D263+Dégage!D263+Flexigo!D263+Klimaan!D263+Moovee!D263+Poppy!D263+'Mobilize Share'!D263+Stapp.in!D263</f>
        <v>3</v>
      </c>
      <c r="AK155" s="23">
        <f>BattMobility!E263+cambio!E263+Claus2you!E263+CoopStroom!E263+Cozywheels!E263+Dégage!E263+Flexigo!E263+Klimaan!E263+Moovee!E263+Poppy!E263+'Mobilize Share'!E263+Stapp.in!E263</f>
        <v>3</v>
      </c>
      <c r="AL155" s="21">
        <f t="shared" si="0"/>
        <v>0.24896265560165975</v>
      </c>
      <c r="AM155" s="21">
        <f t="shared" si="1"/>
        <v>0.24896265560165975</v>
      </c>
      <c r="AN155" s="25">
        <f t="shared" si="2"/>
        <v>1</v>
      </c>
      <c r="AO155" s="26">
        <f t="shared" si="3"/>
        <v>0.5</v>
      </c>
      <c r="AP155" s="27">
        <f>BattMobility!F263+cambio!F263+Claus2you!F263+CoopStroom!F263+Cozywheels!F263+Dégage!F263+Flexigo!F263+Klimaan!F263+Moovee!F263+Poppy!F263+'Mobilize Share'!F263+Stapp.in!F263</f>
        <v>3</v>
      </c>
      <c r="AQ155" s="25">
        <f>BattMobility!G263+cambio!G263+Claus2you!G263+CoopStroom!G263+Cozywheels!G263+Dégage!G263+Flexigo!G263+Klimaan!G263+Moovee!G263+Poppy!G263+'Mobilize Share'!G263+Stapp.in!G263</f>
        <v>3</v>
      </c>
      <c r="AR155" s="29">
        <f t="shared" si="4"/>
        <v>0.24896265560165975</v>
      </c>
      <c r="AS155" s="29">
        <f t="shared" si="5"/>
        <v>0.24896265560165975</v>
      </c>
      <c r="AT155" s="25">
        <f t="shared" si="6"/>
        <v>1</v>
      </c>
      <c r="AU155" s="30">
        <v>24.064</v>
      </c>
      <c r="AV155" s="31">
        <v>22.064</v>
      </c>
    </row>
    <row r="156" spans="1:48" ht="14.25" customHeight="1" x14ac:dyDescent="0.35">
      <c r="A156" s="2" t="s">
        <v>206</v>
      </c>
      <c r="B156" s="13" t="s">
        <v>55</v>
      </c>
      <c r="C156" s="13">
        <v>35005</v>
      </c>
      <c r="D156" s="14">
        <v>12106</v>
      </c>
      <c r="E156" s="14">
        <v>12265</v>
      </c>
      <c r="F156" s="14">
        <v>12244</v>
      </c>
      <c r="G156" s="14">
        <v>12117</v>
      </c>
      <c r="H156" s="15">
        <v>0</v>
      </c>
      <c r="I156" s="13">
        <v>0</v>
      </c>
      <c r="J156" s="16">
        <v>0</v>
      </c>
      <c r="K156" s="15">
        <v>0</v>
      </c>
      <c r="L156" s="13">
        <v>0</v>
      </c>
      <c r="M156" s="16">
        <v>0</v>
      </c>
      <c r="N156" s="15">
        <v>0</v>
      </c>
      <c r="O156" s="13">
        <v>0</v>
      </c>
      <c r="P156" s="16">
        <v>0</v>
      </c>
      <c r="Q156" s="16">
        <v>0</v>
      </c>
      <c r="R156" s="18">
        <v>0</v>
      </c>
      <c r="S156" s="16">
        <v>0</v>
      </c>
      <c r="T156" s="18">
        <v>0</v>
      </c>
      <c r="U156" s="16">
        <v>0</v>
      </c>
      <c r="V156" s="18">
        <v>0</v>
      </c>
      <c r="W156" s="16">
        <v>0</v>
      </c>
      <c r="X156" s="15">
        <v>1</v>
      </c>
      <c r="Y156" s="13">
        <v>0</v>
      </c>
      <c r="Z156" s="16">
        <v>8.1532816958825929E-2</v>
      </c>
      <c r="AA156" s="16">
        <v>0</v>
      </c>
      <c r="AB156" s="15">
        <v>1</v>
      </c>
      <c r="AC156" s="13">
        <v>0</v>
      </c>
      <c r="AD156" s="16">
        <v>8.1672655994772941E-2</v>
      </c>
      <c r="AE156" s="16">
        <v>0</v>
      </c>
      <c r="AF156" s="19">
        <v>2</v>
      </c>
      <c r="AG156" s="20">
        <v>1</v>
      </c>
      <c r="AH156" s="16">
        <v>0.16334531198954588</v>
      </c>
      <c r="AI156" s="21">
        <v>8.1672655994772941E-2</v>
      </c>
      <c r="AJ156" s="22">
        <f>BattMobility!D76+cambio!D76+Claus2you!D76+CoopStroom!D76+Cozywheels!D76+Dégage!D76+Flexigo!D76+Klimaan!D76+Moovee!D76+Poppy!D76+'Mobilize Share'!D76+Stapp.in!D76</f>
        <v>2</v>
      </c>
      <c r="AK156" s="23">
        <f>BattMobility!E76+cambio!E76+Claus2you!E76+CoopStroom!E76+Cozywheels!E76+Dégage!E76+Flexigo!E76+Klimaan!E76+Moovee!E76+Poppy!E76+'Mobilize Share'!E76+Stapp.in!E76</f>
        <v>1</v>
      </c>
      <c r="AL156" s="21">
        <f t="shared" si="0"/>
        <v>0.16505735743170752</v>
      </c>
      <c r="AM156" s="21">
        <f t="shared" si="1"/>
        <v>8.2528678715853759E-2</v>
      </c>
      <c r="AN156" s="25">
        <f t="shared" si="2"/>
        <v>1</v>
      </c>
      <c r="AO156" s="26">
        <f t="shared" si="3"/>
        <v>1</v>
      </c>
      <c r="AP156" s="27">
        <f>BattMobility!F76+cambio!F76+Claus2you!F76+CoopStroom!F76+Cozywheels!F76+Dégage!F76+Flexigo!F76+Klimaan!F76+Moovee!F76+Poppy!F76+'Mobilize Share'!F76+Stapp.in!F76</f>
        <v>3</v>
      </c>
      <c r="AQ156" s="25">
        <f>BattMobility!G76+cambio!G76+Claus2you!G76+CoopStroom!G76+Cozywheels!G76+Dégage!G76+Flexigo!G76+Klimaan!G76+Moovee!G76+Poppy!G76+'Mobilize Share'!G76+Stapp.in!G76</f>
        <v>2</v>
      </c>
      <c r="AR156" s="29">
        <f t="shared" si="4"/>
        <v>0.24758603614756128</v>
      </c>
      <c r="AS156" s="29">
        <f t="shared" si="5"/>
        <v>0.16505735743170752</v>
      </c>
      <c r="AT156" s="25">
        <f t="shared" si="6"/>
        <v>1</v>
      </c>
      <c r="AU156" s="30">
        <v>24.488</v>
      </c>
      <c r="AV156" s="31">
        <v>22.488</v>
      </c>
    </row>
    <row r="157" spans="1:48" ht="14.25" customHeight="1" x14ac:dyDescent="0.35">
      <c r="A157" s="2" t="s">
        <v>207</v>
      </c>
      <c r="B157" s="13" t="s">
        <v>52</v>
      </c>
      <c r="C157" s="13">
        <v>23038</v>
      </c>
      <c r="D157" s="14">
        <v>12350</v>
      </c>
      <c r="E157" s="14">
        <v>12445</v>
      </c>
      <c r="F157" s="14">
        <v>12528</v>
      </c>
      <c r="G157" s="14">
        <v>12606</v>
      </c>
      <c r="H157" s="15">
        <v>3</v>
      </c>
      <c r="I157" s="13">
        <v>0</v>
      </c>
      <c r="J157" s="16">
        <v>0.24291497975708504</v>
      </c>
      <c r="K157" s="15">
        <v>2</v>
      </c>
      <c r="L157" s="13">
        <v>0</v>
      </c>
      <c r="M157" s="16">
        <v>0.16194331983805668</v>
      </c>
      <c r="N157" s="15">
        <v>2</v>
      </c>
      <c r="O157" s="13">
        <v>0</v>
      </c>
      <c r="P157" s="16">
        <v>0.16070711128967455</v>
      </c>
      <c r="Q157" s="16">
        <v>0</v>
      </c>
      <c r="R157" s="18">
        <v>-1</v>
      </c>
      <c r="S157" s="16">
        <v>-8.2207868467410489E-2</v>
      </c>
      <c r="T157" s="18">
        <v>0</v>
      </c>
      <c r="U157" s="16">
        <v>-1.2362085483821339E-3</v>
      </c>
      <c r="V157" s="18">
        <v>0</v>
      </c>
      <c r="W157" s="16">
        <v>0</v>
      </c>
      <c r="X157" s="15">
        <v>2</v>
      </c>
      <c r="Y157" s="13">
        <v>0</v>
      </c>
      <c r="Z157" s="16">
        <v>0.16070711128967455</v>
      </c>
      <c r="AA157" s="16">
        <v>0</v>
      </c>
      <c r="AB157" s="15">
        <v>2</v>
      </c>
      <c r="AC157" s="13">
        <v>2</v>
      </c>
      <c r="AD157" s="16">
        <v>0.15964240102171137</v>
      </c>
      <c r="AE157" s="16">
        <v>0.15964240102171137</v>
      </c>
      <c r="AF157" s="19">
        <v>4</v>
      </c>
      <c r="AG157" s="20">
        <v>2</v>
      </c>
      <c r="AH157" s="16">
        <v>0.31928480204342274</v>
      </c>
      <c r="AI157" s="21">
        <v>0.15964240102171137</v>
      </c>
      <c r="AJ157" s="22">
        <f>BattMobility!D118+cambio!D118+Claus2you!D118+CoopStroom!D118+Cozywheels!D118+Dégage!D118+Flexigo!D118+Klimaan!D118+Moovee!D118+Poppy!D118+'Mobilize Share'!D118+Stapp.in!D118</f>
        <v>4</v>
      </c>
      <c r="AK157" s="23">
        <f>BattMobility!E118+cambio!E118+Claus2you!E118+CoopStroom!E118+Cozywheels!E118+Dégage!E118+Flexigo!E118+Klimaan!E118+Moovee!E118+Poppy!E118+'Mobilize Share'!E118+Stapp.in!E118</f>
        <v>2</v>
      </c>
      <c r="AL157" s="21">
        <f t="shared" si="0"/>
        <v>0.31730921783277805</v>
      </c>
      <c r="AM157" s="21">
        <f t="shared" si="1"/>
        <v>0.15865460891638902</v>
      </c>
      <c r="AN157" s="25">
        <f t="shared" si="2"/>
        <v>2</v>
      </c>
      <c r="AO157" s="26">
        <f t="shared" si="3"/>
        <v>1</v>
      </c>
      <c r="AP157" s="27">
        <f>BattMobility!F118+cambio!F118+Claus2you!F118+CoopStroom!F118+Cozywheels!F118+Dégage!F118+Flexigo!F118+Klimaan!F118+Moovee!F118+Poppy!F118+'Mobilize Share'!F118+Stapp.in!F118</f>
        <v>3</v>
      </c>
      <c r="AQ157" s="25">
        <f>BattMobility!G118+cambio!G118+Claus2you!G118+CoopStroom!G118+Cozywheels!G118+Dégage!G118+Flexigo!G118+Klimaan!G118+Moovee!G118+Poppy!G118+'Mobilize Share'!G118+Stapp.in!G118</f>
        <v>2</v>
      </c>
      <c r="AR157" s="29">
        <f t="shared" si="4"/>
        <v>0.23798191337458352</v>
      </c>
      <c r="AS157" s="29">
        <f t="shared" si="5"/>
        <v>0.15865460891638902</v>
      </c>
      <c r="AT157" s="25">
        <f t="shared" si="6"/>
        <v>-1</v>
      </c>
      <c r="AU157" s="30">
        <v>25.056000000000001</v>
      </c>
      <c r="AV157" s="31">
        <v>21.056000000000001</v>
      </c>
    </row>
    <row r="158" spans="1:48" ht="14.25" customHeight="1" x14ac:dyDescent="0.35">
      <c r="A158" s="2" t="s">
        <v>208</v>
      </c>
      <c r="B158" s="13" t="s">
        <v>52</v>
      </c>
      <c r="C158" s="13">
        <v>23081</v>
      </c>
      <c r="D158" s="14">
        <v>12497</v>
      </c>
      <c r="E158" s="14">
        <v>12614</v>
      </c>
      <c r="F158" s="14">
        <v>12663</v>
      </c>
      <c r="G158" s="14">
        <v>12727</v>
      </c>
      <c r="H158" s="15">
        <v>0</v>
      </c>
      <c r="I158" s="13">
        <v>0</v>
      </c>
      <c r="J158" s="16">
        <v>0</v>
      </c>
      <c r="K158" s="15">
        <v>0</v>
      </c>
      <c r="L158" s="13">
        <v>0</v>
      </c>
      <c r="M158" s="16">
        <v>0</v>
      </c>
      <c r="N158" s="15">
        <v>0</v>
      </c>
      <c r="O158" s="13">
        <v>0</v>
      </c>
      <c r="P158" s="16">
        <v>0</v>
      </c>
      <c r="Q158" s="16">
        <v>0</v>
      </c>
      <c r="R158" s="18">
        <v>0</v>
      </c>
      <c r="S158" s="16">
        <v>0</v>
      </c>
      <c r="T158" s="18">
        <v>0</v>
      </c>
      <c r="U158" s="16">
        <v>0</v>
      </c>
      <c r="V158" s="18">
        <v>0</v>
      </c>
      <c r="W158" s="16">
        <v>0</v>
      </c>
      <c r="X158" s="15">
        <v>1</v>
      </c>
      <c r="Y158" s="13">
        <v>0</v>
      </c>
      <c r="Z158" s="16">
        <v>7.9276993816394484E-2</v>
      </c>
      <c r="AA158" s="16">
        <v>0</v>
      </c>
      <c r="AB158" s="15">
        <v>3</v>
      </c>
      <c r="AC158" s="13">
        <v>2</v>
      </c>
      <c r="AD158" s="16">
        <v>0.2369106846718787</v>
      </c>
      <c r="AE158" s="16">
        <v>0.15794045644791915</v>
      </c>
      <c r="AF158" s="19">
        <v>3</v>
      </c>
      <c r="AG158" s="20">
        <v>2</v>
      </c>
      <c r="AH158" s="16">
        <v>0.2369106846718787</v>
      </c>
      <c r="AI158" s="21">
        <v>0.15794045644791915</v>
      </c>
      <c r="AJ158" s="22">
        <f>BattMobility!D235+cambio!D235+Claus2you!D235+CoopStroom!D235+Cozywheels!D235+Dégage!D235+Flexigo!D235+Klimaan!D235+Moovee!D235+Poppy!D235+'Mobilize Share'!D235+Stapp.in!D235</f>
        <v>3</v>
      </c>
      <c r="AK158" s="23">
        <f>BattMobility!E235+cambio!E235+Claus2you!E235+CoopStroom!E235+Cozywheels!E235+Dégage!E235+Flexigo!E235+Klimaan!E235+Moovee!E235+Poppy!E235+'Mobilize Share'!E235+Stapp.in!E235</f>
        <v>2</v>
      </c>
      <c r="AL158" s="21">
        <f t="shared" si="0"/>
        <v>0.23571933684293236</v>
      </c>
      <c r="AM158" s="21">
        <f t="shared" si="1"/>
        <v>0.1571462245619549</v>
      </c>
      <c r="AN158" s="25">
        <f t="shared" si="2"/>
        <v>0</v>
      </c>
      <c r="AO158" s="26">
        <f t="shared" si="3"/>
        <v>0</v>
      </c>
      <c r="AP158" s="27">
        <f>BattMobility!F235+cambio!F235+Claus2you!F235+CoopStroom!F235+Cozywheels!F235+Dégage!F235+Flexigo!F235+Klimaan!F235+Moovee!F235+Poppy!F235+'Mobilize Share'!F235+Stapp.in!F235</f>
        <v>3</v>
      </c>
      <c r="AQ158" s="25">
        <f>BattMobility!G235+cambio!G235+Claus2you!G235+CoopStroom!G235+Cozywheels!G235+Dégage!G235+Flexigo!G235+Klimaan!G235+Moovee!G235+Poppy!G235+'Mobilize Share'!G235+Stapp.in!G235</f>
        <v>2</v>
      </c>
      <c r="AR158" s="29">
        <f t="shared" si="4"/>
        <v>0.23571933684293236</v>
      </c>
      <c r="AS158" s="29">
        <f t="shared" si="5"/>
        <v>0.1571462245619549</v>
      </c>
      <c r="AT158" s="25">
        <f t="shared" si="6"/>
        <v>0</v>
      </c>
      <c r="AU158" s="30">
        <v>25.326000000000001</v>
      </c>
      <c r="AV158" s="31">
        <v>22.326000000000001</v>
      </c>
    </row>
    <row r="159" spans="1:48" ht="14.25" customHeight="1" x14ac:dyDescent="0.35">
      <c r="A159" s="2" t="s">
        <v>209</v>
      </c>
      <c r="B159" s="13" t="s">
        <v>50</v>
      </c>
      <c r="C159" s="13">
        <v>44020</v>
      </c>
      <c r="D159" s="14">
        <v>13205</v>
      </c>
      <c r="E159" s="14">
        <v>13217</v>
      </c>
      <c r="F159" s="14">
        <v>13311</v>
      </c>
      <c r="G159" s="14">
        <v>13353</v>
      </c>
      <c r="H159" s="15">
        <v>0</v>
      </c>
      <c r="I159" s="13">
        <v>0</v>
      </c>
      <c r="J159" s="16">
        <v>0</v>
      </c>
      <c r="K159" s="15">
        <v>0</v>
      </c>
      <c r="L159" s="13">
        <v>0</v>
      </c>
      <c r="M159" s="16">
        <v>0</v>
      </c>
      <c r="N159" s="15">
        <v>0</v>
      </c>
      <c r="O159" s="13">
        <v>0</v>
      </c>
      <c r="P159" s="16">
        <v>0</v>
      </c>
      <c r="Q159" s="16">
        <v>0</v>
      </c>
      <c r="R159" s="18">
        <v>0</v>
      </c>
      <c r="S159" s="16">
        <v>0</v>
      </c>
      <c r="T159" s="18">
        <v>0</v>
      </c>
      <c r="U159" s="16">
        <v>0</v>
      </c>
      <c r="V159" s="18">
        <v>0</v>
      </c>
      <c r="W159" s="16">
        <v>0</v>
      </c>
      <c r="X159" s="15">
        <v>0</v>
      </c>
      <c r="Y159" s="13">
        <v>0</v>
      </c>
      <c r="Z159" s="16">
        <v>0</v>
      </c>
      <c r="AA159" s="16">
        <v>0</v>
      </c>
      <c r="AB159" s="15">
        <v>0</v>
      </c>
      <c r="AC159" s="13">
        <v>0</v>
      </c>
      <c r="AD159" s="16">
        <v>0</v>
      </c>
      <c r="AE159" s="16">
        <v>0</v>
      </c>
      <c r="AF159" s="19">
        <v>3</v>
      </c>
      <c r="AG159" s="20">
        <v>2</v>
      </c>
      <c r="AH159" s="16">
        <v>0.22537750732476899</v>
      </c>
      <c r="AI159" s="21">
        <v>0.15025167154984598</v>
      </c>
      <c r="AJ159" s="22">
        <f>BattMobility!D69+cambio!D69+Claus2you!D69+CoopStroom!D69+Cozywheels!D69+Dégage!D69+Flexigo!D69+Klimaan!D69+Moovee!D69+Poppy!D69+'Mobilize Share'!D69+Stapp.in!D69</f>
        <v>2</v>
      </c>
      <c r="AK159" s="23">
        <f>BattMobility!E69+cambio!E69+Claus2you!E69+CoopStroom!E69+Cozywheels!E69+Dégage!E69+Flexigo!E69+Klimaan!E69+Moovee!E69+Poppy!E69+'Mobilize Share'!E69+Stapp.in!E69</f>
        <v>2</v>
      </c>
      <c r="AL159" s="21">
        <f t="shared" si="0"/>
        <v>0.14977907586310193</v>
      </c>
      <c r="AM159" s="21">
        <f t="shared" si="1"/>
        <v>0.14977907586310193</v>
      </c>
      <c r="AN159" s="25">
        <f t="shared" si="2"/>
        <v>2</v>
      </c>
      <c r="AO159" s="26" t="e">
        <f t="shared" si="3"/>
        <v>#DIV/0!</v>
      </c>
      <c r="AP159" s="27">
        <f>BattMobility!F69+cambio!F69+Claus2you!F69+CoopStroom!F69+Cozywheels!F69+Dégage!F69+Flexigo!F69+Klimaan!F69+Moovee!F69+Poppy!F69+'Mobilize Share'!F69+Stapp.in!F69</f>
        <v>3</v>
      </c>
      <c r="AQ159" s="25">
        <f>BattMobility!G69+cambio!G69+Claus2you!G69+CoopStroom!G69+Cozywheels!G69+Dégage!G69+Flexigo!G69+Klimaan!G69+Moovee!G69+Poppy!G69+'Mobilize Share'!G69+Stapp.in!G69</f>
        <v>2</v>
      </c>
      <c r="AR159" s="29">
        <f t="shared" si="4"/>
        <v>0.22466861379465289</v>
      </c>
      <c r="AS159" s="29">
        <f t="shared" si="5"/>
        <v>0.14977907586310193</v>
      </c>
      <c r="AT159" s="25">
        <f t="shared" si="6"/>
        <v>0</v>
      </c>
      <c r="AU159" s="30">
        <v>26.622</v>
      </c>
      <c r="AV159" s="31">
        <v>23.622</v>
      </c>
    </row>
    <row r="160" spans="1:48" ht="14.25" customHeight="1" x14ac:dyDescent="0.35">
      <c r="A160" s="2" t="s">
        <v>210</v>
      </c>
      <c r="B160" s="13" t="s">
        <v>48</v>
      </c>
      <c r="C160" s="13">
        <v>11052</v>
      </c>
      <c r="D160" s="14">
        <v>13181</v>
      </c>
      <c r="E160" s="14">
        <v>13230</v>
      </c>
      <c r="F160" s="14">
        <v>13370</v>
      </c>
      <c r="G160" s="14">
        <v>13564</v>
      </c>
      <c r="H160" s="15">
        <v>1</v>
      </c>
      <c r="I160" s="13">
        <v>0</v>
      </c>
      <c r="J160" s="16">
        <v>7.5866777937940971E-2</v>
      </c>
      <c r="K160" s="15">
        <v>1</v>
      </c>
      <c r="L160" s="13">
        <v>0</v>
      </c>
      <c r="M160" s="16">
        <v>7.5866777937940971E-2</v>
      </c>
      <c r="N160" s="15">
        <v>1</v>
      </c>
      <c r="O160" s="13">
        <v>0</v>
      </c>
      <c r="P160" s="16">
        <v>7.5585789871504161E-2</v>
      </c>
      <c r="Q160" s="16">
        <v>0</v>
      </c>
      <c r="R160" s="18">
        <v>0</v>
      </c>
      <c r="S160" s="16">
        <v>-2.8098806643681029E-4</v>
      </c>
      <c r="T160" s="18">
        <v>0</v>
      </c>
      <c r="U160" s="16">
        <v>-2.8098806643681029E-4</v>
      </c>
      <c r="V160" s="18">
        <v>1</v>
      </c>
      <c r="W160" s="16">
        <v>7.5585789871504161E-2</v>
      </c>
      <c r="X160" s="15">
        <v>1</v>
      </c>
      <c r="Y160" s="13">
        <v>0</v>
      </c>
      <c r="Z160" s="16">
        <v>7.5585789871504161E-2</v>
      </c>
      <c r="AA160" s="16">
        <v>0</v>
      </c>
      <c r="AB160" s="15">
        <v>1</v>
      </c>
      <c r="AC160" s="13">
        <v>0</v>
      </c>
      <c r="AD160" s="16">
        <v>7.4794315632011971E-2</v>
      </c>
      <c r="AE160" s="16">
        <v>0</v>
      </c>
      <c r="AF160" s="19">
        <v>1</v>
      </c>
      <c r="AG160" s="20">
        <v>0</v>
      </c>
      <c r="AH160" s="16">
        <v>7.4794315632011971E-2</v>
      </c>
      <c r="AI160" s="21">
        <v>0</v>
      </c>
      <c r="AJ160" s="22">
        <f>BattMobility!D268+cambio!D268+Claus2you!D268+CoopStroom!D268+Cozywheels!D268+Dégage!D268+Flexigo!D268+Klimaan!D268+Moovee!D268+Poppy!D268+'Mobilize Share'!D268+Stapp.in!D268</f>
        <v>1</v>
      </c>
      <c r="AK160" s="23">
        <f>BattMobility!E268+cambio!E268+Claus2you!E268+CoopStroom!E268+Cozywheels!E268+Dégage!E268+Flexigo!E268+Klimaan!E268+Moovee!E268+Poppy!E268+'Mobilize Share'!E268+Stapp.in!E268</f>
        <v>0</v>
      </c>
      <c r="AL160" s="21">
        <f t="shared" si="0"/>
        <v>7.3724565025066358E-2</v>
      </c>
      <c r="AM160" s="21">
        <f t="shared" si="1"/>
        <v>0</v>
      </c>
      <c r="AN160" s="25">
        <f t="shared" si="2"/>
        <v>0</v>
      </c>
      <c r="AO160" s="26">
        <f t="shared" si="3"/>
        <v>0</v>
      </c>
      <c r="AP160" s="27">
        <f>BattMobility!F268+cambio!F268+Claus2you!F268+CoopStroom!F268+Cozywheels!F268+Dégage!F268+Flexigo!F268+Klimaan!F268+Moovee!F268+Poppy!F268+'Mobilize Share'!F268+Stapp.in!F268</f>
        <v>3</v>
      </c>
      <c r="AQ160" s="25">
        <f>BattMobility!G268+cambio!G268+Claus2you!G268+CoopStroom!G268+Cozywheels!G268+Dégage!G268+Flexigo!G268+Klimaan!G268+Moovee!G268+Poppy!G268+'Mobilize Share'!G268+Stapp.in!G268</f>
        <v>1</v>
      </c>
      <c r="AR160" s="29">
        <f t="shared" si="4"/>
        <v>0.22117369507519904</v>
      </c>
      <c r="AS160" s="29">
        <f t="shared" si="5"/>
        <v>7.3724565025066358E-2</v>
      </c>
      <c r="AT160" s="25">
        <f t="shared" si="6"/>
        <v>2</v>
      </c>
      <c r="AU160" s="30">
        <v>26.74</v>
      </c>
      <c r="AV160" s="31">
        <v>25.74</v>
      </c>
    </row>
    <row r="161" spans="1:48" ht="14.25" customHeight="1" x14ac:dyDescent="0.35">
      <c r="A161" s="2" t="s">
        <v>211</v>
      </c>
      <c r="B161" s="13" t="s">
        <v>59</v>
      </c>
      <c r="C161" s="13">
        <v>72021</v>
      </c>
      <c r="D161" s="14">
        <v>25524</v>
      </c>
      <c r="E161" s="14">
        <v>25737</v>
      </c>
      <c r="F161" s="14">
        <v>25823</v>
      </c>
      <c r="G161" s="14">
        <v>25828</v>
      </c>
      <c r="H161" s="15">
        <v>0</v>
      </c>
      <c r="I161" s="13">
        <v>0</v>
      </c>
      <c r="J161" s="16">
        <v>0</v>
      </c>
      <c r="K161" s="15">
        <v>0</v>
      </c>
      <c r="L161" s="13">
        <v>0</v>
      </c>
      <c r="M161" s="16">
        <v>0</v>
      </c>
      <c r="N161" s="15">
        <v>0</v>
      </c>
      <c r="O161" s="13">
        <v>0</v>
      </c>
      <c r="P161" s="16">
        <v>0</v>
      </c>
      <c r="Q161" s="16">
        <v>0</v>
      </c>
      <c r="R161" s="18">
        <v>0</v>
      </c>
      <c r="S161" s="16">
        <v>0</v>
      </c>
      <c r="T161" s="18">
        <v>0</v>
      </c>
      <c r="U161" s="16">
        <v>0</v>
      </c>
      <c r="V161" s="18">
        <v>0</v>
      </c>
      <c r="W161" s="16">
        <v>0</v>
      </c>
      <c r="X161" s="15">
        <v>0</v>
      </c>
      <c r="Y161" s="13">
        <v>0</v>
      </c>
      <c r="Z161" s="16">
        <v>0</v>
      </c>
      <c r="AA161" s="16">
        <v>0</v>
      </c>
      <c r="AB161" s="15">
        <v>0</v>
      </c>
      <c r="AC161" s="13">
        <v>0</v>
      </c>
      <c r="AD161" s="16">
        <v>0</v>
      </c>
      <c r="AE161" s="16">
        <v>0</v>
      </c>
      <c r="AF161" s="19">
        <v>0</v>
      </c>
      <c r="AG161" s="20">
        <v>0</v>
      </c>
      <c r="AH161" s="16">
        <v>0</v>
      </c>
      <c r="AI161" s="21">
        <v>0</v>
      </c>
      <c r="AJ161" s="22">
        <f>BattMobility!D166+cambio!D166+Claus2you!D166+CoopStroom!D166+Cozywheels!D166+Dégage!D166+Flexigo!D166+Klimaan!D166+Moovee!D166+Poppy!D166+'Mobilize Share'!D166+Stapp.in!D166</f>
        <v>0</v>
      </c>
      <c r="AK161" s="23">
        <f>BattMobility!E166+cambio!E166+Claus2you!E166+CoopStroom!E166+Cozywheels!E166+Dégage!E166+Flexigo!E166+Klimaan!E166+Moovee!E166+Poppy!E166+'Mobilize Share'!E166+Stapp.in!E166</f>
        <v>0</v>
      </c>
      <c r="AL161" s="21">
        <f t="shared" si="0"/>
        <v>0</v>
      </c>
      <c r="AM161" s="21">
        <f t="shared" si="1"/>
        <v>0</v>
      </c>
      <c r="AN161" s="25">
        <f t="shared" si="2"/>
        <v>0</v>
      </c>
      <c r="AO161" s="26" t="e">
        <f t="shared" si="3"/>
        <v>#DIV/0!</v>
      </c>
      <c r="AP161" s="27">
        <f>BattMobility!F166+cambio!F166+Claus2you!F166+CoopStroom!F166+Cozywheels!F166+Dégage!F166+Flexigo!F166+Klimaan!F166+Moovee!F166+Poppy!F166+'Mobilize Share'!F166+Stapp.in!F166</f>
        <v>3</v>
      </c>
      <c r="AQ161" s="25">
        <f>BattMobility!G166+cambio!G166+Claus2you!G166+CoopStroom!G166+Cozywheels!G166+Dégage!G166+Flexigo!G166+Klimaan!G166+Moovee!G166+Poppy!G166+'Mobilize Share'!G166+Stapp.in!G166</f>
        <v>3</v>
      </c>
      <c r="AR161" s="29">
        <f t="shared" si="4"/>
        <v>0.11615301223478396</v>
      </c>
      <c r="AS161" s="29">
        <f t="shared" si="5"/>
        <v>0.11615301223478396</v>
      </c>
      <c r="AT161" s="25">
        <f t="shared" si="6"/>
        <v>3</v>
      </c>
      <c r="AU161" s="30">
        <v>51.646000000000001</v>
      </c>
      <c r="AV161" s="31">
        <v>51.646000000000001</v>
      </c>
    </row>
    <row r="162" spans="1:48" ht="14.25" customHeight="1" x14ac:dyDescent="0.35">
      <c r="A162" s="2" t="s">
        <v>212</v>
      </c>
      <c r="B162" s="13" t="s">
        <v>55</v>
      </c>
      <c r="C162" s="13">
        <v>35006</v>
      </c>
      <c r="D162" s="14">
        <v>14139</v>
      </c>
      <c r="E162" s="14">
        <v>14355</v>
      </c>
      <c r="F162" s="14">
        <v>14516</v>
      </c>
      <c r="G162" s="14">
        <v>14622</v>
      </c>
      <c r="H162" s="15">
        <v>0</v>
      </c>
      <c r="I162" s="13">
        <v>0</v>
      </c>
      <c r="J162" s="16">
        <v>0</v>
      </c>
      <c r="K162" s="15">
        <v>1</v>
      </c>
      <c r="L162" s="13">
        <v>1</v>
      </c>
      <c r="M162" s="16">
        <v>7.072635971426551E-2</v>
      </c>
      <c r="N162" s="15">
        <v>1</v>
      </c>
      <c r="O162" s="13">
        <v>1</v>
      </c>
      <c r="P162" s="16">
        <v>6.966213862765587E-2</v>
      </c>
      <c r="Q162" s="16">
        <v>6.966213862765587E-2</v>
      </c>
      <c r="R162" s="18">
        <v>1</v>
      </c>
      <c r="S162" s="16">
        <v>6.966213862765587E-2</v>
      </c>
      <c r="T162" s="18">
        <v>0</v>
      </c>
      <c r="U162" s="16">
        <v>-1.0642210866096402E-3</v>
      </c>
      <c r="V162" s="18">
        <v>0</v>
      </c>
      <c r="W162" s="16">
        <v>0</v>
      </c>
      <c r="X162" s="15">
        <v>1</v>
      </c>
      <c r="Y162" s="13">
        <v>1</v>
      </c>
      <c r="Z162" s="16">
        <v>6.966213862765587E-2</v>
      </c>
      <c r="AA162" s="16">
        <v>6.966213862765587E-2</v>
      </c>
      <c r="AB162" s="15">
        <v>1</v>
      </c>
      <c r="AC162" s="13">
        <v>1</v>
      </c>
      <c r="AD162" s="16">
        <v>6.8889501240011031E-2</v>
      </c>
      <c r="AE162" s="16">
        <v>6.8889501240011031E-2</v>
      </c>
      <c r="AF162" s="19">
        <v>1</v>
      </c>
      <c r="AG162" s="20">
        <v>1</v>
      </c>
      <c r="AH162" s="16">
        <v>6.8889501240011031E-2</v>
      </c>
      <c r="AI162" s="21">
        <v>6.8889501240011031E-2</v>
      </c>
      <c r="AJ162" s="22">
        <f>BattMobility!D112+cambio!D112+Claus2you!D112+CoopStroom!D112+Cozywheels!D112+Dégage!D112+Flexigo!D112+Klimaan!D112+Moovee!D112+Poppy!D112+'Mobilize Share'!D112+Stapp.in!D112</f>
        <v>1</v>
      </c>
      <c r="AK162" s="23">
        <f>BattMobility!E112+cambio!E112+Claus2you!E112+CoopStroom!E112+Cozywheels!E112+Dégage!E112+Flexigo!E112+Klimaan!E112+Moovee!E112+Poppy!E112+'Mobilize Share'!E112+Stapp.in!E112</f>
        <v>1</v>
      </c>
      <c r="AL162" s="21">
        <f t="shared" si="0"/>
        <v>6.8390097113937898E-2</v>
      </c>
      <c r="AM162" s="21">
        <f t="shared" si="1"/>
        <v>6.8390097113937898E-2</v>
      </c>
      <c r="AN162" s="25">
        <f t="shared" si="2"/>
        <v>0</v>
      </c>
      <c r="AO162" s="26">
        <f t="shared" si="3"/>
        <v>0</v>
      </c>
      <c r="AP162" s="27">
        <f>BattMobility!F112+cambio!F112+Claus2you!F112+CoopStroom!F112+Cozywheels!F112+Dégage!F112+Flexigo!F112+Klimaan!F112+Moovee!F112+Poppy!F112+'Mobilize Share'!F112+Stapp.in!F112</f>
        <v>3</v>
      </c>
      <c r="AQ162" s="25">
        <f>BattMobility!G112+cambio!G112+Claus2you!G112+CoopStroom!G112+Cozywheels!G112+Dégage!G112+Flexigo!G112+Klimaan!G112+Moovee!G112+Poppy!G112+'Mobilize Share'!G112+Stapp.in!G112</f>
        <v>3</v>
      </c>
      <c r="AR162" s="29">
        <f t="shared" si="4"/>
        <v>0.20517029134181369</v>
      </c>
      <c r="AS162" s="29">
        <f t="shared" si="5"/>
        <v>0.20517029134181369</v>
      </c>
      <c r="AT162" s="25">
        <f t="shared" si="6"/>
        <v>2</v>
      </c>
      <c r="AU162" s="30">
        <v>29.032</v>
      </c>
      <c r="AV162" s="31">
        <v>28.032</v>
      </c>
    </row>
    <row r="163" spans="1:48" ht="14.25" customHeight="1" x14ac:dyDescent="0.35">
      <c r="A163" s="2" t="s">
        <v>213</v>
      </c>
      <c r="B163" s="13" t="s">
        <v>52</v>
      </c>
      <c r="C163" s="13">
        <v>23103</v>
      </c>
      <c r="D163" s="14">
        <v>14488</v>
      </c>
      <c r="E163" s="14">
        <v>14608</v>
      </c>
      <c r="F163" s="14">
        <v>14742</v>
      </c>
      <c r="G163" s="14">
        <v>14760</v>
      </c>
      <c r="H163" s="15">
        <v>2</v>
      </c>
      <c r="I163" s="13">
        <v>0</v>
      </c>
      <c r="J163" s="16">
        <v>0.13804527885146328</v>
      </c>
      <c r="K163" s="15">
        <v>0</v>
      </c>
      <c r="L163" s="13">
        <v>0</v>
      </c>
      <c r="M163" s="16">
        <v>0</v>
      </c>
      <c r="N163" s="15">
        <v>0</v>
      </c>
      <c r="O163" s="13">
        <v>0</v>
      </c>
      <c r="P163" s="16">
        <v>0</v>
      </c>
      <c r="Q163" s="16">
        <v>0</v>
      </c>
      <c r="R163" s="18">
        <v>-2</v>
      </c>
      <c r="S163" s="16">
        <v>-0.13804527885146328</v>
      </c>
      <c r="T163" s="18">
        <v>0</v>
      </c>
      <c r="U163" s="16">
        <v>0</v>
      </c>
      <c r="V163" s="18">
        <v>0</v>
      </c>
      <c r="W163" s="16">
        <v>0</v>
      </c>
      <c r="X163" s="15">
        <v>3</v>
      </c>
      <c r="Y163" s="13">
        <v>0</v>
      </c>
      <c r="Z163" s="16">
        <v>0.2053669222343921</v>
      </c>
      <c r="AA163" s="16">
        <v>0</v>
      </c>
      <c r="AB163" s="15">
        <v>3</v>
      </c>
      <c r="AC163" s="13">
        <v>0</v>
      </c>
      <c r="AD163" s="16">
        <v>0.20350020350020348</v>
      </c>
      <c r="AE163" s="16">
        <v>0</v>
      </c>
      <c r="AF163" s="19">
        <v>4</v>
      </c>
      <c r="AG163" s="20">
        <v>0</v>
      </c>
      <c r="AH163" s="16">
        <v>0.27133360466693801</v>
      </c>
      <c r="AI163" s="21">
        <v>0</v>
      </c>
      <c r="AJ163" s="22">
        <f>BattMobility!D262+cambio!D262+Claus2you!D262+CoopStroom!D262+Cozywheels!D262+Dégage!D262+Flexigo!D262+Klimaan!D262+Moovee!D262+Poppy!D262+'Mobilize Share'!D262+Stapp.in!D262</f>
        <v>4</v>
      </c>
      <c r="AK163" s="23">
        <f>BattMobility!E262+cambio!E262+Claus2you!E262+CoopStroom!E262+Cozywheels!E262+Dégage!E262+Flexigo!E262+Klimaan!E262+Moovee!E262+Poppy!E262+'Mobilize Share'!E262+Stapp.in!E262</f>
        <v>0</v>
      </c>
      <c r="AL163" s="21">
        <f t="shared" si="0"/>
        <v>0.27100271002710025</v>
      </c>
      <c r="AM163" s="21">
        <f t="shared" si="1"/>
        <v>0</v>
      </c>
      <c r="AN163" s="25">
        <f t="shared" si="2"/>
        <v>1</v>
      </c>
      <c r="AO163" s="26">
        <f t="shared" si="3"/>
        <v>0.33333333333333331</v>
      </c>
      <c r="AP163" s="27">
        <f>BattMobility!F262+cambio!F262+Claus2you!F262+CoopStroom!F262+Cozywheels!F262+Dégage!F262+Flexigo!F262+Klimaan!F262+Moovee!F262+Poppy!F262+'Mobilize Share'!F262+Stapp.in!F262</f>
        <v>3</v>
      </c>
      <c r="AQ163" s="25">
        <f>BattMobility!G262+cambio!G262+Claus2you!G262+CoopStroom!G262+Cozywheels!G262+Dégage!G262+Flexigo!G262+Klimaan!G262+Moovee!G262+Poppy!G262+'Mobilize Share'!G262+Stapp.in!G262</f>
        <v>0</v>
      </c>
      <c r="AR163" s="29">
        <f t="shared" si="4"/>
        <v>0.2032520325203252</v>
      </c>
      <c r="AS163" s="29">
        <f t="shared" si="5"/>
        <v>0</v>
      </c>
      <c r="AT163" s="25">
        <f t="shared" si="6"/>
        <v>-1</v>
      </c>
      <c r="AU163" s="30">
        <v>29.484000000000002</v>
      </c>
      <c r="AV163" s="31">
        <v>25.484000000000002</v>
      </c>
    </row>
    <row r="164" spans="1:48" ht="14.25" customHeight="1" x14ac:dyDescent="0.35">
      <c r="A164" s="2" t="s">
        <v>214</v>
      </c>
      <c r="B164" s="13" t="s">
        <v>52</v>
      </c>
      <c r="C164" s="13">
        <v>23060</v>
      </c>
      <c r="D164" s="14">
        <v>14828</v>
      </c>
      <c r="E164" s="14">
        <v>14890</v>
      </c>
      <c r="F164" s="14">
        <v>14866</v>
      </c>
      <c r="G164" s="14">
        <v>15006</v>
      </c>
      <c r="H164" s="15">
        <v>3</v>
      </c>
      <c r="I164" s="13">
        <v>0</v>
      </c>
      <c r="J164" s="16">
        <v>0.20231993525762071</v>
      </c>
      <c r="K164" s="15">
        <v>3</v>
      </c>
      <c r="L164" s="13">
        <v>0</v>
      </c>
      <c r="M164" s="16">
        <v>0.20231993525762071</v>
      </c>
      <c r="N164" s="15">
        <v>3</v>
      </c>
      <c r="O164" s="13">
        <v>0</v>
      </c>
      <c r="P164" s="16">
        <v>0.20147750167897918</v>
      </c>
      <c r="Q164" s="16">
        <v>0</v>
      </c>
      <c r="R164" s="18">
        <v>0</v>
      </c>
      <c r="S164" s="16">
        <v>-8.4243357864152713E-4</v>
      </c>
      <c r="T164" s="18">
        <v>0</v>
      </c>
      <c r="U164" s="16">
        <v>-8.4243357864152713E-4</v>
      </c>
      <c r="V164" s="18">
        <v>3</v>
      </c>
      <c r="W164" s="16">
        <v>0.20147750167897918</v>
      </c>
      <c r="X164" s="15">
        <v>3</v>
      </c>
      <c r="Y164" s="13">
        <v>0</v>
      </c>
      <c r="Z164" s="16">
        <v>0.20147750167897918</v>
      </c>
      <c r="AA164" s="16">
        <v>0</v>
      </c>
      <c r="AB164" s="15">
        <v>2</v>
      </c>
      <c r="AC164" s="13">
        <v>0</v>
      </c>
      <c r="AD164" s="16">
        <v>0.13453518094981839</v>
      </c>
      <c r="AE164" s="16">
        <v>0</v>
      </c>
      <c r="AF164" s="19">
        <v>4</v>
      </c>
      <c r="AG164" s="20">
        <v>2</v>
      </c>
      <c r="AH164" s="16">
        <v>0.26907036189963679</v>
      </c>
      <c r="AI164" s="21">
        <v>0.13453518094981839</v>
      </c>
      <c r="AJ164" s="22">
        <f>BattMobility!D194+cambio!D194+Claus2you!D194+CoopStroom!D194+Cozywheels!D194+Dégage!D194+Flexigo!D194+Klimaan!D194+Moovee!D194+Poppy!D194+'Mobilize Share'!D194+Stapp.in!D194</f>
        <v>3</v>
      </c>
      <c r="AK164" s="23">
        <f>BattMobility!E194+cambio!E194+Claus2you!E194+CoopStroom!E194+Cozywheels!E194+Dégage!E194+Flexigo!E194+Klimaan!E194+Moovee!E194+Poppy!E194+'Mobilize Share'!E194+Stapp.in!E194</f>
        <v>2</v>
      </c>
      <c r="AL164" s="21">
        <f t="shared" si="0"/>
        <v>0.19992003198720512</v>
      </c>
      <c r="AM164" s="21">
        <f t="shared" si="1"/>
        <v>0.1332800213248034</v>
      </c>
      <c r="AN164" s="25">
        <f t="shared" si="2"/>
        <v>1</v>
      </c>
      <c r="AO164" s="26">
        <f t="shared" si="3"/>
        <v>0.5</v>
      </c>
      <c r="AP164" s="27">
        <f>BattMobility!F194+cambio!F194+Claus2you!F194+CoopStroom!F194+Cozywheels!F194+Dégage!F194+Flexigo!F194+Klimaan!F194+Moovee!F194+Poppy!F194+'Mobilize Share'!F194+Stapp.in!F194</f>
        <v>3</v>
      </c>
      <c r="AQ164" s="25">
        <f>BattMobility!G194+cambio!G194+Claus2you!G194+CoopStroom!G194+Cozywheels!G194+Dégage!G194+Flexigo!G194+Klimaan!G194+Moovee!G194+Poppy!G194+'Mobilize Share'!G194+Stapp.in!G194</f>
        <v>2</v>
      </c>
      <c r="AR164" s="29">
        <f t="shared" si="4"/>
        <v>0.19992003198720512</v>
      </c>
      <c r="AS164" s="29">
        <f t="shared" si="5"/>
        <v>0.1332800213248034</v>
      </c>
      <c r="AT164" s="25">
        <f t="shared" si="6"/>
        <v>-1</v>
      </c>
      <c r="AU164" s="30">
        <v>29.731999999999999</v>
      </c>
      <c r="AV164" s="31">
        <v>25.731999999999999</v>
      </c>
    </row>
    <row r="165" spans="1:48" ht="14.25" customHeight="1" x14ac:dyDescent="0.35">
      <c r="A165" s="2" t="s">
        <v>215</v>
      </c>
      <c r="B165" s="13" t="s">
        <v>52</v>
      </c>
      <c r="C165" s="13">
        <v>24109</v>
      </c>
      <c r="D165" s="14">
        <v>15190</v>
      </c>
      <c r="E165" s="14">
        <v>15338</v>
      </c>
      <c r="F165" s="14">
        <v>15417</v>
      </c>
      <c r="G165" s="14">
        <v>15418</v>
      </c>
      <c r="H165" s="15">
        <v>1</v>
      </c>
      <c r="I165" s="13">
        <v>0</v>
      </c>
      <c r="J165" s="16">
        <v>6.5832784726793936E-2</v>
      </c>
      <c r="K165" s="15">
        <v>1</v>
      </c>
      <c r="L165" s="13">
        <v>0</v>
      </c>
      <c r="M165" s="16">
        <v>6.5832784726793936E-2</v>
      </c>
      <c r="N165" s="15">
        <v>1</v>
      </c>
      <c r="O165" s="13">
        <v>0</v>
      </c>
      <c r="P165" s="16">
        <v>6.5197548572173677E-2</v>
      </c>
      <c r="Q165" s="16">
        <v>0</v>
      </c>
      <c r="R165" s="18">
        <v>0</v>
      </c>
      <c r="S165" s="16">
        <v>-6.352361546202584E-4</v>
      </c>
      <c r="T165" s="18">
        <v>0</v>
      </c>
      <c r="U165" s="16">
        <v>-6.352361546202584E-4</v>
      </c>
      <c r="V165" s="18">
        <v>1</v>
      </c>
      <c r="W165" s="16">
        <v>6.5197548572173677E-2</v>
      </c>
      <c r="X165" s="15">
        <v>1</v>
      </c>
      <c r="Y165" s="13">
        <v>0</v>
      </c>
      <c r="Z165" s="16">
        <v>6.5197548572173677E-2</v>
      </c>
      <c r="AA165" s="16">
        <v>0</v>
      </c>
      <c r="AB165" s="15">
        <v>1</v>
      </c>
      <c r="AC165" s="13">
        <v>0</v>
      </c>
      <c r="AD165" s="16">
        <v>6.4863462411623538E-2</v>
      </c>
      <c r="AE165" s="16">
        <v>0</v>
      </c>
      <c r="AF165" s="19">
        <v>3</v>
      </c>
      <c r="AG165" s="20">
        <v>1</v>
      </c>
      <c r="AH165" s="16">
        <v>0.1945903872348706</v>
      </c>
      <c r="AI165" s="21">
        <v>6.4863462411623538E-2</v>
      </c>
      <c r="AJ165" s="22">
        <f>BattMobility!D246+cambio!D246+Claus2you!D246+CoopStroom!D246+Cozywheels!D246+Dégage!D246+Flexigo!D246+Klimaan!D246+Moovee!D246+Poppy!D246+'Mobilize Share'!D246+Stapp.in!D246</f>
        <v>3</v>
      </c>
      <c r="AK165" s="23">
        <f>BattMobility!E246+cambio!E246+Claus2you!E246+CoopStroom!E246+Cozywheels!E246+Dégage!E246+Flexigo!E246+Klimaan!E246+Moovee!E246+Poppy!E246+'Mobilize Share'!E246+Stapp.in!E246</f>
        <v>1</v>
      </c>
      <c r="AL165" s="21">
        <f t="shared" si="0"/>
        <v>0.19457776624724349</v>
      </c>
      <c r="AM165" s="21">
        <f t="shared" si="1"/>
        <v>6.4859255415747816E-2</v>
      </c>
      <c r="AN165" s="25">
        <f t="shared" si="2"/>
        <v>2</v>
      </c>
      <c r="AO165" s="26">
        <f t="shared" si="3"/>
        <v>2</v>
      </c>
      <c r="AP165" s="27">
        <f>BattMobility!F246+cambio!F246+Claus2you!F246+CoopStroom!F246+Cozywheels!F246+Dégage!F246+Flexigo!F246+Klimaan!F246+Moovee!F246+Poppy!F246+'Mobilize Share'!F246+Stapp.in!F246</f>
        <v>3</v>
      </c>
      <c r="AQ165" s="25">
        <f>BattMobility!G246+cambio!G246+Claus2you!G246+CoopStroom!G246+Cozywheels!G246+Dégage!G246+Flexigo!G246+Klimaan!G246+Moovee!G246+Poppy!G246+'Mobilize Share'!G246+Stapp.in!G246</f>
        <v>2</v>
      </c>
      <c r="AR165" s="29">
        <f t="shared" si="4"/>
        <v>0.19457776624724349</v>
      </c>
      <c r="AS165" s="29">
        <f t="shared" si="5"/>
        <v>0.12971851083149563</v>
      </c>
      <c r="AT165" s="25">
        <f t="shared" si="6"/>
        <v>0</v>
      </c>
      <c r="AU165" s="30">
        <v>30.834</v>
      </c>
      <c r="AV165" s="31">
        <v>27.834</v>
      </c>
    </row>
    <row r="166" spans="1:48" ht="14.25" customHeight="1" x14ac:dyDescent="0.35">
      <c r="A166" s="2" t="s">
        <v>216</v>
      </c>
      <c r="B166" s="13" t="s">
        <v>50</v>
      </c>
      <c r="C166" s="13">
        <v>42003</v>
      </c>
      <c r="D166" s="14">
        <v>15274</v>
      </c>
      <c r="E166" s="14">
        <v>15446</v>
      </c>
      <c r="F166" s="14">
        <v>15486</v>
      </c>
      <c r="G166" s="14">
        <v>15425</v>
      </c>
      <c r="H166" s="15">
        <v>0</v>
      </c>
      <c r="I166" s="13">
        <v>0</v>
      </c>
      <c r="J166" s="16">
        <v>0</v>
      </c>
      <c r="K166" s="15">
        <v>0</v>
      </c>
      <c r="L166" s="13">
        <v>0</v>
      </c>
      <c r="M166" s="16">
        <v>0</v>
      </c>
      <c r="N166" s="15">
        <v>0</v>
      </c>
      <c r="O166" s="13">
        <v>0</v>
      </c>
      <c r="P166" s="16">
        <v>0</v>
      </c>
      <c r="Q166" s="16">
        <v>0</v>
      </c>
      <c r="R166" s="18">
        <v>0</v>
      </c>
      <c r="S166" s="16">
        <v>0</v>
      </c>
      <c r="T166" s="18">
        <v>0</v>
      </c>
      <c r="U166" s="16">
        <v>0</v>
      </c>
      <c r="V166" s="18">
        <v>0</v>
      </c>
      <c r="W166" s="16">
        <v>0</v>
      </c>
      <c r="X166" s="15">
        <v>1</v>
      </c>
      <c r="Y166" s="13">
        <v>0</v>
      </c>
      <c r="Z166" s="16">
        <v>6.4741680694030815E-2</v>
      </c>
      <c r="AA166" s="16">
        <v>0</v>
      </c>
      <c r="AB166" s="15">
        <v>3</v>
      </c>
      <c r="AC166" s="13">
        <v>2</v>
      </c>
      <c r="AD166" s="16">
        <v>0.19372336303758234</v>
      </c>
      <c r="AE166" s="16">
        <v>0.12914890869172155</v>
      </c>
      <c r="AF166" s="19">
        <v>3</v>
      </c>
      <c r="AG166" s="20">
        <v>2</v>
      </c>
      <c r="AH166" s="16">
        <v>0.19372336303758234</v>
      </c>
      <c r="AI166" s="21">
        <v>0.12914890869172155</v>
      </c>
      <c r="AJ166" s="22">
        <f>BattMobility!D26+cambio!D26+Claus2you!D26+CoopStroom!D26+Cozywheels!D26+Dégage!D26+Flexigo!D26+Klimaan!D26+Moovee!D26+Poppy!D26+'Mobilize Share'!D26+Stapp.in!D26</f>
        <v>3</v>
      </c>
      <c r="AK166" s="23">
        <f>BattMobility!E26+cambio!E26+Claus2you!E26+CoopStroom!E26+Cozywheels!E26+Dégage!E26+Flexigo!E26+Klimaan!E26+Moovee!E26+Poppy!E26+'Mobilize Share'!E26+Stapp.in!E26</f>
        <v>2</v>
      </c>
      <c r="AL166" s="21">
        <f t="shared" si="0"/>
        <v>0.19448946515397081</v>
      </c>
      <c r="AM166" s="21">
        <f t="shared" si="1"/>
        <v>0.12965964343598058</v>
      </c>
      <c r="AN166" s="25">
        <f t="shared" si="2"/>
        <v>0</v>
      </c>
      <c r="AO166" s="26">
        <f t="shared" si="3"/>
        <v>0</v>
      </c>
      <c r="AP166" s="27">
        <f>BattMobility!F26+cambio!F26+Claus2you!F26+CoopStroom!F26+Cozywheels!F26+Dégage!F26+Flexigo!F26+Klimaan!F26+Moovee!F26+Poppy!F26+'Mobilize Share'!F26+Stapp.in!F26</f>
        <v>3</v>
      </c>
      <c r="AQ166" s="25">
        <f>BattMobility!G26+cambio!G26+Claus2you!G26+CoopStroom!G26+Cozywheels!G26+Dégage!G26+Flexigo!G26+Klimaan!G26+Moovee!G26+Poppy!G26+'Mobilize Share'!G26+Stapp.in!G26</f>
        <v>2</v>
      </c>
      <c r="AR166" s="29">
        <f t="shared" si="4"/>
        <v>0.19448946515397081</v>
      </c>
      <c r="AS166" s="29">
        <f t="shared" si="5"/>
        <v>0.12965964343598058</v>
      </c>
      <c r="AT166" s="25">
        <f t="shared" si="6"/>
        <v>0</v>
      </c>
      <c r="AU166" s="30">
        <v>30.972000000000001</v>
      </c>
      <c r="AV166" s="31">
        <v>27.972000000000001</v>
      </c>
    </row>
    <row r="167" spans="1:48" ht="14.25" customHeight="1" x14ac:dyDescent="0.35">
      <c r="A167" s="2" t="s">
        <v>217</v>
      </c>
      <c r="B167" s="13" t="s">
        <v>52</v>
      </c>
      <c r="C167" s="13">
        <v>23086</v>
      </c>
      <c r="D167" s="14">
        <v>16283</v>
      </c>
      <c r="E167" s="14">
        <v>16488</v>
      </c>
      <c r="F167" s="14">
        <v>16578</v>
      </c>
      <c r="G167" s="14">
        <v>16691</v>
      </c>
      <c r="H167" s="15">
        <v>0</v>
      </c>
      <c r="I167" s="13">
        <v>0</v>
      </c>
      <c r="J167" s="16">
        <v>0</v>
      </c>
      <c r="K167" s="15">
        <v>0</v>
      </c>
      <c r="L167" s="13">
        <v>0</v>
      </c>
      <c r="M167" s="16">
        <v>0</v>
      </c>
      <c r="N167" s="15">
        <v>0</v>
      </c>
      <c r="O167" s="13">
        <v>0</v>
      </c>
      <c r="P167" s="16">
        <v>0</v>
      </c>
      <c r="Q167" s="16">
        <v>0</v>
      </c>
      <c r="R167" s="18">
        <v>0</v>
      </c>
      <c r="S167" s="16">
        <v>0</v>
      </c>
      <c r="T167" s="18">
        <v>0</v>
      </c>
      <c r="U167" s="16">
        <v>0</v>
      </c>
      <c r="V167" s="18">
        <v>0</v>
      </c>
      <c r="W167" s="16">
        <v>0</v>
      </c>
      <c r="X167" s="15">
        <v>3</v>
      </c>
      <c r="Y167" s="13">
        <v>2</v>
      </c>
      <c r="Z167" s="16">
        <v>0.18195050946142649</v>
      </c>
      <c r="AA167" s="16">
        <v>0.12130033964095099</v>
      </c>
      <c r="AB167" s="15">
        <v>3</v>
      </c>
      <c r="AC167" s="13">
        <v>2</v>
      </c>
      <c r="AD167" s="16">
        <v>0.18096272167933405</v>
      </c>
      <c r="AE167" s="16">
        <v>0.12064181445288936</v>
      </c>
      <c r="AF167" s="19">
        <v>3</v>
      </c>
      <c r="AG167" s="20">
        <v>2</v>
      </c>
      <c r="AH167" s="16">
        <v>0.18096272167933405</v>
      </c>
      <c r="AI167" s="21">
        <v>0.12064181445288936</v>
      </c>
      <c r="AJ167" s="22">
        <f>BattMobility!D238+cambio!D238+Claus2you!D238+CoopStroom!D238+Cozywheels!D238+Dégage!D238+Flexigo!D238+Klimaan!D238+Moovee!D238+Poppy!D238+'Mobilize Share'!D238+Stapp.in!D238</f>
        <v>3</v>
      </c>
      <c r="AK167" s="23">
        <f>BattMobility!E238+cambio!E238+Claus2you!E238+CoopStroom!E238+Cozywheels!E238+Dégage!E238+Flexigo!E238+Klimaan!E238+Moovee!E238+Poppy!E238+'Mobilize Share'!E238+Stapp.in!E238</f>
        <v>2</v>
      </c>
      <c r="AL167" s="21">
        <f t="shared" si="0"/>
        <v>0.17973758312863219</v>
      </c>
      <c r="AM167" s="21">
        <f t="shared" si="1"/>
        <v>0.11982505541908813</v>
      </c>
      <c r="AN167" s="25">
        <f t="shared" si="2"/>
        <v>0</v>
      </c>
      <c r="AO167" s="26">
        <f t="shared" si="3"/>
        <v>0</v>
      </c>
      <c r="AP167" s="27">
        <f>BattMobility!F238+cambio!F238+Claus2you!F238+CoopStroom!F238+Cozywheels!F238+Dégage!F238+Flexigo!F238+Klimaan!F238+Moovee!F238+Poppy!F238+'Mobilize Share'!F238+Stapp.in!F238</f>
        <v>3</v>
      </c>
      <c r="AQ167" s="25">
        <f>BattMobility!G238+cambio!G238+Claus2you!G238+CoopStroom!G238+Cozywheels!G238+Dégage!G238+Flexigo!G238+Klimaan!G238+Moovee!G238+Poppy!G238+'Mobilize Share'!G238+Stapp.in!G238</f>
        <v>2</v>
      </c>
      <c r="AR167" s="29">
        <f t="shared" si="4"/>
        <v>0.17973758312863219</v>
      </c>
      <c r="AS167" s="29">
        <f t="shared" si="5"/>
        <v>0.11982505541908813</v>
      </c>
      <c r="AT167" s="25">
        <f t="shared" si="6"/>
        <v>0</v>
      </c>
      <c r="AU167" s="30">
        <v>33.155999999999999</v>
      </c>
      <c r="AV167" s="31">
        <v>30.155999999999999</v>
      </c>
    </row>
    <row r="168" spans="1:48" ht="14.25" customHeight="1" x14ac:dyDescent="0.35">
      <c r="A168" s="2" t="s">
        <v>218</v>
      </c>
      <c r="B168" s="13" t="s">
        <v>48</v>
      </c>
      <c r="C168" s="13">
        <v>13053</v>
      </c>
      <c r="D168" s="14">
        <v>16464</v>
      </c>
      <c r="E168" s="14">
        <v>16707</v>
      </c>
      <c r="F168" s="14">
        <v>16753</v>
      </c>
      <c r="G168" s="14">
        <v>16935</v>
      </c>
      <c r="H168" s="15">
        <v>0</v>
      </c>
      <c r="I168" s="13">
        <v>0</v>
      </c>
      <c r="J168" s="16">
        <v>0</v>
      </c>
      <c r="K168" s="15">
        <v>1</v>
      </c>
      <c r="L168" s="13">
        <v>0</v>
      </c>
      <c r="M168" s="16">
        <v>6.0738581146744408E-2</v>
      </c>
      <c r="N168" s="15">
        <v>0</v>
      </c>
      <c r="O168" s="13">
        <v>0</v>
      </c>
      <c r="P168" s="16">
        <v>0</v>
      </c>
      <c r="Q168" s="16">
        <v>0</v>
      </c>
      <c r="R168" s="18">
        <v>0</v>
      </c>
      <c r="S168" s="16">
        <v>0</v>
      </c>
      <c r="T168" s="18">
        <v>-1</v>
      </c>
      <c r="U168" s="16">
        <v>-6.0738581146744408E-2</v>
      </c>
      <c r="V168" s="18">
        <v>0</v>
      </c>
      <c r="W168" s="16">
        <v>0</v>
      </c>
      <c r="X168" s="15">
        <v>2</v>
      </c>
      <c r="Y168" s="13">
        <v>2</v>
      </c>
      <c r="Z168" s="16">
        <v>0.11971030107140719</v>
      </c>
      <c r="AA168" s="16">
        <v>0.11971030107140719</v>
      </c>
      <c r="AB168" s="15">
        <v>2</v>
      </c>
      <c r="AC168" s="13">
        <v>2</v>
      </c>
      <c r="AD168" s="16">
        <v>0.11938160329493225</v>
      </c>
      <c r="AE168" s="16">
        <v>0.11938160329493225</v>
      </c>
      <c r="AF168" s="19">
        <v>4</v>
      </c>
      <c r="AG168" s="20">
        <v>4</v>
      </c>
      <c r="AH168" s="16">
        <v>0.2387632065898645</v>
      </c>
      <c r="AI168" s="21">
        <v>0.2387632065898645</v>
      </c>
      <c r="AJ168" s="22">
        <f>BattMobility!D137+cambio!D137+Claus2you!D137+CoopStroom!D137+Cozywheels!D137+Dégage!D137+Flexigo!D137+Klimaan!D137+Moovee!D137+Poppy!D137+'Mobilize Share'!D137+Stapp.in!D137</f>
        <v>3</v>
      </c>
      <c r="AK168" s="23">
        <f>BattMobility!E137+cambio!E137+Claus2you!E137+CoopStroom!E137+Cozywheels!E137+Dégage!E137+Flexigo!E137+Klimaan!E137+Moovee!E137+Poppy!E137+'Mobilize Share'!E137+Stapp.in!E137</f>
        <v>3</v>
      </c>
      <c r="AL168" s="21">
        <f t="shared" si="0"/>
        <v>0.17714791851195749</v>
      </c>
      <c r="AM168" s="21">
        <f t="shared" si="1"/>
        <v>0.17714791851195749</v>
      </c>
      <c r="AN168" s="25">
        <f t="shared" si="2"/>
        <v>1</v>
      </c>
      <c r="AO168" s="26">
        <f t="shared" si="3"/>
        <v>0.5</v>
      </c>
      <c r="AP168" s="27">
        <f>BattMobility!F137+cambio!F137+Claus2you!F137+CoopStroom!F137+Cozywheels!F137+Dégage!F137+Flexigo!F137+Klimaan!F137+Moovee!F137+Poppy!F137+'Mobilize Share'!F137+Stapp.in!F137</f>
        <v>3</v>
      </c>
      <c r="AQ168" s="25">
        <f>BattMobility!G137+cambio!G137+Claus2you!G137+CoopStroom!G137+Cozywheels!G137+Dégage!G137+Flexigo!G137+Klimaan!G137+Moovee!G137+Poppy!G137+'Mobilize Share'!G137+Stapp.in!G137</f>
        <v>3</v>
      </c>
      <c r="AR168" s="29">
        <f t="shared" si="4"/>
        <v>0.17714791851195749</v>
      </c>
      <c r="AS168" s="29">
        <f t="shared" si="5"/>
        <v>0.17714791851195749</v>
      </c>
      <c r="AT168" s="25">
        <f t="shared" si="6"/>
        <v>-1</v>
      </c>
      <c r="AU168" s="30">
        <v>33.506</v>
      </c>
      <c r="AV168" s="31">
        <v>29.506</v>
      </c>
    </row>
    <row r="169" spans="1:48" ht="14.25" customHeight="1" x14ac:dyDescent="0.35">
      <c r="A169" s="2" t="s">
        <v>219</v>
      </c>
      <c r="B169" s="13" t="s">
        <v>55</v>
      </c>
      <c r="C169" s="13">
        <v>35002</v>
      </c>
      <c r="D169" s="14">
        <v>18167</v>
      </c>
      <c r="E169" s="14">
        <v>18081</v>
      </c>
      <c r="F169" s="14">
        <v>18180</v>
      </c>
      <c r="G169" s="14">
        <v>18196</v>
      </c>
      <c r="H169" s="15">
        <v>1</v>
      </c>
      <c r="I169" s="13">
        <v>0</v>
      </c>
      <c r="J169" s="16">
        <v>5.504486156217317E-2</v>
      </c>
      <c r="K169" s="15">
        <v>0</v>
      </c>
      <c r="L169" s="13">
        <v>0</v>
      </c>
      <c r="M169" s="16">
        <v>0</v>
      </c>
      <c r="N169" s="15">
        <v>0</v>
      </c>
      <c r="O169" s="13">
        <v>0</v>
      </c>
      <c r="P169" s="16">
        <v>0</v>
      </c>
      <c r="Q169" s="16">
        <v>0</v>
      </c>
      <c r="R169" s="18">
        <v>-1</v>
      </c>
      <c r="S169" s="16">
        <v>-5.504486156217317E-2</v>
      </c>
      <c r="T169" s="18">
        <v>0</v>
      </c>
      <c r="U169" s="16">
        <v>0</v>
      </c>
      <c r="V169" s="18">
        <v>0</v>
      </c>
      <c r="W169" s="16">
        <v>0</v>
      </c>
      <c r="X169" s="15">
        <v>0</v>
      </c>
      <c r="Y169" s="13">
        <v>0</v>
      </c>
      <c r="Z169" s="16">
        <v>0</v>
      </c>
      <c r="AA169" s="16">
        <v>0</v>
      </c>
      <c r="AB169" s="15">
        <v>0</v>
      </c>
      <c r="AC169" s="13">
        <v>0</v>
      </c>
      <c r="AD169" s="16">
        <v>0</v>
      </c>
      <c r="AE169" s="16">
        <v>0</v>
      </c>
      <c r="AF169" s="19">
        <v>1</v>
      </c>
      <c r="AG169" s="20">
        <v>1</v>
      </c>
      <c r="AH169" s="16">
        <v>5.5005500550055007E-2</v>
      </c>
      <c r="AI169" s="21">
        <v>5.5005500550055007E-2</v>
      </c>
      <c r="AJ169" s="22">
        <f>BattMobility!D43+cambio!D43+Claus2you!D43+CoopStroom!D43+Cozywheels!D43+Dégage!D43+Flexigo!D43+Klimaan!D43+Moovee!D43+Poppy!D43+'Mobilize Share'!D43+Stapp.in!D43</f>
        <v>1</v>
      </c>
      <c r="AK169" s="23">
        <f>BattMobility!E43+cambio!E43+Claus2you!E43+CoopStroom!E43+Cozywheels!E43+Dégage!E43+Flexigo!E43+Klimaan!E43+Moovee!E43+Poppy!E43+'Mobilize Share'!E43+Stapp.in!E43</f>
        <v>1</v>
      </c>
      <c r="AL169" s="21">
        <f t="shared" si="0"/>
        <v>5.4957133435919986E-2</v>
      </c>
      <c r="AM169" s="21">
        <f t="shared" si="1"/>
        <v>5.4957133435919986E-2</v>
      </c>
      <c r="AN169" s="25">
        <f t="shared" si="2"/>
        <v>1</v>
      </c>
      <c r="AO169" s="26" t="e">
        <f t="shared" si="3"/>
        <v>#DIV/0!</v>
      </c>
      <c r="AP169" s="27">
        <f>BattMobility!F43+cambio!F43+Claus2you!F43+CoopStroom!F43+Cozywheels!F43+Dégage!F43+Flexigo!F43+Klimaan!F43+Moovee!F43+Poppy!F43+'Mobilize Share'!F43+Stapp.in!F43</f>
        <v>3</v>
      </c>
      <c r="AQ169" s="25">
        <f>BattMobility!G43+cambio!G43+Claus2you!G43+CoopStroom!G43+Cozywheels!G43+Dégage!G43+Flexigo!G43+Klimaan!G43+Moovee!G43+Poppy!G43+'Mobilize Share'!G43+Stapp.in!G43</f>
        <v>3</v>
      </c>
      <c r="AR169" s="29">
        <f t="shared" si="4"/>
        <v>0.16487140030775996</v>
      </c>
      <c r="AS169" s="29">
        <f t="shared" si="5"/>
        <v>0.16487140030775996</v>
      </c>
      <c r="AT169" s="25">
        <f t="shared" si="6"/>
        <v>2</v>
      </c>
      <c r="AU169" s="30">
        <v>36.36</v>
      </c>
      <c r="AV169" s="31">
        <v>35.36</v>
      </c>
    </row>
    <row r="170" spans="1:48" ht="14.25" customHeight="1" x14ac:dyDescent="0.35">
      <c r="A170" s="2" t="s">
        <v>220</v>
      </c>
      <c r="B170" s="13" t="s">
        <v>52</v>
      </c>
      <c r="C170" s="13">
        <v>23101</v>
      </c>
      <c r="D170" s="14">
        <v>18628</v>
      </c>
      <c r="E170" s="14">
        <v>18739</v>
      </c>
      <c r="F170" s="14">
        <v>18693</v>
      </c>
      <c r="G170" s="14">
        <v>18700</v>
      </c>
      <c r="H170" s="15">
        <v>2</v>
      </c>
      <c r="I170" s="13">
        <v>0</v>
      </c>
      <c r="J170" s="16">
        <v>0.10736525660296328</v>
      </c>
      <c r="K170" s="15">
        <v>2</v>
      </c>
      <c r="L170" s="13">
        <v>0</v>
      </c>
      <c r="M170" s="16">
        <v>0.10736525660296328</v>
      </c>
      <c r="N170" s="15">
        <v>2</v>
      </c>
      <c r="O170" s="13">
        <v>2</v>
      </c>
      <c r="P170" s="16">
        <v>0.10672928117829127</v>
      </c>
      <c r="Q170" s="16">
        <v>0.10672928117829127</v>
      </c>
      <c r="R170" s="18">
        <v>0</v>
      </c>
      <c r="S170" s="16">
        <v>-6.3597542467201673E-4</v>
      </c>
      <c r="T170" s="18">
        <v>0</v>
      </c>
      <c r="U170" s="16">
        <v>-6.3597542467201673E-4</v>
      </c>
      <c r="V170" s="18">
        <v>0</v>
      </c>
      <c r="W170" s="16">
        <v>0</v>
      </c>
      <c r="X170" s="15">
        <v>2</v>
      </c>
      <c r="Y170" s="13">
        <v>2</v>
      </c>
      <c r="Z170" s="16">
        <v>0.10672928117829127</v>
      </c>
      <c r="AA170" s="16">
        <v>0.10672928117829127</v>
      </c>
      <c r="AB170" s="15">
        <v>2</v>
      </c>
      <c r="AC170" s="13">
        <v>2</v>
      </c>
      <c r="AD170" s="16">
        <v>0.1069919221098807</v>
      </c>
      <c r="AE170" s="16">
        <v>0.1069919221098807</v>
      </c>
      <c r="AF170" s="19">
        <v>2</v>
      </c>
      <c r="AG170" s="20">
        <v>2</v>
      </c>
      <c r="AH170" s="16">
        <v>0.1069919221098807</v>
      </c>
      <c r="AI170" s="21">
        <v>0.1069919221098807</v>
      </c>
      <c r="AJ170" s="22">
        <f>BattMobility!D223+cambio!D223+Claus2you!D223+CoopStroom!D223+Cozywheels!D223+Dégage!D223+Flexigo!D223+Klimaan!D223+Moovee!D223+Poppy!D223+'Mobilize Share'!D223+Stapp.in!D223</f>
        <v>2</v>
      </c>
      <c r="AK170" s="23">
        <f>BattMobility!E223+cambio!E223+Claus2you!E223+CoopStroom!E223+Cozywheels!E223+Dégage!E223+Flexigo!E223+Klimaan!E223+Moovee!E223+Poppy!E223+'Mobilize Share'!E223+Stapp.in!E223</f>
        <v>2</v>
      </c>
      <c r="AL170" s="21">
        <f t="shared" si="0"/>
        <v>0.10695187165775401</v>
      </c>
      <c r="AM170" s="21">
        <f t="shared" si="1"/>
        <v>0.10695187165775401</v>
      </c>
      <c r="AN170" s="25">
        <f t="shared" si="2"/>
        <v>0</v>
      </c>
      <c r="AO170" s="26">
        <f t="shared" si="3"/>
        <v>0</v>
      </c>
      <c r="AP170" s="27">
        <f>BattMobility!F223+cambio!F223+Claus2you!F223+CoopStroom!F223+Cozywheels!F223+Dégage!F223+Flexigo!F223+Klimaan!F223+Moovee!F223+Poppy!F223+'Mobilize Share'!F223+Stapp.in!F223</f>
        <v>3</v>
      </c>
      <c r="AQ170" s="25">
        <f>BattMobility!G223+cambio!G223+Claus2you!G223+CoopStroom!G223+Cozywheels!G223+Dégage!G223+Flexigo!G223+Klimaan!G223+Moovee!G223+Poppy!G223+'Mobilize Share'!G223+Stapp.in!G223</f>
        <v>2</v>
      </c>
      <c r="AR170" s="29">
        <f t="shared" si="4"/>
        <v>0.16042780748663102</v>
      </c>
      <c r="AS170" s="29">
        <f t="shared" si="5"/>
        <v>0.10695187165775401</v>
      </c>
      <c r="AT170" s="25">
        <f t="shared" si="6"/>
        <v>1</v>
      </c>
      <c r="AU170" s="30">
        <v>37.386000000000003</v>
      </c>
      <c r="AV170" s="31">
        <v>35.386000000000003</v>
      </c>
    </row>
    <row r="171" spans="1:48" ht="14.25" customHeight="1" x14ac:dyDescent="0.35">
      <c r="A171" s="2" t="s">
        <v>221</v>
      </c>
      <c r="B171" s="13" t="s">
        <v>48</v>
      </c>
      <c r="C171" s="13">
        <v>13004</v>
      </c>
      <c r="D171" s="14">
        <v>18378</v>
      </c>
      <c r="E171" s="14">
        <v>18416</v>
      </c>
      <c r="F171" s="14">
        <v>18601</v>
      </c>
      <c r="G171" s="14">
        <v>18710</v>
      </c>
      <c r="H171" s="15">
        <v>1</v>
      </c>
      <c r="I171" s="13">
        <v>0</v>
      </c>
      <c r="J171" s="16">
        <v>5.4412884971161174E-2</v>
      </c>
      <c r="K171" s="15">
        <v>0</v>
      </c>
      <c r="L171" s="13">
        <v>0</v>
      </c>
      <c r="M171" s="32">
        <v>0</v>
      </c>
      <c r="N171" s="15">
        <v>1</v>
      </c>
      <c r="O171" s="13">
        <v>1</v>
      </c>
      <c r="P171" s="32">
        <v>5.4300608166811468E-2</v>
      </c>
      <c r="Q171" s="16">
        <v>5.4300608166811468E-2</v>
      </c>
      <c r="R171" s="18">
        <v>0</v>
      </c>
      <c r="S171" s="16">
        <v>-1.1227680434970633E-4</v>
      </c>
      <c r="T171" s="18">
        <v>1</v>
      </c>
      <c r="U171" s="16">
        <v>5.4300608166811468E-2</v>
      </c>
      <c r="V171" s="18">
        <v>0</v>
      </c>
      <c r="W171" s="16">
        <v>0</v>
      </c>
      <c r="X171" s="15">
        <v>1</v>
      </c>
      <c r="Y171" s="13">
        <v>0</v>
      </c>
      <c r="Z171" s="16">
        <v>5.4300608166811468E-2</v>
      </c>
      <c r="AA171" s="16">
        <v>0</v>
      </c>
      <c r="AB171" s="15">
        <v>1</v>
      </c>
      <c r="AC171" s="13">
        <v>0</v>
      </c>
      <c r="AD171" s="16">
        <v>5.37605505080372E-2</v>
      </c>
      <c r="AE171" s="16">
        <v>0</v>
      </c>
      <c r="AF171" s="19">
        <v>1</v>
      </c>
      <c r="AG171" s="20">
        <v>0</v>
      </c>
      <c r="AH171" s="16">
        <v>5.37605505080372E-2</v>
      </c>
      <c r="AI171" s="21">
        <v>0</v>
      </c>
      <c r="AJ171" s="22">
        <f>BattMobility!D20+cambio!D20+Claus2you!D20+CoopStroom!D20+Cozywheels!D20+Dégage!D20+Flexigo!D20+Klimaan!D20+Moovee!D20+Poppy!D20+'Mobilize Share'!D20+Stapp.in!D20</f>
        <v>3</v>
      </c>
      <c r="AK171" s="23">
        <f>BattMobility!E20+cambio!E20+Claus2you!E20+CoopStroom!E20+Cozywheels!E20+Dégage!E20+Flexigo!E20+Klimaan!E20+Moovee!E20+Poppy!E20+'Mobilize Share'!E20+Stapp.in!E20</f>
        <v>2</v>
      </c>
      <c r="AL171" s="21">
        <f t="shared" si="0"/>
        <v>0.16034206306787813</v>
      </c>
      <c r="AM171" s="21">
        <f t="shared" si="1"/>
        <v>0.10689470871191876</v>
      </c>
      <c r="AN171" s="25">
        <f t="shared" si="2"/>
        <v>2</v>
      </c>
      <c r="AO171" s="26">
        <f t="shared" si="3"/>
        <v>2</v>
      </c>
      <c r="AP171" s="27">
        <f>BattMobility!F20+cambio!F20+Claus2you!F20+CoopStroom!F20+Cozywheels!F20+Dégage!F20+Flexigo!F20+Klimaan!F20+Moovee!F20+Poppy!F20+'Mobilize Share'!F20+Stapp.in!F20</f>
        <v>3</v>
      </c>
      <c r="AQ171" s="25">
        <f>BattMobility!G20+cambio!G20+Claus2you!G20+CoopStroom!G20+Cozywheels!G20+Dégage!G20+Flexigo!G20+Klimaan!G20+Moovee!G20+Poppy!G20+'Mobilize Share'!G20+Stapp.in!G20</f>
        <v>2</v>
      </c>
      <c r="AR171" s="29">
        <f t="shared" si="4"/>
        <v>0.16034206306787813</v>
      </c>
      <c r="AS171" s="29">
        <f t="shared" si="5"/>
        <v>0.10689470871191876</v>
      </c>
      <c r="AT171" s="25">
        <f t="shared" si="6"/>
        <v>2</v>
      </c>
      <c r="AU171" s="30">
        <v>37.201999999999998</v>
      </c>
      <c r="AV171" s="31">
        <v>36.201999999999998</v>
      </c>
    </row>
    <row r="172" spans="1:48" ht="14.25" customHeight="1" x14ac:dyDescent="0.35">
      <c r="A172" s="2" t="s">
        <v>222</v>
      </c>
      <c r="B172" s="13" t="s">
        <v>55</v>
      </c>
      <c r="C172" s="13">
        <v>33029</v>
      </c>
      <c r="D172" s="14">
        <v>19020</v>
      </c>
      <c r="E172" s="14">
        <v>19190</v>
      </c>
      <c r="F172" s="14">
        <v>19209</v>
      </c>
      <c r="G172" s="14">
        <v>19207</v>
      </c>
      <c r="H172" s="15">
        <v>0</v>
      </c>
      <c r="I172" s="13">
        <v>0</v>
      </c>
      <c r="J172" s="16">
        <v>0</v>
      </c>
      <c r="K172" s="15">
        <v>0</v>
      </c>
      <c r="L172" s="13">
        <v>0</v>
      </c>
      <c r="M172" s="16">
        <v>0</v>
      </c>
      <c r="N172" s="15">
        <v>2</v>
      </c>
      <c r="O172" s="13">
        <v>0</v>
      </c>
      <c r="P172" s="16">
        <v>0.10422094841063054</v>
      </c>
      <c r="Q172" s="16">
        <v>0</v>
      </c>
      <c r="R172" s="18">
        <v>2</v>
      </c>
      <c r="S172" s="16">
        <v>0.10422094841063054</v>
      </c>
      <c r="T172" s="18">
        <v>2</v>
      </c>
      <c r="U172" s="16">
        <v>0.10422094841063054</v>
      </c>
      <c r="V172" s="18">
        <v>0</v>
      </c>
      <c r="W172" s="16">
        <v>0</v>
      </c>
      <c r="X172" s="15">
        <v>2</v>
      </c>
      <c r="Y172" s="13">
        <v>0</v>
      </c>
      <c r="Z172" s="16">
        <v>0.10422094841063054</v>
      </c>
      <c r="AA172" s="16">
        <v>0</v>
      </c>
      <c r="AB172" s="15">
        <v>2</v>
      </c>
      <c r="AC172" s="13">
        <v>0</v>
      </c>
      <c r="AD172" s="16">
        <v>0.10411786141912645</v>
      </c>
      <c r="AE172" s="16">
        <v>0</v>
      </c>
      <c r="AF172" s="19">
        <v>2</v>
      </c>
      <c r="AG172" s="20">
        <v>0</v>
      </c>
      <c r="AH172" s="16">
        <v>0.10411786141912645</v>
      </c>
      <c r="AI172" s="21">
        <v>0</v>
      </c>
      <c r="AJ172" s="22">
        <f>BattMobility!D258+cambio!D258+Claus2you!D258+CoopStroom!D258+Cozywheels!D258+Dégage!D258+Flexigo!D258+Klimaan!D258+Moovee!D258+Poppy!D258+'Mobilize Share'!D258+Stapp.in!D258</f>
        <v>2</v>
      </c>
      <c r="AK172" s="23">
        <f>BattMobility!E258+cambio!E258+Claus2you!E258+CoopStroom!E258+Cozywheels!E258+Dégage!E258+Flexigo!E258+Klimaan!E258+Moovee!E258+Poppy!E258+'Mobilize Share'!E258+Stapp.in!E258</f>
        <v>0</v>
      </c>
      <c r="AL172" s="21">
        <f t="shared" si="0"/>
        <v>0.10412870307700318</v>
      </c>
      <c r="AM172" s="21">
        <f t="shared" si="1"/>
        <v>0</v>
      </c>
      <c r="AN172" s="25">
        <f t="shared" si="2"/>
        <v>0</v>
      </c>
      <c r="AO172" s="26">
        <f t="shared" si="3"/>
        <v>0</v>
      </c>
      <c r="AP172" s="27">
        <f>BattMobility!F258+cambio!F258+Claus2you!F258+CoopStroom!F258+Cozywheels!F258+Dégage!F258+Flexigo!F258+Klimaan!F258+Moovee!F258+Poppy!F258+'Mobilize Share'!F258+Stapp.in!F258</f>
        <v>3</v>
      </c>
      <c r="AQ172" s="25">
        <f>BattMobility!G258+cambio!G258+Claus2you!G258+CoopStroom!G258+Cozywheels!G258+Dégage!G258+Flexigo!G258+Klimaan!G258+Moovee!G258+Poppy!G258+'Mobilize Share'!G258+Stapp.in!G258</f>
        <v>0</v>
      </c>
      <c r="AR172" s="29">
        <f t="shared" si="4"/>
        <v>0.15619305461550478</v>
      </c>
      <c r="AS172" s="29">
        <f t="shared" si="5"/>
        <v>0</v>
      </c>
      <c r="AT172" s="25">
        <f t="shared" si="6"/>
        <v>1</v>
      </c>
      <c r="AU172" s="30">
        <v>38.417999999999999</v>
      </c>
      <c r="AV172" s="31">
        <v>36.417999999999999</v>
      </c>
    </row>
    <row r="173" spans="1:48" ht="14.25" customHeight="1" x14ac:dyDescent="0.35">
      <c r="A173" s="2" t="s">
        <v>223</v>
      </c>
      <c r="B173" s="13" t="s">
        <v>50</v>
      </c>
      <c r="C173" s="13">
        <v>41024</v>
      </c>
      <c r="D173" s="14">
        <v>18960</v>
      </c>
      <c r="E173" s="14">
        <v>19281</v>
      </c>
      <c r="F173" s="14">
        <v>19402</v>
      </c>
      <c r="G173" s="14">
        <v>19517</v>
      </c>
      <c r="H173" s="15">
        <v>1</v>
      </c>
      <c r="I173" s="13">
        <v>0</v>
      </c>
      <c r="J173" s="16">
        <v>5.2742616033755275E-2</v>
      </c>
      <c r="K173" s="15">
        <v>1</v>
      </c>
      <c r="L173" s="13">
        <v>0</v>
      </c>
      <c r="M173" s="16">
        <v>5.2742616033755275E-2</v>
      </c>
      <c r="N173" s="15">
        <v>2</v>
      </c>
      <c r="O173" s="13">
        <v>1</v>
      </c>
      <c r="P173" s="16">
        <v>0.10372905969607386</v>
      </c>
      <c r="Q173" s="16">
        <v>5.1864529848036932E-2</v>
      </c>
      <c r="R173" s="18">
        <v>1</v>
      </c>
      <c r="S173" s="16">
        <v>5.0986443662318588E-2</v>
      </c>
      <c r="T173" s="18">
        <v>1</v>
      </c>
      <c r="U173" s="16">
        <v>5.0986443662318588E-2</v>
      </c>
      <c r="V173" s="18">
        <v>1</v>
      </c>
      <c r="W173" s="16">
        <v>5.1864529848036932E-2</v>
      </c>
      <c r="X173" s="15">
        <v>2</v>
      </c>
      <c r="Y173" s="13">
        <v>1</v>
      </c>
      <c r="Z173" s="16">
        <v>0.10372905969607386</v>
      </c>
      <c r="AA173" s="16">
        <v>5.1864529848036932E-2</v>
      </c>
      <c r="AB173" s="15">
        <v>2</v>
      </c>
      <c r="AC173" s="13">
        <v>1</v>
      </c>
      <c r="AD173" s="16">
        <v>0.10308215647871354</v>
      </c>
      <c r="AE173" s="16">
        <v>5.1541078239356768E-2</v>
      </c>
      <c r="AF173" s="19">
        <v>3</v>
      </c>
      <c r="AG173" s="20">
        <v>3</v>
      </c>
      <c r="AH173" s="16">
        <v>0.15462323471807032</v>
      </c>
      <c r="AI173" s="21">
        <v>0.15462323471807032</v>
      </c>
      <c r="AJ173" s="22">
        <f>BattMobility!D81+cambio!D81+Claus2you!D81+CoopStroom!D81+Cozywheels!D81+Dégage!D81+Flexigo!D81+Klimaan!D81+Moovee!D81+Poppy!D81+'Mobilize Share'!D81+Stapp.in!D81</f>
        <v>3</v>
      </c>
      <c r="AK173" s="23">
        <f>BattMobility!E81+cambio!E81+Claus2you!E81+CoopStroom!E81+Cozywheels!E81+Dégage!E81+Flexigo!E81+Klimaan!E81+Moovee!E81+Poppy!E81+'Mobilize Share'!E81+Stapp.in!E81</f>
        <v>3</v>
      </c>
      <c r="AL173" s="21">
        <f t="shared" si="0"/>
        <v>0.15371214838346056</v>
      </c>
      <c r="AM173" s="21">
        <f t="shared" si="1"/>
        <v>0.15371214838346056</v>
      </c>
      <c r="AN173" s="25">
        <f t="shared" si="2"/>
        <v>1</v>
      </c>
      <c r="AO173" s="26">
        <f t="shared" si="3"/>
        <v>0.5</v>
      </c>
      <c r="AP173" s="27">
        <f>BattMobility!F81+cambio!F81+Claus2you!F81+CoopStroom!F81+Cozywheels!F81+Dégage!F81+Flexigo!F81+Klimaan!F81+Moovee!F81+Poppy!F81+'Mobilize Share'!F81+Stapp.in!F81</f>
        <v>3</v>
      </c>
      <c r="AQ173" s="25">
        <f>BattMobility!G81+cambio!G81+Claus2you!G81+CoopStroom!G81+Cozywheels!G81+Dégage!G81+Flexigo!G81+Klimaan!G81+Moovee!G81+Poppy!G81+'Mobilize Share'!G81+Stapp.in!G81</f>
        <v>3</v>
      </c>
      <c r="AR173" s="29">
        <f t="shared" si="4"/>
        <v>0.15371214838346056</v>
      </c>
      <c r="AS173" s="29">
        <f t="shared" si="5"/>
        <v>0.15371214838346056</v>
      </c>
      <c r="AT173" s="25">
        <f t="shared" si="6"/>
        <v>0</v>
      </c>
      <c r="AU173" s="30">
        <v>38.804000000000002</v>
      </c>
      <c r="AV173" s="31">
        <v>35.804000000000002</v>
      </c>
    </row>
    <row r="174" spans="1:48" ht="14.25" customHeight="1" x14ac:dyDescent="0.35">
      <c r="A174" s="2" t="s">
        <v>224</v>
      </c>
      <c r="B174" s="13" t="s">
        <v>48</v>
      </c>
      <c r="C174" s="13">
        <v>11005</v>
      </c>
      <c r="D174" s="14">
        <v>18832</v>
      </c>
      <c r="E174" s="14">
        <v>19062</v>
      </c>
      <c r="F174" s="14">
        <v>19431</v>
      </c>
      <c r="G174" s="14">
        <v>19699</v>
      </c>
      <c r="H174" s="15">
        <v>2</v>
      </c>
      <c r="I174" s="13">
        <v>0</v>
      </c>
      <c r="J174" s="16">
        <v>0.10620220900594733</v>
      </c>
      <c r="K174" s="15">
        <v>2</v>
      </c>
      <c r="L174" s="13">
        <v>0</v>
      </c>
      <c r="M174" s="16">
        <v>0.10620220900594733</v>
      </c>
      <c r="N174" s="15">
        <v>2</v>
      </c>
      <c r="O174" s="13">
        <v>0</v>
      </c>
      <c r="P174" s="16">
        <v>0.10492078480747036</v>
      </c>
      <c r="Q174" s="16">
        <v>0</v>
      </c>
      <c r="R174" s="18">
        <v>0</v>
      </c>
      <c r="S174" s="16">
        <v>-1.2814241984769742E-3</v>
      </c>
      <c r="T174" s="18">
        <v>0</v>
      </c>
      <c r="U174" s="16">
        <v>-1.2814241984769742E-3</v>
      </c>
      <c r="V174" s="18">
        <v>2</v>
      </c>
      <c r="W174" s="16">
        <v>0.10492078480747036</v>
      </c>
      <c r="X174" s="15">
        <v>5</v>
      </c>
      <c r="Y174" s="13">
        <v>1</v>
      </c>
      <c r="Z174" s="16">
        <v>0.26230196201867595</v>
      </c>
      <c r="AA174" s="16">
        <v>5.2460392403735179E-2</v>
      </c>
      <c r="AB174" s="15">
        <v>4</v>
      </c>
      <c r="AC174" s="13">
        <v>1</v>
      </c>
      <c r="AD174" s="16">
        <v>0.20585662086356851</v>
      </c>
      <c r="AE174" s="16">
        <v>5.1464155215892128E-2</v>
      </c>
      <c r="AF174" s="19">
        <v>4</v>
      </c>
      <c r="AG174" s="20">
        <v>1</v>
      </c>
      <c r="AH174" s="16">
        <v>0.20585662086356851</v>
      </c>
      <c r="AI174" s="21">
        <v>5.1464155215892128E-2</v>
      </c>
      <c r="AJ174" s="22">
        <f>BattMobility!D36+cambio!D36+Claus2you!D36+CoopStroom!D36+Cozywheels!D36+Dégage!D36+Flexigo!D36+Klimaan!D36+Moovee!D36+Poppy!D36+'Mobilize Share'!D36+Stapp.in!D36</f>
        <v>4</v>
      </c>
      <c r="AK174" s="23">
        <f>BattMobility!E36+cambio!E36+Claus2you!E36+CoopStroom!E36+Cozywheels!E36+Dégage!E36+Flexigo!E36+Klimaan!E36+Moovee!E36+Poppy!E36+'Mobilize Share'!E36+Stapp.in!E36</f>
        <v>0</v>
      </c>
      <c r="AL174" s="21">
        <f t="shared" si="0"/>
        <v>0.20305599268998425</v>
      </c>
      <c r="AM174" s="21">
        <f t="shared" si="1"/>
        <v>0</v>
      </c>
      <c r="AN174" s="25">
        <f t="shared" si="2"/>
        <v>0</v>
      </c>
      <c r="AO174" s="26">
        <f t="shared" si="3"/>
        <v>0</v>
      </c>
      <c r="AP174" s="27">
        <f>BattMobility!F36+cambio!F36+Claus2you!F36+CoopStroom!F36+Cozywheels!F36+Dégage!F36+Flexigo!F36+Klimaan!F36+Moovee!F36+Poppy!F36+'Mobilize Share'!F36+Stapp.in!F36</f>
        <v>3</v>
      </c>
      <c r="AQ174" s="25">
        <f>BattMobility!G36+cambio!G36+Claus2you!G36+CoopStroom!G36+Cozywheels!G36+Dégage!G36+Flexigo!G36+Klimaan!G36+Moovee!G36+Poppy!G36+'Mobilize Share'!G36+Stapp.in!G36</f>
        <v>0</v>
      </c>
      <c r="AR174" s="29">
        <f t="shared" si="4"/>
        <v>0.15229199451748821</v>
      </c>
      <c r="AS174" s="29">
        <f t="shared" si="5"/>
        <v>0</v>
      </c>
      <c r="AT174" s="25">
        <f t="shared" si="6"/>
        <v>-1</v>
      </c>
      <c r="AU174" s="30">
        <v>38.862000000000002</v>
      </c>
      <c r="AV174" s="31">
        <v>34.862000000000002</v>
      </c>
    </row>
    <row r="175" spans="1:48" ht="14.25" customHeight="1" x14ac:dyDescent="0.35">
      <c r="A175" s="2" t="s">
        <v>225</v>
      </c>
      <c r="B175" s="13" t="s">
        <v>55</v>
      </c>
      <c r="C175" s="13">
        <v>35011</v>
      </c>
      <c r="D175" s="14">
        <v>19723</v>
      </c>
      <c r="E175" s="14">
        <v>19755</v>
      </c>
      <c r="F175" s="14">
        <v>19855</v>
      </c>
      <c r="G175" s="14">
        <v>20023</v>
      </c>
      <c r="H175" s="15">
        <v>1</v>
      </c>
      <c r="I175" s="13">
        <v>0</v>
      </c>
      <c r="J175" s="16">
        <v>5.0702225827713839E-2</v>
      </c>
      <c r="K175" s="15">
        <v>0</v>
      </c>
      <c r="L175" s="13">
        <v>0</v>
      </c>
      <c r="M175" s="16">
        <v>0</v>
      </c>
      <c r="N175" s="15">
        <v>0</v>
      </c>
      <c r="O175" s="13">
        <v>0</v>
      </c>
      <c r="P175" s="16">
        <v>0</v>
      </c>
      <c r="Q175" s="16">
        <v>0</v>
      </c>
      <c r="R175" s="18">
        <v>-1</v>
      </c>
      <c r="S175" s="16">
        <v>-5.0702225827713839E-2</v>
      </c>
      <c r="T175" s="18">
        <v>0</v>
      </c>
      <c r="U175" s="16">
        <v>0</v>
      </c>
      <c r="V175" s="18">
        <v>0</v>
      </c>
      <c r="W175" s="16">
        <v>0</v>
      </c>
      <c r="X175" s="15">
        <v>0</v>
      </c>
      <c r="Y175" s="13">
        <v>0</v>
      </c>
      <c r="Z175" s="16">
        <v>0</v>
      </c>
      <c r="AA175" s="16">
        <v>0</v>
      </c>
      <c r="AB175" s="15">
        <v>0</v>
      </c>
      <c r="AC175" s="13">
        <v>0</v>
      </c>
      <c r="AD175" s="16">
        <v>0</v>
      </c>
      <c r="AE175" s="16">
        <v>0</v>
      </c>
      <c r="AF175" s="19">
        <v>1</v>
      </c>
      <c r="AG175" s="20">
        <v>1</v>
      </c>
      <c r="AH175" s="16">
        <v>5.03651473180559E-2</v>
      </c>
      <c r="AI175" s="21">
        <v>5.03651473180559E-2</v>
      </c>
      <c r="AJ175" s="22">
        <f>BattMobility!D179+cambio!D179+Claus2you!D179+CoopStroom!D179+Cozywheels!D179+Dégage!D179+Flexigo!D179+Klimaan!D179+Moovee!D179+Poppy!D179+'Mobilize Share'!D179+Stapp.in!D179</f>
        <v>1</v>
      </c>
      <c r="AK175" s="23">
        <f>BattMobility!E179+cambio!E179+Claus2you!E179+CoopStroom!E179+Cozywheels!E179+Dégage!E179+Flexigo!E179+Klimaan!E179+Moovee!E179+Poppy!E179+'Mobilize Share'!E179+Stapp.in!E179</f>
        <v>1</v>
      </c>
      <c r="AL175" s="21">
        <f t="shared" si="0"/>
        <v>4.9942566049043596E-2</v>
      </c>
      <c r="AM175" s="21">
        <f t="shared" si="1"/>
        <v>4.9942566049043596E-2</v>
      </c>
      <c r="AN175" s="25">
        <f t="shared" si="2"/>
        <v>1</v>
      </c>
      <c r="AO175" s="26" t="e">
        <f t="shared" si="3"/>
        <v>#DIV/0!</v>
      </c>
      <c r="AP175" s="27">
        <f>BattMobility!F179+cambio!F179+Claus2you!F179+CoopStroom!F179+Cozywheels!F179+Dégage!F179+Flexigo!F179+Klimaan!F179+Moovee!F179+Poppy!F179+'Mobilize Share'!F179+Stapp.in!F179</f>
        <v>3</v>
      </c>
      <c r="AQ175" s="25">
        <f>BattMobility!G179+cambio!G179+Claus2you!G179+CoopStroom!G179+Cozywheels!G179+Dégage!G179+Flexigo!G179+Klimaan!G179+Moovee!G179+Poppy!G179+'Mobilize Share'!G179+Stapp.in!G179</f>
        <v>3</v>
      </c>
      <c r="AR175" s="29">
        <f t="shared" si="4"/>
        <v>0.14982769814713079</v>
      </c>
      <c r="AS175" s="29">
        <f t="shared" si="5"/>
        <v>0.14982769814713079</v>
      </c>
      <c r="AT175" s="25">
        <f t="shared" si="6"/>
        <v>2</v>
      </c>
      <c r="AU175" s="30">
        <v>39.71</v>
      </c>
      <c r="AV175" s="31">
        <v>38.71</v>
      </c>
    </row>
    <row r="176" spans="1:48" ht="14.25" customHeight="1" x14ac:dyDescent="0.35">
      <c r="A176" s="2" t="s">
        <v>226</v>
      </c>
      <c r="B176" s="13" t="s">
        <v>50</v>
      </c>
      <c r="C176" s="13">
        <v>46020</v>
      </c>
      <c r="D176" s="14">
        <v>19716</v>
      </c>
      <c r="E176" s="14">
        <v>19932</v>
      </c>
      <c r="F176" s="14">
        <v>20144</v>
      </c>
      <c r="G176" s="14">
        <v>20139</v>
      </c>
      <c r="H176" s="15">
        <v>2</v>
      </c>
      <c r="I176" s="13">
        <v>0</v>
      </c>
      <c r="J176" s="16">
        <v>0.10144045445323595</v>
      </c>
      <c r="K176" s="15">
        <v>3</v>
      </c>
      <c r="L176" s="13">
        <v>0</v>
      </c>
      <c r="M176" s="16">
        <v>0.15216068167985392</v>
      </c>
      <c r="N176" s="15">
        <v>2</v>
      </c>
      <c r="O176" s="13">
        <v>2</v>
      </c>
      <c r="P176" s="16">
        <v>0.10034115994380895</v>
      </c>
      <c r="Q176" s="16">
        <v>0.10034115994380895</v>
      </c>
      <c r="R176" s="18">
        <v>0</v>
      </c>
      <c r="S176" s="16">
        <v>-1.0992945094270012E-3</v>
      </c>
      <c r="T176" s="18">
        <v>-1</v>
      </c>
      <c r="U176" s="16">
        <v>-5.1819521736044968E-2</v>
      </c>
      <c r="V176" s="18">
        <v>0</v>
      </c>
      <c r="W176" s="16">
        <v>0</v>
      </c>
      <c r="X176" s="15">
        <v>3</v>
      </c>
      <c r="Y176" s="13">
        <v>2</v>
      </c>
      <c r="Z176" s="16">
        <v>0.15051173991571343</v>
      </c>
      <c r="AA176" s="16">
        <v>0.10034115994380895</v>
      </c>
      <c r="AB176" s="15">
        <v>3</v>
      </c>
      <c r="AC176" s="13">
        <v>2</v>
      </c>
      <c r="AD176" s="16">
        <v>0.14892772041302621</v>
      </c>
      <c r="AE176" s="16">
        <v>9.9285146942017469E-2</v>
      </c>
      <c r="AF176" s="19">
        <v>3</v>
      </c>
      <c r="AG176" s="20">
        <v>2</v>
      </c>
      <c r="AH176" s="16">
        <v>0.14892772041302621</v>
      </c>
      <c r="AI176" s="21">
        <v>9.9285146942017469E-2</v>
      </c>
      <c r="AJ176" s="22">
        <f>BattMobility!D224+cambio!D224+Claus2you!D224+CoopStroom!D224+Cozywheels!D224+Dégage!D224+Flexigo!D224+Klimaan!D224+Moovee!D224+Poppy!D224+'Mobilize Share'!D224+Stapp.in!D224</f>
        <v>3</v>
      </c>
      <c r="AK176" s="23">
        <f>BattMobility!E224+cambio!E224+Claus2you!E224+CoopStroom!E224+Cozywheels!E224+Dégage!E224+Flexigo!E224+Klimaan!E224+Moovee!E224+Poppy!E224+'Mobilize Share'!E224+Stapp.in!E224</f>
        <v>2</v>
      </c>
      <c r="AL176" s="21">
        <f t="shared" si="0"/>
        <v>0.14896469536719797</v>
      </c>
      <c r="AM176" s="21">
        <f t="shared" si="1"/>
        <v>9.9309796911465326E-2</v>
      </c>
      <c r="AN176" s="25">
        <f t="shared" si="2"/>
        <v>0</v>
      </c>
      <c r="AO176" s="26">
        <f t="shared" si="3"/>
        <v>0</v>
      </c>
      <c r="AP176" s="27">
        <f>BattMobility!F224+cambio!F224+Claus2you!F224+CoopStroom!F224+Cozywheels!F224+Dégage!F224+Flexigo!F224+Klimaan!F224+Moovee!F224+Poppy!F224+'Mobilize Share'!F224+Stapp.in!F224</f>
        <v>3</v>
      </c>
      <c r="AQ176" s="25">
        <f>BattMobility!G224+cambio!G224+Claus2you!G224+CoopStroom!G224+Cozywheels!G224+Dégage!G224+Flexigo!G224+Klimaan!G224+Moovee!G224+Poppy!G224+'Mobilize Share'!G224+Stapp.in!G224</f>
        <v>2</v>
      </c>
      <c r="AR176" s="29">
        <f t="shared" si="4"/>
        <v>0.14896469536719797</v>
      </c>
      <c r="AS176" s="29">
        <f t="shared" si="5"/>
        <v>9.9309796911465326E-2</v>
      </c>
      <c r="AT176" s="25">
        <f t="shared" si="6"/>
        <v>0</v>
      </c>
      <c r="AU176" s="30">
        <v>40.287999999999997</v>
      </c>
      <c r="AV176" s="31">
        <v>37.287999999999997</v>
      </c>
    </row>
    <row r="177" spans="1:48" ht="14.25" customHeight="1" x14ac:dyDescent="0.35">
      <c r="A177" s="2" t="s">
        <v>227</v>
      </c>
      <c r="B177" s="13" t="s">
        <v>59</v>
      </c>
      <c r="C177" s="13">
        <v>72004</v>
      </c>
      <c r="D177" s="14">
        <v>16324</v>
      </c>
      <c r="E177" s="14">
        <v>16695</v>
      </c>
      <c r="F177" s="14">
        <v>16967</v>
      </c>
      <c r="G177" s="14">
        <v>17210</v>
      </c>
      <c r="H177" s="15">
        <v>2</v>
      </c>
      <c r="I177" s="13">
        <v>0</v>
      </c>
      <c r="J177" s="16">
        <v>0.12251899044351874</v>
      </c>
      <c r="K177" s="15">
        <v>0</v>
      </c>
      <c r="L177" s="13">
        <v>0</v>
      </c>
      <c r="M177" s="16">
        <v>0</v>
      </c>
      <c r="N177" s="15">
        <v>2</v>
      </c>
      <c r="O177" s="13">
        <v>2</v>
      </c>
      <c r="P177" s="16">
        <v>0.11979634621144056</v>
      </c>
      <c r="Q177" s="16">
        <v>0.11979634621144056</v>
      </c>
      <c r="R177" s="18">
        <v>0</v>
      </c>
      <c r="S177" s="16">
        <v>-2.7226442320781863E-3</v>
      </c>
      <c r="T177" s="18">
        <v>2</v>
      </c>
      <c r="U177" s="16">
        <v>0.11979634621144056</v>
      </c>
      <c r="V177" s="18">
        <v>0</v>
      </c>
      <c r="W177" s="16">
        <v>0</v>
      </c>
      <c r="X177" s="15">
        <v>2</v>
      </c>
      <c r="Y177" s="13">
        <v>1</v>
      </c>
      <c r="Z177" s="16">
        <v>0.11979634621144056</v>
      </c>
      <c r="AA177" s="16">
        <v>5.9898173105720279E-2</v>
      </c>
      <c r="AB177" s="15">
        <v>2</v>
      </c>
      <c r="AC177" s="13">
        <v>1</v>
      </c>
      <c r="AD177" s="16">
        <v>0.11787587670183297</v>
      </c>
      <c r="AE177" s="16">
        <v>5.8937938350916486E-2</v>
      </c>
      <c r="AF177" s="19">
        <v>2</v>
      </c>
      <c r="AG177" s="20">
        <v>1</v>
      </c>
      <c r="AH177" s="16">
        <v>0.11787587670183297</v>
      </c>
      <c r="AI177" s="21">
        <v>5.8937938350916486E-2</v>
      </c>
      <c r="AJ177" s="22">
        <f>BattMobility!D44+cambio!D44+Claus2you!D44+CoopStroom!D44+Cozywheels!D44+Dégage!D44+Flexigo!D44+Klimaan!D44+Moovee!D44+Poppy!D44+'Mobilize Share'!D44+Stapp.in!D44</f>
        <v>2</v>
      </c>
      <c r="AK177" s="23">
        <f>BattMobility!E44+cambio!E44+Claus2you!E44+CoopStroom!E44+Cozywheels!E44+Dégage!E44+Flexigo!E44+Klimaan!E44+Moovee!E44+Poppy!E44+'Mobilize Share'!E44+Stapp.in!E44</f>
        <v>1</v>
      </c>
      <c r="AL177" s="21">
        <f t="shared" si="0"/>
        <v>0.11621150493898896</v>
      </c>
      <c r="AM177" s="21">
        <f t="shared" si="1"/>
        <v>5.8105752469494482E-2</v>
      </c>
      <c r="AN177" s="25">
        <f t="shared" si="2"/>
        <v>0</v>
      </c>
      <c r="AO177" s="26">
        <f t="shared" si="3"/>
        <v>0</v>
      </c>
      <c r="AP177" s="27">
        <f>BattMobility!F44+cambio!F44+Claus2you!F44+CoopStroom!F44+Cozywheels!F44+Dégage!F44+Flexigo!F44+Klimaan!F44+Moovee!F44+Poppy!F44+'Mobilize Share'!F44+Stapp.in!F44</f>
        <v>3</v>
      </c>
      <c r="AQ177" s="25">
        <f>BattMobility!G44+cambio!G44+Claus2you!G44+CoopStroom!G44+Cozywheels!G44+Dégage!G44+Flexigo!G44+Klimaan!G44+Moovee!G44+Poppy!G44+'Mobilize Share'!G44+Stapp.in!G44</f>
        <v>2</v>
      </c>
      <c r="AR177" s="29">
        <f t="shared" si="4"/>
        <v>0.17431725740848344</v>
      </c>
      <c r="AS177" s="29">
        <f t="shared" si="5"/>
        <v>0.11621150493898896</v>
      </c>
      <c r="AT177" s="25">
        <f t="shared" si="6"/>
        <v>1</v>
      </c>
      <c r="AU177" s="30">
        <v>33.933999999999997</v>
      </c>
      <c r="AV177" s="31">
        <v>31.933999999999997</v>
      </c>
    </row>
    <row r="178" spans="1:48" ht="14.25" customHeight="1" x14ac:dyDescent="0.35">
      <c r="A178" s="2" t="s">
        <v>228</v>
      </c>
      <c r="B178" s="13" t="s">
        <v>50</v>
      </c>
      <c r="C178" s="13">
        <v>42028</v>
      </c>
      <c r="D178" s="14">
        <v>21349</v>
      </c>
      <c r="E178" s="14">
        <v>21374</v>
      </c>
      <c r="F178" s="14">
        <v>21501</v>
      </c>
      <c r="G178" s="14">
        <v>21521</v>
      </c>
      <c r="H178" s="15">
        <v>2</v>
      </c>
      <c r="I178" s="13">
        <v>0</v>
      </c>
      <c r="J178" s="16">
        <v>9.3681202866644803E-2</v>
      </c>
      <c r="K178" s="15">
        <v>2</v>
      </c>
      <c r="L178" s="13">
        <v>0</v>
      </c>
      <c r="M178" s="16">
        <v>9.3681202866644803E-2</v>
      </c>
      <c r="N178" s="15">
        <v>2</v>
      </c>
      <c r="O178" s="13">
        <v>2</v>
      </c>
      <c r="P178" s="32">
        <v>9.3571629082062319E-2</v>
      </c>
      <c r="Q178" s="16">
        <v>9.3571629082062319E-2</v>
      </c>
      <c r="R178" s="18">
        <v>0</v>
      </c>
      <c r="S178" s="16">
        <v>-1.0957378458248401E-4</v>
      </c>
      <c r="T178" s="18">
        <v>0</v>
      </c>
      <c r="U178" s="16">
        <v>-1.0957378458248401E-4</v>
      </c>
      <c r="V178" s="18">
        <v>0</v>
      </c>
      <c r="W178" s="16">
        <v>0</v>
      </c>
      <c r="X178" s="15">
        <v>2</v>
      </c>
      <c r="Y178" s="13">
        <v>2</v>
      </c>
      <c r="Z178" s="32">
        <v>9.3571629082062319E-2</v>
      </c>
      <c r="AA178" s="16">
        <v>9.3571629082062319E-2</v>
      </c>
      <c r="AB178" s="15">
        <v>3</v>
      </c>
      <c r="AC178" s="13">
        <v>3</v>
      </c>
      <c r="AD178" s="32">
        <v>0.13952839402818473</v>
      </c>
      <c r="AE178" s="16">
        <v>0.13952839402818473</v>
      </c>
      <c r="AF178" s="19">
        <v>3</v>
      </c>
      <c r="AG178" s="20">
        <v>3</v>
      </c>
      <c r="AH178" s="16">
        <v>0.13952839402818473</v>
      </c>
      <c r="AI178" s="21">
        <v>0.13952839402818473</v>
      </c>
      <c r="AJ178" s="22">
        <f>BattMobility!D274+cambio!D274+Claus2you!D274+CoopStroom!D274+Cozywheels!D274+Dégage!D274+Flexigo!D274+Klimaan!D274+Moovee!D274+Poppy!D274+'Mobilize Share'!D274+Stapp.in!D274</f>
        <v>3</v>
      </c>
      <c r="AK178" s="23">
        <f>BattMobility!E274+cambio!E274+Claus2you!E274+CoopStroom!E274+Cozywheels!E274+Dégage!E274+Flexigo!E274+Klimaan!E274+Moovee!E274+Poppy!E274+'Mobilize Share'!E274+Stapp.in!E274</f>
        <v>3</v>
      </c>
      <c r="AL178" s="21">
        <f t="shared" si="0"/>
        <v>0.13939872682496168</v>
      </c>
      <c r="AM178" s="21">
        <f t="shared" si="1"/>
        <v>0.13939872682496168</v>
      </c>
      <c r="AN178" s="25">
        <f t="shared" si="2"/>
        <v>0</v>
      </c>
      <c r="AO178" s="26">
        <f t="shared" si="3"/>
        <v>0</v>
      </c>
      <c r="AP178" s="27">
        <f>BattMobility!F274+cambio!F274+Claus2you!F274+CoopStroom!F274+Cozywheels!F274+Dégage!F274+Flexigo!F274+Klimaan!F274+Moovee!F274+Poppy!F274+'Mobilize Share'!F274+Stapp.in!F274</f>
        <v>3</v>
      </c>
      <c r="AQ178" s="25">
        <f>BattMobility!G274+cambio!G274+Claus2you!G274+CoopStroom!G274+Cozywheels!G274+Dégage!G274+Flexigo!G274+Klimaan!G274+Moovee!G274+Poppy!G274+'Mobilize Share'!G274+Stapp.in!G274</f>
        <v>3</v>
      </c>
      <c r="AR178" s="29">
        <f t="shared" si="4"/>
        <v>0.13939872682496168</v>
      </c>
      <c r="AS178" s="29">
        <f t="shared" si="5"/>
        <v>0.13939872682496168</v>
      </c>
      <c r="AT178" s="25">
        <f t="shared" si="6"/>
        <v>0</v>
      </c>
      <c r="AU178" s="30">
        <v>43.002000000000002</v>
      </c>
      <c r="AV178" s="31">
        <v>40.002000000000002</v>
      </c>
    </row>
    <row r="179" spans="1:48" ht="14.25" customHeight="1" x14ac:dyDescent="0.35">
      <c r="A179" s="2" t="s">
        <v>229</v>
      </c>
      <c r="B179" s="13" t="s">
        <v>59</v>
      </c>
      <c r="C179" s="13">
        <v>73107</v>
      </c>
      <c r="D179" s="14">
        <v>39409</v>
      </c>
      <c r="E179" s="14">
        <v>39914</v>
      </c>
      <c r="F179" s="14">
        <v>40219</v>
      </c>
      <c r="G179" s="14">
        <v>40486</v>
      </c>
      <c r="H179" s="15">
        <v>1</v>
      </c>
      <c r="I179" s="13">
        <v>0</v>
      </c>
      <c r="J179" s="16">
        <v>2.5374914359664037E-2</v>
      </c>
      <c r="K179" s="15">
        <v>1</v>
      </c>
      <c r="L179" s="13">
        <v>0</v>
      </c>
      <c r="M179" s="16">
        <v>2.5374914359664037E-2</v>
      </c>
      <c r="N179" s="15">
        <v>2</v>
      </c>
      <c r="O179" s="13">
        <v>2</v>
      </c>
      <c r="P179" s="16">
        <v>5.0107731622989427E-2</v>
      </c>
      <c r="Q179" s="16">
        <v>5.0107731622989427E-2</v>
      </c>
      <c r="R179" s="18">
        <v>1</v>
      </c>
      <c r="S179" s="16">
        <v>2.473281726332539E-2</v>
      </c>
      <c r="T179" s="18">
        <v>1</v>
      </c>
      <c r="U179" s="16">
        <v>2.473281726332539E-2</v>
      </c>
      <c r="V179" s="18">
        <v>0</v>
      </c>
      <c r="W179" s="16">
        <v>0</v>
      </c>
      <c r="X179" s="15">
        <v>2</v>
      </c>
      <c r="Y179" s="13">
        <v>2</v>
      </c>
      <c r="Z179" s="16">
        <v>5.0107731622989427E-2</v>
      </c>
      <c r="AA179" s="16">
        <v>5.0107731622989427E-2</v>
      </c>
      <c r="AB179" s="15">
        <v>2</v>
      </c>
      <c r="AC179" s="13">
        <v>2</v>
      </c>
      <c r="AD179" s="16">
        <v>4.9727740620104925E-2</v>
      </c>
      <c r="AE179" s="16">
        <v>4.9727740620104925E-2</v>
      </c>
      <c r="AF179" s="19">
        <v>2</v>
      </c>
      <c r="AG179" s="20">
        <v>2</v>
      </c>
      <c r="AH179" s="16">
        <v>4.9727740620104925E-2</v>
      </c>
      <c r="AI179" s="21">
        <v>4.9727740620104925E-2</v>
      </c>
      <c r="AJ179" s="22">
        <f>BattMobility!D167+cambio!D167+Claus2you!D167+CoopStroom!D167+Cozywheels!D167+Dégage!D167+Flexigo!D167+Klimaan!D167+Moovee!D167+Poppy!D167+'Mobilize Share'!D167+Stapp.in!D167</f>
        <v>3</v>
      </c>
      <c r="AK179" s="23">
        <f>BattMobility!E167+cambio!E167+Claus2you!E167+CoopStroom!E167+Cozywheels!E167+Dégage!E167+Flexigo!E167+Klimaan!E167+Moovee!E167+Poppy!E167+'Mobilize Share'!E167+Stapp.in!E167</f>
        <v>2</v>
      </c>
      <c r="AL179" s="21">
        <f t="shared" si="0"/>
        <v>7.4099688781307113E-2</v>
      </c>
      <c r="AM179" s="21">
        <f t="shared" si="1"/>
        <v>4.9399792520871413E-2</v>
      </c>
      <c r="AN179" s="25">
        <f t="shared" si="2"/>
        <v>1</v>
      </c>
      <c r="AO179" s="26">
        <f t="shared" si="3"/>
        <v>0.5</v>
      </c>
      <c r="AP179" s="27">
        <f>BattMobility!F167+cambio!F167+Claus2you!F167+CoopStroom!F167+Cozywheels!F167+Dégage!F167+Flexigo!F167+Klimaan!F167+Moovee!F167+Poppy!F167+'Mobilize Share'!F167+Stapp.in!F167</f>
        <v>3</v>
      </c>
      <c r="AQ179" s="25">
        <f>BattMobility!G167+cambio!G167+Claus2you!G167+CoopStroom!G167+Cozywheels!G167+Dégage!G167+Flexigo!G167+Klimaan!G167+Moovee!G167+Poppy!G167+'Mobilize Share'!G167+Stapp.in!G167</f>
        <v>1</v>
      </c>
      <c r="AR179" s="29">
        <f t="shared" si="4"/>
        <v>7.4099688781307113E-2</v>
      </c>
      <c r="AS179" s="29">
        <f t="shared" si="5"/>
        <v>2.4699896260435707E-2</v>
      </c>
      <c r="AT179" s="25">
        <f t="shared" si="6"/>
        <v>1</v>
      </c>
      <c r="AU179" s="30">
        <v>80.438000000000002</v>
      </c>
      <c r="AV179" s="31">
        <v>78.438000000000002</v>
      </c>
    </row>
    <row r="180" spans="1:48" ht="14.25" customHeight="1" x14ac:dyDescent="0.35">
      <c r="A180" s="2" t="s">
        <v>230</v>
      </c>
      <c r="B180" s="13" t="s">
        <v>52</v>
      </c>
      <c r="C180" s="13">
        <v>23062</v>
      </c>
      <c r="D180" s="14">
        <v>25888</v>
      </c>
      <c r="E180" s="14">
        <v>25978</v>
      </c>
      <c r="F180" s="14">
        <v>25970</v>
      </c>
      <c r="G180" s="14">
        <v>26250</v>
      </c>
      <c r="H180" s="15">
        <v>1</v>
      </c>
      <c r="I180" s="13">
        <v>0</v>
      </c>
      <c r="J180" s="16">
        <v>3.8627935723114952E-2</v>
      </c>
      <c r="K180" s="15">
        <v>0</v>
      </c>
      <c r="L180" s="13">
        <v>0</v>
      </c>
      <c r="M180" s="16">
        <v>0</v>
      </c>
      <c r="N180" s="15">
        <v>0</v>
      </c>
      <c r="O180" s="13">
        <v>0</v>
      </c>
      <c r="P180" s="16">
        <v>0</v>
      </c>
      <c r="Q180" s="16">
        <v>0</v>
      </c>
      <c r="R180" s="18">
        <v>-1</v>
      </c>
      <c r="S180" s="16">
        <v>-3.8627935723114952E-2</v>
      </c>
      <c r="T180" s="18">
        <v>0</v>
      </c>
      <c r="U180" s="16">
        <v>0</v>
      </c>
      <c r="V180" s="18">
        <v>0</v>
      </c>
      <c r="W180" s="16">
        <v>0</v>
      </c>
      <c r="X180" s="15">
        <v>1</v>
      </c>
      <c r="Y180" s="13">
        <v>0</v>
      </c>
      <c r="Z180" s="16">
        <v>3.849411040110863E-2</v>
      </c>
      <c r="AA180" s="16">
        <v>0</v>
      </c>
      <c r="AB180" s="15">
        <v>1</v>
      </c>
      <c r="AC180" s="13">
        <v>0</v>
      </c>
      <c r="AD180" s="16">
        <v>3.8505968425105896E-2</v>
      </c>
      <c r="AE180" s="16">
        <v>0</v>
      </c>
      <c r="AF180" s="19">
        <v>3</v>
      </c>
      <c r="AG180" s="20">
        <v>2</v>
      </c>
      <c r="AH180" s="16">
        <v>0.11551790527531768</v>
      </c>
      <c r="AI180" s="21">
        <v>7.7011936850211793E-2</v>
      </c>
      <c r="AJ180" s="22">
        <f>BattMobility!D200+cambio!D200+Claus2you!D200+CoopStroom!D200+Cozywheels!D200+Dégage!D200+Flexigo!D200+Klimaan!D200+Moovee!D200+Poppy!D200+'Mobilize Share'!D200+Stapp.in!D200</f>
        <v>3</v>
      </c>
      <c r="AK180" s="23">
        <f>BattMobility!E200+cambio!E200+Claus2you!E200+CoopStroom!E200+Cozywheels!E200+Dégage!E200+Flexigo!E200+Klimaan!E200+Moovee!E200+Poppy!E200+'Mobilize Share'!E200+Stapp.in!E200</f>
        <v>2</v>
      </c>
      <c r="AL180" s="21">
        <f t="shared" si="0"/>
        <v>0.11428571428571428</v>
      </c>
      <c r="AM180" s="21">
        <f t="shared" si="1"/>
        <v>7.6190476190476183E-2</v>
      </c>
      <c r="AN180" s="25">
        <f t="shared" si="2"/>
        <v>2</v>
      </c>
      <c r="AO180" s="26">
        <f t="shared" si="3"/>
        <v>2</v>
      </c>
      <c r="AP180" s="27">
        <f>BattMobility!F200+cambio!F200+Claus2you!F200+CoopStroom!F200+Cozywheels!F200+Dégage!F200+Flexigo!F200+Klimaan!F200+Moovee!F200+Poppy!F200+'Mobilize Share'!F200+Stapp.in!F200</f>
        <v>3</v>
      </c>
      <c r="AQ180" s="25">
        <f>BattMobility!G200+cambio!G200+Claus2you!G200+CoopStroom!G200+Cozywheels!G200+Dégage!G200+Flexigo!G200+Klimaan!G200+Moovee!G200+Poppy!G200+'Mobilize Share'!G200+Stapp.in!G200</f>
        <v>2</v>
      </c>
      <c r="AR180" s="29">
        <f t="shared" si="4"/>
        <v>0.11428571428571428</v>
      </c>
      <c r="AS180" s="29">
        <f t="shared" si="5"/>
        <v>7.6190476190476183E-2</v>
      </c>
      <c r="AT180" s="25">
        <f t="shared" si="6"/>
        <v>0</v>
      </c>
      <c r="AU180" s="30">
        <v>51.94</v>
      </c>
      <c r="AV180" s="31">
        <v>48.94</v>
      </c>
    </row>
    <row r="181" spans="1:48" ht="14.25" customHeight="1" x14ac:dyDescent="0.35">
      <c r="A181" s="2" t="s">
        <v>231</v>
      </c>
      <c r="B181" s="13" t="s">
        <v>50</v>
      </c>
      <c r="C181" s="13">
        <v>44084</v>
      </c>
      <c r="D181" s="14">
        <v>29340</v>
      </c>
      <c r="E181" s="14">
        <v>29529</v>
      </c>
      <c r="F181" s="14">
        <v>29787</v>
      </c>
      <c r="G181" s="14">
        <v>29830</v>
      </c>
      <c r="H181" s="15">
        <v>1</v>
      </c>
      <c r="I181" s="13">
        <v>0</v>
      </c>
      <c r="J181" s="16">
        <v>3.4083162917518749E-2</v>
      </c>
      <c r="K181" s="15">
        <v>0</v>
      </c>
      <c r="L181" s="13">
        <v>0</v>
      </c>
      <c r="M181" s="16">
        <v>0</v>
      </c>
      <c r="N181" s="15">
        <v>0</v>
      </c>
      <c r="O181" s="13">
        <v>0</v>
      </c>
      <c r="P181" s="16">
        <v>0</v>
      </c>
      <c r="Q181" s="16">
        <v>0</v>
      </c>
      <c r="R181" s="18">
        <v>-1</v>
      </c>
      <c r="S181" s="16">
        <v>-3.4083162917518749E-2</v>
      </c>
      <c r="T181" s="18">
        <v>0</v>
      </c>
      <c r="U181" s="16">
        <v>0</v>
      </c>
      <c r="V181" s="18">
        <v>0</v>
      </c>
      <c r="W181" s="16">
        <v>0</v>
      </c>
      <c r="X181" s="15">
        <v>0</v>
      </c>
      <c r="Y181" s="13">
        <v>0</v>
      </c>
      <c r="Z181" s="16">
        <v>0</v>
      </c>
      <c r="AA181" s="16">
        <v>0</v>
      </c>
      <c r="AB181" s="15">
        <v>0</v>
      </c>
      <c r="AC181" s="13">
        <v>0</v>
      </c>
      <c r="AD181" s="16">
        <v>0</v>
      </c>
      <c r="AE181" s="16">
        <v>0</v>
      </c>
      <c r="AF181" s="19">
        <v>2</v>
      </c>
      <c r="AG181" s="20">
        <v>2</v>
      </c>
      <c r="AH181" s="16">
        <v>6.7143384698022626E-2</v>
      </c>
      <c r="AI181" s="21">
        <v>6.7143384698022626E-2</v>
      </c>
      <c r="AJ181" s="22">
        <f>BattMobility!D3+cambio!D3+Claus2you!D3+CoopStroom!D3+Cozywheels!D3+Dégage!D3+Flexigo!D3+Klimaan!D3+Moovee!D3+Poppy!D3+'Mobilize Share'!D3+Stapp.in!D3</f>
        <v>2</v>
      </c>
      <c r="AK181" s="23">
        <f>BattMobility!E3+cambio!E3+Claus2you!E3+CoopStroom!E3+Cozywheels!E3+Dégage!E3+Flexigo!E3+Klimaan!E3+Moovee!E3+Poppy!E3+'Mobilize Share'!E3+Stapp.in!E3</f>
        <v>2</v>
      </c>
      <c r="AL181" s="21">
        <f t="shared" si="0"/>
        <v>6.7046597385182705E-2</v>
      </c>
      <c r="AM181" s="21">
        <f t="shared" si="1"/>
        <v>6.7046597385182705E-2</v>
      </c>
      <c r="AN181" s="25">
        <f t="shared" si="2"/>
        <v>2</v>
      </c>
      <c r="AO181" s="26" t="e">
        <f t="shared" si="3"/>
        <v>#DIV/0!</v>
      </c>
      <c r="AP181" s="27">
        <f>BattMobility!F3+cambio!F3+Claus2you!F3+CoopStroom!F3+Cozywheels!F3+Dégage!F3+Flexigo!F3+Klimaan!F3+Moovee!F3+Poppy!F3+'Mobilize Share'!F3+Stapp.in!F3</f>
        <v>3</v>
      </c>
      <c r="AQ181" s="25">
        <f>BattMobility!G3+cambio!G3+Claus2you!G3+CoopStroom!G3+Cozywheels!G3+Dégage!G3+Flexigo!G3+Klimaan!G3+Moovee!G3+Poppy!G3+'Mobilize Share'!G3+Stapp.in!G3</f>
        <v>2</v>
      </c>
      <c r="AR181" s="29">
        <f t="shared" si="4"/>
        <v>0.10056989607777406</v>
      </c>
      <c r="AS181" s="29">
        <f t="shared" si="5"/>
        <v>6.7046597385182705E-2</v>
      </c>
      <c r="AT181" s="25">
        <f t="shared" si="6"/>
        <v>1</v>
      </c>
      <c r="AU181" s="30">
        <v>59.573999999999998</v>
      </c>
      <c r="AV181" s="34">
        <v>57.573999999999998</v>
      </c>
    </row>
    <row r="182" spans="1:48" ht="14.25" customHeight="1" x14ac:dyDescent="0.35">
      <c r="A182" s="2" t="s">
        <v>232</v>
      </c>
      <c r="B182" s="13" t="s">
        <v>59</v>
      </c>
      <c r="C182" s="13">
        <v>72030</v>
      </c>
      <c r="D182" s="14">
        <v>16449</v>
      </c>
      <c r="E182" s="14">
        <v>16534</v>
      </c>
      <c r="F182" s="14">
        <v>16585</v>
      </c>
      <c r="G182" s="14">
        <v>16685</v>
      </c>
      <c r="H182" s="15">
        <v>1</v>
      </c>
      <c r="I182" s="13">
        <v>0</v>
      </c>
      <c r="J182" s="16">
        <v>6.0793969238251568E-2</v>
      </c>
      <c r="K182" s="15">
        <v>0</v>
      </c>
      <c r="L182" s="13">
        <v>0</v>
      </c>
      <c r="M182" s="16">
        <v>0</v>
      </c>
      <c r="N182" s="15">
        <v>3</v>
      </c>
      <c r="O182" s="13">
        <v>2</v>
      </c>
      <c r="P182" s="32">
        <v>0.18144429660094352</v>
      </c>
      <c r="Q182" s="16">
        <v>0.12096286440062901</v>
      </c>
      <c r="R182" s="18">
        <v>2</v>
      </c>
      <c r="S182" s="16">
        <v>0.12065032736269196</v>
      </c>
      <c r="T182" s="18">
        <v>3</v>
      </c>
      <c r="U182" s="16">
        <v>0.18144429660094352</v>
      </c>
      <c r="V182" s="18">
        <v>0</v>
      </c>
      <c r="W182" s="16">
        <v>0</v>
      </c>
      <c r="X182" s="15">
        <v>3</v>
      </c>
      <c r="Y182" s="13">
        <v>2</v>
      </c>
      <c r="Z182" s="32">
        <v>0.18144429660094352</v>
      </c>
      <c r="AA182" s="16">
        <v>0.12096286440062901</v>
      </c>
      <c r="AB182" s="15">
        <v>3</v>
      </c>
      <c r="AC182" s="13">
        <v>3</v>
      </c>
      <c r="AD182" s="32">
        <v>0.18088634308109738</v>
      </c>
      <c r="AE182" s="16">
        <v>0.18088634308109738</v>
      </c>
      <c r="AF182" s="19">
        <v>3</v>
      </c>
      <c r="AG182" s="20">
        <v>3</v>
      </c>
      <c r="AH182" s="16">
        <v>0.18088634308109738</v>
      </c>
      <c r="AI182" s="21">
        <v>0.18088634308109738</v>
      </c>
      <c r="AJ182" s="22">
        <f>BattMobility!D202+cambio!D202+Claus2you!D202+CoopStroom!D202+Cozywheels!D202+Dégage!D202+Flexigo!D202+Klimaan!D202+Moovee!D202+Poppy!D202+'Mobilize Share'!D202+Stapp.in!D202</f>
        <v>3</v>
      </c>
      <c r="AK182" s="23">
        <f>BattMobility!E202+cambio!E202+Claus2you!E202+CoopStroom!E202+Cozywheels!E202+Dégage!E202+Flexigo!E202+Klimaan!E202+Moovee!E202+Poppy!E202+'Mobilize Share'!E202+Stapp.in!E202</f>
        <v>3</v>
      </c>
      <c r="AL182" s="21">
        <f t="shared" si="0"/>
        <v>0.17980221756068324</v>
      </c>
      <c r="AM182" s="21">
        <f t="shared" si="1"/>
        <v>0.17980221756068324</v>
      </c>
      <c r="AN182" s="25">
        <f t="shared" si="2"/>
        <v>0</v>
      </c>
      <c r="AO182" s="26">
        <f t="shared" si="3"/>
        <v>0</v>
      </c>
      <c r="AP182" s="27">
        <f>BattMobility!F202+cambio!F202+Claus2you!F202+CoopStroom!F202+Cozywheels!F202+Dégage!F202+Flexigo!F202+Klimaan!F202+Moovee!F202+Poppy!F202+'Mobilize Share'!F202+Stapp.in!F202</f>
        <v>3</v>
      </c>
      <c r="AQ182" s="25">
        <f>BattMobility!G202+cambio!G202+Claus2you!G202+CoopStroom!G202+Cozywheels!G202+Dégage!G202+Flexigo!G202+Klimaan!G202+Moovee!G202+Poppy!G202+'Mobilize Share'!G202+Stapp.in!G202</f>
        <v>3</v>
      </c>
      <c r="AR182" s="29">
        <f t="shared" si="4"/>
        <v>0.17980221756068324</v>
      </c>
      <c r="AS182" s="29">
        <f t="shared" si="5"/>
        <v>0.17980221756068324</v>
      </c>
      <c r="AT182" s="25">
        <f t="shared" si="6"/>
        <v>0</v>
      </c>
      <c r="AU182" s="30">
        <v>33.17</v>
      </c>
      <c r="AV182" s="31">
        <v>30.17</v>
      </c>
    </row>
    <row r="183" spans="1:48" ht="14.25" customHeight="1" x14ac:dyDescent="0.35">
      <c r="A183" s="12" t="s">
        <v>233</v>
      </c>
      <c r="B183" s="13" t="s">
        <v>50</v>
      </c>
      <c r="C183" s="13">
        <v>44087</v>
      </c>
      <c r="D183" s="14">
        <v>22897</v>
      </c>
      <c r="E183" s="14">
        <v>23073</v>
      </c>
      <c r="F183" s="14">
        <v>23028</v>
      </c>
      <c r="G183" s="14">
        <v>30916</v>
      </c>
      <c r="H183" s="15">
        <v>1</v>
      </c>
      <c r="I183" s="13">
        <v>0</v>
      </c>
      <c r="J183" s="16">
        <v>4.3673843734987117E-2</v>
      </c>
      <c r="K183" s="15">
        <v>2</v>
      </c>
      <c r="L183" s="13">
        <v>1</v>
      </c>
      <c r="M183" s="16">
        <v>8.7347687469974233E-2</v>
      </c>
      <c r="N183" s="15">
        <v>2</v>
      </c>
      <c r="O183" s="13">
        <v>1</v>
      </c>
      <c r="P183" s="16">
        <v>8.6681402505092542E-2</v>
      </c>
      <c r="Q183" s="16">
        <v>4.3340701252546271E-2</v>
      </c>
      <c r="R183" s="18">
        <v>1</v>
      </c>
      <c r="S183" s="16">
        <v>4.3007558770105425E-2</v>
      </c>
      <c r="T183" s="18">
        <v>0</v>
      </c>
      <c r="U183" s="16">
        <v>-6.6628496488169153E-4</v>
      </c>
      <c r="V183" s="18">
        <v>1</v>
      </c>
      <c r="W183" s="16">
        <v>4.3340701252546271E-2</v>
      </c>
      <c r="X183" s="15">
        <v>2</v>
      </c>
      <c r="Y183" s="13">
        <v>1</v>
      </c>
      <c r="Z183" s="16">
        <v>8.6681402505092542E-2</v>
      </c>
      <c r="AA183" s="16">
        <v>4.3340701252546271E-2</v>
      </c>
      <c r="AB183" s="15">
        <f>2+'overzicht voor jun 25'!AA268</f>
        <v>3</v>
      </c>
      <c r="AC183" s="13">
        <v>1</v>
      </c>
      <c r="AD183" s="16">
        <v>8.6850790342192119E-2</v>
      </c>
      <c r="AE183" s="16">
        <v>4.342539517109606E-2</v>
      </c>
      <c r="AF183" s="19">
        <v>3</v>
      </c>
      <c r="AG183" s="20">
        <v>2</v>
      </c>
      <c r="AH183" s="16">
        <v>0.13027618551328815</v>
      </c>
      <c r="AI183" s="21">
        <v>8.6850790342192119E-2</v>
      </c>
      <c r="AJ183" s="22">
        <f>BattMobility!D159+cambio!D159+Claus2you!D159+CoopStroom!D159+Cozywheels!D159+Dégage!D159+Flexigo!D159+Klimaan!D159+Moovee!D159+Poppy!D159+'Mobilize Share'!D159+Stapp.in!D159</f>
        <v>3</v>
      </c>
      <c r="AK183" s="23">
        <f>BattMobility!E159+cambio!E159+Claus2you!E159+CoopStroom!E159+Cozywheels!E159+Dégage!E159+Flexigo!E159+Klimaan!E159+Moovee!E159+Poppy!E159+'Mobilize Share'!E159+Stapp.in!E159</f>
        <v>2</v>
      </c>
      <c r="AL183" s="21">
        <f t="shared" si="0"/>
        <v>9.7037132876180612E-2</v>
      </c>
      <c r="AM183" s="21">
        <f t="shared" si="1"/>
        <v>6.4691421917453737E-2</v>
      </c>
      <c r="AN183" s="25">
        <f t="shared" si="2"/>
        <v>0</v>
      </c>
      <c r="AO183" s="26">
        <f t="shared" si="3"/>
        <v>0</v>
      </c>
      <c r="AP183" s="27">
        <f>BattMobility!F159+cambio!F159+Claus2you!F159+CoopStroom!F159+Cozywheels!F159+Dégage!F159+Flexigo!F159+Klimaan!F159+Moovee!F159+Poppy!F159+'Mobilize Share'!F159+Stapp.in!F159</f>
        <v>3</v>
      </c>
      <c r="AQ183" s="25">
        <f>BattMobility!G159+cambio!G159+Claus2you!G159+CoopStroom!G159+Cozywheels!G159+Dégage!G159+Flexigo!G159+Klimaan!G159+Moovee!G159+Poppy!G159+'Mobilize Share'!G159+Stapp.in!G159</f>
        <v>2</v>
      </c>
      <c r="AR183" s="29">
        <f t="shared" si="4"/>
        <v>9.7037132876180612E-2</v>
      </c>
      <c r="AS183" s="29">
        <f t="shared" si="5"/>
        <v>6.4691421917453737E-2</v>
      </c>
      <c r="AT183" s="25">
        <f t="shared" si="6"/>
        <v>0</v>
      </c>
      <c r="AU183" s="30">
        <v>46.055999999999997</v>
      </c>
      <c r="AV183" s="31">
        <v>43.055999999999997</v>
      </c>
    </row>
    <row r="184" spans="1:48" ht="14.25" customHeight="1" x14ac:dyDescent="0.35">
      <c r="A184" s="2" t="s">
        <v>234</v>
      </c>
      <c r="B184" s="13" t="s">
        <v>59</v>
      </c>
      <c r="C184" s="13">
        <v>72042</v>
      </c>
      <c r="D184" s="14">
        <v>23611</v>
      </c>
      <c r="E184" s="14">
        <v>23791</v>
      </c>
      <c r="F184" s="14">
        <v>23875</v>
      </c>
      <c r="G184" s="14">
        <v>23871</v>
      </c>
      <c r="H184" s="15">
        <v>2</v>
      </c>
      <c r="I184" s="13">
        <v>0</v>
      </c>
      <c r="J184" s="16">
        <v>8.4706280970733988E-2</v>
      </c>
      <c r="K184" s="15">
        <v>2</v>
      </c>
      <c r="L184" s="13">
        <v>0</v>
      </c>
      <c r="M184" s="16">
        <v>8.4706280970733988E-2</v>
      </c>
      <c r="N184" s="15">
        <v>2</v>
      </c>
      <c r="O184" s="13">
        <v>2</v>
      </c>
      <c r="P184" s="16">
        <v>8.406540288344333E-2</v>
      </c>
      <c r="Q184" s="16">
        <v>8.406540288344333E-2</v>
      </c>
      <c r="R184" s="18">
        <v>0</v>
      </c>
      <c r="S184" s="16">
        <v>-6.4087808729065832E-4</v>
      </c>
      <c r="T184" s="18">
        <v>0</v>
      </c>
      <c r="U184" s="16">
        <v>-6.4087808729065832E-4</v>
      </c>
      <c r="V184" s="18">
        <v>0</v>
      </c>
      <c r="W184" s="16">
        <v>0</v>
      </c>
      <c r="X184" s="15">
        <v>2</v>
      </c>
      <c r="Y184" s="13">
        <v>2</v>
      </c>
      <c r="Z184" s="16">
        <v>8.406540288344333E-2</v>
      </c>
      <c r="AA184" s="16">
        <v>8.406540288344333E-2</v>
      </c>
      <c r="AB184" s="15">
        <v>3</v>
      </c>
      <c r="AC184" s="13">
        <v>3</v>
      </c>
      <c r="AD184" s="16">
        <v>0.12565445026178013</v>
      </c>
      <c r="AE184" s="16">
        <v>0.12565445026178013</v>
      </c>
      <c r="AF184" s="19">
        <v>3</v>
      </c>
      <c r="AG184" s="20">
        <v>3</v>
      </c>
      <c r="AH184" s="16">
        <v>0.12565445026178013</v>
      </c>
      <c r="AI184" s="21">
        <v>0.12565445026178013</v>
      </c>
      <c r="AJ184" s="22">
        <f>BattMobility!D199+cambio!D199+Claus2you!D199+CoopStroom!D199+Cozywheels!D199+Dégage!D199+Flexigo!D199+Klimaan!D199+Moovee!D199+Poppy!D199+'Mobilize Share'!D199+Stapp.in!D199</f>
        <v>3</v>
      </c>
      <c r="AK184" s="23">
        <f>BattMobility!E199+cambio!E199+Claus2you!E199+CoopStroom!E199+Cozywheels!E199+Dégage!E199+Flexigo!E199+Klimaan!E199+Moovee!E199+Poppy!E199+'Mobilize Share'!E199+Stapp.in!E199</f>
        <v>3</v>
      </c>
      <c r="AL184" s="21">
        <f t="shared" si="0"/>
        <v>0.12567550584391105</v>
      </c>
      <c r="AM184" s="21">
        <f t="shared" si="1"/>
        <v>0.12567550584391105</v>
      </c>
      <c r="AN184" s="25">
        <f t="shared" si="2"/>
        <v>0</v>
      </c>
      <c r="AO184" s="26">
        <f t="shared" si="3"/>
        <v>0</v>
      </c>
      <c r="AP184" s="27">
        <f>BattMobility!F199+cambio!F199+Claus2you!F199+CoopStroom!F199+Cozywheels!F199+Dégage!F199+Flexigo!F199+Klimaan!F199+Moovee!F199+Poppy!F199+'Mobilize Share'!F199+Stapp.in!F199</f>
        <v>3</v>
      </c>
      <c r="AQ184" s="25">
        <f>BattMobility!G199+cambio!G199+Claus2you!G199+CoopStroom!G199+Cozywheels!G199+Dégage!G199+Flexigo!G199+Klimaan!G199+Moovee!G199+Poppy!G199+'Mobilize Share'!G199+Stapp.in!G199</f>
        <v>3</v>
      </c>
      <c r="AR184" s="29">
        <f t="shared" si="4"/>
        <v>0.12567550584391105</v>
      </c>
      <c r="AS184" s="29">
        <f t="shared" si="5"/>
        <v>0.12567550584391105</v>
      </c>
      <c r="AT184" s="25">
        <f t="shared" si="6"/>
        <v>0</v>
      </c>
      <c r="AU184" s="30">
        <v>47.75</v>
      </c>
      <c r="AV184" s="31">
        <v>44.75</v>
      </c>
    </row>
    <row r="185" spans="1:48" ht="14.25" customHeight="1" x14ac:dyDescent="0.35">
      <c r="A185" s="2" t="s">
        <v>235</v>
      </c>
      <c r="B185" s="13" t="s">
        <v>59</v>
      </c>
      <c r="C185" s="13">
        <v>71004</v>
      </c>
      <c r="D185" s="14">
        <v>47217</v>
      </c>
      <c r="E185" s="14">
        <v>47895</v>
      </c>
      <c r="F185" s="14">
        <v>48353</v>
      </c>
      <c r="G185" s="14">
        <v>48755</v>
      </c>
      <c r="H185" s="15">
        <v>1</v>
      </c>
      <c r="I185" s="13">
        <v>0</v>
      </c>
      <c r="J185" s="16">
        <v>2.1178812715759155E-2</v>
      </c>
      <c r="K185" s="15">
        <v>1</v>
      </c>
      <c r="L185" s="13">
        <v>0</v>
      </c>
      <c r="M185" s="16">
        <v>2.1178812715759155E-2</v>
      </c>
      <c r="N185" s="15">
        <v>1</v>
      </c>
      <c r="O185" s="13">
        <v>1</v>
      </c>
      <c r="P185" s="16">
        <v>2.0879006159306816E-2</v>
      </c>
      <c r="Q185" s="16">
        <v>2.0879006159306816E-2</v>
      </c>
      <c r="R185" s="18">
        <v>0</v>
      </c>
      <c r="S185" s="16">
        <v>-2.9980655645233875E-4</v>
      </c>
      <c r="T185" s="18">
        <v>0</v>
      </c>
      <c r="U185" s="16">
        <v>-2.9980655645233875E-4</v>
      </c>
      <c r="V185" s="18">
        <v>0</v>
      </c>
      <c r="W185" s="16">
        <v>0</v>
      </c>
      <c r="X185" s="15">
        <v>1</v>
      </c>
      <c r="Y185" s="13">
        <v>1</v>
      </c>
      <c r="Z185" s="16">
        <v>2.0879006159306816E-2</v>
      </c>
      <c r="AA185" s="16">
        <v>2.0879006159306816E-2</v>
      </c>
      <c r="AB185" s="15">
        <v>3</v>
      </c>
      <c r="AC185" s="13">
        <v>3</v>
      </c>
      <c r="AD185" s="16">
        <v>6.2043720141459681E-2</v>
      </c>
      <c r="AE185" s="16">
        <v>6.2043720141459681E-2</v>
      </c>
      <c r="AF185" s="19">
        <v>3</v>
      </c>
      <c r="AG185" s="20">
        <v>3</v>
      </c>
      <c r="AH185" s="16">
        <v>6.2043720141459681E-2</v>
      </c>
      <c r="AI185" s="21">
        <v>6.2043720141459681E-2</v>
      </c>
      <c r="AJ185" s="22">
        <f>BattMobility!D24+cambio!D24+Claus2you!D24+CoopStroom!D24+Cozywheels!D24+Dégage!D24+Flexigo!D24+Klimaan!D24+Moovee!D24+Poppy!D24+'Mobilize Share'!D24+Stapp.in!D24</f>
        <v>2</v>
      </c>
      <c r="AK185" s="23">
        <f>BattMobility!E24+cambio!E24+Claus2you!E24+CoopStroom!E24+Cozywheels!E24+Dégage!E24+Flexigo!E24+Klimaan!E24+Moovee!E24+Poppy!E24+'Mobilize Share'!E24+Stapp.in!E24</f>
        <v>2</v>
      </c>
      <c r="AL185" s="21">
        <f t="shared" si="0"/>
        <v>4.1021433699107782E-2</v>
      </c>
      <c r="AM185" s="21">
        <f t="shared" si="1"/>
        <v>4.1021433699107782E-2</v>
      </c>
      <c r="AN185" s="25">
        <f t="shared" si="2"/>
        <v>-1</v>
      </c>
      <c r="AO185" s="26">
        <f t="shared" si="3"/>
        <v>-0.33333333333333331</v>
      </c>
      <c r="AP185" s="27">
        <f>BattMobility!F24+cambio!F24+Claus2you!F24+CoopStroom!F24+Cozywheels!F24+Dégage!F24+Flexigo!F24+Klimaan!F24+Moovee!F24+Poppy!F24+'Mobilize Share'!F24+Stapp.in!F24</f>
        <v>3</v>
      </c>
      <c r="AQ185" s="25">
        <f>BattMobility!G24+cambio!G24+Claus2you!G24+CoopStroom!G24+Cozywheels!G24+Dégage!G24+Flexigo!G24+Klimaan!G24+Moovee!G24+Poppy!G24+'Mobilize Share'!G24+Stapp.in!G24</f>
        <v>3</v>
      </c>
      <c r="AR185" s="29">
        <f t="shared" si="4"/>
        <v>6.1532150548661679E-2</v>
      </c>
      <c r="AS185" s="29">
        <f t="shared" si="5"/>
        <v>6.1532150548661679E-2</v>
      </c>
      <c r="AT185" s="25">
        <f t="shared" si="6"/>
        <v>0</v>
      </c>
      <c r="AU185" s="30">
        <v>96.706000000000003</v>
      </c>
      <c r="AV185" s="31">
        <v>93.706000000000003</v>
      </c>
    </row>
    <row r="186" spans="1:48" ht="14.25" customHeight="1" x14ac:dyDescent="0.35">
      <c r="A186" s="2" t="s">
        <v>236</v>
      </c>
      <c r="B186" s="13" t="s">
        <v>50</v>
      </c>
      <c r="C186" s="13">
        <v>41048</v>
      </c>
      <c r="D186" s="14">
        <v>39626</v>
      </c>
      <c r="E186" s="14">
        <v>40093</v>
      </c>
      <c r="F186" s="14">
        <v>40363</v>
      </c>
      <c r="G186" s="14">
        <v>40580</v>
      </c>
      <c r="H186" s="15">
        <v>1</v>
      </c>
      <c r="I186" s="13">
        <v>0</v>
      </c>
      <c r="J186" s="16">
        <v>2.5235956190380052E-2</v>
      </c>
      <c r="K186" s="15">
        <v>0</v>
      </c>
      <c r="L186" s="13">
        <v>0</v>
      </c>
      <c r="M186" s="16">
        <v>0</v>
      </c>
      <c r="N186" s="15">
        <v>0</v>
      </c>
      <c r="O186" s="13">
        <v>0</v>
      </c>
      <c r="P186" s="16">
        <v>0</v>
      </c>
      <c r="Q186" s="16">
        <v>0</v>
      </c>
      <c r="R186" s="18">
        <v>-1</v>
      </c>
      <c r="S186" s="16">
        <v>-2.5235956190380052E-2</v>
      </c>
      <c r="T186" s="18">
        <v>0</v>
      </c>
      <c r="U186" s="16">
        <v>0</v>
      </c>
      <c r="V186" s="18">
        <v>0</v>
      </c>
      <c r="W186" s="16">
        <v>0</v>
      </c>
      <c r="X186" s="15">
        <v>2</v>
      </c>
      <c r="Y186" s="13">
        <v>2</v>
      </c>
      <c r="Z186" s="16">
        <v>4.9884019654303745E-2</v>
      </c>
      <c r="AA186" s="16">
        <v>4.9884019654303745E-2</v>
      </c>
      <c r="AB186" s="15">
        <v>3</v>
      </c>
      <c r="AC186" s="13">
        <v>3</v>
      </c>
      <c r="AD186" s="16">
        <v>7.432549612268663E-2</v>
      </c>
      <c r="AE186" s="16">
        <v>7.432549612268663E-2</v>
      </c>
      <c r="AF186" s="19">
        <v>2</v>
      </c>
      <c r="AG186" s="20">
        <v>2</v>
      </c>
      <c r="AH186" s="16">
        <v>4.9550330748457751E-2</v>
      </c>
      <c r="AI186" s="21">
        <v>4.9550330748457751E-2</v>
      </c>
      <c r="AJ186" s="22">
        <f>BattMobility!D188+cambio!D188+Claus2you!D188+CoopStroom!D188+Cozywheels!D188+Dégage!D188+Flexigo!D188+Klimaan!D188+Moovee!D188+Poppy!D188+'Mobilize Share'!D188+Stapp.in!D188</f>
        <v>2</v>
      </c>
      <c r="AK186" s="23">
        <f>BattMobility!E188+cambio!E188+Claus2you!E188+CoopStroom!E188+Cozywheels!E188+Dégage!E188+Flexigo!E188+Klimaan!E188+Moovee!E188+Poppy!E188+'Mobilize Share'!E188+Stapp.in!E188</f>
        <v>2</v>
      </c>
      <c r="AL186" s="21">
        <f t="shared" si="0"/>
        <v>4.928536224741252E-2</v>
      </c>
      <c r="AM186" s="21">
        <f t="shared" si="1"/>
        <v>4.928536224741252E-2</v>
      </c>
      <c r="AN186" s="25">
        <f t="shared" si="2"/>
        <v>-1</v>
      </c>
      <c r="AO186" s="26">
        <f t="shared" si="3"/>
        <v>-0.33333333333333331</v>
      </c>
      <c r="AP186" s="27">
        <f>BattMobility!F188+cambio!F188+Claus2you!F188+CoopStroom!F188+Cozywheels!F188+Dégage!F188+Flexigo!F188+Klimaan!F188+Moovee!F188+Poppy!F188+'Mobilize Share'!F188+Stapp.in!F188</f>
        <v>3</v>
      </c>
      <c r="AQ186" s="25">
        <f>BattMobility!G188+cambio!G188+Claus2you!G188+CoopStroom!G188+Cozywheels!G188+Dégage!G188+Flexigo!G188+Klimaan!G188+Moovee!G188+Poppy!G188+'Mobilize Share'!G188+Stapp.in!G188</f>
        <v>3</v>
      </c>
      <c r="AR186" s="29">
        <f t="shared" si="4"/>
        <v>7.3928043371118773E-2</v>
      </c>
      <c r="AS186" s="29">
        <f t="shared" si="5"/>
        <v>7.3928043371118773E-2</v>
      </c>
      <c r="AT186" s="25">
        <f t="shared" si="6"/>
        <v>1</v>
      </c>
      <c r="AU186" s="30">
        <v>80.725999999999999</v>
      </c>
      <c r="AV186" s="31">
        <v>78.725999999999999</v>
      </c>
    </row>
    <row r="187" spans="1:48" ht="14.25" customHeight="1" x14ac:dyDescent="0.35">
      <c r="A187" s="33" t="s">
        <v>237</v>
      </c>
      <c r="B187" s="13" t="s">
        <v>59</v>
      </c>
      <c r="C187" s="13">
        <v>73110</v>
      </c>
      <c r="D187" s="14">
        <v>32455</v>
      </c>
      <c r="E187" s="14">
        <v>32644</v>
      </c>
      <c r="F187" s="14">
        <v>32782</v>
      </c>
      <c r="G187" s="14">
        <v>43052</v>
      </c>
      <c r="H187" s="15">
        <v>0</v>
      </c>
      <c r="I187" s="13">
        <v>0</v>
      </c>
      <c r="J187" s="16">
        <v>0</v>
      </c>
      <c r="K187" s="15">
        <v>3</v>
      </c>
      <c r="L187" s="13">
        <v>0</v>
      </c>
      <c r="M187" s="16">
        <v>9.2435680172546594E-2</v>
      </c>
      <c r="N187" s="15">
        <v>2</v>
      </c>
      <c r="O187" s="13">
        <v>0</v>
      </c>
      <c r="P187" s="16">
        <v>6.1267001592942044E-2</v>
      </c>
      <c r="Q187" s="16">
        <v>0</v>
      </c>
      <c r="R187" s="18">
        <v>2</v>
      </c>
      <c r="S187" s="16">
        <v>6.1267001592942044E-2</v>
      </c>
      <c r="T187" s="18">
        <v>-1</v>
      </c>
      <c r="U187" s="16">
        <v>-3.116867857960455E-2</v>
      </c>
      <c r="V187" s="18">
        <v>2</v>
      </c>
      <c r="W187" s="16">
        <v>6.1267001592942044E-2</v>
      </c>
      <c r="X187" s="15">
        <v>3</v>
      </c>
      <c r="Y187" s="13">
        <v>0</v>
      </c>
      <c r="Z187" s="16">
        <v>9.1900502389413066E-2</v>
      </c>
      <c r="AA187" s="16">
        <v>0</v>
      </c>
      <c r="AB187" s="15">
        <v>4</v>
      </c>
      <c r="AC187" s="13">
        <v>2</v>
      </c>
      <c r="AD187" s="16">
        <v>0.12201818070892563</v>
      </c>
      <c r="AE187" s="16">
        <v>6.1009090354462815E-2</v>
      </c>
      <c r="AF187" s="19">
        <v>4</v>
      </c>
      <c r="AG187" s="20">
        <v>1</v>
      </c>
      <c r="AH187" s="16">
        <v>0.12201818070892563</v>
      </c>
      <c r="AI187" s="21">
        <v>3.0504545177231408E-2</v>
      </c>
      <c r="AJ187" s="22">
        <f>BattMobility!D31+cambio!D31+Claus2you!D31+CoopStroom!D31+Cozywheels!D31+Dégage!D31+Flexigo!D31+Klimaan!D31+Moovee!D31+Poppy!D31+'Mobilize Share'!D31+Stapp.in!D31</f>
        <v>3</v>
      </c>
      <c r="AK187" s="23">
        <f>BattMobility!E31+cambio!E31+Claus2you!E31+CoopStroom!E31+Cozywheels!E31+Dégage!E31+Flexigo!E31+Klimaan!E31+Moovee!E31+Poppy!E31+'Mobilize Share'!E31+Stapp.in!E31</f>
        <v>1</v>
      </c>
      <c r="AL187" s="21">
        <f t="shared" si="0"/>
        <v>6.9683173836290996E-2</v>
      </c>
      <c r="AM187" s="21">
        <f t="shared" si="1"/>
        <v>2.3227724612097E-2</v>
      </c>
      <c r="AN187" s="25">
        <f t="shared" si="2"/>
        <v>-1</v>
      </c>
      <c r="AO187" s="26">
        <f t="shared" si="3"/>
        <v>-0.25</v>
      </c>
      <c r="AP187" s="27">
        <f>BattMobility!F31+cambio!F31+Claus2you!F31+CoopStroom!F31+Cozywheels!F31+Dégage!F31+Flexigo!F31+Klimaan!F31+Moovee!F31+Poppy!F31+'Mobilize Share'!F31+Stapp.in!F31</f>
        <v>3</v>
      </c>
      <c r="AQ187" s="25">
        <f>BattMobility!G31+cambio!G31+Claus2you!G31+CoopStroom!G31+Cozywheels!G31+Dégage!G31+Flexigo!G31+Klimaan!G31+Moovee!G31+Poppy!G31+'Mobilize Share'!G31+Stapp.in!G31</f>
        <v>1</v>
      </c>
      <c r="AR187" s="29">
        <f t="shared" si="4"/>
        <v>6.9683173836290996E-2</v>
      </c>
      <c r="AS187" s="29">
        <f t="shared" si="5"/>
        <v>2.3227724612097E-2</v>
      </c>
      <c r="AT187" s="25">
        <f t="shared" si="6"/>
        <v>-1</v>
      </c>
      <c r="AU187" s="30">
        <v>65.563999999999993</v>
      </c>
      <c r="AV187" s="31">
        <v>61.563999999999993</v>
      </c>
    </row>
    <row r="188" spans="1:48" ht="14.25" customHeight="1" x14ac:dyDescent="0.35">
      <c r="A188" s="2" t="s">
        <v>238</v>
      </c>
      <c r="B188" s="13" t="s">
        <v>55</v>
      </c>
      <c r="C188" s="13">
        <v>33016</v>
      </c>
      <c r="D188" s="14">
        <v>1062</v>
      </c>
      <c r="E188" s="14">
        <v>1074</v>
      </c>
      <c r="F188" s="14">
        <v>1075</v>
      </c>
      <c r="G188" s="14">
        <v>1071</v>
      </c>
      <c r="H188" s="15">
        <v>2</v>
      </c>
      <c r="I188" s="13">
        <v>0</v>
      </c>
      <c r="J188" s="16">
        <v>1.8832391713747645</v>
      </c>
      <c r="K188" s="15">
        <v>2</v>
      </c>
      <c r="L188" s="13">
        <v>0</v>
      </c>
      <c r="M188" s="16">
        <v>1.8832391713747645</v>
      </c>
      <c r="N188" s="15">
        <v>3</v>
      </c>
      <c r="O188" s="13">
        <v>2</v>
      </c>
      <c r="P188" s="17">
        <v>2.7932960893854748</v>
      </c>
      <c r="Q188" s="16">
        <v>1.8621973929236499</v>
      </c>
      <c r="R188" s="18">
        <v>1</v>
      </c>
      <c r="S188" s="16">
        <v>0.91005691801071031</v>
      </c>
      <c r="T188" s="18">
        <v>1</v>
      </c>
      <c r="U188" s="16">
        <v>0.91005691801071031</v>
      </c>
      <c r="V188" s="18">
        <v>0</v>
      </c>
      <c r="W188" s="16">
        <v>0</v>
      </c>
      <c r="X188" s="15">
        <v>3</v>
      </c>
      <c r="Y188" s="13">
        <v>2</v>
      </c>
      <c r="Z188" s="17">
        <v>2.7932960893854748</v>
      </c>
      <c r="AA188" s="16">
        <v>1.8621973929236499</v>
      </c>
      <c r="AB188" s="15">
        <v>3</v>
      </c>
      <c r="AC188" s="13">
        <v>1</v>
      </c>
      <c r="AD188" s="17">
        <v>2.7906976744186047</v>
      </c>
      <c r="AE188" s="16">
        <v>0.93023255813953498</v>
      </c>
      <c r="AF188" s="19">
        <v>1</v>
      </c>
      <c r="AG188" s="20">
        <v>0</v>
      </c>
      <c r="AH188" s="16">
        <v>0.93023255813953498</v>
      </c>
      <c r="AI188" s="21">
        <v>0</v>
      </c>
      <c r="AJ188" s="22">
        <f>BattMobility!D178+cambio!D178+Claus2you!D178+CoopStroom!D178+Cozywheels!D178+Dégage!D178+Flexigo!D178+Klimaan!D178+Moovee!D178+Poppy!D178+'Mobilize Share'!D178+Stapp.in!D178</f>
        <v>1</v>
      </c>
      <c r="AK188" s="23">
        <f>BattMobility!E178+cambio!E178+Claus2you!E178+CoopStroom!E178+Cozywheels!E178+Dégage!E178+Flexigo!E178+Klimaan!E178+Moovee!E178+Poppy!E178+'Mobilize Share'!E178+Stapp.in!E178</f>
        <v>0</v>
      </c>
      <c r="AL188" s="21">
        <f t="shared" si="0"/>
        <v>0.93370681605975725</v>
      </c>
      <c r="AM188" s="21">
        <f t="shared" si="1"/>
        <v>0</v>
      </c>
      <c r="AN188" s="25">
        <f t="shared" si="2"/>
        <v>-2</v>
      </c>
      <c r="AO188" s="26">
        <f t="shared" si="3"/>
        <v>-0.66666666666666663</v>
      </c>
      <c r="AP188" s="27">
        <f>BattMobility!F178+cambio!F178+Claus2you!F178+CoopStroom!F178+Cozywheels!F178+Dégage!F178+Flexigo!F178+Klimaan!F178+Moovee!F178+Poppy!F178+'Mobilize Share'!F178+Stapp.in!F178</f>
        <v>2</v>
      </c>
      <c r="AQ188" s="25">
        <f>BattMobility!G178+cambio!G178+Claus2you!G178+CoopStroom!G178+Cozywheels!G178+Dégage!G178+Flexigo!G178+Klimaan!G178+Moovee!G178+Poppy!G178+'Mobilize Share'!G178+Stapp.in!G178</f>
        <v>1</v>
      </c>
      <c r="AR188" s="29">
        <f t="shared" si="4"/>
        <v>1.8674136321195145</v>
      </c>
      <c r="AS188" s="29">
        <f t="shared" si="5"/>
        <v>0.93370681605975725</v>
      </c>
      <c r="AT188" s="25">
        <f t="shared" si="6"/>
        <v>1</v>
      </c>
      <c r="AU188" s="30">
        <v>2.15</v>
      </c>
      <c r="AV188" s="31">
        <v>1.1499999999999999</v>
      </c>
    </row>
    <row r="189" spans="1:48" ht="14.25" customHeight="1" x14ac:dyDescent="0.35">
      <c r="A189" s="2" t="s">
        <v>239</v>
      </c>
      <c r="B189" s="13" t="s">
        <v>55</v>
      </c>
      <c r="C189" s="13">
        <v>32030</v>
      </c>
      <c r="D189" s="14">
        <v>3217</v>
      </c>
      <c r="E189" s="14">
        <v>3237</v>
      </c>
      <c r="F189" s="14">
        <v>3216</v>
      </c>
      <c r="G189" s="14">
        <v>3183</v>
      </c>
      <c r="H189" s="15">
        <v>0</v>
      </c>
      <c r="I189" s="13">
        <v>0</v>
      </c>
      <c r="J189" s="16">
        <v>0</v>
      </c>
      <c r="K189" s="15">
        <v>0</v>
      </c>
      <c r="L189" s="13">
        <v>0</v>
      </c>
      <c r="M189" s="16">
        <v>0</v>
      </c>
      <c r="N189" s="15">
        <v>0</v>
      </c>
      <c r="O189" s="13">
        <v>0</v>
      </c>
      <c r="P189" s="16">
        <v>0</v>
      </c>
      <c r="Q189" s="16">
        <v>0</v>
      </c>
      <c r="R189" s="18">
        <v>0</v>
      </c>
      <c r="S189" s="16">
        <v>0</v>
      </c>
      <c r="T189" s="18">
        <v>0</v>
      </c>
      <c r="U189" s="16">
        <v>0</v>
      </c>
      <c r="V189" s="18">
        <v>0</v>
      </c>
      <c r="W189" s="16">
        <v>0</v>
      </c>
      <c r="X189" s="15">
        <v>0</v>
      </c>
      <c r="Y189" s="13">
        <v>0</v>
      </c>
      <c r="Z189" s="16">
        <v>0</v>
      </c>
      <c r="AA189" s="16">
        <v>0</v>
      </c>
      <c r="AB189" s="15">
        <v>1</v>
      </c>
      <c r="AC189" s="13">
        <v>0</v>
      </c>
      <c r="AD189" s="16">
        <v>0.31094527363184077</v>
      </c>
      <c r="AE189" s="16">
        <v>0</v>
      </c>
      <c r="AF189" s="19">
        <v>2</v>
      </c>
      <c r="AG189" s="20">
        <v>1</v>
      </c>
      <c r="AH189" s="16">
        <v>0.62189054726368154</v>
      </c>
      <c r="AI189" s="21">
        <v>0.31094527363184077</v>
      </c>
      <c r="AJ189" s="22">
        <f>BattMobility!D158+cambio!D158+Claus2you!D158+CoopStroom!D158+Cozywheels!D158+Dégage!D158+Flexigo!D158+Klimaan!D158+Moovee!D158+Poppy!D158+'Mobilize Share'!D158+Stapp.in!D158</f>
        <v>2</v>
      </c>
      <c r="AK189" s="23">
        <f>BattMobility!E158+cambio!E158+Claus2you!E158+CoopStroom!E158+Cozywheels!E158+Dégage!E158+Flexigo!E158+Klimaan!E158+Moovee!E158+Poppy!E158+'Mobilize Share'!E158+Stapp.in!E158</f>
        <v>1</v>
      </c>
      <c r="AL189" s="21">
        <f t="shared" si="0"/>
        <v>0.62833804586867736</v>
      </c>
      <c r="AM189" s="21">
        <f t="shared" si="1"/>
        <v>0.31416902293433868</v>
      </c>
      <c r="AN189" s="25">
        <f t="shared" si="2"/>
        <v>1</v>
      </c>
      <c r="AO189" s="26">
        <f t="shared" si="3"/>
        <v>1</v>
      </c>
      <c r="AP189" s="27">
        <f>BattMobility!F158+cambio!F158+Claus2you!F158+CoopStroom!F158+Cozywheels!F158+Dégage!F158+Flexigo!F158+Klimaan!F158+Moovee!F158+Poppy!F158+'Mobilize Share'!F158+Stapp.in!F158</f>
        <v>2</v>
      </c>
      <c r="AQ189" s="25">
        <f>BattMobility!G158+cambio!G158+Claus2you!G158+CoopStroom!G158+Cozywheels!G158+Dégage!G158+Flexigo!G158+Klimaan!G158+Moovee!G158+Poppy!G158+'Mobilize Share'!G158+Stapp.in!G158</f>
        <v>1</v>
      </c>
      <c r="AR189" s="29">
        <f t="shared" si="4"/>
        <v>0.62833804586867736</v>
      </c>
      <c r="AS189" s="29">
        <f t="shared" si="5"/>
        <v>0.31416902293433868</v>
      </c>
      <c r="AT189" s="25">
        <f t="shared" si="6"/>
        <v>0</v>
      </c>
      <c r="AU189" s="30">
        <v>6.4320000000000004</v>
      </c>
      <c r="AV189" s="31">
        <v>4.4320000000000004</v>
      </c>
    </row>
    <row r="190" spans="1:48" ht="14.25" customHeight="1" x14ac:dyDescent="0.35">
      <c r="A190" s="2" t="s">
        <v>240</v>
      </c>
      <c r="B190" s="13" t="s">
        <v>55</v>
      </c>
      <c r="C190" s="13">
        <v>33041</v>
      </c>
      <c r="D190" s="14">
        <v>3646</v>
      </c>
      <c r="E190" s="14">
        <v>3611</v>
      </c>
      <c r="F190" s="14">
        <v>3600</v>
      </c>
      <c r="G190" s="14">
        <v>3583</v>
      </c>
      <c r="H190" s="15">
        <v>0</v>
      </c>
      <c r="I190" s="13">
        <v>0</v>
      </c>
      <c r="J190" s="16">
        <v>0</v>
      </c>
      <c r="K190" s="15">
        <v>0</v>
      </c>
      <c r="L190" s="13">
        <v>0</v>
      </c>
      <c r="M190" s="16">
        <v>0</v>
      </c>
      <c r="N190" s="15">
        <v>0</v>
      </c>
      <c r="O190" s="13">
        <v>0</v>
      </c>
      <c r="P190" s="16">
        <v>0</v>
      </c>
      <c r="Q190" s="16">
        <v>0</v>
      </c>
      <c r="R190" s="18">
        <v>0</v>
      </c>
      <c r="S190" s="16">
        <v>0</v>
      </c>
      <c r="T190" s="18">
        <v>0</v>
      </c>
      <c r="U190" s="16">
        <v>0</v>
      </c>
      <c r="V190" s="18">
        <v>0</v>
      </c>
      <c r="W190" s="16">
        <v>0</v>
      </c>
      <c r="X190" s="15">
        <v>0</v>
      </c>
      <c r="Y190" s="13">
        <v>0</v>
      </c>
      <c r="Z190" s="16">
        <v>0</v>
      </c>
      <c r="AA190" s="16">
        <v>0</v>
      </c>
      <c r="AB190" s="15">
        <v>1</v>
      </c>
      <c r="AC190" s="13">
        <v>0</v>
      </c>
      <c r="AD190" s="16">
        <v>0.27777777777777779</v>
      </c>
      <c r="AE190" s="16">
        <v>0</v>
      </c>
      <c r="AF190" s="19">
        <v>1</v>
      </c>
      <c r="AG190" s="20">
        <v>0</v>
      </c>
      <c r="AH190" s="16">
        <v>0.27777777777777779</v>
      </c>
      <c r="AI190" s="21">
        <v>0</v>
      </c>
      <c r="AJ190" s="22">
        <f>BattMobility!D250+cambio!D250+Claus2you!D250+CoopStroom!D250+Cozywheels!D250+Dégage!D250+Flexigo!D250+Klimaan!D250+Moovee!D250+Poppy!D250+'Mobilize Share'!D250+Stapp.in!D250</f>
        <v>1</v>
      </c>
      <c r="AK190" s="23">
        <f>BattMobility!E250+cambio!E250+Claus2you!E250+CoopStroom!E250+Cozywheels!E250+Dégage!E250+Flexigo!E250+Klimaan!E250+Moovee!E250+Poppy!E250+'Mobilize Share'!E250+Stapp.in!E250</f>
        <v>0</v>
      </c>
      <c r="AL190" s="21">
        <f t="shared" si="0"/>
        <v>0.27909572983533354</v>
      </c>
      <c r="AM190" s="21">
        <f t="shared" si="1"/>
        <v>0</v>
      </c>
      <c r="AN190" s="25">
        <f t="shared" si="2"/>
        <v>0</v>
      </c>
      <c r="AO190" s="26">
        <f t="shared" si="3"/>
        <v>0</v>
      </c>
      <c r="AP190" s="27">
        <f>BattMobility!F250+cambio!F250+Claus2you!F250+CoopStroom!F250+Cozywheels!F250+Dégage!F250+Flexigo!F250+Klimaan!F250+Moovee!F250+Poppy!F250+'Mobilize Share'!F250+Stapp.in!F250</f>
        <v>2</v>
      </c>
      <c r="AQ190" s="25">
        <f>BattMobility!G250+cambio!G250+Claus2you!G250+CoopStroom!G250+Cozywheels!G250+Dégage!G250+Flexigo!G250+Klimaan!G250+Moovee!G250+Poppy!G250+'Mobilize Share'!G250+Stapp.in!G250</f>
        <v>1</v>
      </c>
      <c r="AR190" s="29">
        <f t="shared" si="4"/>
        <v>0.55819145967066708</v>
      </c>
      <c r="AS190" s="29">
        <f t="shared" si="5"/>
        <v>0.27909572983533354</v>
      </c>
      <c r="AT190" s="25">
        <f t="shared" si="6"/>
        <v>1</v>
      </c>
      <c r="AU190" s="30">
        <v>7.2</v>
      </c>
      <c r="AV190" s="31">
        <v>6.2</v>
      </c>
    </row>
    <row r="191" spans="1:48" ht="14.25" customHeight="1" x14ac:dyDescent="0.35">
      <c r="A191" s="2" t="s">
        <v>241</v>
      </c>
      <c r="B191" s="13" t="s">
        <v>52</v>
      </c>
      <c r="C191" s="13">
        <v>23064</v>
      </c>
      <c r="D191" s="14">
        <v>4507</v>
      </c>
      <c r="E191" s="14">
        <v>4567</v>
      </c>
      <c r="F191" s="14">
        <v>4592</v>
      </c>
      <c r="G191" s="14">
        <v>4564</v>
      </c>
      <c r="H191" s="15">
        <v>1</v>
      </c>
      <c r="I191" s="13">
        <v>0</v>
      </c>
      <c r="J191" s="16">
        <v>0.22187708009762591</v>
      </c>
      <c r="K191" s="15">
        <v>2</v>
      </c>
      <c r="L191" s="13">
        <v>0</v>
      </c>
      <c r="M191" s="16">
        <v>0.44375416019525182</v>
      </c>
      <c r="N191" s="15">
        <v>2</v>
      </c>
      <c r="O191" s="13">
        <v>2</v>
      </c>
      <c r="P191" s="16">
        <v>0.43792423910663458</v>
      </c>
      <c r="Q191" s="16">
        <v>0.43792423910663458</v>
      </c>
      <c r="R191" s="18">
        <v>1</v>
      </c>
      <c r="S191" s="16">
        <v>0.21604715900900867</v>
      </c>
      <c r="T191" s="18">
        <v>0</v>
      </c>
      <c r="U191" s="16">
        <v>-5.8299210886172403E-3</v>
      </c>
      <c r="V191" s="18">
        <v>0</v>
      </c>
      <c r="W191" s="16">
        <v>0</v>
      </c>
      <c r="X191" s="15">
        <v>2</v>
      </c>
      <c r="Y191" s="13">
        <v>2</v>
      </c>
      <c r="Z191" s="16">
        <v>0.43792423910663458</v>
      </c>
      <c r="AA191" s="16">
        <v>0.43792423910663458</v>
      </c>
      <c r="AB191" s="15">
        <v>2</v>
      </c>
      <c r="AC191" s="13">
        <v>2</v>
      </c>
      <c r="AD191" s="16">
        <v>0.43554006968641112</v>
      </c>
      <c r="AE191" s="16">
        <v>0.43554006968641112</v>
      </c>
      <c r="AF191" s="19">
        <v>2</v>
      </c>
      <c r="AG191" s="20">
        <v>2</v>
      </c>
      <c r="AH191" s="16">
        <v>0.43554006968641112</v>
      </c>
      <c r="AI191" s="21">
        <v>0.43554006968641112</v>
      </c>
      <c r="AJ191" s="22">
        <f>BattMobility!D204+cambio!D204+Claus2you!D204+CoopStroom!D204+Cozywheels!D204+Dégage!D204+Flexigo!D204+Klimaan!D204+Moovee!D204+Poppy!D204+'Mobilize Share'!D204+Stapp.in!D204</f>
        <v>2</v>
      </c>
      <c r="AK191" s="23">
        <f>BattMobility!E204+cambio!E204+Claus2you!E204+CoopStroom!E204+Cozywheels!E204+Dégage!E204+Flexigo!E204+Klimaan!E204+Moovee!E204+Poppy!E204+'Mobilize Share'!E204+Stapp.in!E204</f>
        <v>2</v>
      </c>
      <c r="AL191" s="21">
        <f t="shared" si="0"/>
        <v>0.43821209465381245</v>
      </c>
      <c r="AM191" s="21">
        <f t="shared" si="1"/>
        <v>0.43821209465381245</v>
      </c>
      <c r="AN191" s="25">
        <f t="shared" si="2"/>
        <v>0</v>
      </c>
      <c r="AO191" s="26">
        <f t="shared" si="3"/>
        <v>0</v>
      </c>
      <c r="AP191" s="27">
        <f>BattMobility!F204+cambio!F204+Claus2you!F204+CoopStroom!F204+Cozywheels!F204+Dégage!F204+Flexigo!F204+Klimaan!F204+Moovee!F204+Poppy!F204+'Mobilize Share'!F204+Stapp.in!F204</f>
        <v>2</v>
      </c>
      <c r="AQ191" s="25">
        <f>BattMobility!G204+cambio!G204+Claus2you!G204+CoopStroom!G204+Cozywheels!G204+Dégage!G204+Flexigo!G204+Klimaan!G204+Moovee!G204+Poppy!G204+'Mobilize Share'!G204+Stapp.in!G204</f>
        <v>2</v>
      </c>
      <c r="AR191" s="29">
        <f t="shared" si="4"/>
        <v>0.43821209465381245</v>
      </c>
      <c r="AS191" s="29">
        <f t="shared" si="5"/>
        <v>0.43821209465381245</v>
      </c>
      <c r="AT191" s="25">
        <f t="shared" si="6"/>
        <v>0</v>
      </c>
      <c r="AU191" s="30">
        <v>9.1839999999999993</v>
      </c>
      <c r="AV191" s="31">
        <v>7.1839999999999993</v>
      </c>
    </row>
    <row r="192" spans="1:48" ht="14.25" customHeight="1" x14ac:dyDescent="0.35">
      <c r="A192" s="2" t="s">
        <v>242</v>
      </c>
      <c r="B192" s="13" t="s">
        <v>55</v>
      </c>
      <c r="C192" s="13">
        <v>38002</v>
      </c>
      <c r="D192" s="14">
        <v>5025</v>
      </c>
      <c r="E192" s="14">
        <v>5054</v>
      </c>
      <c r="F192" s="14">
        <v>5023</v>
      </c>
      <c r="G192" s="14">
        <v>4966</v>
      </c>
      <c r="H192" s="15">
        <v>0</v>
      </c>
      <c r="I192" s="13">
        <v>0</v>
      </c>
      <c r="J192" s="16">
        <v>0</v>
      </c>
      <c r="K192" s="15">
        <v>0</v>
      </c>
      <c r="L192" s="13">
        <v>0</v>
      </c>
      <c r="M192" s="16">
        <v>0</v>
      </c>
      <c r="N192" s="15">
        <v>0</v>
      </c>
      <c r="O192" s="13">
        <v>0</v>
      </c>
      <c r="P192" s="16">
        <v>0</v>
      </c>
      <c r="Q192" s="16">
        <v>0</v>
      </c>
      <c r="R192" s="18">
        <v>0</v>
      </c>
      <c r="S192" s="16">
        <v>0</v>
      </c>
      <c r="T192" s="18">
        <v>0</v>
      </c>
      <c r="U192" s="16">
        <v>0</v>
      </c>
      <c r="V192" s="18">
        <v>0</v>
      </c>
      <c r="W192" s="16">
        <v>0</v>
      </c>
      <c r="X192" s="15">
        <v>0</v>
      </c>
      <c r="Y192" s="13">
        <v>0</v>
      </c>
      <c r="Z192" s="16">
        <v>0</v>
      </c>
      <c r="AA192" s="16">
        <v>0</v>
      </c>
      <c r="AB192" s="15">
        <v>1</v>
      </c>
      <c r="AC192" s="13">
        <v>0</v>
      </c>
      <c r="AD192" s="16">
        <v>0.19908421262193907</v>
      </c>
      <c r="AE192" s="16">
        <v>0</v>
      </c>
      <c r="AF192" s="19">
        <v>1</v>
      </c>
      <c r="AG192" s="20">
        <v>0</v>
      </c>
      <c r="AH192" s="16">
        <v>0.19908421262193907</v>
      </c>
      <c r="AI192" s="21">
        <v>0</v>
      </c>
      <c r="AJ192" s="22">
        <f>BattMobility!D8+cambio!D8+Claus2you!D8+CoopStroom!D8+Cozywheels!D8+Dégage!D8+Flexigo!D8+Klimaan!D8+Moovee!D8+Poppy!D8+'Mobilize Share'!D8+Stapp.in!D8</f>
        <v>1</v>
      </c>
      <c r="AK192" s="23">
        <f>BattMobility!E8+cambio!E8+Claus2you!E8+CoopStroom!E8+Cozywheels!E8+Dégage!E8+Flexigo!E8+Klimaan!E8+Moovee!E8+Poppy!E8+'Mobilize Share'!E8+Stapp.in!E8</f>
        <v>0</v>
      </c>
      <c r="AL192" s="21">
        <f t="shared" si="0"/>
        <v>0.20136931131695529</v>
      </c>
      <c r="AM192" s="21">
        <f t="shared" si="1"/>
        <v>0</v>
      </c>
      <c r="AN192" s="25">
        <f t="shared" si="2"/>
        <v>0</v>
      </c>
      <c r="AO192" s="26">
        <f t="shared" si="3"/>
        <v>0</v>
      </c>
      <c r="AP192" s="27">
        <f>BattMobility!F8+cambio!F8+Claus2you!F8+CoopStroom!F8+Cozywheels!F8+Dégage!F8+Flexigo!F8+Klimaan!F8+Moovee!F8+Poppy!F8+'Mobilize Share'!F8+Stapp.in!F8</f>
        <v>2</v>
      </c>
      <c r="AQ192" s="25">
        <f>BattMobility!G8+cambio!G8+Claus2you!G8+CoopStroom!G8+Cozywheels!G8+Dégage!G8+Flexigo!G8+Klimaan!G8+Moovee!G8+Poppy!G8+'Mobilize Share'!G8+Stapp.in!G8</f>
        <v>1</v>
      </c>
      <c r="AR192" s="29">
        <f t="shared" si="4"/>
        <v>0.40273862263391058</v>
      </c>
      <c r="AS192" s="29">
        <f t="shared" si="5"/>
        <v>0.20136931131695529</v>
      </c>
      <c r="AT192" s="25">
        <f t="shared" si="6"/>
        <v>1</v>
      </c>
      <c r="AU192" s="30">
        <v>10.045999999999999</v>
      </c>
      <c r="AV192" s="31">
        <v>9.0459999999999994</v>
      </c>
    </row>
    <row r="193" spans="1:48" ht="14.25" customHeight="1" x14ac:dyDescent="0.35">
      <c r="A193" s="2" t="s">
        <v>243</v>
      </c>
      <c r="B193" s="13" t="s">
        <v>52</v>
      </c>
      <c r="C193" s="13">
        <v>24137</v>
      </c>
      <c r="D193" s="14">
        <v>5344</v>
      </c>
      <c r="E193" s="14">
        <v>5426</v>
      </c>
      <c r="F193" s="14">
        <v>5425</v>
      </c>
      <c r="G193" s="14">
        <v>5449</v>
      </c>
      <c r="H193" s="15">
        <v>2</v>
      </c>
      <c r="I193" s="13">
        <v>0</v>
      </c>
      <c r="J193" s="16">
        <v>0.37425149700598803</v>
      </c>
      <c r="K193" s="15">
        <v>2</v>
      </c>
      <c r="L193" s="13">
        <v>0</v>
      </c>
      <c r="M193" s="16">
        <v>0.37425149700598803</v>
      </c>
      <c r="N193" s="15">
        <v>2</v>
      </c>
      <c r="O193" s="13">
        <v>0</v>
      </c>
      <c r="P193" s="16">
        <v>0.36859565057132326</v>
      </c>
      <c r="Q193" s="16">
        <v>0</v>
      </c>
      <c r="R193" s="18">
        <v>0</v>
      </c>
      <c r="S193" s="16">
        <v>-5.6558464346647686E-3</v>
      </c>
      <c r="T193" s="18">
        <v>0</v>
      </c>
      <c r="U193" s="16">
        <v>-5.6558464346647686E-3</v>
      </c>
      <c r="V193" s="18">
        <v>0</v>
      </c>
      <c r="W193" s="16">
        <v>0</v>
      </c>
      <c r="X193" s="15">
        <v>1</v>
      </c>
      <c r="Y193" s="13">
        <v>0</v>
      </c>
      <c r="Z193" s="16">
        <v>0.18429782528566163</v>
      </c>
      <c r="AA193" s="16">
        <v>0</v>
      </c>
      <c r="AB193" s="15">
        <v>1</v>
      </c>
      <c r="AC193" s="13">
        <v>0</v>
      </c>
      <c r="AD193" s="16">
        <v>0.18433179723502305</v>
      </c>
      <c r="AE193" s="16">
        <v>0</v>
      </c>
      <c r="AF193" s="19">
        <v>2</v>
      </c>
      <c r="AG193" s="20">
        <v>0</v>
      </c>
      <c r="AH193" s="16">
        <v>0.3686635944700461</v>
      </c>
      <c r="AI193" s="21">
        <v>0</v>
      </c>
      <c r="AJ193" s="22">
        <f>BattMobility!D77+cambio!D77+Claus2you!D77+CoopStroom!D77+Cozywheels!D77+Dégage!D77+Flexigo!D77+Klimaan!D77+Moovee!D77+Poppy!D77+'Mobilize Share'!D77+Stapp.in!D77</f>
        <v>2</v>
      </c>
      <c r="AK193" s="23">
        <f>BattMobility!E77+cambio!E77+Claus2you!E77+CoopStroom!E77+Cozywheels!E77+Dégage!E77+Flexigo!E77+Klimaan!E77+Moovee!E77+Poppy!E77+'Mobilize Share'!E77+Stapp.in!E77</f>
        <v>0</v>
      </c>
      <c r="AL193" s="21">
        <f t="shared" si="0"/>
        <v>0.36703982382088457</v>
      </c>
      <c r="AM193" s="21">
        <f t="shared" si="1"/>
        <v>0</v>
      </c>
      <c r="AN193" s="25">
        <f t="shared" si="2"/>
        <v>1</v>
      </c>
      <c r="AO193" s="26">
        <f t="shared" si="3"/>
        <v>1</v>
      </c>
      <c r="AP193" s="27">
        <f>BattMobility!F77+cambio!F77+Claus2you!F77+CoopStroom!F77+Cozywheels!F77+Dégage!F77+Flexigo!F77+Klimaan!F77+Moovee!F77+Poppy!F77+'Mobilize Share'!F77+Stapp.in!F77</f>
        <v>2</v>
      </c>
      <c r="AQ193" s="25">
        <f>BattMobility!G77+cambio!G77+Claus2you!G77+CoopStroom!G77+Cozywheels!G77+Dégage!G77+Flexigo!G77+Klimaan!G77+Moovee!G77+Poppy!G77+'Mobilize Share'!G77+Stapp.in!G77</f>
        <v>0</v>
      </c>
      <c r="AR193" s="29">
        <f t="shared" si="4"/>
        <v>0.36703982382088457</v>
      </c>
      <c r="AS193" s="29">
        <f t="shared" si="5"/>
        <v>0</v>
      </c>
      <c r="AT193" s="25">
        <f t="shared" si="6"/>
        <v>0</v>
      </c>
      <c r="AU193" s="30">
        <v>10.85</v>
      </c>
      <c r="AV193" s="31">
        <v>8.85</v>
      </c>
    </row>
    <row r="194" spans="1:48" ht="14.25" customHeight="1" x14ac:dyDescent="0.35">
      <c r="A194" s="2" t="s">
        <v>244</v>
      </c>
      <c r="B194" s="13" t="s">
        <v>50</v>
      </c>
      <c r="C194" s="13">
        <v>45064</v>
      </c>
      <c r="D194" s="14">
        <v>6386</v>
      </c>
      <c r="E194" s="14">
        <v>6340</v>
      </c>
      <c r="F194" s="14">
        <v>6323</v>
      </c>
      <c r="G194" s="14">
        <v>6320</v>
      </c>
      <c r="H194" s="15">
        <v>2</v>
      </c>
      <c r="I194" s="13">
        <v>0</v>
      </c>
      <c r="J194" s="16">
        <v>0.31318509238960229</v>
      </c>
      <c r="K194" s="15">
        <v>2</v>
      </c>
      <c r="L194" s="13">
        <v>0</v>
      </c>
      <c r="M194" s="16">
        <v>0.31318509238960229</v>
      </c>
      <c r="N194" s="15">
        <v>2</v>
      </c>
      <c r="O194" s="13">
        <v>2</v>
      </c>
      <c r="P194" s="16">
        <v>0.31545741324921139</v>
      </c>
      <c r="Q194" s="16">
        <v>0.31545741324921139</v>
      </c>
      <c r="R194" s="18">
        <v>0</v>
      </c>
      <c r="S194" s="16">
        <v>2.2723208596091005E-3</v>
      </c>
      <c r="T194" s="18">
        <v>0</v>
      </c>
      <c r="U194" s="16">
        <v>2.2723208596091005E-3</v>
      </c>
      <c r="V194" s="18">
        <v>0</v>
      </c>
      <c r="W194" s="16">
        <v>0</v>
      </c>
      <c r="X194" s="15">
        <v>2</v>
      </c>
      <c r="Y194" s="13">
        <v>2</v>
      </c>
      <c r="Z194" s="16">
        <v>0.31545741324921139</v>
      </c>
      <c r="AA194" s="16">
        <v>0.31545741324921139</v>
      </c>
      <c r="AB194" s="15">
        <v>2</v>
      </c>
      <c r="AC194" s="13">
        <v>2</v>
      </c>
      <c r="AD194" s="16">
        <v>0.31630555116242293</v>
      </c>
      <c r="AE194" s="16">
        <v>0.31630555116242293</v>
      </c>
      <c r="AF194" s="19">
        <v>2</v>
      </c>
      <c r="AG194" s="20">
        <v>2</v>
      </c>
      <c r="AH194" s="16">
        <v>0.31630555116242293</v>
      </c>
      <c r="AI194" s="21">
        <v>0.31630555116242293</v>
      </c>
      <c r="AJ194" s="22">
        <f>BattMobility!D165+cambio!D165+Claus2you!D165+CoopStroom!D165+Cozywheels!D165+Dégage!D165+Flexigo!D165+Klimaan!D165+Moovee!D165+Poppy!D165+'Mobilize Share'!D165+Stapp.in!D165</f>
        <v>2</v>
      </c>
      <c r="AK194" s="23">
        <f>BattMobility!E165+cambio!E165+Claus2you!E165+CoopStroom!E165+Cozywheels!E165+Dégage!E165+Flexigo!E165+Klimaan!E165+Moovee!E165+Poppy!E165+'Mobilize Share'!E165+Stapp.in!E165</f>
        <v>2</v>
      </c>
      <c r="AL194" s="21">
        <f t="shared" si="0"/>
        <v>0.31645569620253167</v>
      </c>
      <c r="AM194" s="21">
        <f t="shared" si="1"/>
        <v>0.31645569620253167</v>
      </c>
      <c r="AN194" s="25">
        <f t="shared" si="2"/>
        <v>0</v>
      </c>
      <c r="AO194" s="26">
        <f t="shared" si="3"/>
        <v>0</v>
      </c>
      <c r="AP194" s="27">
        <f>BattMobility!F165+cambio!F165+Claus2you!F165+CoopStroom!F165+Cozywheels!F165+Dégage!F165+Flexigo!F165+Klimaan!F165+Moovee!F165+Poppy!F165+'Mobilize Share'!F165+Stapp.in!F165</f>
        <v>2</v>
      </c>
      <c r="AQ194" s="25">
        <f>BattMobility!G165+cambio!G165+Claus2you!G165+CoopStroom!G165+Cozywheels!G165+Dégage!G165+Flexigo!G165+Klimaan!G165+Moovee!G165+Poppy!G165+'Mobilize Share'!G165+Stapp.in!G165</f>
        <v>2</v>
      </c>
      <c r="AR194" s="29">
        <f t="shared" si="4"/>
        <v>0.31645569620253167</v>
      </c>
      <c r="AS194" s="29">
        <f t="shared" si="5"/>
        <v>0.31645569620253167</v>
      </c>
      <c r="AT194" s="25">
        <f t="shared" si="6"/>
        <v>0</v>
      </c>
      <c r="AU194" s="30">
        <v>12.646000000000001</v>
      </c>
      <c r="AV194" s="31">
        <v>10.646000000000001</v>
      </c>
    </row>
    <row r="195" spans="1:48" ht="14.25" customHeight="1" x14ac:dyDescent="0.35">
      <c r="A195" s="2" t="s">
        <v>245</v>
      </c>
      <c r="B195" s="13" t="s">
        <v>52</v>
      </c>
      <c r="C195" s="13">
        <v>24028</v>
      </c>
      <c r="D195" s="14">
        <v>6201</v>
      </c>
      <c r="E195" s="14">
        <v>6263</v>
      </c>
      <c r="F195" s="14">
        <v>6261</v>
      </c>
      <c r="G195" s="14">
        <v>6342</v>
      </c>
      <c r="H195" s="15">
        <v>0</v>
      </c>
      <c r="I195" s="13">
        <v>0</v>
      </c>
      <c r="J195" s="16">
        <v>0</v>
      </c>
      <c r="K195" s="15">
        <v>0</v>
      </c>
      <c r="L195" s="13">
        <v>0</v>
      </c>
      <c r="M195" s="16">
        <v>0</v>
      </c>
      <c r="N195" s="15">
        <v>0</v>
      </c>
      <c r="O195" s="13">
        <v>0</v>
      </c>
      <c r="P195" s="16">
        <v>0</v>
      </c>
      <c r="Q195" s="16">
        <v>0</v>
      </c>
      <c r="R195" s="18">
        <v>0</v>
      </c>
      <c r="S195" s="16">
        <v>0</v>
      </c>
      <c r="T195" s="18">
        <v>0</v>
      </c>
      <c r="U195" s="16">
        <v>0</v>
      </c>
      <c r="V195" s="18">
        <v>0</v>
      </c>
      <c r="W195" s="16">
        <v>0</v>
      </c>
      <c r="X195" s="15">
        <v>0</v>
      </c>
      <c r="Y195" s="13">
        <v>0</v>
      </c>
      <c r="Z195" s="16">
        <v>0</v>
      </c>
      <c r="AA195" s="16">
        <v>0</v>
      </c>
      <c r="AB195" s="15">
        <v>0</v>
      </c>
      <c r="AC195" s="13">
        <v>0</v>
      </c>
      <c r="AD195" s="16">
        <v>0</v>
      </c>
      <c r="AE195" s="16">
        <v>0</v>
      </c>
      <c r="AF195" s="19">
        <v>1</v>
      </c>
      <c r="AG195" s="20">
        <v>0</v>
      </c>
      <c r="AH195" s="16">
        <v>0.15971889474524836</v>
      </c>
      <c r="AI195" s="21">
        <v>0</v>
      </c>
      <c r="AJ195" s="22">
        <f>BattMobility!D71+cambio!D71+Claus2you!D71+CoopStroom!D71+Cozywheels!D71+Dégage!D71+Flexigo!D71+Klimaan!D71+Moovee!D71+Poppy!D71+'Mobilize Share'!D71+Stapp.in!D71</f>
        <v>1</v>
      </c>
      <c r="AK195" s="23">
        <f>BattMobility!E71+cambio!E71+Claus2you!E71+CoopStroom!E71+Cozywheels!E71+Dégage!E71+Flexigo!E71+Klimaan!E71+Moovee!E71+Poppy!E71+'Mobilize Share'!E71+Stapp.in!E71</f>
        <v>0</v>
      </c>
      <c r="AL195" s="21">
        <f t="shared" si="0"/>
        <v>0.15767896562598549</v>
      </c>
      <c r="AM195" s="21">
        <f t="shared" si="1"/>
        <v>0</v>
      </c>
      <c r="AN195" s="25">
        <f t="shared" si="2"/>
        <v>1</v>
      </c>
      <c r="AO195" s="26" t="e">
        <f t="shared" si="3"/>
        <v>#DIV/0!</v>
      </c>
      <c r="AP195" s="27">
        <f>BattMobility!F71+cambio!F71+Claus2you!F71+CoopStroom!F71+Cozywheels!F71+Dégage!F71+Flexigo!F71+Klimaan!F71+Moovee!F71+Poppy!F71+'Mobilize Share'!F71+Stapp.in!F71</f>
        <v>2</v>
      </c>
      <c r="AQ195" s="25">
        <f>BattMobility!G71+cambio!G71+Claus2you!G71+CoopStroom!G71+Cozywheels!G71+Dégage!G71+Flexigo!G71+Klimaan!G71+Moovee!G71+Poppy!G71+'Mobilize Share'!G71+Stapp.in!G71</f>
        <v>0</v>
      </c>
      <c r="AR195" s="29">
        <f t="shared" si="4"/>
        <v>0.31535793125197098</v>
      </c>
      <c r="AS195" s="29">
        <f t="shared" si="5"/>
        <v>0</v>
      </c>
      <c r="AT195" s="25">
        <f t="shared" si="6"/>
        <v>1</v>
      </c>
      <c r="AU195" s="30">
        <v>12.522</v>
      </c>
      <c r="AV195" s="31">
        <v>11.522</v>
      </c>
    </row>
    <row r="196" spans="1:48" ht="14.25" customHeight="1" x14ac:dyDescent="0.35">
      <c r="A196" s="2" t="s">
        <v>246</v>
      </c>
      <c r="B196" s="13" t="s">
        <v>50</v>
      </c>
      <c r="C196" s="13">
        <v>45061</v>
      </c>
      <c r="D196" s="14">
        <v>6517</v>
      </c>
      <c r="E196" s="14">
        <v>6552</v>
      </c>
      <c r="F196" s="14">
        <v>6552</v>
      </c>
      <c r="G196" s="14">
        <v>6545</v>
      </c>
      <c r="H196" s="15">
        <v>0</v>
      </c>
      <c r="I196" s="13">
        <v>0</v>
      </c>
      <c r="J196" s="16">
        <v>0</v>
      </c>
      <c r="K196" s="15">
        <v>0</v>
      </c>
      <c r="L196" s="13">
        <v>0</v>
      </c>
      <c r="M196" s="16">
        <v>0</v>
      </c>
      <c r="N196" s="15">
        <v>0</v>
      </c>
      <c r="O196" s="13">
        <v>0</v>
      </c>
      <c r="P196" s="16">
        <v>0</v>
      </c>
      <c r="Q196" s="16">
        <v>0</v>
      </c>
      <c r="R196" s="18">
        <v>0</v>
      </c>
      <c r="S196" s="16">
        <v>0</v>
      </c>
      <c r="T196" s="18">
        <v>0</v>
      </c>
      <c r="U196" s="16">
        <v>0</v>
      </c>
      <c r="V196" s="18">
        <v>0</v>
      </c>
      <c r="W196" s="16">
        <v>0</v>
      </c>
      <c r="X196" s="15">
        <v>0</v>
      </c>
      <c r="Y196" s="13">
        <v>0</v>
      </c>
      <c r="Z196" s="16">
        <v>0</v>
      </c>
      <c r="AA196" s="16">
        <v>0</v>
      </c>
      <c r="AB196" s="15">
        <v>0</v>
      </c>
      <c r="AC196" s="13">
        <v>0</v>
      </c>
      <c r="AD196" s="16">
        <v>0</v>
      </c>
      <c r="AE196" s="16">
        <v>0</v>
      </c>
      <c r="AF196" s="19">
        <v>0</v>
      </c>
      <c r="AG196" s="20">
        <v>0</v>
      </c>
      <c r="AH196" s="16">
        <v>0</v>
      </c>
      <c r="AI196" s="21">
        <v>0</v>
      </c>
      <c r="AJ196" s="22">
        <f>BattMobility!D269+cambio!D269+Claus2you!D269+CoopStroom!D269+Cozywheels!D269+Dégage!D269+Flexigo!D269+Klimaan!D269+Moovee!D269+Poppy!D269+'Mobilize Share'!D269+Stapp.in!D269</f>
        <v>0</v>
      </c>
      <c r="AK196" s="23">
        <f>BattMobility!E269+cambio!E269+Claus2you!E269+CoopStroom!E269+Cozywheels!E269+Dégage!E269+Flexigo!E269+Klimaan!E269+Moovee!E269+Poppy!E269+'Mobilize Share'!E269+Stapp.in!E269</f>
        <v>0</v>
      </c>
      <c r="AL196" s="21">
        <f t="shared" si="0"/>
        <v>0</v>
      </c>
      <c r="AM196" s="21">
        <f t="shared" si="1"/>
        <v>0</v>
      </c>
      <c r="AN196" s="25">
        <f t="shared" si="2"/>
        <v>0</v>
      </c>
      <c r="AO196" s="26" t="e">
        <f t="shared" si="3"/>
        <v>#DIV/0!</v>
      </c>
      <c r="AP196" s="27">
        <f>BattMobility!F269+cambio!F269+Claus2you!F269+CoopStroom!F269+Cozywheels!F269+Dégage!F269+Flexigo!F269+Klimaan!F269+Moovee!F269+Poppy!F269+'Mobilize Share'!F269+Stapp.in!F269</f>
        <v>2</v>
      </c>
      <c r="AQ196" s="25">
        <f>BattMobility!G269+cambio!G269+Claus2you!G269+CoopStroom!G269+Cozywheels!G269+Dégage!G269+Flexigo!G269+Klimaan!G269+Moovee!G269+Poppy!G269+'Mobilize Share'!G269+Stapp.in!G269</f>
        <v>2</v>
      </c>
      <c r="AR196" s="29">
        <f t="shared" si="4"/>
        <v>0.30557677616501144</v>
      </c>
      <c r="AS196" s="29">
        <f t="shared" si="5"/>
        <v>0.30557677616501144</v>
      </c>
      <c r="AT196" s="25">
        <f t="shared" si="6"/>
        <v>2</v>
      </c>
      <c r="AU196" s="30">
        <v>13.103999999999999</v>
      </c>
      <c r="AV196" s="31">
        <v>13.103999999999999</v>
      </c>
    </row>
    <row r="197" spans="1:48" ht="14.25" customHeight="1" x14ac:dyDescent="0.35">
      <c r="A197" s="2" t="s">
        <v>247</v>
      </c>
      <c r="B197" s="13" t="s">
        <v>50</v>
      </c>
      <c r="C197" s="13">
        <v>43007</v>
      </c>
      <c r="D197" s="14">
        <v>6539</v>
      </c>
      <c r="E197" s="14">
        <v>6587</v>
      </c>
      <c r="F197" s="14">
        <v>6660</v>
      </c>
      <c r="G197" s="14">
        <v>6638</v>
      </c>
      <c r="H197" s="15">
        <v>1</v>
      </c>
      <c r="I197" s="13">
        <v>0</v>
      </c>
      <c r="J197" s="16">
        <v>0.1529285823520416</v>
      </c>
      <c r="K197" s="15">
        <v>0</v>
      </c>
      <c r="L197" s="13">
        <v>0</v>
      </c>
      <c r="M197" s="16">
        <v>0</v>
      </c>
      <c r="N197" s="15">
        <v>0</v>
      </c>
      <c r="O197" s="13">
        <v>0</v>
      </c>
      <c r="P197" s="16">
        <v>0</v>
      </c>
      <c r="Q197" s="16">
        <v>0</v>
      </c>
      <c r="R197" s="18">
        <v>-1</v>
      </c>
      <c r="S197" s="16">
        <v>-0.1529285823520416</v>
      </c>
      <c r="T197" s="18">
        <v>0</v>
      </c>
      <c r="U197" s="16">
        <v>0</v>
      </c>
      <c r="V197" s="18">
        <v>0</v>
      </c>
      <c r="W197" s="16">
        <v>0</v>
      </c>
      <c r="X197" s="15">
        <v>1</v>
      </c>
      <c r="Y197" s="13">
        <v>0</v>
      </c>
      <c r="Z197" s="16">
        <v>0.1518141794443601</v>
      </c>
      <c r="AA197" s="16">
        <v>0</v>
      </c>
      <c r="AB197" s="15">
        <v>1</v>
      </c>
      <c r="AC197" s="13">
        <v>0</v>
      </c>
      <c r="AD197" s="16">
        <v>0.15015015015015015</v>
      </c>
      <c r="AE197" s="16">
        <v>0</v>
      </c>
      <c r="AF197" s="19">
        <v>2</v>
      </c>
      <c r="AG197" s="20">
        <v>0</v>
      </c>
      <c r="AH197" s="16">
        <v>0.3003003003003003</v>
      </c>
      <c r="AI197" s="21">
        <v>0</v>
      </c>
      <c r="AJ197" s="22">
        <f>BattMobility!D121+cambio!D121+Claus2you!D121+CoopStroom!D121+Cozywheels!D121+Dégage!D121+Flexigo!D121+Klimaan!D121+Moovee!D121+Poppy!D121+'Mobilize Share'!D121+Stapp.in!D121</f>
        <v>2</v>
      </c>
      <c r="AK197" s="23">
        <f>BattMobility!E121+cambio!E121+Claus2you!E121+CoopStroom!E121+Cozywheels!E121+Dégage!E121+Flexigo!E121+Klimaan!E121+Moovee!E121+Poppy!E121+'Mobilize Share'!E121+Stapp.in!E121</f>
        <v>0</v>
      </c>
      <c r="AL197" s="21">
        <f t="shared" si="0"/>
        <v>0.30129557095510695</v>
      </c>
      <c r="AM197" s="21">
        <f t="shared" si="1"/>
        <v>0</v>
      </c>
      <c r="AN197" s="25">
        <f t="shared" si="2"/>
        <v>1</v>
      </c>
      <c r="AO197" s="26">
        <f t="shared" si="3"/>
        <v>1</v>
      </c>
      <c r="AP197" s="27">
        <f>BattMobility!F121+cambio!F121+Claus2you!F121+CoopStroom!F121+Cozywheels!F121+Dégage!F121+Flexigo!F121+Klimaan!F121+Moovee!F121+Poppy!F121+'Mobilize Share'!F121+Stapp.in!F121</f>
        <v>2</v>
      </c>
      <c r="AQ197" s="25">
        <f>BattMobility!G121+cambio!G121+Claus2you!G121+CoopStroom!G121+Cozywheels!G121+Dégage!G121+Flexigo!G121+Klimaan!G121+Moovee!G121+Poppy!G121+'Mobilize Share'!G121+Stapp.in!G121</f>
        <v>0</v>
      </c>
      <c r="AR197" s="29">
        <f t="shared" si="4"/>
        <v>0.30129557095510695</v>
      </c>
      <c r="AS197" s="29">
        <f t="shared" si="5"/>
        <v>0</v>
      </c>
      <c r="AT197" s="25">
        <f t="shared" si="6"/>
        <v>0</v>
      </c>
      <c r="AU197" s="30">
        <v>13.32</v>
      </c>
      <c r="AV197" s="31">
        <v>11.32</v>
      </c>
    </row>
    <row r="198" spans="1:48" ht="14.25" customHeight="1" x14ac:dyDescent="0.35">
      <c r="A198" s="2" t="s">
        <v>248</v>
      </c>
      <c r="B198" s="13" t="s">
        <v>50</v>
      </c>
      <c r="C198" s="13">
        <v>45063</v>
      </c>
      <c r="D198" s="14">
        <v>6689</v>
      </c>
      <c r="E198" s="14">
        <v>6805</v>
      </c>
      <c r="F198" s="14">
        <v>6874</v>
      </c>
      <c r="G198" s="14">
        <v>6858</v>
      </c>
      <c r="H198" s="15">
        <v>3</v>
      </c>
      <c r="I198" s="13">
        <v>0</v>
      </c>
      <c r="J198" s="16">
        <v>0.44849753326356706</v>
      </c>
      <c r="K198" s="15">
        <v>3</v>
      </c>
      <c r="L198" s="13">
        <v>0</v>
      </c>
      <c r="M198" s="16">
        <v>0.44849753326356706</v>
      </c>
      <c r="N198" s="15">
        <v>3</v>
      </c>
      <c r="O198" s="13">
        <v>3</v>
      </c>
      <c r="P198" s="16">
        <v>0.44085231447465101</v>
      </c>
      <c r="Q198" s="16">
        <v>0.44085231447465101</v>
      </c>
      <c r="R198" s="18">
        <v>0</v>
      </c>
      <c r="S198" s="16">
        <v>-7.6452187889160528E-3</v>
      </c>
      <c r="T198" s="18">
        <v>0</v>
      </c>
      <c r="U198" s="16">
        <v>-7.6452187889160528E-3</v>
      </c>
      <c r="V198" s="18">
        <v>0</v>
      </c>
      <c r="W198" s="16">
        <v>0</v>
      </c>
      <c r="X198" s="15">
        <v>3</v>
      </c>
      <c r="Y198" s="13">
        <v>3</v>
      </c>
      <c r="Z198" s="16">
        <v>0.44085231447465101</v>
      </c>
      <c r="AA198" s="16">
        <v>0.44085231447465101</v>
      </c>
      <c r="AB198" s="15">
        <v>2</v>
      </c>
      <c r="AC198" s="13">
        <v>2</v>
      </c>
      <c r="AD198" s="16">
        <v>0.29095141111434392</v>
      </c>
      <c r="AE198" s="16">
        <v>0.29095141111434392</v>
      </c>
      <c r="AF198" s="19">
        <v>2</v>
      </c>
      <c r="AG198" s="20">
        <v>2</v>
      </c>
      <c r="AH198" s="16">
        <v>0.29095141111434392</v>
      </c>
      <c r="AI198" s="21">
        <v>0.29095141111434392</v>
      </c>
      <c r="AJ198" s="22">
        <f>BattMobility!D152+cambio!D152+Claus2you!D152+CoopStroom!D152+Cozywheels!D152+Dégage!D152+Flexigo!D152+Klimaan!D152+Moovee!D152+Poppy!D152+'Mobilize Share'!D152+Stapp.in!D152</f>
        <v>2</v>
      </c>
      <c r="AK198" s="23">
        <f>BattMobility!E152+cambio!E152+Claus2you!E152+CoopStroom!E152+Cozywheels!E152+Dégage!E152+Flexigo!E152+Klimaan!E152+Moovee!E152+Poppy!E152+'Mobilize Share'!E152+Stapp.in!E152</f>
        <v>2</v>
      </c>
      <c r="AL198" s="21">
        <f t="shared" si="0"/>
        <v>0.29163021289005542</v>
      </c>
      <c r="AM198" s="21">
        <f t="shared" si="1"/>
        <v>0.29163021289005542</v>
      </c>
      <c r="AN198" s="25">
        <f t="shared" si="2"/>
        <v>0</v>
      </c>
      <c r="AO198" s="26">
        <f t="shared" si="3"/>
        <v>0</v>
      </c>
      <c r="AP198" s="27">
        <f>BattMobility!F152+cambio!F152+Claus2you!F152+CoopStroom!F152+Cozywheels!F152+Dégage!F152+Flexigo!F152+Klimaan!F152+Moovee!F152+Poppy!F152+'Mobilize Share'!F152+Stapp.in!F152</f>
        <v>2</v>
      </c>
      <c r="AQ198" s="25">
        <f>BattMobility!G152+cambio!G152+Claus2you!G152+CoopStroom!G152+Cozywheels!G152+Dégage!G152+Flexigo!G152+Klimaan!G152+Moovee!G152+Poppy!G152+'Mobilize Share'!G152+Stapp.in!G152</f>
        <v>2</v>
      </c>
      <c r="AR198" s="29">
        <f t="shared" si="4"/>
        <v>0.29163021289005542</v>
      </c>
      <c r="AS198" s="29">
        <f t="shared" si="5"/>
        <v>0.29163021289005542</v>
      </c>
      <c r="AT198" s="25">
        <f t="shared" si="6"/>
        <v>0</v>
      </c>
      <c r="AU198" s="30">
        <v>13.747999999999999</v>
      </c>
      <c r="AV198" s="31">
        <v>11.747999999999999</v>
      </c>
    </row>
    <row r="199" spans="1:48" ht="14.25" customHeight="1" x14ac:dyDescent="0.35">
      <c r="A199" s="2" t="s">
        <v>249</v>
      </c>
      <c r="B199" s="13" t="s">
        <v>52</v>
      </c>
      <c r="C199" s="13">
        <v>24008</v>
      </c>
      <c r="D199" s="14">
        <v>6459</v>
      </c>
      <c r="E199" s="14">
        <v>6672</v>
      </c>
      <c r="F199" s="14">
        <v>6771</v>
      </c>
      <c r="G199" s="14">
        <v>6922</v>
      </c>
      <c r="H199" s="15">
        <v>0</v>
      </c>
      <c r="I199" s="13">
        <v>0</v>
      </c>
      <c r="J199" s="16">
        <v>0</v>
      </c>
      <c r="K199" s="15">
        <v>0</v>
      </c>
      <c r="L199" s="13">
        <v>0</v>
      </c>
      <c r="M199" s="16">
        <v>0</v>
      </c>
      <c r="N199" s="15">
        <v>0</v>
      </c>
      <c r="O199" s="13">
        <v>0</v>
      </c>
      <c r="P199" s="16">
        <v>0</v>
      </c>
      <c r="Q199" s="16">
        <v>0</v>
      </c>
      <c r="R199" s="18">
        <v>0</v>
      </c>
      <c r="S199" s="16">
        <v>0</v>
      </c>
      <c r="T199" s="18">
        <v>0</v>
      </c>
      <c r="U199" s="16">
        <v>0</v>
      </c>
      <c r="V199" s="18">
        <v>0</v>
      </c>
      <c r="W199" s="16">
        <v>0</v>
      </c>
      <c r="X199" s="15">
        <v>1</v>
      </c>
      <c r="Y199" s="13">
        <v>0</v>
      </c>
      <c r="Z199" s="16">
        <v>0.14988009592326137</v>
      </c>
      <c r="AA199" s="16">
        <v>0</v>
      </c>
      <c r="AB199" s="15">
        <v>0</v>
      </c>
      <c r="AC199" s="13">
        <v>0</v>
      </c>
      <c r="AD199" s="16">
        <v>0</v>
      </c>
      <c r="AE199" s="16">
        <v>0</v>
      </c>
      <c r="AF199" s="19">
        <v>1</v>
      </c>
      <c r="AG199" s="20">
        <v>0</v>
      </c>
      <c r="AH199" s="16">
        <v>0.1476886722788362</v>
      </c>
      <c r="AI199" s="21">
        <v>0</v>
      </c>
      <c r="AJ199" s="22">
        <f>BattMobility!D23+cambio!D23+Claus2you!D23+CoopStroom!D23+Cozywheels!D23+Dégage!D23+Flexigo!D23+Klimaan!D23+Moovee!D23+Poppy!D23+'Mobilize Share'!D23+Stapp.in!D23</f>
        <v>2</v>
      </c>
      <c r="AK199" s="23">
        <f>BattMobility!E23+cambio!E23+Claus2you!E23+CoopStroom!E23+Cozywheels!E23+Dégage!E23+Flexigo!E23+Klimaan!E23+Moovee!E23+Poppy!E23+'Mobilize Share'!E23+Stapp.in!E23</f>
        <v>0</v>
      </c>
      <c r="AL199" s="21">
        <f t="shared" si="0"/>
        <v>0.28893383415197921</v>
      </c>
      <c r="AM199" s="21">
        <f t="shared" si="1"/>
        <v>0</v>
      </c>
      <c r="AN199" s="25">
        <f t="shared" si="2"/>
        <v>2</v>
      </c>
      <c r="AO199" s="26" t="e">
        <f t="shared" si="3"/>
        <v>#DIV/0!</v>
      </c>
      <c r="AP199" s="27">
        <f>BattMobility!F23+cambio!F23+Claus2you!F23+CoopStroom!F23+Cozywheels!F23+Dégage!F23+Flexigo!F23+Klimaan!F23+Moovee!F23+Poppy!F23+'Mobilize Share'!F23+Stapp.in!F23</f>
        <v>2</v>
      </c>
      <c r="AQ199" s="25">
        <f>BattMobility!G23+cambio!G23+Claus2you!G23+CoopStroom!G23+Cozywheels!G23+Dégage!G23+Flexigo!G23+Klimaan!G23+Moovee!G23+Poppy!G23+'Mobilize Share'!G23+Stapp.in!G23</f>
        <v>0</v>
      </c>
      <c r="AR199" s="29">
        <f t="shared" si="4"/>
        <v>0.28893383415197921</v>
      </c>
      <c r="AS199" s="29">
        <f t="shared" si="5"/>
        <v>0</v>
      </c>
      <c r="AT199" s="25">
        <f t="shared" si="6"/>
        <v>1</v>
      </c>
      <c r="AU199" s="30">
        <v>13.542</v>
      </c>
      <c r="AV199" s="31">
        <v>12.542</v>
      </c>
    </row>
    <row r="200" spans="1:48" ht="14.25" customHeight="1" x14ac:dyDescent="0.35">
      <c r="A200" s="2" t="s">
        <v>250</v>
      </c>
      <c r="B200" s="13" t="s">
        <v>50</v>
      </c>
      <c r="C200" s="13">
        <v>43014</v>
      </c>
      <c r="D200" s="14">
        <v>6940</v>
      </c>
      <c r="E200" s="14">
        <v>7041</v>
      </c>
      <c r="F200" s="14">
        <v>7016</v>
      </c>
      <c r="G200" s="14">
        <v>6941</v>
      </c>
      <c r="H200" s="15">
        <v>0</v>
      </c>
      <c r="I200" s="13">
        <v>0</v>
      </c>
      <c r="J200" s="16">
        <v>0</v>
      </c>
      <c r="K200" s="15">
        <v>0</v>
      </c>
      <c r="L200" s="13">
        <v>0</v>
      </c>
      <c r="M200" s="16">
        <v>0</v>
      </c>
      <c r="N200" s="15">
        <v>0</v>
      </c>
      <c r="O200" s="13">
        <v>0</v>
      </c>
      <c r="P200" s="16">
        <v>0</v>
      </c>
      <c r="Q200" s="16">
        <v>0</v>
      </c>
      <c r="R200" s="18">
        <v>0</v>
      </c>
      <c r="S200" s="16">
        <v>0</v>
      </c>
      <c r="T200" s="18">
        <v>0</v>
      </c>
      <c r="U200" s="16">
        <v>0</v>
      </c>
      <c r="V200" s="18">
        <v>0</v>
      </c>
      <c r="W200" s="16">
        <v>0</v>
      </c>
      <c r="X200" s="15">
        <v>0</v>
      </c>
      <c r="Y200" s="13">
        <v>0</v>
      </c>
      <c r="Z200" s="16">
        <v>0</v>
      </c>
      <c r="AA200" s="16">
        <v>0</v>
      </c>
      <c r="AB200" s="15">
        <v>0</v>
      </c>
      <c r="AC200" s="13">
        <v>0</v>
      </c>
      <c r="AD200" s="16">
        <v>0</v>
      </c>
      <c r="AE200" s="16">
        <v>0</v>
      </c>
      <c r="AF200" s="19">
        <v>0</v>
      </c>
      <c r="AG200" s="20">
        <v>0</v>
      </c>
      <c r="AH200" s="16">
        <v>0</v>
      </c>
      <c r="AI200" s="21">
        <v>0</v>
      </c>
      <c r="AJ200" s="22">
        <f>BattMobility!D226+cambio!D226+Claus2you!D226+CoopStroom!D226+Cozywheels!D226+Dégage!D226+Flexigo!D226+Klimaan!D226+Moovee!D226+Poppy!D226+'Mobilize Share'!D226+Stapp.in!D226</f>
        <v>2</v>
      </c>
      <c r="AK200" s="23">
        <f>BattMobility!E226+cambio!E226+Claus2you!E226+CoopStroom!E226+Cozywheels!E226+Dégage!E226+Flexigo!E226+Klimaan!E226+Moovee!E226+Poppy!E226+'Mobilize Share'!E226+Stapp.in!E226</f>
        <v>1</v>
      </c>
      <c r="AL200" s="21">
        <f t="shared" si="0"/>
        <v>0.28814291888776838</v>
      </c>
      <c r="AM200" s="21">
        <f t="shared" si="1"/>
        <v>0.14407145944388419</v>
      </c>
      <c r="AN200" s="25">
        <f t="shared" si="2"/>
        <v>2</v>
      </c>
      <c r="AO200" s="26" t="e">
        <f t="shared" si="3"/>
        <v>#DIV/0!</v>
      </c>
      <c r="AP200" s="27">
        <f>BattMobility!F226+cambio!F226+Claus2you!F226+CoopStroom!F226+Cozywheels!F226+Dégage!F226+Flexigo!F226+Klimaan!F226+Moovee!F226+Poppy!F226+'Mobilize Share'!F226+Stapp.in!F226</f>
        <v>2</v>
      </c>
      <c r="AQ200" s="25">
        <f>BattMobility!G226+cambio!G226+Claus2you!G226+CoopStroom!G226+Cozywheels!G226+Dégage!G226+Flexigo!G226+Klimaan!G226+Moovee!G226+Poppy!G226+'Mobilize Share'!G226+Stapp.in!G226</f>
        <v>1</v>
      </c>
      <c r="AR200" s="29">
        <f t="shared" si="4"/>
        <v>0.28814291888776838</v>
      </c>
      <c r="AS200" s="29">
        <f t="shared" si="5"/>
        <v>0.14407145944388419</v>
      </c>
      <c r="AT200" s="25">
        <f t="shared" si="6"/>
        <v>2</v>
      </c>
      <c r="AU200" s="30">
        <v>14.032</v>
      </c>
      <c r="AV200" s="31">
        <v>14.032</v>
      </c>
    </row>
    <row r="201" spans="1:48" ht="14.25" customHeight="1" x14ac:dyDescent="0.35">
      <c r="A201" s="2" t="s">
        <v>251</v>
      </c>
      <c r="B201" s="13" t="s">
        <v>55</v>
      </c>
      <c r="C201" s="13">
        <v>37011</v>
      </c>
      <c r="D201" s="14">
        <v>6793</v>
      </c>
      <c r="E201" s="14">
        <v>6834</v>
      </c>
      <c r="F201" s="14">
        <v>6946</v>
      </c>
      <c r="G201" s="14">
        <v>6971</v>
      </c>
      <c r="H201" s="15">
        <v>0</v>
      </c>
      <c r="I201" s="13">
        <v>0</v>
      </c>
      <c r="J201" s="16">
        <v>0</v>
      </c>
      <c r="K201" s="15">
        <v>0</v>
      </c>
      <c r="L201" s="13">
        <v>0</v>
      </c>
      <c r="M201" s="16">
        <v>0</v>
      </c>
      <c r="N201" s="15">
        <v>0</v>
      </c>
      <c r="O201" s="13">
        <v>0</v>
      </c>
      <c r="P201" s="16">
        <v>0</v>
      </c>
      <c r="Q201" s="16">
        <v>0</v>
      </c>
      <c r="R201" s="18">
        <v>0</v>
      </c>
      <c r="S201" s="16">
        <v>0</v>
      </c>
      <c r="T201" s="18">
        <v>0</v>
      </c>
      <c r="U201" s="16">
        <v>0</v>
      </c>
      <c r="V201" s="18">
        <v>0</v>
      </c>
      <c r="W201" s="16">
        <v>0</v>
      </c>
      <c r="X201" s="15">
        <v>0</v>
      </c>
      <c r="Y201" s="13">
        <v>0</v>
      </c>
      <c r="Z201" s="16">
        <v>0</v>
      </c>
      <c r="AA201" s="16">
        <v>0</v>
      </c>
      <c r="AB201" s="15">
        <v>1</v>
      </c>
      <c r="AC201" s="13">
        <v>0</v>
      </c>
      <c r="AD201" s="16">
        <v>0.14396775122372588</v>
      </c>
      <c r="AE201" s="16">
        <v>0</v>
      </c>
      <c r="AF201" s="19">
        <v>2</v>
      </c>
      <c r="AG201" s="20">
        <v>1</v>
      </c>
      <c r="AH201" s="16">
        <v>0.28793550244745175</v>
      </c>
      <c r="AI201" s="21">
        <v>0.14396775122372588</v>
      </c>
      <c r="AJ201" s="22">
        <f>BattMobility!D205+cambio!D205+Claus2you!D205+CoopStroom!D205+Cozywheels!D205+Dégage!D205+Flexigo!D205+Klimaan!D205+Moovee!D205+Poppy!D205+'Mobilize Share'!D205+Stapp.in!D205</f>
        <v>2</v>
      </c>
      <c r="AK201" s="23">
        <f>BattMobility!E205+cambio!E205+Claus2you!E205+CoopStroom!E205+Cozywheels!E205+Dégage!E205+Flexigo!E205+Klimaan!E205+Moovee!E205+Poppy!E205+'Mobilize Share'!E205+Stapp.in!E205</f>
        <v>1</v>
      </c>
      <c r="AL201" s="21">
        <f t="shared" si="0"/>
        <v>0.2869028833739779</v>
      </c>
      <c r="AM201" s="21">
        <f t="shared" si="1"/>
        <v>0.14345144168698895</v>
      </c>
      <c r="AN201" s="25">
        <f t="shared" si="2"/>
        <v>1</v>
      </c>
      <c r="AO201" s="26">
        <f t="shared" si="3"/>
        <v>1</v>
      </c>
      <c r="AP201" s="27">
        <f>BattMobility!F205+cambio!F205+Claus2you!F205+CoopStroom!F205+Cozywheels!F205+Dégage!F205+Flexigo!F205+Klimaan!F205+Moovee!F205+Poppy!F205+'Mobilize Share'!F205+Stapp.in!F205</f>
        <v>2</v>
      </c>
      <c r="AQ201" s="25">
        <f>BattMobility!G205+cambio!G205+Claus2you!G205+CoopStroom!G205+Cozywheels!G205+Dégage!G205+Flexigo!G205+Klimaan!G205+Moovee!G205+Poppy!G205+'Mobilize Share'!G205+Stapp.in!G205</f>
        <v>1</v>
      </c>
      <c r="AR201" s="29">
        <f t="shared" si="4"/>
        <v>0.2869028833739779</v>
      </c>
      <c r="AS201" s="29">
        <f t="shared" si="5"/>
        <v>0.14345144168698895</v>
      </c>
      <c r="AT201" s="25">
        <f t="shared" si="6"/>
        <v>0</v>
      </c>
      <c r="AU201" s="30">
        <v>13.891999999999999</v>
      </c>
      <c r="AV201" s="31">
        <v>11.891999999999999</v>
      </c>
    </row>
    <row r="202" spans="1:48" ht="14.25" customHeight="1" x14ac:dyDescent="0.35">
      <c r="A202" s="2" t="s">
        <v>252</v>
      </c>
      <c r="B202" s="13" t="s">
        <v>52</v>
      </c>
      <c r="C202" s="13">
        <v>24054</v>
      </c>
      <c r="D202" s="14">
        <v>7916</v>
      </c>
      <c r="E202" s="14">
        <v>7970</v>
      </c>
      <c r="F202" s="14">
        <v>7949</v>
      </c>
      <c r="G202" s="14">
        <v>7984</v>
      </c>
      <c r="H202" s="15">
        <v>0</v>
      </c>
      <c r="I202" s="13">
        <v>0</v>
      </c>
      <c r="J202" s="16">
        <v>0</v>
      </c>
      <c r="K202" s="15">
        <v>0</v>
      </c>
      <c r="L202" s="13">
        <v>0</v>
      </c>
      <c r="M202" s="16">
        <v>0</v>
      </c>
      <c r="N202" s="15">
        <v>0</v>
      </c>
      <c r="O202" s="13">
        <v>0</v>
      </c>
      <c r="P202" s="16">
        <v>0</v>
      </c>
      <c r="Q202" s="16">
        <v>0</v>
      </c>
      <c r="R202" s="18">
        <v>0</v>
      </c>
      <c r="S202" s="16">
        <v>0</v>
      </c>
      <c r="T202" s="18">
        <v>0</v>
      </c>
      <c r="U202" s="16">
        <v>0</v>
      </c>
      <c r="V202" s="18">
        <v>0</v>
      </c>
      <c r="W202" s="16">
        <v>0</v>
      </c>
      <c r="X202" s="15">
        <v>0</v>
      </c>
      <c r="Y202" s="13">
        <v>0</v>
      </c>
      <c r="Z202" s="16">
        <v>0</v>
      </c>
      <c r="AA202" s="16">
        <v>0</v>
      </c>
      <c r="AB202" s="15">
        <v>0</v>
      </c>
      <c r="AC202" s="13">
        <v>0</v>
      </c>
      <c r="AD202" s="16">
        <v>0</v>
      </c>
      <c r="AE202" s="16">
        <v>0</v>
      </c>
      <c r="AF202" s="19">
        <v>2</v>
      </c>
      <c r="AG202" s="20">
        <v>0</v>
      </c>
      <c r="AH202" s="16">
        <v>0.25160397534281043</v>
      </c>
      <c r="AI202" s="21">
        <v>0</v>
      </c>
      <c r="AJ202" s="22">
        <f>BattMobility!D131+cambio!D131+Claus2you!D131+CoopStroom!D131+Cozywheels!D131+Dégage!D131+Flexigo!D131+Klimaan!D131+Moovee!D131+Poppy!D131+'Mobilize Share'!D131+Stapp.in!D131</f>
        <v>2</v>
      </c>
      <c r="AK202" s="23">
        <f>BattMobility!E131+cambio!E131+Claus2you!E131+CoopStroom!E131+Cozywheels!E131+Dégage!E131+Flexigo!E131+Klimaan!E131+Moovee!E131+Poppy!E131+'Mobilize Share'!E131+Stapp.in!E131</f>
        <v>0</v>
      </c>
      <c r="AL202" s="21">
        <f t="shared" si="0"/>
        <v>0.25050100200400799</v>
      </c>
      <c r="AM202" s="21">
        <f t="shared" si="1"/>
        <v>0</v>
      </c>
      <c r="AN202" s="25">
        <f t="shared" si="2"/>
        <v>2</v>
      </c>
      <c r="AO202" s="26" t="e">
        <f t="shared" si="3"/>
        <v>#DIV/0!</v>
      </c>
      <c r="AP202" s="27">
        <f>BattMobility!F131+cambio!F131+Claus2you!F131+CoopStroom!F131+Cozywheels!F131+Dégage!F131+Flexigo!F131+Klimaan!F131+Moovee!F131+Poppy!F131+'Mobilize Share'!F131+Stapp.in!F131</f>
        <v>2</v>
      </c>
      <c r="AQ202" s="25">
        <f>BattMobility!G131+cambio!G131+Claus2you!G131+CoopStroom!G131+Cozywheels!G131+Dégage!G131+Flexigo!G131+Klimaan!G131+Moovee!G131+Poppy!G131+'Mobilize Share'!G131+Stapp.in!G131</f>
        <v>0</v>
      </c>
      <c r="AR202" s="29">
        <f t="shared" si="4"/>
        <v>0.25050100200400799</v>
      </c>
      <c r="AS202" s="29">
        <f t="shared" si="5"/>
        <v>0</v>
      </c>
      <c r="AT202" s="25">
        <f t="shared" si="6"/>
        <v>0</v>
      </c>
      <c r="AU202" s="30">
        <v>15.898</v>
      </c>
      <c r="AV202" s="31">
        <v>13.898</v>
      </c>
    </row>
    <row r="203" spans="1:48" ht="14.25" customHeight="1" x14ac:dyDescent="0.35">
      <c r="A203" s="2" t="s">
        <v>253</v>
      </c>
      <c r="B203" s="13" t="s">
        <v>55</v>
      </c>
      <c r="C203" s="13">
        <v>33040</v>
      </c>
      <c r="D203" s="14">
        <v>7926</v>
      </c>
      <c r="E203" s="14">
        <v>8015</v>
      </c>
      <c r="F203" s="14">
        <v>8100</v>
      </c>
      <c r="G203" s="14">
        <v>8202</v>
      </c>
      <c r="H203" s="15">
        <v>0</v>
      </c>
      <c r="I203" s="13">
        <v>0</v>
      </c>
      <c r="J203" s="16">
        <v>0</v>
      </c>
      <c r="K203" s="15">
        <v>0</v>
      </c>
      <c r="L203" s="13">
        <v>0</v>
      </c>
      <c r="M203" s="16">
        <v>0</v>
      </c>
      <c r="N203" s="15">
        <v>0</v>
      </c>
      <c r="O203" s="13">
        <v>0</v>
      </c>
      <c r="P203" s="16">
        <v>0</v>
      </c>
      <c r="Q203" s="16">
        <v>0</v>
      </c>
      <c r="R203" s="18">
        <v>0</v>
      </c>
      <c r="S203" s="16">
        <v>0</v>
      </c>
      <c r="T203" s="18">
        <v>0</v>
      </c>
      <c r="U203" s="16">
        <v>0</v>
      </c>
      <c r="V203" s="18">
        <v>0</v>
      </c>
      <c r="W203" s="16">
        <v>0</v>
      </c>
      <c r="X203" s="15">
        <v>0</v>
      </c>
      <c r="Y203" s="13">
        <v>0</v>
      </c>
      <c r="Z203" s="16">
        <v>0</v>
      </c>
      <c r="AA203" s="16">
        <v>0</v>
      </c>
      <c r="AB203" s="15">
        <v>1</v>
      </c>
      <c r="AC203" s="13">
        <v>0</v>
      </c>
      <c r="AD203" s="16">
        <v>0.1234567901234568</v>
      </c>
      <c r="AE203" s="16">
        <v>0</v>
      </c>
      <c r="AF203" s="19">
        <v>2</v>
      </c>
      <c r="AG203" s="20">
        <v>1</v>
      </c>
      <c r="AH203" s="16">
        <v>0.24691358024691359</v>
      </c>
      <c r="AI203" s="21">
        <v>0.1234567901234568</v>
      </c>
      <c r="AJ203" s="22">
        <f>BattMobility!D141+cambio!D141+Claus2you!D141+CoopStroom!D141+Cozywheels!D141+Dégage!D141+Flexigo!D141+Klimaan!D141+Moovee!D141+Poppy!D141+'Mobilize Share'!D141+Stapp.in!D141</f>
        <v>2</v>
      </c>
      <c r="AK203" s="23">
        <f>BattMobility!E141+cambio!E141+Claus2you!E141+CoopStroom!E141+Cozywheels!E141+Dégage!E141+Flexigo!E141+Klimaan!E141+Moovee!E141+Poppy!E141+'Mobilize Share'!E141+Stapp.in!E141</f>
        <v>1</v>
      </c>
      <c r="AL203" s="21">
        <f t="shared" si="0"/>
        <v>0.243842965130456</v>
      </c>
      <c r="AM203" s="21">
        <f t="shared" si="1"/>
        <v>0.121921482565228</v>
      </c>
      <c r="AN203" s="25">
        <f t="shared" si="2"/>
        <v>1</v>
      </c>
      <c r="AO203" s="26">
        <f t="shared" si="3"/>
        <v>1</v>
      </c>
      <c r="AP203" s="27">
        <f>BattMobility!F141+cambio!F141+Claus2you!F141+CoopStroom!F141+Cozywheels!F141+Dégage!F141+Flexigo!F141+Klimaan!F141+Moovee!F141+Poppy!F141+'Mobilize Share'!F141+Stapp.in!F141</f>
        <v>2</v>
      </c>
      <c r="AQ203" s="25">
        <f>BattMobility!G141+cambio!G141+Claus2you!G141+CoopStroom!G141+Cozywheels!G141+Dégage!G141+Flexigo!G141+Klimaan!G141+Moovee!G141+Poppy!G141+'Mobilize Share'!G141+Stapp.in!G141</f>
        <v>1</v>
      </c>
      <c r="AR203" s="29">
        <f t="shared" si="4"/>
        <v>0.243842965130456</v>
      </c>
      <c r="AS203" s="29">
        <f t="shared" si="5"/>
        <v>0.121921482565228</v>
      </c>
      <c r="AT203" s="25">
        <f t="shared" si="6"/>
        <v>0</v>
      </c>
      <c r="AU203" s="30">
        <v>16.2</v>
      </c>
      <c r="AV203" s="31">
        <v>14.2</v>
      </c>
    </row>
    <row r="204" spans="1:48" ht="14.25" customHeight="1" x14ac:dyDescent="0.35">
      <c r="A204" s="2" t="s">
        <v>254</v>
      </c>
      <c r="B204" s="13" t="s">
        <v>48</v>
      </c>
      <c r="C204" s="13">
        <v>11025</v>
      </c>
      <c r="D204" s="14">
        <v>8553</v>
      </c>
      <c r="E204" s="14">
        <v>8548</v>
      </c>
      <c r="F204" s="14">
        <v>8505</v>
      </c>
      <c r="G204" s="14">
        <v>8499</v>
      </c>
      <c r="H204" s="15">
        <v>1</v>
      </c>
      <c r="I204" s="13">
        <v>1</v>
      </c>
      <c r="J204" s="16">
        <v>0.11691804045364199</v>
      </c>
      <c r="K204" s="15">
        <v>1</v>
      </c>
      <c r="L204" s="13">
        <v>1</v>
      </c>
      <c r="M204" s="16">
        <v>0.11691804045364199</v>
      </c>
      <c r="N204" s="15">
        <v>1</v>
      </c>
      <c r="O204" s="13">
        <v>1</v>
      </c>
      <c r="P204" s="16">
        <v>0.11698642957416941</v>
      </c>
      <c r="Q204" s="16">
        <v>0.11698642957416941</v>
      </c>
      <c r="R204" s="18">
        <v>0</v>
      </c>
      <c r="S204" s="16">
        <v>6.8389120527423408E-5</v>
      </c>
      <c r="T204" s="18">
        <v>0</v>
      </c>
      <c r="U204" s="16">
        <v>6.8389120527423408E-5</v>
      </c>
      <c r="V204" s="18">
        <v>0</v>
      </c>
      <c r="W204" s="16">
        <v>0</v>
      </c>
      <c r="X204" s="15">
        <v>0</v>
      </c>
      <c r="Y204" s="13">
        <v>0</v>
      </c>
      <c r="Z204" s="16">
        <v>0</v>
      </c>
      <c r="AA204" s="16">
        <v>0</v>
      </c>
      <c r="AB204" s="15">
        <v>2</v>
      </c>
      <c r="AC204" s="13">
        <v>1</v>
      </c>
      <c r="AD204" s="16">
        <v>0.23515579071134626</v>
      </c>
      <c r="AE204" s="16">
        <v>0.11757789535567313</v>
      </c>
      <c r="AF204" s="19">
        <v>2</v>
      </c>
      <c r="AG204" s="20">
        <v>1</v>
      </c>
      <c r="AH204" s="16">
        <v>0.23515579071134626</v>
      </c>
      <c r="AI204" s="21">
        <v>0.11757789535567313</v>
      </c>
      <c r="AJ204" s="22">
        <f>BattMobility!D156+cambio!D156+Claus2you!D156+CoopStroom!D156+Cozywheels!D156+Dégage!D156+Flexigo!D156+Klimaan!D156+Moovee!D156+Poppy!D156+'Mobilize Share'!D156+Stapp.in!D156</f>
        <v>2</v>
      </c>
      <c r="AK204" s="23">
        <f>BattMobility!E156+cambio!E156+Claus2you!E156+CoopStroom!E156+Cozywheels!E156+Dégage!E156+Flexigo!E156+Klimaan!E156+Moovee!E156+Poppy!E156+'Mobilize Share'!E156+Stapp.in!E156</f>
        <v>1</v>
      </c>
      <c r="AL204" s="21">
        <f t="shared" si="0"/>
        <v>0.23532180256500765</v>
      </c>
      <c r="AM204" s="21">
        <f t="shared" si="1"/>
        <v>0.11766090128250382</v>
      </c>
      <c r="AN204" s="25">
        <f t="shared" si="2"/>
        <v>0</v>
      </c>
      <c r="AO204" s="26">
        <f t="shared" si="3"/>
        <v>0</v>
      </c>
      <c r="AP204" s="27">
        <f>BattMobility!F156+cambio!F156+Claus2you!F156+CoopStroom!F156+Cozywheels!F156+Dégage!F156+Flexigo!F156+Klimaan!F156+Moovee!F156+Poppy!F156+'Mobilize Share'!F156+Stapp.in!F156</f>
        <v>2</v>
      </c>
      <c r="AQ204" s="25">
        <f>BattMobility!G156+cambio!G156+Claus2you!G156+CoopStroom!G156+Cozywheels!G156+Dégage!G156+Flexigo!G156+Klimaan!G156+Moovee!G156+Poppy!G156+'Mobilize Share'!G156+Stapp.in!G156</f>
        <v>1</v>
      </c>
      <c r="AR204" s="29">
        <f t="shared" si="4"/>
        <v>0.23532180256500765</v>
      </c>
      <c r="AS204" s="29">
        <f t="shared" si="5"/>
        <v>0.11766090128250382</v>
      </c>
      <c r="AT204" s="25">
        <f t="shared" si="6"/>
        <v>0</v>
      </c>
      <c r="AU204" s="30">
        <v>17.010000000000002</v>
      </c>
      <c r="AV204" s="31">
        <v>15.010000000000002</v>
      </c>
    </row>
    <row r="205" spans="1:48" ht="14.25" customHeight="1" x14ac:dyDescent="0.35">
      <c r="A205" s="2" t="s">
        <v>255</v>
      </c>
      <c r="B205" s="13" t="s">
        <v>52</v>
      </c>
      <c r="C205" s="13">
        <v>24130</v>
      </c>
      <c r="D205" s="14">
        <v>8591</v>
      </c>
      <c r="E205" s="14">
        <v>8668</v>
      </c>
      <c r="F205" s="14">
        <v>8734</v>
      </c>
      <c r="G205" s="14">
        <v>8766</v>
      </c>
      <c r="H205" s="15">
        <v>4</v>
      </c>
      <c r="I205" s="13">
        <v>0</v>
      </c>
      <c r="J205" s="16">
        <v>0.4656035385868933</v>
      </c>
      <c r="K205" s="15">
        <v>4</v>
      </c>
      <c r="L205" s="13">
        <v>0</v>
      </c>
      <c r="M205" s="16">
        <v>0.4656035385868933</v>
      </c>
      <c r="N205" s="15">
        <v>4</v>
      </c>
      <c r="O205" s="13">
        <v>4</v>
      </c>
      <c r="P205" s="16">
        <v>0.46146746654360865</v>
      </c>
      <c r="Q205" s="16">
        <v>0.46146746654360865</v>
      </c>
      <c r="R205" s="18">
        <v>0</v>
      </c>
      <c r="S205" s="16">
        <v>-4.1360720432846443E-3</v>
      </c>
      <c r="T205" s="18">
        <v>0</v>
      </c>
      <c r="U205" s="16">
        <v>-4.1360720432846443E-3</v>
      </c>
      <c r="V205" s="18">
        <v>0</v>
      </c>
      <c r="W205" s="16">
        <v>0</v>
      </c>
      <c r="X205" s="15">
        <v>5</v>
      </c>
      <c r="Y205" s="13">
        <v>5</v>
      </c>
      <c r="Z205" s="16">
        <v>0.57683433317951083</v>
      </c>
      <c r="AA205" s="16">
        <v>0.57683433317951083</v>
      </c>
      <c r="AB205" s="15">
        <v>5</v>
      </c>
      <c r="AC205" s="13">
        <v>5</v>
      </c>
      <c r="AD205" s="16">
        <v>0.57247538355850702</v>
      </c>
      <c r="AE205" s="16">
        <v>0.57247538355850702</v>
      </c>
      <c r="AF205" s="19">
        <v>7</v>
      </c>
      <c r="AG205" s="20">
        <v>7</v>
      </c>
      <c r="AH205" s="16">
        <v>0.80146553698190981</v>
      </c>
      <c r="AI205" s="21">
        <v>0.80146553698190981</v>
      </c>
      <c r="AJ205" s="22">
        <f>BattMobility!D281+cambio!D281+Claus2you!D281+CoopStroom!D281+Cozywheels!D281+Dégage!D281+Flexigo!D281+Klimaan!D281+Moovee!D281+Poppy!D281+'Mobilize Share'!D281+Stapp.in!D281</f>
        <v>4</v>
      </c>
      <c r="AK205" s="23">
        <f>BattMobility!E281+cambio!E281+Claus2you!E281+CoopStroom!E281+Cozywheels!E281+Dégage!E281+Flexigo!E281+Klimaan!E281+Moovee!E281+Poppy!E281+'Mobilize Share'!E281+Stapp.in!E281</f>
        <v>4</v>
      </c>
      <c r="AL205" s="21">
        <f t="shared" si="0"/>
        <v>0.4563084645220169</v>
      </c>
      <c r="AM205" s="21">
        <f t="shared" si="1"/>
        <v>0.4563084645220169</v>
      </c>
      <c r="AN205" s="25">
        <f t="shared" si="2"/>
        <v>-1</v>
      </c>
      <c r="AO205" s="26">
        <f t="shared" si="3"/>
        <v>-0.2</v>
      </c>
      <c r="AP205" s="27">
        <f>BattMobility!F281+cambio!F281+Claus2you!F281+CoopStroom!F281+Cozywheels!F281+Dégage!F281+Flexigo!F281+Klimaan!F281+Moovee!F281+Poppy!F281+'Mobilize Share'!F281+Stapp.in!F281</f>
        <v>2</v>
      </c>
      <c r="AQ205" s="25">
        <f>BattMobility!G281+cambio!G281+Claus2you!G281+CoopStroom!G281+Cozywheels!G281+Dégage!G281+Flexigo!G281+Klimaan!G281+Moovee!G281+Poppy!G281+'Mobilize Share'!G281+Stapp.in!G281</f>
        <v>2</v>
      </c>
      <c r="AR205" s="29">
        <f t="shared" si="4"/>
        <v>0.22815423226100845</v>
      </c>
      <c r="AS205" s="29">
        <f t="shared" si="5"/>
        <v>0.22815423226100845</v>
      </c>
      <c r="AT205" s="25">
        <f t="shared" si="6"/>
        <v>-5</v>
      </c>
      <c r="AU205" s="30">
        <v>17.468</v>
      </c>
      <c r="AV205" s="31">
        <v>10.468</v>
      </c>
    </row>
    <row r="206" spans="1:48" ht="14.25" customHeight="1" x14ac:dyDescent="0.35">
      <c r="A206" s="2" t="s">
        <v>256</v>
      </c>
      <c r="B206" s="13" t="s">
        <v>55</v>
      </c>
      <c r="C206" s="13">
        <v>32010</v>
      </c>
      <c r="D206" s="14">
        <v>8769</v>
      </c>
      <c r="E206" s="14">
        <v>8870</v>
      </c>
      <c r="F206" s="14">
        <v>8827</v>
      </c>
      <c r="G206" s="14">
        <v>8801</v>
      </c>
      <c r="H206" s="15">
        <v>0</v>
      </c>
      <c r="I206" s="13">
        <v>0</v>
      </c>
      <c r="J206" s="16">
        <v>0</v>
      </c>
      <c r="K206" s="15">
        <v>0</v>
      </c>
      <c r="L206" s="13">
        <v>0</v>
      </c>
      <c r="M206" s="16">
        <v>0</v>
      </c>
      <c r="N206" s="15">
        <v>0</v>
      </c>
      <c r="O206" s="13">
        <v>0</v>
      </c>
      <c r="P206" s="16">
        <v>0</v>
      </c>
      <c r="Q206" s="16">
        <v>0</v>
      </c>
      <c r="R206" s="18">
        <v>0</v>
      </c>
      <c r="S206" s="16">
        <v>0</v>
      </c>
      <c r="T206" s="18">
        <v>0</v>
      </c>
      <c r="U206" s="16">
        <v>0</v>
      </c>
      <c r="V206" s="18">
        <v>0</v>
      </c>
      <c r="W206" s="16">
        <v>0</v>
      </c>
      <c r="X206" s="15">
        <v>0</v>
      </c>
      <c r="Y206" s="13">
        <v>0</v>
      </c>
      <c r="Z206" s="16">
        <v>0</v>
      </c>
      <c r="AA206" s="16">
        <v>0</v>
      </c>
      <c r="AB206" s="15">
        <v>1</v>
      </c>
      <c r="AC206" s="13">
        <v>0</v>
      </c>
      <c r="AD206" s="16">
        <v>0.11328877308258752</v>
      </c>
      <c r="AE206" s="16">
        <v>0</v>
      </c>
      <c r="AF206" s="19">
        <v>2</v>
      </c>
      <c r="AG206" s="20">
        <v>1</v>
      </c>
      <c r="AH206" s="16">
        <v>0.22657754616517503</v>
      </c>
      <c r="AI206" s="21">
        <v>0.11328877308258752</v>
      </c>
      <c r="AJ206" s="22">
        <f>BattMobility!D127+cambio!D127+Claus2you!D127+CoopStroom!D127+Cozywheels!D127+Dégage!D127+Flexigo!D127+Klimaan!D127+Moovee!D127+Poppy!D127+'Mobilize Share'!D127+Stapp.in!D127</f>
        <v>2</v>
      </c>
      <c r="AK206" s="23">
        <f>BattMobility!E127+cambio!E127+Claus2you!E127+CoopStroom!E127+Cozywheels!E127+Dégage!E127+Flexigo!E127+Klimaan!E127+Moovee!E127+Poppy!E127+'Mobilize Share'!E127+Stapp.in!E127</f>
        <v>1</v>
      </c>
      <c r="AL206" s="21">
        <f t="shared" si="0"/>
        <v>0.22724690376093626</v>
      </c>
      <c r="AM206" s="21">
        <f t="shared" si="1"/>
        <v>0.11362345188046813</v>
      </c>
      <c r="AN206" s="25">
        <f t="shared" si="2"/>
        <v>1</v>
      </c>
      <c r="AO206" s="26">
        <f t="shared" si="3"/>
        <v>1</v>
      </c>
      <c r="AP206" s="27">
        <f>BattMobility!F127+cambio!F127+Claus2you!F127+CoopStroom!F127+Cozywheels!F127+Dégage!F127+Flexigo!F127+Klimaan!F127+Moovee!F127+Poppy!F127+'Mobilize Share'!F127+Stapp.in!F127</f>
        <v>2</v>
      </c>
      <c r="AQ206" s="25">
        <f>BattMobility!G127+cambio!G127+Claus2you!G127+CoopStroom!G127+Cozywheels!G127+Dégage!G127+Flexigo!G127+Klimaan!G127+Moovee!G127+Poppy!G127+'Mobilize Share'!G127+Stapp.in!G127</f>
        <v>1</v>
      </c>
      <c r="AR206" s="29">
        <f t="shared" si="4"/>
        <v>0.22724690376093626</v>
      </c>
      <c r="AS206" s="29">
        <f t="shared" si="5"/>
        <v>0.11362345188046813</v>
      </c>
      <c r="AT206" s="25">
        <f t="shared" si="6"/>
        <v>0</v>
      </c>
      <c r="AU206" s="30">
        <v>17.654</v>
      </c>
      <c r="AV206" s="31">
        <v>15.654</v>
      </c>
    </row>
    <row r="207" spans="1:48" ht="14.25" customHeight="1" x14ac:dyDescent="0.35">
      <c r="A207" s="2" t="s">
        <v>257</v>
      </c>
      <c r="B207" s="13" t="s">
        <v>52</v>
      </c>
      <c r="C207" s="13">
        <v>23104</v>
      </c>
      <c r="D207" s="14">
        <v>9312</v>
      </c>
      <c r="E207" s="14">
        <v>9431</v>
      </c>
      <c r="F207" s="14">
        <v>9471</v>
      </c>
      <c r="G207" s="14">
        <v>9481</v>
      </c>
      <c r="H207" s="15">
        <v>0</v>
      </c>
      <c r="I207" s="13">
        <v>0</v>
      </c>
      <c r="J207" s="16">
        <v>0</v>
      </c>
      <c r="K207" s="15">
        <v>0</v>
      </c>
      <c r="L207" s="13">
        <v>0</v>
      </c>
      <c r="M207" s="16">
        <v>0</v>
      </c>
      <c r="N207" s="15">
        <v>1</v>
      </c>
      <c r="O207" s="13">
        <v>0</v>
      </c>
      <c r="P207" s="16">
        <v>0.10603329445445871</v>
      </c>
      <c r="Q207" s="16">
        <v>0</v>
      </c>
      <c r="R207" s="18">
        <v>1</v>
      </c>
      <c r="S207" s="16">
        <v>0.10603329445445871</v>
      </c>
      <c r="T207" s="18">
        <v>1</v>
      </c>
      <c r="U207" s="16">
        <v>0.10603329445445871</v>
      </c>
      <c r="V207" s="18">
        <v>1</v>
      </c>
      <c r="W207" s="16">
        <v>0.10603329445445871</v>
      </c>
      <c r="X207" s="15">
        <v>2</v>
      </c>
      <c r="Y207" s="13">
        <v>0</v>
      </c>
      <c r="Z207" s="16">
        <v>0.21206658890891741</v>
      </c>
      <c r="AA207" s="16">
        <v>0</v>
      </c>
      <c r="AB207" s="15">
        <v>2</v>
      </c>
      <c r="AC207" s="13">
        <v>0</v>
      </c>
      <c r="AD207" s="16">
        <v>0.21117094287825994</v>
      </c>
      <c r="AE207" s="16">
        <v>0</v>
      </c>
      <c r="AF207" s="19">
        <v>1</v>
      </c>
      <c r="AG207" s="20">
        <v>0</v>
      </c>
      <c r="AH207" s="16">
        <v>0.10558547143912997</v>
      </c>
      <c r="AI207" s="21">
        <v>0</v>
      </c>
      <c r="AJ207" s="22">
        <f>BattMobility!D146+cambio!D146+Claus2you!D146+CoopStroom!D146+Cozywheels!D146+Dégage!D146+Flexigo!D146+Klimaan!D146+Moovee!D146+Poppy!D146+'Mobilize Share'!D146+Stapp.in!D146</f>
        <v>1</v>
      </c>
      <c r="AK207" s="23">
        <f>BattMobility!E146+cambio!E146+Claus2you!E146+CoopStroom!E146+Cozywheels!E146+Dégage!E146+Flexigo!E146+Klimaan!E146+Moovee!E146+Poppy!E146+'Mobilize Share'!E146+Stapp.in!E146</f>
        <v>0</v>
      </c>
      <c r="AL207" s="21">
        <f t="shared" si="0"/>
        <v>0.10547410610695074</v>
      </c>
      <c r="AM207" s="21">
        <f t="shared" si="1"/>
        <v>0</v>
      </c>
      <c r="AN207" s="25">
        <f t="shared" si="2"/>
        <v>-1</v>
      </c>
      <c r="AO207" s="26">
        <f t="shared" si="3"/>
        <v>-0.5</v>
      </c>
      <c r="AP207" s="27">
        <f>BattMobility!F146+cambio!F146+Claus2you!F146+CoopStroom!F146+Cozywheels!F146+Dégage!F146+Flexigo!F146+Klimaan!F146+Moovee!F146+Poppy!F146+'Mobilize Share'!F146+Stapp.in!F146</f>
        <v>2</v>
      </c>
      <c r="AQ207" s="25">
        <f>BattMobility!G146+cambio!G146+Claus2you!G146+CoopStroom!G146+Cozywheels!G146+Dégage!G146+Flexigo!G146+Klimaan!G146+Moovee!G146+Poppy!G146+'Mobilize Share'!G146+Stapp.in!G146</f>
        <v>0</v>
      </c>
      <c r="AR207" s="29">
        <f t="shared" si="4"/>
        <v>0.21094821221390148</v>
      </c>
      <c r="AS207" s="29">
        <f t="shared" si="5"/>
        <v>0</v>
      </c>
      <c r="AT207" s="25">
        <f t="shared" si="6"/>
        <v>1</v>
      </c>
      <c r="AU207" s="30">
        <v>18.942</v>
      </c>
      <c r="AV207" s="31">
        <v>17.942</v>
      </c>
    </row>
    <row r="208" spans="1:48" ht="14.25" customHeight="1" x14ac:dyDescent="0.35">
      <c r="A208" s="2" t="s">
        <v>258</v>
      </c>
      <c r="B208" s="13" t="s">
        <v>52</v>
      </c>
      <c r="C208" s="13">
        <v>23039</v>
      </c>
      <c r="D208" s="14">
        <v>9610</v>
      </c>
      <c r="E208" s="14">
        <v>9659</v>
      </c>
      <c r="F208" s="14">
        <v>9703</v>
      </c>
      <c r="G208" s="14">
        <v>9806</v>
      </c>
      <c r="H208" s="15">
        <v>0</v>
      </c>
      <c r="I208" s="13">
        <v>0</v>
      </c>
      <c r="J208" s="16">
        <v>0</v>
      </c>
      <c r="K208" s="15">
        <v>0</v>
      </c>
      <c r="L208" s="13">
        <v>0</v>
      </c>
      <c r="M208" s="16">
        <v>0</v>
      </c>
      <c r="N208" s="15">
        <v>0</v>
      </c>
      <c r="O208" s="13">
        <v>0</v>
      </c>
      <c r="P208" s="16">
        <v>0</v>
      </c>
      <c r="Q208" s="16">
        <v>0</v>
      </c>
      <c r="R208" s="18">
        <v>0</v>
      </c>
      <c r="S208" s="16">
        <v>0</v>
      </c>
      <c r="T208" s="18">
        <v>0</v>
      </c>
      <c r="U208" s="16">
        <v>0</v>
      </c>
      <c r="V208" s="18">
        <v>0</v>
      </c>
      <c r="W208" s="16">
        <v>0</v>
      </c>
      <c r="X208" s="15">
        <v>0</v>
      </c>
      <c r="Y208" s="13">
        <v>0</v>
      </c>
      <c r="Z208" s="16">
        <v>0</v>
      </c>
      <c r="AA208" s="16">
        <v>0</v>
      </c>
      <c r="AB208" s="15">
        <v>0</v>
      </c>
      <c r="AC208" s="13">
        <v>0</v>
      </c>
      <c r="AD208" s="16">
        <v>0</v>
      </c>
      <c r="AE208" s="16">
        <v>0</v>
      </c>
      <c r="AF208" s="19">
        <v>2</v>
      </c>
      <c r="AG208" s="20">
        <v>0</v>
      </c>
      <c r="AH208" s="16">
        <v>0.20612181799443471</v>
      </c>
      <c r="AI208" s="21">
        <v>0</v>
      </c>
      <c r="AJ208" s="22">
        <f>BattMobility!D119+cambio!D119+Claus2you!D119+CoopStroom!D119+Cozywheels!D119+Dégage!D119+Flexigo!D119+Klimaan!D119+Moovee!D119+Poppy!D119+'Mobilize Share'!D119+Stapp.in!D119</f>
        <v>2</v>
      </c>
      <c r="AK208" s="23">
        <f>BattMobility!E119+cambio!E119+Claus2you!E119+CoopStroom!E119+Cozywheels!E119+Dégage!E119+Flexigo!E119+Klimaan!E119+Moovee!E119+Poppy!E119+'Mobilize Share'!E119+Stapp.in!E119</f>
        <v>0</v>
      </c>
      <c r="AL208" s="21">
        <f t="shared" si="0"/>
        <v>0.20395676116663267</v>
      </c>
      <c r="AM208" s="21">
        <f t="shared" si="1"/>
        <v>0</v>
      </c>
      <c r="AN208" s="25">
        <f t="shared" si="2"/>
        <v>2</v>
      </c>
      <c r="AO208" s="26" t="e">
        <f t="shared" si="3"/>
        <v>#DIV/0!</v>
      </c>
      <c r="AP208" s="27">
        <f>BattMobility!F119+cambio!F119+Claus2you!F119+CoopStroom!F119+Cozywheels!F119+Dégage!F119+Flexigo!F119+Klimaan!F119+Moovee!F119+Poppy!F119+'Mobilize Share'!F119+Stapp.in!F119</f>
        <v>2</v>
      </c>
      <c r="AQ208" s="25">
        <f>BattMobility!G119+cambio!G119+Claus2you!G119+CoopStroom!G119+Cozywheels!G119+Dégage!G119+Flexigo!G119+Klimaan!G119+Moovee!G119+Poppy!G119+'Mobilize Share'!G119+Stapp.in!G119</f>
        <v>0</v>
      </c>
      <c r="AR208" s="29">
        <f t="shared" si="4"/>
        <v>0.20395676116663267</v>
      </c>
      <c r="AS208" s="29">
        <f t="shared" si="5"/>
        <v>0</v>
      </c>
      <c r="AT208" s="25">
        <f t="shared" si="6"/>
        <v>0</v>
      </c>
      <c r="AU208" s="30">
        <v>19.405999999999999</v>
      </c>
      <c r="AV208" s="31">
        <v>17.405999999999999</v>
      </c>
    </row>
    <row r="209" spans="1:48" ht="14.25" customHeight="1" x14ac:dyDescent="0.35">
      <c r="A209" s="2" t="s">
        <v>259</v>
      </c>
      <c r="B209" s="13" t="s">
        <v>52</v>
      </c>
      <c r="C209" s="13">
        <v>24009</v>
      </c>
      <c r="D209" s="14">
        <v>10258</v>
      </c>
      <c r="E209" s="14">
        <v>10276</v>
      </c>
      <c r="F209" s="14">
        <v>10242</v>
      </c>
      <c r="G209" s="14">
        <v>10342</v>
      </c>
      <c r="H209" s="15">
        <v>1</v>
      </c>
      <c r="I209" s="13">
        <v>0</v>
      </c>
      <c r="J209" s="16">
        <v>9.7484889842074471E-2</v>
      </c>
      <c r="K209" s="15">
        <v>0</v>
      </c>
      <c r="L209" s="13">
        <v>0</v>
      </c>
      <c r="M209" s="16">
        <v>0</v>
      </c>
      <c r="N209" s="15">
        <v>0</v>
      </c>
      <c r="O209" s="13">
        <v>0</v>
      </c>
      <c r="P209" s="16">
        <v>0</v>
      </c>
      <c r="Q209" s="16">
        <v>0</v>
      </c>
      <c r="R209" s="18">
        <v>-1</v>
      </c>
      <c r="S209" s="16">
        <v>-9.7484889842074471E-2</v>
      </c>
      <c r="T209" s="18">
        <v>0</v>
      </c>
      <c r="U209" s="16">
        <v>0</v>
      </c>
      <c r="V209" s="18">
        <v>0</v>
      </c>
      <c r="W209" s="16">
        <v>0</v>
      </c>
      <c r="X209" s="15">
        <v>0</v>
      </c>
      <c r="Y209" s="13">
        <v>0</v>
      </c>
      <c r="Z209" s="16">
        <v>0</v>
      </c>
      <c r="AA209" s="16">
        <v>0</v>
      </c>
      <c r="AB209" s="15">
        <v>2</v>
      </c>
      <c r="AC209" s="13">
        <v>0</v>
      </c>
      <c r="AD209" s="16">
        <v>0.19527436047646946</v>
      </c>
      <c r="AE209" s="16">
        <v>0</v>
      </c>
      <c r="AF209" s="19">
        <v>3</v>
      </c>
      <c r="AG209" s="20">
        <v>0</v>
      </c>
      <c r="AH209" s="16">
        <v>0.29291154071470415</v>
      </c>
      <c r="AI209" s="21">
        <v>0</v>
      </c>
      <c r="AJ209" s="22">
        <f>BattMobility!D27+cambio!D27+Claus2you!D27+CoopStroom!D27+Cozywheels!D27+Dégage!D27+Flexigo!D27+Klimaan!D27+Moovee!D27+Poppy!D27+'Mobilize Share'!D27+Stapp.in!D27</f>
        <v>1</v>
      </c>
      <c r="AK209" s="23">
        <f>BattMobility!E27+cambio!E27+Claus2you!E27+CoopStroom!E27+Cozywheels!E27+Dégage!E27+Flexigo!E27+Klimaan!E27+Moovee!E27+Poppy!E27+'Mobilize Share'!E27+Stapp.in!E27</f>
        <v>0</v>
      </c>
      <c r="AL209" s="21">
        <f t="shared" si="0"/>
        <v>9.6693096112937527E-2</v>
      </c>
      <c r="AM209" s="21">
        <f t="shared" si="1"/>
        <v>0</v>
      </c>
      <c r="AN209" s="25">
        <f t="shared" si="2"/>
        <v>-1</v>
      </c>
      <c r="AO209" s="26">
        <f t="shared" si="3"/>
        <v>-0.5</v>
      </c>
      <c r="AP209" s="27">
        <f>BattMobility!F27+cambio!F27+Claus2you!F27+CoopStroom!F27+Cozywheels!F27+Dégage!F27+Flexigo!F27+Klimaan!F27+Moovee!F27+Poppy!F27+'Mobilize Share'!F27+Stapp.in!F27</f>
        <v>2</v>
      </c>
      <c r="AQ209" s="25">
        <f>BattMobility!G27+cambio!G27+Claus2you!G27+CoopStroom!G27+Cozywheels!G27+Dégage!G27+Flexigo!G27+Klimaan!G27+Moovee!G27+Poppy!G27+'Mobilize Share'!G27+Stapp.in!G27</f>
        <v>0</v>
      </c>
      <c r="AR209" s="29">
        <f t="shared" si="4"/>
        <v>0.19338619222587505</v>
      </c>
      <c r="AS209" s="29">
        <f t="shared" si="5"/>
        <v>0</v>
      </c>
      <c r="AT209" s="25">
        <f t="shared" si="6"/>
        <v>-1</v>
      </c>
      <c r="AU209" s="30">
        <v>20.484000000000002</v>
      </c>
      <c r="AV209" s="31">
        <v>17.484000000000002</v>
      </c>
    </row>
    <row r="210" spans="1:48" ht="14.25" customHeight="1" x14ac:dyDescent="0.35">
      <c r="A210" s="2" t="s">
        <v>260</v>
      </c>
      <c r="B210" s="13" t="s">
        <v>55</v>
      </c>
      <c r="C210" s="13">
        <v>34003</v>
      </c>
      <c r="D210" s="14">
        <v>10291</v>
      </c>
      <c r="E210" s="14">
        <v>10319</v>
      </c>
      <c r="F210" s="14">
        <v>10406</v>
      </c>
      <c r="G210" s="14">
        <v>10450</v>
      </c>
      <c r="H210" s="15">
        <v>0</v>
      </c>
      <c r="I210" s="13">
        <v>0</v>
      </c>
      <c r="J210" s="16">
        <v>0</v>
      </c>
      <c r="K210" s="15">
        <v>0</v>
      </c>
      <c r="L210" s="13">
        <v>0</v>
      </c>
      <c r="M210" s="16">
        <v>0</v>
      </c>
      <c r="N210" s="15">
        <v>0</v>
      </c>
      <c r="O210" s="13">
        <v>0</v>
      </c>
      <c r="P210" s="16">
        <v>0</v>
      </c>
      <c r="Q210" s="16">
        <v>0</v>
      </c>
      <c r="R210" s="18">
        <v>0</v>
      </c>
      <c r="S210" s="16">
        <v>0</v>
      </c>
      <c r="T210" s="18">
        <v>0</v>
      </c>
      <c r="U210" s="16">
        <v>0</v>
      </c>
      <c r="V210" s="18">
        <v>0</v>
      </c>
      <c r="W210" s="16">
        <v>0</v>
      </c>
      <c r="X210" s="15">
        <v>0</v>
      </c>
      <c r="Y210" s="13">
        <v>0</v>
      </c>
      <c r="Z210" s="16">
        <v>0</v>
      </c>
      <c r="AA210" s="16">
        <v>0</v>
      </c>
      <c r="AB210" s="15">
        <v>1</v>
      </c>
      <c r="AC210" s="13">
        <v>1</v>
      </c>
      <c r="AD210" s="16">
        <v>9.6098404766480877E-2</v>
      </c>
      <c r="AE210" s="16">
        <v>9.6098404766480877E-2</v>
      </c>
      <c r="AF210" s="19">
        <v>1</v>
      </c>
      <c r="AG210" s="20">
        <v>1</v>
      </c>
      <c r="AH210" s="16">
        <v>9.6098404766480877E-2</v>
      </c>
      <c r="AI210" s="21">
        <v>9.6098404766480877E-2</v>
      </c>
      <c r="AJ210" s="22">
        <f>BattMobility!D16+cambio!D16+Claus2you!D16+CoopStroom!D16+Cozywheels!D16+Dégage!D16+Flexigo!D16+Klimaan!D16+Moovee!D16+Poppy!D16+'Mobilize Share'!D16+Stapp.in!D16</f>
        <v>1</v>
      </c>
      <c r="AK210" s="23">
        <f>BattMobility!E16+cambio!E16+Claus2you!E16+CoopStroom!E16+Cozywheels!E16+Dégage!E16+Flexigo!E16+Klimaan!E16+Moovee!E16+Poppy!E16+'Mobilize Share'!E16+Stapp.in!E16</f>
        <v>1</v>
      </c>
      <c r="AL210" s="21">
        <f t="shared" si="0"/>
        <v>9.569377990430622E-2</v>
      </c>
      <c r="AM210" s="21">
        <f t="shared" si="1"/>
        <v>9.569377990430622E-2</v>
      </c>
      <c r="AN210" s="25">
        <f t="shared" si="2"/>
        <v>0</v>
      </c>
      <c r="AO210" s="26">
        <f t="shared" si="3"/>
        <v>0</v>
      </c>
      <c r="AP210" s="27">
        <f>BattMobility!F16+cambio!F16+Claus2you!F16+CoopStroom!F16+Cozywheels!F16+Dégage!F16+Flexigo!F16+Klimaan!F16+Moovee!F16+Poppy!F16+'Mobilize Share'!F16+Stapp.in!F16</f>
        <v>2</v>
      </c>
      <c r="AQ210" s="25">
        <f>BattMobility!G16+cambio!G16+Claus2you!G16+CoopStroom!G16+Cozywheels!G16+Dégage!G16+Flexigo!G16+Klimaan!G16+Moovee!G16+Poppy!G16+'Mobilize Share'!G16+Stapp.in!G16</f>
        <v>2</v>
      </c>
      <c r="AR210" s="29">
        <f t="shared" si="4"/>
        <v>0.19138755980861244</v>
      </c>
      <c r="AS210" s="29">
        <f t="shared" si="5"/>
        <v>0.19138755980861244</v>
      </c>
      <c r="AT210" s="25">
        <f t="shared" si="6"/>
        <v>1</v>
      </c>
      <c r="AU210" s="30">
        <v>20.812000000000001</v>
      </c>
      <c r="AV210" s="31">
        <v>19.812000000000001</v>
      </c>
    </row>
    <row r="211" spans="1:48" ht="14.25" customHeight="1" x14ac:dyDescent="0.35">
      <c r="A211" s="2" t="s">
        <v>261</v>
      </c>
      <c r="B211" s="13" t="s">
        <v>55</v>
      </c>
      <c r="C211" s="13">
        <v>32006</v>
      </c>
      <c r="D211" s="14">
        <v>10267</v>
      </c>
      <c r="E211" s="14">
        <v>10332</v>
      </c>
      <c r="F211" s="14">
        <v>10464</v>
      </c>
      <c r="G211" s="14">
        <v>10525</v>
      </c>
      <c r="H211" s="15">
        <v>0</v>
      </c>
      <c r="I211" s="13">
        <v>0</v>
      </c>
      <c r="J211" s="16">
        <v>0</v>
      </c>
      <c r="K211" s="15">
        <v>0</v>
      </c>
      <c r="L211" s="13">
        <v>0</v>
      </c>
      <c r="M211" s="16">
        <v>0</v>
      </c>
      <c r="N211" s="15">
        <v>0</v>
      </c>
      <c r="O211" s="13">
        <v>0</v>
      </c>
      <c r="P211" s="16">
        <v>0</v>
      </c>
      <c r="Q211" s="16">
        <v>0</v>
      </c>
      <c r="R211" s="18">
        <v>0</v>
      </c>
      <c r="S211" s="16">
        <v>0</v>
      </c>
      <c r="T211" s="18">
        <v>0</v>
      </c>
      <c r="U211" s="16">
        <v>0</v>
      </c>
      <c r="V211" s="18">
        <v>0</v>
      </c>
      <c r="W211" s="16">
        <v>0</v>
      </c>
      <c r="X211" s="15">
        <v>0</v>
      </c>
      <c r="Y211" s="13">
        <v>0</v>
      </c>
      <c r="Z211" s="16">
        <v>0</v>
      </c>
      <c r="AA211" s="16">
        <v>0</v>
      </c>
      <c r="AB211" s="15">
        <v>1</v>
      </c>
      <c r="AC211" s="13">
        <v>0</v>
      </c>
      <c r="AD211" s="16">
        <v>9.5565749235474007E-2</v>
      </c>
      <c r="AE211" s="16">
        <v>0</v>
      </c>
      <c r="AF211" s="19">
        <v>2</v>
      </c>
      <c r="AG211" s="20">
        <v>1</v>
      </c>
      <c r="AH211" s="16">
        <v>0.19113149847094801</v>
      </c>
      <c r="AI211" s="21">
        <v>9.5565749235474007E-2</v>
      </c>
      <c r="AJ211" s="22">
        <f>BattMobility!D108+cambio!D108+Claus2you!D108+CoopStroom!D108+Cozywheels!D108+Dégage!D108+Flexigo!D108+Klimaan!D108+Moovee!D108+Poppy!D108+'Mobilize Share'!D108+Stapp.in!D108</f>
        <v>2</v>
      </c>
      <c r="AK211" s="23">
        <f>BattMobility!E108+cambio!E108+Claus2you!E108+CoopStroom!E108+Cozywheels!E108+Dégage!E108+Flexigo!E108+Klimaan!E108+Moovee!E108+Poppy!E108+'Mobilize Share'!E108+Stapp.in!E108</f>
        <v>1</v>
      </c>
      <c r="AL211" s="21">
        <f t="shared" si="0"/>
        <v>0.19002375296912113</v>
      </c>
      <c r="AM211" s="21">
        <f t="shared" si="1"/>
        <v>9.5011876484560567E-2</v>
      </c>
      <c r="AN211" s="25">
        <f t="shared" si="2"/>
        <v>1</v>
      </c>
      <c r="AO211" s="26">
        <f t="shared" si="3"/>
        <v>1</v>
      </c>
      <c r="AP211" s="27">
        <f>BattMobility!F108+cambio!F108+Claus2you!F108+CoopStroom!F108+Cozywheels!F108+Dégage!F108+Flexigo!F108+Klimaan!F108+Moovee!F108+Poppy!F108+'Mobilize Share'!F108+Stapp.in!F108</f>
        <v>2</v>
      </c>
      <c r="AQ211" s="25">
        <f>BattMobility!G108+cambio!G108+Claus2you!G108+CoopStroom!G108+Cozywheels!G108+Dégage!G108+Flexigo!G108+Klimaan!G108+Moovee!G108+Poppy!G108+'Mobilize Share'!G108+Stapp.in!G108</f>
        <v>1</v>
      </c>
      <c r="AR211" s="29">
        <f t="shared" si="4"/>
        <v>0.19002375296912113</v>
      </c>
      <c r="AS211" s="29">
        <f t="shared" si="5"/>
        <v>9.5011876484560567E-2</v>
      </c>
      <c r="AT211" s="25">
        <f t="shared" si="6"/>
        <v>0</v>
      </c>
      <c r="AU211" s="30">
        <v>20.928000000000001</v>
      </c>
      <c r="AV211" s="31">
        <v>18.928000000000001</v>
      </c>
    </row>
    <row r="212" spans="1:48" ht="14.25" customHeight="1" x14ac:dyDescent="0.35">
      <c r="A212" s="2" t="s">
        <v>262</v>
      </c>
      <c r="B212" s="13" t="s">
        <v>50</v>
      </c>
      <c r="C212" s="13">
        <v>42023</v>
      </c>
      <c r="D212" s="14">
        <v>11022</v>
      </c>
      <c r="E212" s="14">
        <v>11177</v>
      </c>
      <c r="F212" s="14">
        <v>11296</v>
      </c>
      <c r="G212" s="14">
        <v>11395</v>
      </c>
      <c r="H212" s="15">
        <v>2</v>
      </c>
      <c r="I212" s="13">
        <v>0</v>
      </c>
      <c r="J212" s="16">
        <v>0.18145527127563055</v>
      </c>
      <c r="K212" s="15">
        <v>2</v>
      </c>
      <c r="L212" s="13">
        <v>0</v>
      </c>
      <c r="M212" s="16">
        <v>0.18145527127563055</v>
      </c>
      <c r="N212" s="15">
        <v>2</v>
      </c>
      <c r="O212" s="13">
        <v>2</v>
      </c>
      <c r="P212" s="16">
        <v>0.17893889236825625</v>
      </c>
      <c r="Q212" s="16">
        <v>0.17893889236825625</v>
      </c>
      <c r="R212" s="18">
        <v>0</v>
      </c>
      <c r="S212" s="16">
        <v>-2.5163789073743004E-3</v>
      </c>
      <c r="T212" s="18">
        <v>0</v>
      </c>
      <c r="U212" s="16">
        <v>-2.5163789073743004E-3</v>
      </c>
      <c r="V212" s="18">
        <v>0</v>
      </c>
      <c r="W212" s="16">
        <v>0</v>
      </c>
      <c r="X212" s="15">
        <v>2</v>
      </c>
      <c r="Y212" s="13">
        <v>2</v>
      </c>
      <c r="Z212" s="16">
        <v>0.17893889236825625</v>
      </c>
      <c r="AA212" s="16">
        <v>0.17893889236825625</v>
      </c>
      <c r="AB212" s="15">
        <v>2</v>
      </c>
      <c r="AC212" s="13">
        <v>2</v>
      </c>
      <c r="AD212" s="16">
        <v>0.17705382436260625</v>
      </c>
      <c r="AE212" s="16">
        <v>0.17705382436260625</v>
      </c>
      <c r="AF212" s="19">
        <v>2</v>
      </c>
      <c r="AG212" s="20">
        <v>2</v>
      </c>
      <c r="AH212" s="16">
        <v>0.17705382436260625</v>
      </c>
      <c r="AI212" s="21">
        <v>0.17705382436260625</v>
      </c>
      <c r="AJ212" s="22">
        <f>BattMobility!D254+cambio!D254+Claus2you!D254+CoopStroom!D254+Cozywheels!D254+Dégage!D254+Flexigo!D254+Klimaan!D254+Moovee!D254+Poppy!D254+'Mobilize Share'!D254+Stapp.in!D254</f>
        <v>2</v>
      </c>
      <c r="AK212" s="23">
        <f>BattMobility!E254+cambio!E254+Claus2you!E254+CoopStroom!E254+Cozywheels!E254+Dégage!E254+Flexigo!E254+Klimaan!E254+Moovee!E254+Poppy!E254+'Mobilize Share'!E254+Stapp.in!E254</f>
        <v>2</v>
      </c>
      <c r="AL212" s="21">
        <f t="shared" si="0"/>
        <v>0.17551557700745943</v>
      </c>
      <c r="AM212" s="21">
        <f t="shared" si="1"/>
        <v>0.17551557700745943</v>
      </c>
      <c r="AN212" s="25">
        <f t="shared" si="2"/>
        <v>0</v>
      </c>
      <c r="AO212" s="26">
        <f t="shared" si="3"/>
        <v>0</v>
      </c>
      <c r="AP212" s="27">
        <f>BattMobility!F254+cambio!F254+Claus2you!F254+CoopStroom!F254+Cozywheels!F254+Dégage!F254+Flexigo!F254+Klimaan!F254+Moovee!F254+Poppy!F254+'Mobilize Share'!F254+Stapp.in!F254</f>
        <v>2</v>
      </c>
      <c r="AQ212" s="25">
        <f>BattMobility!G254+cambio!G254+Claus2you!G254+CoopStroom!G254+Cozywheels!G254+Dégage!G254+Flexigo!G254+Klimaan!G254+Moovee!G254+Poppy!G254+'Mobilize Share'!G254+Stapp.in!G254</f>
        <v>2</v>
      </c>
      <c r="AR212" s="29">
        <f t="shared" si="4"/>
        <v>0.17551557700745943</v>
      </c>
      <c r="AS212" s="29">
        <f t="shared" si="5"/>
        <v>0.17551557700745943</v>
      </c>
      <c r="AT212" s="25">
        <f t="shared" si="6"/>
        <v>0</v>
      </c>
      <c r="AU212" s="30">
        <v>22.591999999999999</v>
      </c>
      <c r="AV212" s="31">
        <v>20.591999999999999</v>
      </c>
    </row>
    <row r="213" spans="1:48" ht="14.25" customHeight="1" x14ac:dyDescent="0.35">
      <c r="A213" s="2" t="s">
        <v>263</v>
      </c>
      <c r="B213" s="13" t="s">
        <v>55</v>
      </c>
      <c r="C213" s="13">
        <v>36007</v>
      </c>
      <c r="D213" s="14">
        <v>11294</v>
      </c>
      <c r="E213" s="14">
        <v>11454</v>
      </c>
      <c r="F213" s="14">
        <v>11537</v>
      </c>
      <c r="G213" s="14">
        <v>11597</v>
      </c>
      <c r="H213" s="15">
        <v>0</v>
      </c>
      <c r="I213" s="13">
        <v>0</v>
      </c>
      <c r="J213" s="16">
        <v>0</v>
      </c>
      <c r="K213" s="15">
        <v>0</v>
      </c>
      <c r="L213" s="13">
        <v>0</v>
      </c>
      <c r="M213" s="16">
        <v>0</v>
      </c>
      <c r="N213" s="15">
        <v>1</v>
      </c>
      <c r="O213" s="13">
        <v>0</v>
      </c>
      <c r="P213" s="16">
        <v>8.730574471800244E-2</v>
      </c>
      <c r="Q213" s="16">
        <v>0</v>
      </c>
      <c r="R213" s="18">
        <v>1</v>
      </c>
      <c r="S213" s="16">
        <v>8.730574471800244E-2</v>
      </c>
      <c r="T213" s="18">
        <v>1</v>
      </c>
      <c r="U213" s="16">
        <v>8.730574471800244E-2</v>
      </c>
      <c r="V213" s="18">
        <v>0</v>
      </c>
      <c r="W213" s="16">
        <v>0</v>
      </c>
      <c r="X213" s="15">
        <v>0</v>
      </c>
      <c r="Y213" s="13">
        <v>0</v>
      </c>
      <c r="Z213" s="16">
        <v>0</v>
      </c>
      <c r="AA213" s="16">
        <v>0</v>
      </c>
      <c r="AB213" s="15">
        <v>2</v>
      </c>
      <c r="AC213" s="13">
        <v>0</v>
      </c>
      <c r="AD213" s="16">
        <v>0.17335529167027824</v>
      </c>
      <c r="AE213" s="16">
        <v>0</v>
      </c>
      <c r="AF213" s="19">
        <v>1</v>
      </c>
      <c r="AG213" s="20">
        <v>0</v>
      </c>
      <c r="AH213" s="16">
        <v>8.6677645835139122E-2</v>
      </c>
      <c r="AI213" s="21">
        <v>0</v>
      </c>
      <c r="AJ213" s="22">
        <f>BattMobility!D114+cambio!D114+Claus2you!D114+CoopStroom!D114+Cozywheels!D114+Dégage!D114+Flexigo!D114+Klimaan!D114+Moovee!D114+Poppy!D114+'Mobilize Share'!D114+Stapp.in!D114</f>
        <v>1</v>
      </c>
      <c r="AK213" s="23">
        <f>BattMobility!E114+cambio!E114+Claus2you!E114+CoopStroom!E114+Cozywheels!E114+Dégage!E114+Flexigo!E114+Klimaan!E114+Moovee!E114+Poppy!E114+'Mobilize Share'!E114+Stapp.in!E114</f>
        <v>0</v>
      </c>
      <c r="AL213" s="21">
        <f t="shared" si="0"/>
        <v>8.6229197206174016E-2</v>
      </c>
      <c r="AM213" s="21">
        <f t="shared" si="1"/>
        <v>0</v>
      </c>
      <c r="AN213" s="25">
        <f t="shared" si="2"/>
        <v>-1</v>
      </c>
      <c r="AO213" s="26">
        <f t="shared" si="3"/>
        <v>-0.5</v>
      </c>
      <c r="AP213" s="27">
        <f>BattMobility!F114+cambio!F114+Claus2you!F114+CoopStroom!F114+Cozywheels!F114+Dégage!F114+Flexigo!F114+Klimaan!F114+Moovee!F114+Poppy!F114+'Mobilize Share'!F114+Stapp.in!F114</f>
        <v>2</v>
      </c>
      <c r="AQ213" s="25">
        <f>BattMobility!G114+cambio!G114+Claus2you!G114+CoopStroom!G114+Cozywheels!G114+Dégage!G114+Flexigo!G114+Klimaan!G114+Moovee!G114+Poppy!G114+'Mobilize Share'!G114+Stapp.in!G114</f>
        <v>1</v>
      </c>
      <c r="AR213" s="29">
        <f t="shared" si="4"/>
        <v>0.17245839441234803</v>
      </c>
      <c r="AS213" s="29">
        <f t="shared" si="5"/>
        <v>8.6229197206174016E-2</v>
      </c>
      <c r="AT213" s="25">
        <f t="shared" si="6"/>
        <v>1</v>
      </c>
      <c r="AU213" s="30">
        <v>23.074000000000002</v>
      </c>
      <c r="AV213" s="31">
        <v>22.074000000000002</v>
      </c>
    </row>
    <row r="214" spans="1:48" ht="14.25" customHeight="1" x14ac:dyDescent="0.35">
      <c r="A214" s="2" t="s">
        <v>264</v>
      </c>
      <c r="B214" s="13" t="s">
        <v>48</v>
      </c>
      <c r="C214" s="13">
        <v>13046</v>
      </c>
      <c r="D214" s="14">
        <v>11556</v>
      </c>
      <c r="E214" s="14">
        <v>11802</v>
      </c>
      <c r="F214" s="14">
        <v>11801</v>
      </c>
      <c r="G214" s="14">
        <v>11816</v>
      </c>
      <c r="H214" s="15">
        <v>0</v>
      </c>
      <c r="I214" s="13">
        <v>0</v>
      </c>
      <c r="J214" s="16">
        <v>0</v>
      </c>
      <c r="K214" s="15">
        <v>0</v>
      </c>
      <c r="L214" s="13">
        <v>0</v>
      </c>
      <c r="M214" s="16">
        <v>0</v>
      </c>
      <c r="N214" s="15">
        <v>1</v>
      </c>
      <c r="O214" s="13">
        <v>0</v>
      </c>
      <c r="P214" s="16">
        <v>8.4731401457380104E-2</v>
      </c>
      <c r="Q214" s="16">
        <v>0</v>
      </c>
      <c r="R214" s="18">
        <v>1</v>
      </c>
      <c r="S214" s="16">
        <v>8.4731401457380104E-2</v>
      </c>
      <c r="T214" s="18">
        <v>1</v>
      </c>
      <c r="U214" s="16">
        <v>8.4731401457380104E-2</v>
      </c>
      <c r="V214" s="18">
        <v>1</v>
      </c>
      <c r="W214" s="16">
        <v>8.4731401457380104E-2</v>
      </c>
      <c r="X214" s="15">
        <v>1</v>
      </c>
      <c r="Y214" s="13">
        <v>0</v>
      </c>
      <c r="Z214" s="16">
        <v>8.4731401457380104E-2</v>
      </c>
      <c r="AA214" s="16">
        <v>0</v>
      </c>
      <c r="AB214" s="15">
        <v>0</v>
      </c>
      <c r="AC214" s="13">
        <v>0</v>
      </c>
      <c r="AD214" s="16">
        <v>0</v>
      </c>
      <c r="AE214" s="16">
        <v>0</v>
      </c>
      <c r="AF214" s="19">
        <v>2</v>
      </c>
      <c r="AG214" s="20">
        <v>2</v>
      </c>
      <c r="AH214" s="16">
        <v>0.16947716295229218</v>
      </c>
      <c r="AI214" s="21">
        <v>0.16947716295229218</v>
      </c>
      <c r="AJ214" s="22">
        <f>BattMobility!D253+cambio!D253+Claus2you!D253+CoopStroom!D253+Cozywheels!D253+Dégage!D253+Flexigo!D253+Klimaan!D253+Moovee!D253+Poppy!D253+'Mobilize Share'!D253+Stapp.in!D253</f>
        <v>2</v>
      </c>
      <c r="AK214" s="23">
        <f>BattMobility!E253+cambio!E253+Claus2you!E253+CoopStroom!E253+Cozywheels!E253+Dégage!E253+Flexigo!E253+Klimaan!E253+Moovee!E253+Poppy!E253+'Mobilize Share'!E253+Stapp.in!E253</f>
        <v>2</v>
      </c>
      <c r="AL214" s="21">
        <f t="shared" si="0"/>
        <v>0.16926201760324983</v>
      </c>
      <c r="AM214" s="21">
        <f t="shared" si="1"/>
        <v>0.16926201760324983</v>
      </c>
      <c r="AN214" s="25">
        <f t="shared" si="2"/>
        <v>2</v>
      </c>
      <c r="AO214" s="26" t="e">
        <f t="shared" si="3"/>
        <v>#DIV/0!</v>
      </c>
      <c r="AP214" s="27">
        <f>BattMobility!F253+cambio!F253+Claus2you!F253+CoopStroom!F253+Cozywheels!F253+Dégage!F253+Flexigo!F253+Klimaan!F253+Moovee!F253+Poppy!F253+'Mobilize Share'!F253+Stapp.in!F253</f>
        <v>2</v>
      </c>
      <c r="AQ214" s="25">
        <f>BattMobility!G253+cambio!G253+Claus2you!G253+CoopStroom!G253+Cozywheels!G253+Dégage!G253+Flexigo!G253+Klimaan!G253+Moovee!G253+Poppy!G253+'Mobilize Share'!G253+Stapp.in!G253</f>
        <v>2</v>
      </c>
      <c r="AR214" s="29">
        <f t="shared" si="4"/>
        <v>0.16926201760324983</v>
      </c>
      <c r="AS214" s="29">
        <f t="shared" si="5"/>
        <v>0.16926201760324983</v>
      </c>
      <c r="AT214" s="25">
        <f t="shared" si="6"/>
        <v>0</v>
      </c>
      <c r="AU214" s="30">
        <v>23.602</v>
      </c>
      <c r="AV214" s="31">
        <v>21.602</v>
      </c>
    </row>
    <row r="215" spans="1:48" ht="14.25" customHeight="1" x14ac:dyDescent="0.35">
      <c r="A215" s="2" t="s">
        <v>265</v>
      </c>
      <c r="B215" s="13" t="s">
        <v>59</v>
      </c>
      <c r="C215" s="13">
        <v>72038</v>
      </c>
      <c r="D215" s="14">
        <v>12760</v>
      </c>
      <c r="E215" s="14">
        <v>12914</v>
      </c>
      <c r="F215" s="14">
        <v>12965</v>
      </c>
      <c r="G215" s="14">
        <v>13105</v>
      </c>
      <c r="H215" s="15">
        <v>1</v>
      </c>
      <c r="I215" s="13">
        <v>0</v>
      </c>
      <c r="J215" s="16">
        <v>7.8369905956112859E-2</v>
      </c>
      <c r="K215" s="15">
        <v>0</v>
      </c>
      <c r="L215" s="13">
        <v>0</v>
      </c>
      <c r="M215" s="16">
        <v>0</v>
      </c>
      <c r="N215" s="15">
        <v>0</v>
      </c>
      <c r="O215" s="13">
        <v>0</v>
      </c>
      <c r="P215" s="16">
        <v>0</v>
      </c>
      <c r="Q215" s="16">
        <v>0</v>
      </c>
      <c r="R215" s="18">
        <v>-1</v>
      </c>
      <c r="S215" s="16">
        <v>-7.8369905956112859E-2</v>
      </c>
      <c r="T215" s="18">
        <v>0</v>
      </c>
      <c r="U215" s="16">
        <v>0</v>
      </c>
      <c r="V215" s="18">
        <v>0</v>
      </c>
      <c r="W215" s="16">
        <v>0</v>
      </c>
      <c r="X215" s="15">
        <v>0</v>
      </c>
      <c r="Y215" s="13">
        <v>0</v>
      </c>
      <c r="Z215" s="16">
        <v>0</v>
      </c>
      <c r="AA215" s="16">
        <v>0</v>
      </c>
      <c r="AB215" s="15">
        <v>0</v>
      </c>
      <c r="AC215" s="13">
        <v>0</v>
      </c>
      <c r="AD215" s="16">
        <v>0</v>
      </c>
      <c r="AE215" s="16">
        <v>0</v>
      </c>
      <c r="AF215" s="19">
        <v>0</v>
      </c>
      <c r="AG215" s="20">
        <v>0</v>
      </c>
      <c r="AH215" s="16">
        <v>0</v>
      </c>
      <c r="AI215" s="21">
        <v>0</v>
      </c>
      <c r="AJ215" s="22">
        <f>BattMobility!D88+cambio!D88+Claus2you!D88+CoopStroom!D88+Cozywheels!D88+Dégage!D88+Flexigo!D88+Klimaan!D88+Moovee!D88+Poppy!D88+'Mobilize Share'!D88+Stapp.in!D88</f>
        <v>2</v>
      </c>
      <c r="AK215" s="23">
        <f>BattMobility!E88+cambio!E88+Claus2you!E88+CoopStroom!E88+Cozywheels!E88+Dégage!E88+Flexigo!E88+Klimaan!E88+Moovee!E88+Poppy!E88+'Mobilize Share'!E88+Stapp.in!E88</f>
        <v>2</v>
      </c>
      <c r="AL215" s="21">
        <f t="shared" si="0"/>
        <v>0.15261350629530712</v>
      </c>
      <c r="AM215" s="21">
        <f t="shared" si="1"/>
        <v>0.15261350629530712</v>
      </c>
      <c r="AN215" s="25">
        <f t="shared" si="2"/>
        <v>2</v>
      </c>
      <c r="AO215" s="26" t="e">
        <f t="shared" si="3"/>
        <v>#DIV/0!</v>
      </c>
      <c r="AP215" s="27">
        <f>BattMobility!F88+cambio!F88+Claus2you!F88+CoopStroom!F88+Cozywheels!F88+Dégage!F88+Flexigo!F88+Klimaan!F88+Moovee!F88+Poppy!F88+'Mobilize Share'!F88+Stapp.in!F88</f>
        <v>2</v>
      </c>
      <c r="AQ215" s="25">
        <f>BattMobility!G88+cambio!G88+Claus2you!G88+CoopStroom!G88+Cozywheels!G88+Dégage!G88+Flexigo!G88+Klimaan!G88+Moovee!G88+Poppy!G88+'Mobilize Share'!G88+Stapp.in!G88</f>
        <v>2</v>
      </c>
      <c r="AR215" s="29">
        <f t="shared" si="4"/>
        <v>0.15261350629530712</v>
      </c>
      <c r="AS215" s="29">
        <f t="shared" si="5"/>
        <v>0.15261350629530712</v>
      </c>
      <c r="AT215" s="25">
        <f t="shared" si="6"/>
        <v>2</v>
      </c>
      <c r="AU215" s="30">
        <v>25.93</v>
      </c>
      <c r="AV215" s="31">
        <v>25.93</v>
      </c>
    </row>
    <row r="216" spans="1:48" ht="14.25" customHeight="1" x14ac:dyDescent="0.35">
      <c r="A216" s="2" t="s">
        <v>266</v>
      </c>
      <c r="B216" s="13" t="s">
        <v>48</v>
      </c>
      <c r="C216" s="13">
        <v>11018</v>
      </c>
      <c r="D216" s="14">
        <v>11812</v>
      </c>
      <c r="E216" s="14">
        <v>12105</v>
      </c>
      <c r="F216" s="14">
        <v>12396</v>
      </c>
      <c r="G216" s="14">
        <v>12428</v>
      </c>
      <c r="H216" s="15">
        <v>1</v>
      </c>
      <c r="I216" s="13">
        <v>0</v>
      </c>
      <c r="J216" s="16">
        <v>8.4659668134100918E-2</v>
      </c>
      <c r="K216" s="15">
        <v>1</v>
      </c>
      <c r="L216" s="13">
        <v>1</v>
      </c>
      <c r="M216" s="16">
        <v>8.4659668134100918E-2</v>
      </c>
      <c r="N216" s="15">
        <v>1</v>
      </c>
      <c r="O216" s="13">
        <v>1</v>
      </c>
      <c r="P216" s="16">
        <v>8.2610491532424626E-2</v>
      </c>
      <c r="Q216" s="16">
        <v>8.2610491532424626E-2</v>
      </c>
      <c r="R216" s="18">
        <v>0</v>
      </c>
      <c r="S216" s="16">
        <v>-2.0491766016762919E-3</v>
      </c>
      <c r="T216" s="18">
        <v>0</v>
      </c>
      <c r="U216" s="16">
        <v>-2.0491766016762919E-3</v>
      </c>
      <c r="V216" s="18">
        <v>0</v>
      </c>
      <c r="W216" s="16">
        <v>0</v>
      </c>
      <c r="X216" s="15">
        <v>1</v>
      </c>
      <c r="Y216" s="13">
        <v>0</v>
      </c>
      <c r="Z216" s="16">
        <v>8.2610491532424626E-2</v>
      </c>
      <c r="AA216" s="16">
        <v>0</v>
      </c>
      <c r="AB216" s="15">
        <v>1</v>
      </c>
      <c r="AC216" s="13">
        <v>0</v>
      </c>
      <c r="AD216" s="16">
        <v>8.0671184252984834E-2</v>
      </c>
      <c r="AE216" s="16">
        <v>0</v>
      </c>
      <c r="AF216" s="19">
        <v>1</v>
      </c>
      <c r="AG216" s="20">
        <v>0</v>
      </c>
      <c r="AH216" s="16">
        <v>8.0671184252984834E-2</v>
      </c>
      <c r="AI216" s="21">
        <v>0</v>
      </c>
      <c r="AJ216" s="22">
        <f>BattMobility!D91+cambio!D91+Claus2you!D91+CoopStroom!D91+Cozywheels!D91+Dégage!D91+Flexigo!D91+Klimaan!D91+Moovee!D91+Poppy!D91+'Mobilize Share'!D91+Stapp.in!D91</f>
        <v>3</v>
      </c>
      <c r="AK216" s="23">
        <f>BattMobility!E91+cambio!E91+Claus2you!E91+CoopStroom!E91+Cozywheels!E91+Dégage!E91+Flexigo!E91+Klimaan!E91+Moovee!E91+Poppy!E91+'Mobilize Share'!E91+Stapp.in!E91</f>
        <v>2</v>
      </c>
      <c r="AL216" s="21">
        <f t="shared" si="0"/>
        <v>0.24139040875442547</v>
      </c>
      <c r="AM216" s="21">
        <f t="shared" si="1"/>
        <v>0.16092693916961701</v>
      </c>
      <c r="AN216" s="25">
        <f t="shared" si="2"/>
        <v>2</v>
      </c>
      <c r="AO216" s="26">
        <f t="shared" si="3"/>
        <v>2</v>
      </c>
      <c r="AP216" s="27">
        <f>BattMobility!F91+cambio!F91+Claus2you!F91+CoopStroom!F91+Cozywheels!F91+Dégage!F91+Flexigo!F91+Klimaan!F91+Moovee!F91+Poppy!F91+'Mobilize Share'!F91+Stapp.in!F91</f>
        <v>2</v>
      </c>
      <c r="AQ216" s="25">
        <f>BattMobility!G91+cambio!G91+Claus2you!G91+CoopStroom!G91+Cozywheels!G91+Dégage!G91+Flexigo!G91+Klimaan!G91+Moovee!G91+Poppy!G91+'Mobilize Share'!G91+Stapp.in!G91</f>
        <v>2</v>
      </c>
      <c r="AR216" s="29">
        <f t="shared" si="4"/>
        <v>0.16092693916961701</v>
      </c>
      <c r="AS216" s="29">
        <f t="shared" si="5"/>
        <v>0.16092693916961701</v>
      </c>
      <c r="AT216" s="25">
        <f t="shared" si="6"/>
        <v>1</v>
      </c>
      <c r="AU216" s="30">
        <v>24.792000000000002</v>
      </c>
      <c r="AV216" s="31">
        <v>23.792000000000002</v>
      </c>
    </row>
    <row r="217" spans="1:48" ht="14.25" customHeight="1" x14ac:dyDescent="0.35">
      <c r="A217" s="2" t="s">
        <v>267</v>
      </c>
      <c r="B217" s="13" t="s">
        <v>48</v>
      </c>
      <c r="C217" s="13">
        <v>13037</v>
      </c>
      <c r="D217" s="14">
        <v>12324</v>
      </c>
      <c r="E217" s="14">
        <v>12531</v>
      </c>
      <c r="F217" s="14">
        <v>12561</v>
      </c>
      <c r="G217" s="14">
        <v>12560</v>
      </c>
      <c r="H217" s="15">
        <v>3</v>
      </c>
      <c r="I217" s="13">
        <v>0</v>
      </c>
      <c r="J217" s="16">
        <v>0.24342745861733203</v>
      </c>
      <c r="K217" s="15">
        <v>3</v>
      </c>
      <c r="L217" s="13">
        <v>0</v>
      </c>
      <c r="M217" s="16">
        <v>0.24342745861733203</v>
      </c>
      <c r="N217" s="15">
        <v>2</v>
      </c>
      <c r="O217" s="13">
        <v>1</v>
      </c>
      <c r="P217" s="16">
        <v>0.15960418162955869</v>
      </c>
      <c r="Q217" s="16">
        <v>7.9802090814779347E-2</v>
      </c>
      <c r="R217" s="18">
        <v>-1</v>
      </c>
      <c r="S217" s="16">
        <v>-8.3823276987773337E-2</v>
      </c>
      <c r="T217" s="18">
        <v>-1</v>
      </c>
      <c r="U217" s="16">
        <v>-8.3823276987773337E-2</v>
      </c>
      <c r="V217" s="18">
        <v>0</v>
      </c>
      <c r="W217" s="16">
        <v>0</v>
      </c>
      <c r="X217" s="15">
        <v>2</v>
      </c>
      <c r="Y217" s="13">
        <v>1</v>
      </c>
      <c r="Z217" s="16">
        <v>0.15960418162955869</v>
      </c>
      <c r="AA217" s="16">
        <v>7.9802090814779347E-2</v>
      </c>
      <c r="AB217" s="15">
        <v>2</v>
      </c>
      <c r="AC217" s="13">
        <v>1</v>
      </c>
      <c r="AD217" s="16">
        <v>0.15922299180001592</v>
      </c>
      <c r="AE217" s="16">
        <v>7.9611495900007961E-2</v>
      </c>
      <c r="AF217" s="19">
        <v>2</v>
      </c>
      <c r="AG217" s="20">
        <v>1</v>
      </c>
      <c r="AH217" s="16">
        <v>0.15922299180001592</v>
      </c>
      <c r="AI217" s="21">
        <v>7.9611495900007961E-2</v>
      </c>
      <c r="AJ217" s="22">
        <f>BattMobility!D213+cambio!D213+Claus2you!D213+CoopStroom!D213+Cozywheels!D213+Dégage!D213+Flexigo!D213+Klimaan!D213+Moovee!D213+Poppy!D213+'Mobilize Share'!D213+Stapp.in!D213</f>
        <v>2</v>
      </c>
      <c r="AK217" s="23">
        <f>BattMobility!E213+cambio!E213+Claus2you!E213+CoopStroom!E213+Cozywheels!E213+Dégage!E213+Flexigo!E213+Klimaan!E213+Moovee!E213+Poppy!E213+'Mobilize Share'!E213+Stapp.in!E213</f>
        <v>1</v>
      </c>
      <c r="AL217" s="21">
        <f t="shared" si="0"/>
        <v>0.15923566878980891</v>
      </c>
      <c r="AM217" s="21">
        <f t="shared" si="1"/>
        <v>7.9617834394904455E-2</v>
      </c>
      <c r="AN217" s="25">
        <f t="shared" si="2"/>
        <v>0</v>
      </c>
      <c r="AO217" s="26">
        <f t="shared" si="3"/>
        <v>0</v>
      </c>
      <c r="AP217" s="27">
        <f>BattMobility!F213+cambio!F213+Claus2you!F213+CoopStroom!F213+Cozywheels!F213+Dégage!F213+Flexigo!F213+Klimaan!F213+Moovee!F213+Poppy!F213+'Mobilize Share'!F213+Stapp.in!F213</f>
        <v>2</v>
      </c>
      <c r="AQ217" s="25">
        <f>BattMobility!G213+cambio!G213+Claus2you!G213+CoopStroom!G213+Cozywheels!G213+Dégage!G213+Flexigo!G213+Klimaan!G213+Moovee!G213+Poppy!G213+'Mobilize Share'!G213+Stapp.in!G213</f>
        <v>1</v>
      </c>
      <c r="AR217" s="29">
        <f t="shared" si="4"/>
        <v>0.15923566878980891</v>
      </c>
      <c r="AS217" s="29">
        <f t="shared" si="5"/>
        <v>7.9617834394904455E-2</v>
      </c>
      <c r="AT217" s="25">
        <f t="shared" si="6"/>
        <v>0</v>
      </c>
      <c r="AU217" s="30">
        <v>25.122</v>
      </c>
      <c r="AV217" s="31">
        <v>23.122</v>
      </c>
    </row>
    <row r="218" spans="1:48" ht="14.25" customHeight="1" x14ac:dyDescent="0.35">
      <c r="A218" s="2" t="s">
        <v>268</v>
      </c>
      <c r="B218" s="13" t="s">
        <v>55</v>
      </c>
      <c r="C218" s="13">
        <v>35029</v>
      </c>
      <c r="D218" s="14">
        <v>12740</v>
      </c>
      <c r="E218" s="14">
        <v>12782</v>
      </c>
      <c r="F218" s="14">
        <v>12718</v>
      </c>
      <c r="G218" s="14">
        <v>12627</v>
      </c>
      <c r="H218" s="15">
        <v>1</v>
      </c>
      <c r="I218" s="13">
        <v>0</v>
      </c>
      <c r="J218" s="16">
        <v>7.8492935635792779E-2</v>
      </c>
      <c r="K218" s="15">
        <v>1</v>
      </c>
      <c r="L218" s="13">
        <v>0</v>
      </c>
      <c r="M218" s="16">
        <v>7.8492935635792779E-2</v>
      </c>
      <c r="N218" s="15">
        <v>1</v>
      </c>
      <c r="O218" s="13">
        <v>1</v>
      </c>
      <c r="P218" s="16">
        <v>7.8235017994054135E-2</v>
      </c>
      <c r="Q218" s="16">
        <v>7.8235017994054135E-2</v>
      </c>
      <c r="R218" s="18">
        <v>0</v>
      </c>
      <c r="S218" s="16">
        <v>-2.5791764173864473E-4</v>
      </c>
      <c r="T218" s="18">
        <v>0</v>
      </c>
      <c r="U218" s="16">
        <v>-2.5791764173864473E-4</v>
      </c>
      <c r="V218" s="18">
        <v>0</v>
      </c>
      <c r="W218" s="16">
        <v>0</v>
      </c>
      <c r="X218" s="15">
        <v>1</v>
      </c>
      <c r="Y218" s="13">
        <v>1</v>
      </c>
      <c r="Z218" s="16">
        <v>7.8235017994054135E-2</v>
      </c>
      <c r="AA218" s="16">
        <v>7.8235017994054135E-2</v>
      </c>
      <c r="AB218" s="15">
        <v>1</v>
      </c>
      <c r="AC218" s="13">
        <v>1</v>
      </c>
      <c r="AD218" s="16">
        <v>7.8628715206793529E-2</v>
      </c>
      <c r="AE218" s="16">
        <v>7.8628715206793529E-2</v>
      </c>
      <c r="AF218" s="19">
        <v>1</v>
      </c>
      <c r="AG218" s="20">
        <v>1</v>
      </c>
      <c r="AH218" s="16">
        <v>7.8628715206793529E-2</v>
      </c>
      <c r="AI218" s="21">
        <v>7.8628715206793529E-2</v>
      </c>
      <c r="AJ218" s="22">
        <f>BattMobility!D48+cambio!D48+Claus2you!D48+CoopStroom!D48+Cozywheels!D48+Dégage!D48+Flexigo!D48+Klimaan!D48+Moovee!D48+Poppy!D48+'Mobilize Share'!D48+Stapp.in!D48</f>
        <v>0</v>
      </c>
      <c r="AK218" s="23">
        <f>BattMobility!E48+cambio!E48+Claus2you!E48+CoopStroom!E48+Cozywheels!E48+Dégage!E48+Flexigo!E48+Klimaan!E48+Moovee!E48+Poppy!E48+'Mobilize Share'!E48+Stapp.in!E48</f>
        <v>0</v>
      </c>
      <c r="AL218" s="21">
        <f t="shared" si="0"/>
        <v>0</v>
      </c>
      <c r="AM218" s="21">
        <f t="shared" si="1"/>
        <v>0</v>
      </c>
      <c r="AN218" s="25">
        <f t="shared" si="2"/>
        <v>-1</v>
      </c>
      <c r="AO218" s="26">
        <f t="shared" si="3"/>
        <v>-1</v>
      </c>
      <c r="AP218" s="27">
        <f>BattMobility!F48+cambio!F48+Claus2you!F48+CoopStroom!F48+Cozywheels!F48+Dégage!F48+Flexigo!F48+Klimaan!F48+Moovee!F48+Poppy!F48+'Mobilize Share'!F48+Stapp.in!F48</f>
        <v>2</v>
      </c>
      <c r="AQ218" s="25">
        <f>BattMobility!G48+cambio!G48+Claus2you!G48+CoopStroom!G48+Cozywheels!G48+Dégage!G48+Flexigo!G48+Klimaan!G48+Moovee!G48+Poppy!G48+'Mobilize Share'!G48+Stapp.in!G48</f>
        <v>2</v>
      </c>
      <c r="AR218" s="29">
        <f t="shared" si="4"/>
        <v>0.15839074998020117</v>
      </c>
      <c r="AS218" s="29">
        <f t="shared" si="5"/>
        <v>0.15839074998020117</v>
      </c>
      <c r="AT218" s="25">
        <f t="shared" si="6"/>
        <v>1</v>
      </c>
      <c r="AU218" s="30">
        <v>25.436</v>
      </c>
      <c r="AV218" s="31">
        <v>24.436</v>
      </c>
    </row>
    <row r="219" spans="1:48" ht="14.25" customHeight="1" x14ac:dyDescent="0.35">
      <c r="A219" s="2" t="s">
        <v>269</v>
      </c>
      <c r="B219" s="13" t="s">
        <v>50</v>
      </c>
      <c r="C219" s="13">
        <v>43018</v>
      </c>
      <c r="D219" s="14">
        <v>13298</v>
      </c>
      <c r="E219" s="14">
        <v>13543</v>
      </c>
      <c r="F219" s="14">
        <v>13704</v>
      </c>
      <c r="G219" s="14">
        <v>13653</v>
      </c>
      <c r="H219" s="15">
        <v>0</v>
      </c>
      <c r="I219" s="13">
        <v>0</v>
      </c>
      <c r="J219" s="16">
        <v>0</v>
      </c>
      <c r="K219" s="15">
        <v>0</v>
      </c>
      <c r="L219" s="13">
        <v>0</v>
      </c>
      <c r="M219" s="16">
        <v>0</v>
      </c>
      <c r="N219" s="15">
        <v>0</v>
      </c>
      <c r="O219" s="13">
        <v>0</v>
      </c>
      <c r="P219" s="16">
        <v>0</v>
      </c>
      <c r="Q219" s="16">
        <v>0</v>
      </c>
      <c r="R219" s="18">
        <v>0</v>
      </c>
      <c r="S219" s="16">
        <v>0</v>
      </c>
      <c r="T219" s="18">
        <v>0</v>
      </c>
      <c r="U219" s="16">
        <v>0</v>
      </c>
      <c r="V219" s="18">
        <v>0</v>
      </c>
      <c r="W219" s="16">
        <v>0</v>
      </c>
      <c r="X219" s="15">
        <v>0</v>
      </c>
      <c r="Y219" s="13">
        <v>0</v>
      </c>
      <c r="Z219" s="16">
        <v>0</v>
      </c>
      <c r="AA219" s="16">
        <v>0</v>
      </c>
      <c r="AB219" s="15">
        <v>0</v>
      </c>
      <c r="AC219" s="13">
        <v>0</v>
      </c>
      <c r="AD219" s="16">
        <v>0</v>
      </c>
      <c r="AE219" s="16">
        <v>0</v>
      </c>
      <c r="AF219" s="19">
        <v>0</v>
      </c>
      <c r="AG219" s="20">
        <v>0</v>
      </c>
      <c r="AH219" s="16">
        <v>0</v>
      </c>
      <c r="AI219" s="21">
        <v>0</v>
      </c>
      <c r="AJ219" s="22">
        <f>BattMobility!D275+cambio!D275+Claus2you!D275+CoopStroom!D275+Cozywheels!D275+Dégage!D275+Flexigo!D275+Klimaan!D275+Moovee!D275+Poppy!D275+'Mobilize Share'!D275+Stapp.in!D275</f>
        <v>0</v>
      </c>
      <c r="AK219" s="23">
        <f>BattMobility!E275+cambio!E275+Claus2you!E275+CoopStroom!E275+Cozywheels!E275+Dégage!E275+Flexigo!E275+Klimaan!E275+Moovee!E275+Poppy!E275+'Mobilize Share'!E275+Stapp.in!E275</f>
        <v>0</v>
      </c>
      <c r="AL219" s="21">
        <f t="shared" si="0"/>
        <v>0</v>
      </c>
      <c r="AM219" s="21">
        <f t="shared" si="1"/>
        <v>0</v>
      </c>
      <c r="AN219" s="25">
        <f t="shared" si="2"/>
        <v>0</v>
      </c>
      <c r="AO219" s="26" t="e">
        <f t="shared" si="3"/>
        <v>#DIV/0!</v>
      </c>
      <c r="AP219" s="27">
        <f>BattMobility!F275+cambio!F275+Claus2you!F275+CoopStroom!F275+Cozywheels!F275+Dégage!F275+Flexigo!F275+Klimaan!F275+Moovee!F275+Poppy!F275+'Mobilize Share'!F275+Stapp.in!F275</f>
        <v>2</v>
      </c>
      <c r="AQ219" s="25">
        <f>BattMobility!G275+cambio!G275+Claus2you!G275+CoopStroom!G275+Cozywheels!G275+Dégage!G275+Flexigo!G275+Klimaan!G275+Moovee!G275+Poppy!G275+'Mobilize Share'!G275+Stapp.in!G275</f>
        <v>2</v>
      </c>
      <c r="AR219" s="29">
        <f t="shared" si="4"/>
        <v>0.14648795136600012</v>
      </c>
      <c r="AS219" s="29">
        <f t="shared" si="5"/>
        <v>0.14648795136600012</v>
      </c>
      <c r="AT219" s="25">
        <f t="shared" si="6"/>
        <v>2</v>
      </c>
      <c r="AU219" s="30">
        <v>27.408000000000001</v>
      </c>
      <c r="AV219" s="31">
        <v>27.408000000000001</v>
      </c>
    </row>
    <row r="220" spans="1:48" ht="14.25" customHeight="1" x14ac:dyDescent="0.35">
      <c r="A220" s="2" t="s">
        <v>270</v>
      </c>
      <c r="B220" s="13" t="s">
        <v>52</v>
      </c>
      <c r="C220" s="13">
        <v>23099</v>
      </c>
      <c r="D220" s="14">
        <v>13928</v>
      </c>
      <c r="E220" s="14">
        <v>14051</v>
      </c>
      <c r="F220" s="14">
        <v>13962</v>
      </c>
      <c r="G220" s="14">
        <v>13940</v>
      </c>
      <c r="H220" s="15">
        <v>0</v>
      </c>
      <c r="I220" s="13">
        <v>0</v>
      </c>
      <c r="J220" s="16">
        <v>0</v>
      </c>
      <c r="K220" s="15">
        <v>0</v>
      </c>
      <c r="L220" s="13">
        <v>0</v>
      </c>
      <c r="M220" s="16">
        <v>0</v>
      </c>
      <c r="N220" s="15">
        <v>1</v>
      </c>
      <c r="O220" s="13">
        <v>1</v>
      </c>
      <c r="P220" s="16">
        <v>7.1169311792754972E-2</v>
      </c>
      <c r="Q220" s="16">
        <v>7.1169311792754972E-2</v>
      </c>
      <c r="R220" s="18">
        <v>1</v>
      </c>
      <c r="S220" s="16">
        <v>7.1169311792754972E-2</v>
      </c>
      <c r="T220" s="18">
        <v>1</v>
      </c>
      <c r="U220" s="16">
        <v>7.1169311792754972E-2</v>
      </c>
      <c r="V220" s="18">
        <v>0</v>
      </c>
      <c r="W220" s="16">
        <v>0</v>
      </c>
      <c r="X220" s="15">
        <v>2</v>
      </c>
      <c r="Y220" s="13">
        <v>0</v>
      </c>
      <c r="Z220" s="16">
        <v>0.14233862358550994</v>
      </c>
      <c r="AA220" s="16">
        <v>0</v>
      </c>
      <c r="AB220" s="15">
        <v>4</v>
      </c>
      <c r="AC220" s="13">
        <v>2</v>
      </c>
      <c r="AD220" s="16">
        <v>0.28649190660363844</v>
      </c>
      <c r="AE220" s="16">
        <v>0.14324595330181922</v>
      </c>
      <c r="AF220" s="19">
        <v>2</v>
      </c>
      <c r="AG220" s="20">
        <v>2</v>
      </c>
      <c r="AH220" s="16">
        <v>0.14324595330181922</v>
      </c>
      <c r="AI220" s="21">
        <v>0.14324595330181922</v>
      </c>
      <c r="AJ220" s="22">
        <f>BattMobility!D134+cambio!D134+Claus2you!D134+CoopStroom!D134+Cozywheels!D134+Dégage!D134+Flexigo!D134+Klimaan!D134+Moovee!D134+Poppy!D134+'Mobilize Share'!D134+Stapp.in!D134</f>
        <v>2</v>
      </c>
      <c r="AK220" s="23">
        <f>BattMobility!E134+cambio!E134+Claus2you!E134+CoopStroom!E134+Cozywheels!E134+Dégage!E134+Flexigo!E134+Klimaan!E134+Moovee!E134+Poppy!E134+'Mobilize Share'!E134+Stapp.in!E134</f>
        <v>2</v>
      </c>
      <c r="AL220" s="21">
        <f t="shared" si="0"/>
        <v>0.14347202295552366</v>
      </c>
      <c r="AM220" s="21">
        <f t="shared" si="1"/>
        <v>0.14347202295552366</v>
      </c>
      <c r="AN220" s="25">
        <f t="shared" si="2"/>
        <v>-2</v>
      </c>
      <c r="AO220" s="26">
        <f t="shared" si="3"/>
        <v>-0.5</v>
      </c>
      <c r="AP220" s="27">
        <f>BattMobility!F134+cambio!F134+Claus2you!F134+CoopStroom!F134+Cozywheels!F134+Dégage!F134+Flexigo!F134+Klimaan!F134+Moovee!F134+Poppy!F134+'Mobilize Share'!F134+Stapp.in!F134</f>
        <v>2</v>
      </c>
      <c r="AQ220" s="25">
        <f>BattMobility!G134+cambio!G134+Claus2you!G134+CoopStroom!G134+Cozywheels!G134+Dégage!G134+Flexigo!G134+Klimaan!G134+Moovee!G134+Poppy!G134+'Mobilize Share'!G134+Stapp.in!G134</f>
        <v>2</v>
      </c>
      <c r="AR220" s="29">
        <f t="shared" si="4"/>
        <v>0.14347202295552366</v>
      </c>
      <c r="AS220" s="29">
        <f t="shared" si="5"/>
        <v>0.14347202295552366</v>
      </c>
      <c r="AT220" s="25">
        <f t="shared" si="6"/>
        <v>0</v>
      </c>
      <c r="AU220" s="30">
        <v>27.923999999999999</v>
      </c>
      <c r="AV220" s="31">
        <v>25.923999999999999</v>
      </c>
    </row>
    <row r="221" spans="1:48" ht="14.25" customHeight="1" x14ac:dyDescent="0.35">
      <c r="A221" s="2" t="s">
        <v>271</v>
      </c>
      <c r="B221" s="13" t="s">
        <v>48</v>
      </c>
      <c r="C221" s="13">
        <v>11004</v>
      </c>
      <c r="D221" s="14">
        <v>13733</v>
      </c>
      <c r="E221" s="14">
        <v>13806</v>
      </c>
      <c r="F221" s="14">
        <v>13831</v>
      </c>
      <c r="G221" s="14">
        <v>14084</v>
      </c>
      <c r="H221" s="15">
        <v>2</v>
      </c>
      <c r="I221" s="13">
        <v>1</v>
      </c>
      <c r="J221" s="16">
        <v>0.14563460278162091</v>
      </c>
      <c r="K221" s="15">
        <v>1</v>
      </c>
      <c r="L221" s="13">
        <v>1</v>
      </c>
      <c r="M221" s="16">
        <v>7.2817301390810454E-2</v>
      </c>
      <c r="N221" s="15">
        <v>2</v>
      </c>
      <c r="O221" s="13">
        <v>2</v>
      </c>
      <c r="P221" s="16">
        <v>0.14486455164421266</v>
      </c>
      <c r="Q221" s="16">
        <v>0.14486455164421266</v>
      </c>
      <c r="R221" s="18">
        <v>0</v>
      </c>
      <c r="S221" s="16">
        <v>-7.7005113740824527E-4</v>
      </c>
      <c r="T221" s="18">
        <v>1</v>
      </c>
      <c r="U221" s="16">
        <v>7.2047250253402209E-2</v>
      </c>
      <c r="V221" s="18">
        <v>0</v>
      </c>
      <c r="W221" s="16">
        <v>0</v>
      </c>
      <c r="X221" s="15">
        <v>1</v>
      </c>
      <c r="Y221" s="13">
        <v>0</v>
      </c>
      <c r="Z221" s="16">
        <v>7.2432275822106332E-2</v>
      </c>
      <c r="AA221" s="16">
        <v>0</v>
      </c>
      <c r="AB221" s="15">
        <v>3</v>
      </c>
      <c r="AC221" s="13">
        <v>2</v>
      </c>
      <c r="AD221" s="16">
        <v>0.21690405610584917</v>
      </c>
      <c r="AE221" s="16">
        <v>0.14460270407056611</v>
      </c>
      <c r="AF221" s="19">
        <v>3</v>
      </c>
      <c r="AG221" s="20">
        <v>2</v>
      </c>
      <c r="AH221" s="16">
        <v>0.21690405610584917</v>
      </c>
      <c r="AI221" s="21">
        <v>0.14460270407056611</v>
      </c>
      <c r="AJ221" s="22">
        <f>BattMobility!D34+cambio!D34+Claus2you!D34+CoopStroom!D34+Cozywheels!D34+Dégage!D34+Flexigo!D34+Klimaan!D34+Moovee!D34+Poppy!D34+'Mobilize Share'!D34+Stapp.in!D34</f>
        <v>3</v>
      </c>
      <c r="AK221" s="23">
        <f>BattMobility!E34+cambio!E34+Claus2you!E34+CoopStroom!E34+Cozywheels!E34+Dégage!E34+Flexigo!E34+Klimaan!E34+Moovee!E34+Poppy!E34+'Mobilize Share'!E34+Stapp.in!E34</f>
        <v>2</v>
      </c>
      <c r="AL221" s="21">
        <f t="shared" si="0"/>
        <v>0.21300766827605794</v>
      </c>
      <c r="AM221" s="21">
        <f t="shared" si="1"/>
        <v>0.14200511218403863</v>
      </c>
      <c r="AN221" s="25">
        <f t="shared" si="2"/>
        <v>0</v>
      </c>
      <c r="AO221" s="26">
        <f t="shared" si="3"/>
        <v>0</v>
      </c>
      <c r="AP221" s="27">
        <f>BattMobility!F34+cambio!F34+Claus2you!F34+CoopStroom!F34+Cozywheels!F34+Dégage!F34+Flexigo!F34+Klimaan!F34+Moovee!F34+Poppy!F34+'Mobilize Share'!F34+Stapp.in!F34</f>
        <v>2</v>
      </c>
      <c r="AQ221" s="25">
        <f>BattMobility!G34+cambio!G34+Claus2you!G34+CoopStroom!G34+Cozywheels!G34+Dégage!G34+Flexigo!G34+Klimaan!G34+Moovee!G34+Poppy!G34+'Mobilize Share'!G34+Stapp.in!G34</f>
        <v>0</v>
      </c>
      <c r="AR221" s="29">
        <f t="shared" si="4"/>
        <v>0.14200511218403863</v>
      </c>
      <c r="AS221" s="29">
        <f t="shared" si="5"/>
        <v>0</v>
      </c>
      <c r="AT221" s="25">
        <f t="shared" si="6"/>
        <v>-1</v>
      </c>
      <c r="AU221" s="30">
        <v>27.661999999999999</v>
      </c>
      <c r="AV221" s="31">
        <v>24.661999999999999</v>
      </c>
    </row>
    <row r="222" spans="1:48" ht="14.25" customHeight="1" x14ac:dyDescent="0.35">
      <c r="A222" s="2" t="s">
        <v>272</v>
      </c>
      <c r="B222" s="13" t="s">
        <v>48</v>
      </c>
      <c r="C222" s="13">
        <v>13013</v>
      </c>
      <c r="D222" s="14">
        <v>14731</v>
      </c>
      <c r="E222" s="14">
        <v>14805</v>
      </c>
      <c r="F222" s="14">
        <v>14838</v>
      </c>
      <c r="G222" s="14">
        <v>14829</v>
      </c>
      <c r="H222" s="15">
        <v>0</v>
      </c>
      <c r="I222" s="13">
        <v>0</v>
      </c>
      <c r="J222" s="16">
        <v>0</v>
      </c>
      <c r="K222" s="15">
        <v>0</v>
      </c>
      <c r="L222" s="13">
        <v>0</v>
      </c>
      <c r="M222" s="16">
        <v>0</v>
      </c>
      <c r="N222" s="15">
        <v>0</v>
      </c>
      <c r="O222" s="13">
        <v>0</v>
      </c>
      <c r="P222" s="16">
        <v>0</v>
      </c>
      <c r="Q222" s="16">
        <v>0</v>
      </c>
      <c r="R222" s="18">
        <v>0</v>
      </c>
      <c r="S222" s="16">
        <v>0</v>
      </c>
      <c r="T222" s="18">
        <v>0</v>
      </c>
      <c r="U222" s="16">
        <v>0</v>
      </c>
      <c r="V222" s="18">
        <v>0</v>
      </c>
      <c r="W222" s="16">
        <v>0</v>
      </c>
      <c r="X222" s="15">
        <v>2</v>
      </c>
      <c r="Y222" s="13">
        <v>2</v>
      </c>
      <c r="Z222" s="16">
        <v>0.13508949679162446</v>
      </c>
      <c r="AA222" s="16">
        <v>0.13508949679162446</v>
      </c>
      <c r="AB222" s="15">
        <v>2</v>
      </c>
      <c r="AC222" s="13">
        <v>2</v>
      </c>
      <c r="AD222" s="16">
        <v>0.13478905512872355</v>
      </c>
      <c r="AE222" s="16">
        <v>0.13478905512872355</v>
      </c>
      <c r="AF222" s="19">
        <v>2</v>
      </c>
      <c r="AG222" s="20">
        <v>2</v>
      </c>
      <c r="AH222" s="16">
        <v>0.13478905512872355</v>
      </c>
      <c r="AI222" s="21">
        <v>0.13478905512872355</v>
      </c>
      <c r="AJ222" s="22">
        <f>BattMobility!D96+cambio!D96+Claus2you!D96+CoopStroom!D96+Cozywheels!D96+Dégage!D96+Flexigo!D96+Klimaan!D96+Moovee!D96+Poppy!D96+'Mobilize Share'!D96+Stapp.in!D96</f>
        <v>2</v>
      </c>
      <c r="AK222" s="23">
        <f>BattMobility!E96+cambio!E96+Claus2you!E96+CoopStroom!E96+Cozywheels!E96+Dégage!E96+Flexigo!E96+Klimaan!E96+Moovee!E96+Poppy!E96+'Mobilize Share'!E96+Stapp.in!E96</f>
        <v>2</v>
      </c>
      <c r="AL222" s="21">
        <f t="shared" si="0"/>
        <v>0.13487086115044844</v>
      </c>
      <c r="AM222" s="21">
        <f t="shared" si="1"/>
        <v>0.13487086115044844</v>
      </c>
      <c r="AN222" s="25">
        <f t="shared" si="2"/>
        <v>0</v>
      </c>
      <c r="AO222" s="26">
        <f t="shared" si="3"/>
        <v>0</v>
      </c>
      <c r="AP222" s="27">
        <f>BattMobility!F96+cambio!F96+Claus2you!F96+CoopStroom!F96+Cozywheels!F96+Dégage!F96+Flexigo!F96+Klimaan!F96+Moovee!F96+Poppy!F96+'Mobilize Share'!F96+Stapp.in!F96</f>
        <v>2</v>
      </c>
      <c r="AQ222" s="25">
        <f>BattMobility!G96+cambio!G96+Claus2you!G96+CoopStroom!G96+Cozywheels!G96+Dégage!G96+Flexigo!G96+Klimaan!G96+Moovee!G96+Poppy!G96+'Mobilize Share'!G96+Stapp.in!G96</f>
        <v>2</v>
      </c>
      <c r="AR222" s="29">
        <f t="shared" si="4"/>
        <v>0.13487086115044844</v>
      </c>
      <c r="AS222" s="29">
        <f t="shared" si="5"/>
        <v>0.13487086115044844</v>
      </c>
      <c r="AT222" s="25">
        <f t="shared" si="6"/>
        <v>0</v>
      </c>
      <c r="AU222" s="30">
        <v>29.675999999999998</v>
      </c>
      <c r="AV222" s="31">
        <v>27.675999999999998</v>
      </c>
    </row>
    <row r="223" spans="1:48" ht="14.25" customHeight="1" x14ac:dyDescent="0.35">
      <c r="A223" s="2" t="s">
        <v>273</v>
      </c>
      <c r="B223" s="13" t="s">
        <v>55</v>
      </c>
      <c r="C223" s="13">
        <v>31012</v>
      </c>
      <c r="D223" s="14">
        <v>14222</v>
      </c>
      <c r="E223" s="14">
        <v>14539</v>
      </c>
      <c r="F223" s="14">
        <v>14832</v>
      </c>
      <c r="G223" s="14">
        <v>14932</v>
      </c>
      <c r="H223" s="15">
        <v>0</v>
      </c>
      <c r="I223" s="13">
        <v>0</v>
      </c>
      <c r="J223" s="16">
        <v>0</v>
      </c>
      <c r="K223" s="15">
        <v>0</v>
      </c>
      <c r="L223" s="13">
        <v>0</v>
      </c>
      <c r="M223" s="16">
        <v>0</v>
      </c>
      <c r="N223" s="15">
        <v>0</v>
      </c>
      <c r="O223" s="13">
        <v>0</v>
      </c>
      <c r="P223" s="16">
        <v>0</v>
      </c>
      <c r="Q223" s="16">
        <v>0</v>
      </c>
      <c r="R223" s="18">
        <v>0</v>
      </c>
      <c r="S223" s="16">
        <v>0</v>
      </c>
      <c r="T223" s="18">
        <v>0</v>
      </c>
      <c r="U223" s="16">
        <v>0</v>
      </c>
      <c r="V223" s="18">
        <v>0</v>
      </c>
      <c r="W223" s="16">
        <v>0</v>
      </c>
      <c r="X223" s="15">
        <v>0</v>
      </c>
      <c r="Y223" s="13">
        <v>0</v>
      </c>
      <c r="Z223" s="16">
        <v>0</v>
      </c>
      <c r="AA223" s="16">
        <v>0</v>
      </c>
      <c r="AB223" s="15">
        <v>0</v>
      </c>
      <c r="AC223" s="13">
        <v>0</v>
      </c>
      <c r="AD223" s="16">
        <v>0</v>
      </c>
      <c r="AE223" s="16">
        <v>0</v>
      </c>
      <c r="AF223" s="19">
        <v>1</v>
      </c>
      <c r="AG223" s="20">
        <v>1</v>
      </c>
      <c r="AH223" s="16">
        <v>6.7421790722761596E-2</v>
      </c>
      <c r="AI223" s="21">
        <v>6.7421790722761596E-2</v>
      </c>
      <c r="AJ223" s="22">
        <f>BattMobility!D116+cambio!D116+Claus2you!D116+CoopStroom!D116+Cozywheels!D116+Dégage!D116+Flexigo!D116+Klimaan!D116+Moovee!D116+Poppy!D116+'Mobilize Share'!D116+Stapp.in!D116</f>
        <v>1</v>
      </c>
      <c r="AK223" s="23">
        <f>BattMobility!E116+cambio!E116+Claus2you!E116+CoopStroom!E116+Cozywheels!E116+Dégage!E116+Flexigo!E116+Klimaan!E116+Moovee!E116+Poppy!E116+'Mobilize Share'!E116+Stapp.in!E116</f>
        <v>1</v>
      </c>
      <c r="AL223" s="21">
        <f t="shared" si="0"/>
        <v>6.6970265202250204E-2</v>
      </c>
      <c r="AM223" s="21">
        <f t="shared" si="1"/>
        <v>6.6970265202250204E-2</v>
      </c>
      <c r="AN223" s="25">
        <f t="shared" si="2"/>
        <v>1</v>
      </c>
      <c r="AO223" s="26" t="e">
        <f t="shared" si="3"/>
        <v>#DIV/0!</v>
      </c>
      <c r="AP223" s="27">
        <f>BattMobility!F116+cambio!F116+Claus2you!F116+CoopStroom!F116+Cozywheels!F116+Dégage!F116+Flexigo!F116+Klimaan!F116+Moovee!F116+Poppy!F116+'Mobilize Share'!F116+Stapp.in!F116</f>
        <v>2</v>
      </c>
      <c r="AQ223" s="25">
        <f>BattMobility!G116+cambio!G116+Claus2you!G116+CoopStroom!G116+Cozywheels!G116+Dégage!G116+Flexigo!G116+Klimaan!G116+Moovee!G116+Poppy!G116+'Mobilize Share'!G116+Stapp.in!G116</f>
        <v>2</v>
      </c>
      <c r="AR223" s="29">
        <f t="shared" si="4"/>
        <v>0.13394053040450041</v>
      </c>
      <c r="AS223" s="29">
        <f t="shared" si="5"/>
        <v>0.13394053040450041</v>
      </c>
      <c r="AT223" s="25">
        <f t="shared" si="6"/>
        <v>1</v>
      </c>
      <c r="AU223" s="30">
        <v>29.664000000000001</v>
      </c>
      <c r="AV223" s="31">
        <v>28.664000000000001</v>
      </c>
    </row>
    <row r="224" spans="1:48" ht="14.25" customHeight="1" x14ac:dyDescent="0.35">
      <c r="A224" s="2" t="s">
        <v>274</v>
      </c>
      <c r="B224" s="13" t="s">
        <v>50</v>
      </c>
      <c r="C224" s="13">
        <v>42004</v>
      </c>
      <c r="D224" s="14">
        <v>14748</v>
      </c>
      <c r="E224" s="14">
        <v>14887</v>
      </c>
      <c r="F224" s="14">
        <v>14957</v>
      </c>
      <c r="G224" s="14">
        <v>15079</v>
      </c>
      <c r="H224" s="15">
        <v>1</v>
      </c>
      <c r="I224" s="13">
        <v>0</v>
      </c>
      <c r="J224" s="16">
        <v>6.7805804176837542E-2</v>
      </c>
      <c r="K224" s="15">
        <v>2</v>
      </c>
      <c r="L224" s="13">
        <v>0</v>
      </c>
      <c r="M224" s="16">
        <v>0.13561160835367508</v>
      </c>
      <c r="N224" s="15">
        <v>2</v>
      </c>
      <c r="O224" s="13">
        <v>2</v>
      </c>
      <c r="P224" s="16">
        <v>0.13434540202861558</v>
      </c>
      <c r="Q224" s="16">
        <v>0.13434540202861558</v>
      </c>
      <c r="R224" s="18">
        <v>1</v>
      </c>
      <c r="S224" s="16">
        <v>6.6539597851778043E-2</v>
      </c>
      <c r="T224" s="18">
        <v>0</v>
      </c>
      <c r="U224" s="16">
        <v>-1.266206325059499E-3</v>
      </c>
      <c r="V224" s="18">
        <v>0</v>
      </c>
      <c r="W224" s="16">
        <v>0</v>
      </c>
      <c r="X224" s="15">
        <v>2</v>
      </c>
      <c r="Y224" s="13">
        <v>2</v>
      </c>
      <c r="Z224" s="16">
        <v>0.13434540202861558</v>
      </c>
      <c r="AA224" s="16">
        <v>0.13434540202861558</v>
      </c>
      <c r="AB224" s="15">
        <v>2</v>
      </c>
      <c r="AC224" s="13">
        <v>2</v>
      </c>
      <c r="AD224" s="16">
        <v>0.13371665440930666</v>
      </c>
      <c r="AE224" s="16">
        <v>0.13371665440930666</v>
      </c>
      <c r="AF224" s="19">
        <v>2</v>
      </c>
      <c r="AG224" s="20">
        <v>2</v>
      </c>
      <c r="AH224" s="16">
        <v>0.13371665440930666</v>
      </c>
      <c r="AI224" s="21">
        <v>0.13371665440930666</v>
      </c>
      <c r="AJ224" s="22">
        <f>BattMobility!D46+cambio!D46+Claus2you!D46+CoopStroom!D46+Cozywheels!D46+Dégage!D46+Flexigo!D46+Klimaan!D46+Moovee!D46+Poppy!D46+'Mobilize Share'!D46+Stapp.in!D46</f>
        <v>2</v>
      </c>
      <c r="AK224" s="23">
        <f>BattMobility!E46+cambio!E46+Claus2you!E46+CoopStroom!E46+Cozywheels!E46+Dégage!E46+Flexigo!E46+Klimaan!E46+Moovee!E46+Poppy!E46+'Mobilize Share'!E46+Stapp.in!E46</f>
        <v>2</v>
      </c>
      <c r="AL224" s="21">
        <f t="shared" si="0"/>
        <v>0.13263479010544466</v>
      </c>
      <c r="AM224" s="21">
        <f t="shared" si="1"/>
        <v>0.13263479010544466</v>
      </c>
      <c r="AN224" s="25">
        <f t="shared" si="2"/>
        <v>0</v>
      </c>
      <c r="AO224" s="26">
        <f t="shared" si="3"/>
        <v>0</v>
      </c>
      <c r="AP224" s="27">
        <f>BattMobility!F46+cambio!F46+Claus2you!F46+CoopStroom!F46+Cozywheels!F46+Dégage!F46+Flexigo!F46+Klimaan!F46+Moovee!F46+Poppy!F46+'Mobilize Share'!F46+Stapp.in!F46</f>
        <v>2</v>
      </c>
      <c r="AQ224" s="25">
        <f>BattMobility!G46+cambio!G46+Claus2you!G46+CoopStroom!G46+Cozywheels!G46+Dégage!G46+Flexigo!G46+Klimaan!G46+Moovee!G46+Poppy!G46+'Mobilize Share'!G46+Stapp.in!G46</f>
        <v>2</v>
      </c>
      <c r="AR224" s="29">
        <f t="shared" si="4"/>
        <v>0.13263479010544466</v>
      </c>
      <c r="AS224" s="29">
        <f t="shared" si="5"/>
        <v>0.13263479010544466</v>
      </c>
      <c r="AT224" s="25">
        <f t="shared" si="6"/>
        <v>0</v>
      </c>
      <c r="AU224" s="30">
        <v>29.914000000000001</v>
      </c>
      <c r="AV224" s="31">
        <v>27.914000000000001</v>
      </c>
    </row>
    <row r="225" spans="1:48" ht="14.25" customHeight="1" x14ac:dyDescent="0.35">
      <c r="A225" s="2" t="s">
        <v>275</v>
      </c>
      <c r="B225" s="13" t="s">
        <v>50</v>
      </c>
      <c r="C225" s="13">
        <v>45059</v>
      </c>
      <c r="D225" s="14">
        <v>14850</v>
      </c>
      <c r="E225" s="14">
        <v>15007</v>
      </c>
      <c r="F225" s="14">
        <v>15073</v>
      </c>
      <c r="G225" s="14">
        <v>15127</v>
      </c>
      <c r="H225" s="15">
        <v>1</v>
      </c>
      <c r="I225" s="13">
        <v>0</v>
      </c>
      <c r="J225" s="16">
        <v>6.7340067340067339E-2</v>
      </c>
      <c r="K225" s="15">
        <v>2</v>
      </c>
      <c r="L225" s="13">
        <v>0</v>
      </c>
      <c r="M225" s="16">
        <v>0.13468013468013468</v>
      </c>
      <c r="N225" s="15">
        <v>2</v>
      </c>
      <c r="O225" s="13">
        <v>2</v>
      </c>
      <c r="P225" s="16">
        <v>0.13327114013460387</v>
      </c>
      <c r="Q225" s="16">
        <v>0.13327114013460387</v>
      </c>
      <c r="R225" s="18">
        <v>1</v>
      </c>
      <c r="S225" s="16">
        <v>6.5931072794536527E-2</v>
      </c>
      <c r="T225" s="18">
        <v>0</v>
      </c>
      <c r="U225" s="16">
        <v>-1.4089945455308117E-3</v>
      </c>
      <c r="V225" s="18">
        <v>0</v>
      </c>
      <c r="W225" s="16">
        <v>0</v>
      </c>
      <c r="X225" s="15">
        <v>2</v>
      </c>
      <c r="Y225" s="13">
        <v>2</v>
      </c>
      <c r="Z225" s="16">
        <v>0.13327114013460387</v>
      </c>
      <c r="AA225" s="16">
        <v>0.13327114013460387</v>
      </c>
      <c r="AB225" s="15">
        <v>2</v>
      </c>
      <c r="AC225" s="13">
        <v>2</v>
      </c>
      <c r="AD225" s="16">
        <v>0.13268758707622902</v>
      </c>
      <c r="AE225" s="16">
        <v>0.13268758707622902</v>
      </c>
      <c r="AF225" s="19">
        <v>3</v>
      </c>
      <c r="AG225" s="20">
        <v>3</v>
      </c>
      <c r="AH225" s="16">
        <v>0.19903138061434353</v>
      </c>
      <c r="AI225" s="21">
        <v>0.19903138061434353</v>
      </c>
      <c r="AJ225" s="22">
        <f>BattMobility!D40+cambio!D40+Claus2you!D40+CoopStroom!D40+Cozywheels!D40+Dégage!D40+Flexigo!D40+Klimaan!D40+Moovee!D40+Poppy!D40+'Mobilize Share'!D40+Stapp.in!D40</f>
        <v>3</v>
      </c>
      <c r="AK225" s="23">
        <f>BattMobility!E40+cambio!E40+Claus2you!E40+CoopStroom!E40+Cozywheels!E40+Dégage!E40+Flexigo!E40+Klimaan!E40+Moovee!E40+Poppy!E40+'Mobilize Share'!E40+Stapp.in!E40</f>
        <v>3</v>
      </c>
      <c r="AL225" s="21">
        <f t="shared" si="0"/>
        <v>0.19832088318899982</v>
      </c>
      <c r="AM225" s="21">
        <f t="shared" si="1"/>
        <v>0.19832088318899982</v>
      </c>
      <c r="AN225" s="25">
        <f t="shared" si="2"/>
        <v>1</v>
      </c>
      <c r="AO225" s="26">
        <f t="shared" si="3"/>
        <v>0.5</v>
      </c>
      <c r="AP225" s="27">
        <f>BattMobility!F40+cambio!F40+Claus2you!F40+CoopStroom!F40+Cozywheels!F40+Dégage!F40+Flexigo!F40+Klimaan!F40+Moovee!F40+Poppy!F40+'Mobilize Share'!F40+Stapp.in!F40</f>
        <v>2</v>
      </c>
      <c r="AQ225" s="25">
        <f>BattMobility!G40+cambio!G40+Claus2you!G40+CoopStroom!G40+Cozywheels!G40+Dégage!G40+Flexigo!G40+Klimaan!G40+Moovee!G40+Poppy!G40+'Mobilize Share'!G40+Stapp.in!G40</f>
        <v>2</v>
      </c>
      <c r="AR225" s="29">
        <f t="shared" si="4"/>
        <v>0.13221392212599986</v>
      </c>
      <c r="AS225" s="29">
        <f t="shared" si="5"/>
        <v>0.13221392212599986</v>
      </c>
      <c r="AT225" s="25">
        <f t="shared" si="6"/>
        <v>-1</v>
      </c>
      <c r="AU225" s="30">
        <v>30.146000000000001</v>
      </c>
      <c r="AV225" s="31">
        <v>27.146000000000001</v>
      </c>
    </row>
    <row r="226" spans="1:48" ht="14.25" customHeight="1" x14ac:dyDescent="0.35">
      <c r="A226" s="2" t="s">
        <v>276</v>
      </c>
      <c r="B226" s="13" t="s">
        <v>55</v>
      </c>
      <c r="C226" s="13">
        <v>34002</v>
      </c>
      <c r="D226" s="14">
        <v>15029</v>
      </c>
      <c r="E226" s="14">
        <v>15222</v>
      </c>
      <c r="F226" s="14">
        <v>15148</v>
      </c>
      <c r="G226" s="14">
        <v>15246</v>
      </c>
      <c r="H226" s="15">
        <v>0</v>
      </c>
      <c r="I226" s="13">
        <v>0</v>
      </c>
      <c r="J226" s="16">
        <v>0</v>
      </c>
      <c r="K226" s="15">
        <v>0</v>
      </c>
      <c r="L226" s="13">
        <v>0</v>
      </c>
      <c r="M226" s="16">
        <v>0</v>
      </c>
      <c r="N226" s="15">
        <v>0</v>
      </c>
      <c r="O226" s="13">
        <v>0</v>
      </c>
      <c r="P226" s="16">
        <v>0</v>
      </c>
      <c r="Q226" s="16">
        <v>0</v>
      </c>
      <c r="R226" s="18">
        <v>0</v>
      </c>
      <c r="S226" s="16">
        <v>0</v>
      </c>
      <c r="T226" s="18">
        <v>0</v>
      </c>
      <c r="U226" s="16">
        <v>0</v>
      </c>
      <c r="V226" s="18">
        <v>0</v>
      </c>
      <c r="W226" s="16">
        <v>0</v>
      </c>
      <c r="X226" s="15">
        <v>0</v>
      </c>
      <c r="Y226" s="13">
        <v>0</v>
      </c>
      <c r="Z226" s="16">
        <v>0</v>
      </c>
      <c r="AA226" s="16">
        <v>0</v>
      </c>
      <c r="AB226" s="15">
        <v>0</v>
      </c>
      <c r="AC226" s="13">
        <v>0</v>
      </c>
      <c r="AD226" s="16">
        <v>0</v>
      </c>
      <c r="AE226" s="16">
        <v>0</v>
      </c>
      <c r="AF226" s="19">
        <v>2</v>
      </c>
      <c r="AG226" s="20">
        <v>2</v>
      </c>
      <c r="AH226" s="16">
        <v>0.13203063110641669</v>
      </c>
      <c r="AI226" s="21">
        <v>0.13203063110641669</v>
      </c>
      <c r="AJ226" s="22">
        <f>BattMobility!D10+cambio!D10+Claus2you!D10+CoopStroom!D10+Cozywheels!D10+Dégage!D10+Flexigo!D10+Klimaan!D10+Moovee!D10+Poppy!D10+'Mobilize Share'!D10+Stapp.in!D10</f>
        <v>3</v>
      </c>
      <c r="AK226" s="23">
        <f>BattMobility!E10+cambio!E10+Claus2you!E10+CoopStroom!E10+Cozywheels!E10+Dégage!E10+Flexigo!E10+Klimaan!E10+Moovee!E10+Poppy!E10+'Mobilize Share'!E10+Stapp.in!E10</f>
        <v>3</v>
      </c>
      <c r="AL226" s="21">
        <f t="shared" si="0"/>
        <v>0.1967729240456513</v>
      </c>
      <c r="AM226" s="21">
        <f t="shared" si="1"/>
        <v>0.1967729240456513</v>
      </c>
      <c r="AN226" s="25">
        <f t="shared" si="2"/>
        <v>3</v>
      </c>
      <c r="AO226" s="26" t="e">
        <f t="shared" si="3"/>
        <v>#DIV/0!</v>
      </c>
      <c r="AP226" s="27">
        <f>BattMobility!F10+cambio!F10+Claus2you!F10+CoopStroom!F10+Cozywheels!F10+Dégage!F10+Flexigo!F10+Klimaan!F10+Moovee!F10+Poppy!F10+'Mobilize Share'!F10+Stapp.in!F10</f>
        <v>2</v>
      </c>
      <c r="AQ226" s="25">
        <f>BattMobility!G10+cambio!G10+Claus2you!G10+CoopStroom!G10+Cozywheels!G10+Dégage!G10+Flexigo!G10+Klimaan!G10+Moovee!G10+Poppy!G10+'Mobilize Share'!G10+Stapp.in!G10</f>
        <v>2</v>
      </c>
      <c r="AR226" s="29">
        <f t="shared" si="4"/>
        <v>0.13118194936376754</v>
      </c>
      <c r="AS226" s="29">
        <f t="shared" si="5"/>
        <v>0.13118194936376754</v>
      </c>
      <c r="AT226" s="25">
        <f t="shared" si="6"/>
        <v>0</v>
      </c>
      <c r="AU226" s="30">
        <v>30.295999999999999</v>
      </c>
      <c r="AV226" s="31">
        <v>28.295999999999999</v>
      </c>
    </row>
    <row r="227" spans="1:48" ht="14.25" customHeight="1" x14ac:dyDescent="0.35">
      <c r="A227" s="2" t="s">
        <v>277</v>
      </c>
      <c r="B227" s="13" t="s">
        <v>48</v>
      </c>
      <c r="C227" s="13">
        <v>13035</v>
      </c>
      <c r="D227" s="14">
        <v>15293</v>
      </c>
      <c r="E227" s="14">
        <v>15338</v>
      </c>
      <c r="F227" s="14">
        <v>15514</v>
      </c>
      <c r="G227" s="14">
        <v>15712</v>
      </c>
      <c r="H227" s="15">
        <v>0</v>
      </c>
      <c r="I227" s="13">
        <v>0</v>
      </c>
      <c r="J227" s="16">
        <v>0</v>
      </c>
      <c r="K227" s="15">
        <v>0</v>
      </c>
      <c r="L227" s="13">
        <v>0</v>
      </c>
      <c r="M227" s="16">
        <v>0</v>
      </c>
      <c r="N227" s="15">
        <v>0</v>
      </c>
      <c r="O227" s="13">
        <v>0</v>
      </c>
      <c r="P227" s="16">
        <v>0</v>
      </c>
      <c r="Q227" s="16">
        <v>0</v>
      </c>
      <c r="R227" s="18">
        <v>0</v>
      </c>
      <c r="S227" s="16">
        <v>0</v>
      </c>
      <c r="T227" s="18">
        <v>0</v>
      </c>
      <c r="U227" s="16">
        <v>0</v>
      </c>
      <c r="V227" s="18">
        <v>0</v>
      </c>
      <c r="W227" s="16">
        <v>0</v>
      </c>
      <c r="X227" s="15">
        <v>0</v>
      </c>
      <c r="Y227" s="13">
        <v>0</v>
      </c>
      <c r="Z227" s="16">
        <v>0</v>
      </c>
      <c r="AA227" s="16">
        <v>0</v>
      </c>
      <c r="AB227" s="15">
        <v>2</v>
      </c>
      <c r="AC227" s="13">
        <v>2</v>
      </c>
      <c r="AD227" s="16">
        <v>0.12891581797086502</v>
      </c>
      <c r="AE227" s="16">
        <v>0.12891581797086502</v>
      </c>
      <c r="AF227" s="19">
        <v>2</v>
      </c>
      <c r="AG227" s="20">
        <v>2</v>
      </c>
      <c r="AH227" s="16">
        <v>0.12891581797086502</v>
      </c>
      <c r="AI227" s="21">
        <v>0.12891581797086502</v>
      </c>
      <c r="AJ227" s="22">
        <f>BattMobility!D210+cambio!D210+Claus2you!D210+CoopStroom!D210+Cozywheels!D210+Dégage!D210+Flexigo!D210+Klimaan!D210+Moovee!D210+Poppy!D210+'Mobilize Share'!D210+Stapp.in!D210</f>
        <v>2</v>
      </c>
      <c r="AK227" s="23">
        <f>BattMobility!E210+cambio!E210+Claus2you!E210+CoopStroom!E210+Cozywheels!E210+Dégage!E210+Flexigo!E210+Klimaan!E210+Moovee!E210+Poppy!E210+'Mobilize Share'!E210+Stapp.in!E210</f>
        <v>2</v>
      </c>
      <c r="AL227" s="21">
        <f t="shared" si="0"/>
        <v>0.12729124236252545</v>
      </c>
      <c r="AM227" s="21">
        <f t="shared" si="1"/>
        <v>0.12729124236252545</v>
      </c>
      <c r="AN227" s="25">
        <f t="shared" si="2"/>
        <v>0</v>
      </c>
      <c r="AO227" s="26">
        <f t="shared" si="3"/>
        <v>0</v>
      </c>
      <c r="AP227" s="27">
        <f>BattMobility!F210+cambio!F210+Claus2you!F210+CoopStroom!F210+Cozywheels!F210+Dégage!F210+Flexigo!F210+Klimaan!F210+Moovee!F210+Poppy!F210+'Mobilize Share'!F210+Stapp.in!F210</f>
        <v>2</v>
      </c>
      <c r="AQ227" s="25">
        <f>BattMobility!G210+cambio!G210+Claus2you!G210+CoopStroom!G210+Cozywheels!G210+Dégage!G210+Flexigo!G210+Klimaan!G210+Moovee!G210+Poppy!G210+'Mobilize Share'!G210+Stapp.in!G210</f>
        <v>2</v>
      </c>
      <c r="AR227" s="29">
        <f t="shared" si="4"/>
        <v>0.12729124236252545</v>
      </c>
      <c r="AS227" s="29">
        <f t="shared" si="5"/>
        <v>0.12729124236252545</v>
      </c>
      <c r="AT227" s="25">
        <f t="shared" si="6"/>
        <v>0</v>
      </c>
      <c r="AU227" s="30">
        <v>31.027999999999999</v>
      </c>
      <c r="AV227" s="31">
        <v>29.027999999999999</v>
      </c>
    </row>
    <row r="228" spans="1:48" ht="14.25" customHeight="1" x14ac:dyDescent="0.35">
      <c r="A228" s="2" t="s">
        <v>278</v>
      </c>
      <c r="B228" s="13" t="s">
        <v>52</v>
      </c>
      <c r="C228" s="13">
        <v>23047</v>
      </c>
      <c r="D228" s="14">
        <v>16108</v>
      </c>
      <c r="E228" s="14">
        <v>16486</v>
      </c>
      <c r="F228" s="14">
        <v>16576</v>
      </c>
      <c r="G228" s="14">
        <v>16784</v>
      </c>
      <c r="H228" s="15">
        <v>3</v>
      </c>
      <c r="I228" s="13">
        <v>0</v>
      </c>
      <c r="J228" s="16">
        <v>0.18624286069034021</v>
      </c>
      <c r="K228" s="15">
        <v>3</v>
      </c>
      <c r="L228" s="13">
        <v>0</v>
      </c>
      <c r="M228" s="16">
        <v>0.18624286069034021</v>
      </c>
      <c r="N228" s="15">
        <v>2</v>
      </c>
      <c r="O228" s="13">
        <v>2</v>
      </c>
      <c r="P228" s="16">
        <v>0.12131505519835011</v>
      </c>
      <c r="Q228" s="16">
        <v>0.12131505519835011</v>
      </c>
      <c r="R228" s="18">
        <v>-1</v>
      </c>
      <c r="S228" s="16">
        <v>-6.4927805491990107E-2</v>
      </c>
      <c r="T228" s="18">
        <v>-1</v>
      </c>
      <c r="U228" s="16">
        <v>-6.4927805491990107E-2</v>
      </c>
      <c r="V228" s="18">
        <v>0</v>
      </c>
      <c r="W228" s="16">
        <v>0</v>
      </c>
      <c r="X228" s="15">
        <v>2</v>
      </c>
      <c r="Y228" s="13">
        <v>2</v>
      </c>
      <c r="Z228" s="16">
        <v>0.12131505519835011</v>
      </c>
      <c r="AA228" s="16">
        <v>0.12131505519835011</v>
      </c>
      <c r="AB228" s="15">
        <v>2</v>
      </c>
      <c r="AC228" s="13">
        <v>2</v>
      </c>
      <c r="AD228" s="16">
        <v>0.12065637065637067</v>
      </c>
      <c r="AE228" s="16">
        <v>0.12065637065637067</v>
      </c>
      <c r="AF228" s="19">
        <v>2</v>
      </c>
      <c r="AG228" s="20">
        <v>2</v>
      </c>
      <c r="AH228" s="16">
        <v>0.12065637065637067</v>
      </c>
      <c r="AI228" s="21">
        <v>0.12065637065637067</v>
      </c>
      <c r="AJ228" s="22">
        <f>BattMobility!D168+cambio!D168+Claus2you!D168+CoopStroom!D168+Cozywheels!D168+Dégage!D168+Flexigo!D168+Klimaan!D168+Moovee!D168+Poppy!D168+'Mobilize Share'!D168+Stapp.in!D168</f>
        <v>2</v>
      </c>
      <c r="AK228" s="23">
        <f>BattMobility!E168+cambio!E168+Claus2you!E168+CoopStroom!E168+Cozywheels!E168+Dégage!E168+Flexigo!E168+Klimaan!E168+Moovee!E168+Poppy!E168+'Mobilize Share'!E168+Stapp.in!E168</f>
        <v>2</v>
      </c>
      <c r="AL228" s="21">
        <f t="shared" si="0"/>
        <v>0.11916110581506197</v>
      </c>
      <c r="AM228" s="21">
        <f t="shared" si="1"/>
        <v>0.11916110581506197</v>
      </c>
      <c r="AN228" s="25">
        <f t="shared" si="2"/>
        <v>0</v>
      </c>
      <c r="AO228" s="26">
        <f t="shared" si="3"/>
        <v>0</v>
      </c>
      <c r="AP228" s="27">
        <f>BattMobility!F168+cambio!F168+Claus2you!F168+CoopStroom!F168+Cozywheels!F168+Dégage!F168+Flexigo!F168+Klimaan!F168+Moovee!F168+Poppy!F168+'Mobilize Share'!F168+Stapp.in!F168</f>
        <v>2</v>
      </c>
      <c r="AQ228" s="25">
        <f>BattMobility!G168+cambio!G168+Claus2you!G168+CoopStroom!G168+Cozywheels!G168+Dégage!G168+Flexigo!G168+Klimaan!G168+Moovee!G168+Poppy!G168+'Mobilize Share'!G168+Stapp.in!G168</f>
        <v>2</v>
      </c>
      <c r="AR228" s="29">
        <f t="shared" si="4"/>
        <v>0.11916110581506197</v>
      </c>
      <c r="AS228" s="29">
        <f t="shared" si="5"/>
        <v>0.11916110581506197</v>
      </c>
      <c r="AT228" s="25">
        <f t="shared" si="6"/>
        <v>0</v>
      </c>
      <c r="AU228" s="30">
        <v>33.152000000000001</v>
      </c>
      <c r="AV228" s="31">
        <v>31.152000000000001</v>
      </c>
    </row>
    <row r="229" spans="1:48" ht="14.25" customHeight="1" x14ac:dyDescent="0.35">
      <c r="A229" s="2" t="s">
        <v>279</v>
      </c>
      <c r="B229" s="13" t="s">
        <v>59</v>
      </c>
      <c r="C229" s="13">
        <v>73001</v>
      </c>
      <c r="D229" s="14">
        <v>11757</v>
      </c>
      <c r="E229" s="14">
        <v>11839</v>
      </c>
      <c r="F229" s="14">
        <v>11918</v>
      </c>
      <c r="G229" s="14">
        <v>11937</v>
      </c>
      <c r="H229" s="15">
        <v>2</v>
      </c>
      <c r="I229" s="13">
        <v>0</v>
      </c>
      <c r="J229" s="16">
        <v>0.17011142298205326</v>
      </c>
      <c r="K229" s="15">
        <v>2</v>
      </c>
      <c r="L229" s="13">
        <v>0</v>
      </c>
      <c r="M229" s="16">
        <v>0.17011142298205326</v>
      </c>
      <c r="N229" s="15">
        <v>2</v>
      </c>
      <c r="O229" s="13">
        <v>2</v>
      </c>
      <c r="P229" s="16">
        <v>0.16893318692457132</v>
      </c>
      <c r="Q229" s="16">
        <v>0.16893318692457132</v>
      </c>
      <c r="R229" s="18">
        <v>0</v>
      </c>
      <c r="S229" s="16">
        <v>-1.1782360574819351E-3</v>
      </c>
      <c r="T229" s="18">
        <v>0</v>
      </c>
      <c r="U229" s="16">
        <v>-1.1782360574819351E-3</v>
      </c>
      <c r="V229" s="18">
        <v>0</v>
      </c>
      <c r="W229" s="16">
        <v>0</v>
      </c>
      <c r="X229" s="15">
        <v>2</v>
      </c>
      <c r="Y229" s="13">
        <v>2</v>
      </c>
      <c r="Z229" s="16">
        <v>0.16893318692457132</v>
      </c>
      <c r="AA229" s="16">
        <v>0.16893318692457132</v>
      </c>
      <c r="AB229" s="15">
        <v>2</v>
      </c>
      <c r="AC229" s="13">
        <v>2</v>
      </c>
      <c r="AD229" s="16">
        <v>0.16781339150864241</v>
      </c>
      <c r="AE229" s="16">
        <v>0.16781339150864241</v>
      </c>
      <c r="AF229" s="19">
        <v>2</v>
      </c>
      <c r="AG229" s="20">
        <v>2</v>
      </c>
      <c r="AH229" s="16">
        <v>0.16781339150864241</v>
      </c>
      <c r="AI229" s="21">
        <v>0.16781339150864241</v>
      </c>
      <c r="AJ229" s="22">
        <f>BattMobility!D7+cambio!D7+Claus2you!D7+CoopStroom!D7+Cozywheels!D7+Dégage!D7+Flexigo!D7+Klimaan!D7+Moovee!D7+Poppy!D7+'Mobilize Share'!D7+Stapp.in!D7</f>
        <v>1</v>
      </c>
      <c r="AK229" s="23">
        <f>BattMobility!E7+cambio!E7+Claus2you!E7+CoopStroom!E7+Cozywheels!E7+Dégage!E7+Flexigo!E7+Klimaan!E7+Moovee!E7+Poppy!E7+'Mobilize Share'!E7+Stapp.in!E7</f>
        <v>0</v>
      </c>
      <c r="AL229" s="21">
        <f t="shared" si="0"/>
        <v>8.3773142330568831E-2</v>
      </c>
      <c r="AM229" s="21">
        <f t="shared" si="1"/>
        <v>0</v>
      </c>
      <c r="AN229" s="25">
        <f t="shared" si="2"/>
        <v>-1</v>
      </c>
      <c r="AO229" s="26">
        <f t="shared" si="3"/>
        <v>-0.5</v>
      </c>
      <c r="AP229" s="27">
        <f>BattMobility!F7+cambio!F7+Claus2you!F7+CoopStroom!F7+Cozywheels!F7+Dégage!F7+Flexigo!F7+Klimaan!F7+Moovee!F7+Poppy!F7+'Mobilize Share'!F7+Stapp.in!F7</f>
        <v>2</v>
      </c>
      <c r="AQ229" s="25">
        <f>BattMobility!G7+cambio!G7+Claus2you!G7+CoopStroom!G7+Cozywheels!G7+Dégage!G7+Flexigo!G7+Klimaan!G7+Moovee!G7+Poppy!G7+'Mobilize Share'!G7+Stapp.in!G7</f>
        <v>1</v>
      </c>
      <c r="AR229" s="29">
        <f t="shared" si="4"/>
        <v>0.16754628466113766</v>
      </c>
      <c r="AS229" s="29">
        <f t="shared" si="5"/>
        <v>8.3773142330568831E-2</v>
      </c>
      <c r="AT229" s="25">
        <f t="shared" si="6"/>
        <v>0</v>
      </c>
      <c r="AU229" s="30">
        <v>23.835999999999999</v>
      </c>
      <c r="AV229" s="31">
        <v>21.835999999999999</v>
      </c>
    </row>
    <row r="230" spans="1:48" ht="14.25" customHeight="1" x14ac:dyDescent="0.35">
      <c r="A230" s="2" t="s">
        <v>280</v>
      </c>
      <c r="B230" s="13" t="s">
        <v>55</v>
      </c>
      <c r="C230" s="13">
        <v>32003</v>
      </c>
      <c r="D230" s="14">
        <v>16926</v>
      </c>
      <c r="E230" s="14">
        <v>17174</v>
      </c>
      <c r="F230" s="14">
        <v>17228</v>
      </c>
      <c r="G230" s="14">
        <v>17337</v>
      </c>
      <c r="H230" s="15">
        <v>0</v>
      </c>
      <c r="I230" s="13">
        <v>0</v>
      </c>
      <c r="J230" s="16">
        <v>0</v>
      </c>
      <c r="K230" s="15">
        <v>0</v>
      </c>
      <c r="L230" s="13">
        <v>0</v>
      </c>
      <c r="M230" s="16">
        <v>0</v>
      </c>
      <c r="N230" s="15">
        <v>0</v>
      </c>
      <c r="O230" s="13">
        <v>0</v>
      </c>
      <c r="P230" s="16">
        <v>0</v>
      </c>
      <c r="Q230" s="16">
        <v>0</v>
      </c>
      <c r="R230" s="18">
        <v>0</v>
      </c>
      <c r="S230" s="16">
        <v>0</v>
      </c>
      <c r="T230" s="18">
        <v>0</v>
      </c>
      <c r="U230" s="16">
        <v>0</v>
      </c>
      <c r="V230" s="18">
        <v>0</v>
      </c>
      <c r="W230" s="16">
        <v>0</v>
      </c>
      <c r="X230" s="15">
        <v>0</v>
      </c>
      <c r="Y230" s="13">
        <v>0</v>
      </c>
      <c r="Z230" s="16">
        <v>0</v>
      </c>
      <c r="AA230" s="16">
        <v>0</v>
      </c>
      <c r="AB230" s="15">
        <v>1</v>
      </c>
      <c r="AC230" s="13">
        <v>0</v>
      </c>
      <c r="AD230" s="16">
        <v>5.8045042953331787E-2</v>
      </c>
      <c r="AE230" s="16">
        <v>0</v>
      </c>
      <c r="AF230" s="19">
        <v>1</v>
      </c>
      <c r="AG230" s="20">
        <v>0</v>
      </c>
      <c r="AH230" s="16">
        <v>5.8045042953331787E-2</v>
      </c>
      <c r="AI230" s="21">
        <v>0</v>
      </c>
      <c r="AJ230" s="22">
        <f>BattMobility!D59+cambio!D59+Claus2you!D59+CoopStroom!D59+Cozywheels!D59+Dégage!D59+Flexigo!D59+Klimaan!D59+Moovee!D59+Poppy!D59+'Mobilize Share'!D59+Stapp.in!D59</f>
        <v>1</v>
      </c>
      <c r="AK230" s="23">
        <f>BattMobility!E59+cambio!E59+Claus2you!E59+CoopStroom!E59+Cozywheels!E59+Dégage!E59+Flexigo!E59+Klimaan!E59+Moovee!E59+Poppy!E59+'Mobilize Share'!E59+Stapp.in!E59</f>
        <v>0</v>
      </c>
      <c r="AL230" s="21">
        <f t="shared" si="0"/>
        <v>5.7680106131395278E-2</v>
      </c>
      <c r="AM230" s="21">
        <f t="shared" si="1"/>
        <v>0</v>
      </c>
      <c r="AN230" s="25">
        <f t="shared" si="2"/>
        <v>0</v>
      </c>
      <c r="AO230" s="26">
        <f t="shared" si="3"/>
        <v>0</v>
      </c>
      <c r="AP230" s="27">
        <f>BattMobility!F59+cambio!F59+Claus2you!F59+CoopStroom!F59+Cozywheels!F59+Dégage!F59+Flexigo!F59+Klimaan!F59+Moovee!F59+Poppy!F59+'Mobilize Share'!F59+Stapp.in!F59</f>
        <v>2</v>
      </c>
      <c r="AQ230" s="25">
        <f>BattMobility!G59+cambio!G59+Claus2you!G59+CoopStroom!G59+Cozywheels!G59+Dégage!G59+Flexigo!G59+Klimaan!G59+Moovee!G59+Poppy!G59+'Mobilize Share'!G59+Stapp.in!G59</f>
        <v>1</v>
      </c>
      <c r="AR230" s="29">
        <f t="shared" si="4"/>
        <v>0.11536021226279056</v>
      </c>
      <c r="AS230" s="29">
        <f t="shared" si="5"/>
        <v>5.7680106131395278E-2</v>
      </c>
      <c r="AT230" s="25">
        <f t="shared" si="6"/>
        <v>1</v>
      </c>
      <c r="AU230" s="30">
        <v>34.456000000000003</v>
      </c>
      <c r="AV230" s="31">
        <v>33.456000000000003</v>
      </c>
    </row>
    <row r="231" spans="1:48" ht="14.25" customHeight="1" x14ac:dyDescent="0.35">
      <c r="A231" s="2" t="s">
        <v>281</v>
      </c>
      <c r="B231" s="13" t="s">
        <v>52</v>
      </c>
      <c r="C231" s="13">
        <v>23052</v>
      </c>
      <c r="D231" s="14">
        <v>17507</v>
      </c>
      <c r="E231" s="14">
        <v>17740</v>
      </c>
      <c r="F231" s="14">
        <v>18029</v>
      </c>
      <c r="G231" s="14">
        <v>18361</v>
      </c>
      <c r="H231" s="15">
        <v>0</v>
      </c>
      <c r="I231" s="13">
        <v>0</v>
      </c>
      <c r="J231" s="16">
        <v>0</v>
      </c>
      <c r="K231" s="15">
        <v>1</v>
      </c>
      <c r="L231" s="13">
        <v>1</v>
      </c>
      <c r="M231" s="16">
        <v>5.7120009139201462E-2</v>
      </c>
      <c r="N231" s="15">
        <v>0</v>
      </c>
      <c r="O231" s="13">
        <v>0</v>
      </c>
      <c r="P231" s="16">
        <v>0</v>
      </c>
      <c r="Q231" s="16">
        <v>0</v>
      </c>
      <c r="R231" s="18">
        <v>0</v>
      </c>
      <c r="S231" s="16">
        <v>0</v>
      </c>
      <c r="T231" s="18">
        <v>-1</v>
      </c>
      <c r="U231" s="16">
        <v>-5.7120009139201462E-2</v>
      </c>
      <c r="V231" s="18">
        <v>0</v>
      </c>
      <c r="W231" s="16">
        <v>0</v>
      </c>
      <c r="X231" s="15">
        <v>0</v>
      </c>
      <c r="Y231" s="13">
        <v>0</v>
      </c>
      <c r="Z231" s="16">
        <v>0</v>
      </c>
      <c r="AA231" s="16">
        <v>0</v>
      </c>
      <c r="AB231" s="15">
        <v>2</v>
      </c>
      <c r="AC231" s="13">
        <v>2</v>
      </c>
      <c r="AD231" s="16">
        <v>0.11093238671030006</v>
      </c>
      <c r="AE231" s="16">
        <v>0.11093238671030006</v>
      </c>
      <c r="AF231" s="19">
        <v>2</v>
      </c>
      <c r="AG231" s="20">
        <v>2</v>
      </c>
      <c r="AH231" s="16">
        <v>0.11093238671030006</v>
      </c>
      <c r="AI231" s="21">
        <v>0.11093238671030006</v>
      </c>
      <c r="AJ231" s="22">
        <f>BattMobility!D175+cambio!D175+Claus2you!D175+CoopStroom!D175+Cozywheels!D175+Dégage!D175+Flexigo!D175+Klimaan!D175+Moovee!D175+Poppy!D175+'Mobilize Share'!D175+Stapp.in!D175</f>
        <v>2</v>
      </c>
      <c r="AK231" s="23">
        <f>BattMobility!E175+cambio!E175+Claus2you!E175+CoopStroom!E175+Cozywheels!E175+Dégage!E175+Flexigo!E175+Klimaan!E175+Moovee!E175+Poppy!E175+'Mobilize Share'!E175+Stapp.in!E175</f>
        <v>2</v>
      </c>
      <c r="AL231" s="21">
        <f t="shared" si="0"/>
        <v>0.10892652905615162</v>
      </c>
      <c r="AM231" s="21">
        <f t="shared" si="1"/>
        <v>0.10892652905615162</v>
      </c>
      <c r="AN231" s="25">
        <f t="shared" si="2"/>
        <v>0</v>
      </c>
      <c r="AO231" s="26">
        <f t="shared" si="3"/>
        <v>0</v>
      </c>
      <c r="AP231" s="27">
        <f>BattMobility!F175+cambio!F175+Claus2you!F175+CoopStroom!F175+Cozywheels!F175+Dégage!F175+Flexigo!F175+Klimaan!F175+Moovee!F175+Poppy!F175+'Mobilize Share'!F175+Stapp.in!F175</f>
        <v>2</v>
      </c>
      <c r="AQ231" s="25">
        <f>BattMobility!G175+cambio!G175+Claus2you!G175+CoopStroom!G175+Cozywheels!G175+Dégage!G175+Flexigo!G175+Klimaan!G175+Moovee!G175+Poppy!G175+'Mobilize Share'!G175+Stapp.in!G175</f>
        <v>2</v>
      </c>
      <c r="AR231" s="29">
        <f t="shared" si="4"/>
        <v>0.10892652905615162</v>
      </c>
      <c r="AS231" s="29">
        <f t="shared" si="5"/>
        <v>0.10892652905615162</v>
      </c>
      <c r="AT231" s="25">
        <f t="shared" si="6"/>
        <v>0</v>
      </c>
      <c r="AU231" s="30">
        <v>36.058</v>
      </c>
      <c r="AV231" s="31">
        <v>34.058</v>
      </c>
    </row>
    <row r="232" spans="1:48" ht="14.25" customHeight="1" x14ac:dyDescent="0.35">
      <c r="A232" s="2" t="s">
        <v>282</v>
      </c>
      <c r="B232" s="13" t="s">
        <v>48</v>
      </c>
      <c r="C232" s="13">
        <v>12029</v>
      </c>
      <c r="D232" s="14">
        <v>18392</v>
      </c>
      <c r="E232" s="14">
        <v>18631</v>
      </c>
      <c r="F232" s="14">
        <v>18914</v>
      </c>
      <c r="G232" s="14">
        <v>19091</v>
      </c>
      <c r="H232" s="15">
        <v>3</v>
      </c>
      <c r="I232" s="13">
        <v>0</v>
      </c>
      <c r="J232" s="16">
        <v>0.16311439756415833</v>
      </c>
      <c r="K232" s="15">
        <v>1</v>
      </c>
      <c r="L232" s="13">
        <v>0</v>
      </c>
      <c r="M232" s="16">
        <v>5.4371465854719442E-2</v>
      </c>
      <c r="N232" s="15">
        <v>3</v>
      </c>
      <c r="O232" s="13">
        <v>3</v>
      </c>
      <c r="P232" s="16">
        <v>0.16102195265954591</v>
      </c>
      <c r="Q232" s="16">
        <v>0.16102195265954591</v>
      </c>
      <c r="R232" s="18">
        <v>0</v>
      </c>
      <c r="S232" s="16">
        <v>-2.0924449046124116E-3</v>
      </c>
      <c r="T232" s="18">
        <v>2</v>
      </c>
      <c r="U232" s="16">
        <v>0.10665048680482647</v>
      </c>
      <c r="V232" s="18">
        <v>1</v>
      </c>
      <c r="W232" s="16">
        <v>5.367398421984864E-2</v>
      </c>
      <c r="X232" s="15">
        <v>3</v>
      </c>
      <c r="Y232" s="13">
        <v>2</v>
      </c>
      <c r="Z232" s="16">
        <v>0.16102195265954591</v>
      </c>
      <c r="AA232" s="16">
        <v>0.10734796843969728</v>
      </c>
      <c r="AB232" s="15">
        <v>3</v>
      </c>
      <c r="AC232" s="13">
        <v>2</v>
      </c>
      <c r="AD232" s="16">
        <v>0.1586126678650735</v>
      </c>
      <c r="AE232" s="16">
        <v>0.10574177857671566</v>
      </c>
      <c r="AF232" s="19">
        <v>3</v>
      </c>
      <c r="AG232" s="20">
        <v>2</v>
      </c>
      <c r="AH232" s="16">
        <v>0.1586126678650735</v>
      </c>
      <c r="AI232" s="21">
        <v>0.10574177857671566</v>
      </c>
      <c r="AJ232" s="22">
        <f>BattMobility!D207+cambio!D207+Claus2you!D207+CoopStroom!D207+Cozywheels!D207+Dégage!D207+Flexigo!D207+Klimaan!D207+Moovee!D207+Poppy!D207+'Mobilize Share'!D207+Stapp.in!D207</f>
        <v>2</v>
      </c>
      <c r="AK232" s="23">
        <f>BattMobility!E207+cambio!E207+Claus2you!E207+CoopStroom!E207+Cozywheels!E207+Dégage!E207+Flexigo!E207+Klimaan!E207+Moovee!E207+Poppy!E207+'Mobilize Share'!E207+Stapp.in!E207</f>
        <v>2</v>
      </c>
      <c r="AL232" s="21">
        <f t="shared" si="0"/>
        <v>0.10476140589806715</v>
      </c>
      <c r="AM232" s="21">
        <f t="shared" si="1"/>
        <v>0.10476140589806715</v>
      </c>
      <c r="AN232" s="25">
        <f t="shared" si="2"/>
        <v>-1</v>
      </c>
      <c r="AO232" s="26">
        <f t="shared" si="3"/>
        <v>-0.33333333333333331</v>
      </c>
      <c r="AP232" s="27">
        <f>BattMobility!F207+cambio!F207+Claus2you!F207+CoopStroom!F207+Cozywheels!F207+Dégage!F207+Flexigo!F207+Klimaan!F207+Moovee!F207+Poppy!F207+'Mobilize Share'!F207+Stapp.in!F207</f>
        <v>2</v>
      </c>
      <c r="AQ232" s="25">
        <f>BattMobility!G207+cambio!G207+Claus2you!G207+CoopStroom!G207+Cozywheels!G207+Dégage!G207+Flexigo!G207+Klimaan!G207+Moovee!G207+Poppy!G207+'Mobilize Share'!G207+Stapp.in!G207</f>
        <v>2</v>
      </c>
      <c r="AR232" s="29">
        <f t="shared" si="4"/>
        <v>0.10476140589806715</v>
      </c>
      <c r="AS232" s="29">
        <f t="shared" si="5"/>
        <v>0.10476140589806715</v>
      </c>
      <c r="AT232" s="25">
        <f t="shared" si="6"/>
        <v>-1</v>
      </c>
      <c r="AU232" s="30">
        <v>37.828000000000003</v>
      </c>
      <c r="AV232" s="31">
        <v>34.828000000000003</v>
      </c>
    </row>
    <row r="233" spans="1:48" ht="14.25" customHeight="1" x14ac:dyDescent="0.35">
      <c r="A233" s="2" t="s">
        <v>283</v>
      </c>
      <c r="B233" s="13" t="s">
        <v>52</v>
      </c>
      <c r="C233" s="13">
        <v>23045</v>
      </c>
      <c r="D233" s="14">
        <v>19136</v>
      </c>
      <c r="E233" s="14">
        <v>19288</v>
      </c>
      <c r="F233" s="14">
        <v>19404</v>
      </c>
      <c r="G233" s="14">
        <v>19491</v>
      </c>
      <c r="H233" s="15">
        <v>1</v>
      </c>
      <c r="I233" s="13">
        <v>0</v>
      </c>
      <c r="J233" s="16">
        <v>5.225752508361204E-2</v>
      </c>
      <c r="K233" s="15">
        <v>0</v>
      </c>
      <c r="L233" s="13">
        <v>0</v>
      </c>
      <c r="M233" s="16">
        <v>0</v>
      </c>
      <c r="N233" s="15">
        <v>0</v>
      </c>
      <c r="O233" s="13">
        <v>0</v>
      </c>
      <c r="P233" s="16">
        <v>0</v>
      </c>
      <c r="Q233" s="16">
        <v>0</v>
      </c>
      <c r="R233" s="18">
        <v>-1</v>
      </c>
      <c r="S233" s="16">
        <v>-5.225752508361204E-2</v>
      </c>
      <c r="T233" s="18">
        <v>0</v>
      </c>
      <c r="U233" s="16">
        <v>0</v>
      </c>
      <c r="V233" s="18">
        <v>0</v>
      </c>
      <c r="W233" s="16">
        <v>0</v>
      </c>
      <c r="X233" s="15">
        <v>1</v>
      </c>
      <c r="Y233" s="13">
        <v>0</v>
      </c>
      <c r="Z233" s="16">
        <v>5.1845707175445871E-2</v>
      </c>
      <c r="AA233" s="16">
        <v>0</v>
      </c>
      <c r="AB233" s="15">
        <v>1</v>
      </c>
      <c r="AC233" s="13">
        <v>0</v>
      </c>
      <c r="AD233" s="16">
        <v>5.1535765821480103E-2</v>
      </c>
      <c r="AE233" s="16">
        <v>0</v>
      </c>
      <c r="AF233" s="19">
        <v>1</v>
      </c>
      <c r="AG233" s="20">
        <v>0</v>
      </c>
      <c r="AH233" s="16">
        <v>5.1535765821480103E-2</v>
      </c>
      <c r="AI233" s="21">
        <v>0</v>
      </c>
      <c r="AJ233" s="22">
        <f>BattMobility!D162+cambio!D162+Claus2you!D162+CoopStroom!D162+Cozywheels!D162+Dégage!D162+Flexigo!D162+Klimaan!D162+Moovee!D162+Poppy!D162+'Mobilize Share'!D162+Stapp.in!D162</f>
        <v>2</v>
      </c>
      <c r="AK233" s="23">
        <f>BattMobility!E162+cambio!E162+Claus2you!E162+CoopStroom!E162+Cozywheels!E162+Dégage!E162+Flexigo!E162+Klimaan!E162+Moovee!E162+Poppy!E162+'Mobilize Share'!E162+Stapp.in!E162</f>
        <v>0</v>
      </c>
      <c r="AL233" s="21">
        <f t="shared" si="0"/>
        <v>0.10261146170027192</v>
      </c>
      <c r="AM233" s="21">
        <f t="shared" si="1"/>
        <v>0</v>
      </c>
      <c r="AN233" s="25">
        <f t="shared" si="2"/>
        <v>1</v>
      </c>
      <c r="AO233" s="26">
        <f t="shared" si="3"/>
        <v>1</v>
      </c>
      <c r="AP233" s="27">
        <f>BattMobility!F162+cambio!F162+Claus2you!F162+CoopStroom!F162+Cozywheels!F162+Dégage!F162+Flexigo!F162+Klimaan!F162+Moovee!F162+Poppy!F162+'Mobilize Share'!F162+Stapp.in!F162</f>
        <v>2</v>
      </c>
      <c r="AQ233" s="25">
        <f>BattMobility!G162+cambio!G162+Claus2you!G162+CoopStroom!G162+Cozywheels!G162+Dégage!G162+Flexigo!G162+Klimaan!G162+Moovee!G162+Poppy!G162+'Mobilize Share'!G162+Stapp.in!G162</f>
        <v>0</v>
      </c>
      <c r="AR233" s="29">
        <f t="shared" si="4"/>
        <v>0.10261146170027192</v>
      </c>
      <c r="AS233" s="29">
        <f t="shared" si="5"/>
        <v>0</v>
      </c>
      <c r="AT233" s="25">
        <f t="shared" si="6"/>
        <v>1</v>
      </c>
      <c r="AU233" s="30">
        <v>38.808</v>
      </c>
      <c r="AV233" s="31">
        <v>37.808</v>
      </c>
    </row>
    <row r="234" spans="1:48" ht="14.25" customHeight="1" x14ac:dyDescent="0.35">
      <c r="A234" s="2" t="s">
        <v>284</v>
      </c>
      <c r="B234" s="13" t="s">
        <v>48</v>
      </c>
      <c r="C234" s="13">
        <v>11035</v>
      </c>
      <c r="D234" s="14">
        <v>19366</v>
      </c>
      <c r="E234" s="14">
        <v>19609</v>
      </c>
      <c r="F234" s="14">
        <v>19776</v>
      </c>
      <c r="G234" s="14">
        <v>19755</v>
      </c>
      <c r="H234" s="15">
        <v>0</v>
      </c>
      <c r="I234" s="13">
        <v>0</v>
      </c>
      <c r="J234" s="16">
        <v>0</v>
      </c>
      <c r="K234" s="15">
        <v>1</v>
      </c>
      <c r="L234" s="13">
        <v>0</v>
      </c>
      <c r="M234" s="16">
        <v>5.1636889393782914E-2</v>
      </c>
      <c r="N234" s="15">
        <v>0</v>
      </c>
      <c r="O234" s="13">
        <v>0</v>
      </c>
      <c r="P234" s="16">
        <v>0</v>
      </c>
      <c r="Q234" s="16">
        <v>0</v>
      </c>
      <c r="R234" s="18">
        <v>0</v>
      </c>
      <c r="S234" s="16">
        <v>0</v>
      </c>
      <c r="T234" s="18">
        <v>-1</v>
      </c>
      <c r="U234" s="16">
        <v>-5.1636889393782914E-2</v>
      </c>
      <c r="V234" s="18">
        <v>0</v>
      </c>
      <c r="W234" s="16">
        <v>0</v>
      </c>
      <c r="X234" s="15">
        <v>0</v>
      </c>
      <c r="Y234" s="13">
        <v>0</v>
      </c>
      <c r="Z234" s="16">
        <v>0</v>
      </c>
      <c r="AA234" s="16">
        <v>0</v>
      </c>
      <c r="AB234" s="15">
        <v>1</v>
      </c>
      <c r="AC234" s="13">
        <v>0</v>
      </c>
      <c r="AD234" s="16">
        <v>5.05663430420712E-2</v>
      </c>
      <c r="AE234" s="16">
        <v>0</v>
      </c>
      <c r="AF234" s="19">
        <v>0</v>
      </c>
      <c r="AG234" s="20">
        <v>0</v>
      </c>
      <c r="AH234" s="16">
        <v>0</v>
      </c>
      <c r="AI234" s="21">
        <v>0</v>
      </c>
      <c r="AJ234" s="22">
        <f>BattMobility!D209+cambio!D209+Claus2you!D209+CoopStroom!D209+Cozywheels!D209+Dégage!D209+Flexigo!D209+Klimaan!D209+Moovee!D209+Poppy!D209+'Mobilize Share'!D209+Stapp.in!D209</f>
        <v>2</v>
      </c>
      <c r="AK234" s="23">
        <f>BattMobility!E209+cambio!E209+Claus2you!E209+CoopStroom!E209+Cozywheels!E209+Dégage!E209+Flexigo!E209+Klimaan!E209+Moovee!E209+Poppy!E209+'Mobilize Share'!E209+Stapp.in!E209</f>
        <v>0</v>
      </c>
      <c r="AL234" s="21">
        <f t="shared" si="0"/>
        <v>0.10124019235636549</v>
      </c>
      <c r="AM234" s="21">
        <f t="shared" si="1"/>
        <v>0</v>
      </c>
      <c r="AN234" s="25">
        <f t="shared" si="2"/>
        <v>1</v>
      </c>
      <c r="AO234" s="26">
        <f t="shared" si="3"/>
        <v>1</v>
      </c>
      <c r="AP234" s="27">
        <f>BattMobility!F209+cambio!F209+Claus2you!F209+CoopStroom!F209+Cozywheels!F209+Dégage!F209+Flexigo!F209+Klimaan!F209+Moovee!F209+Poppy!F209+'Mobilize Share'!F209+Stapp.in!F209</f>
        <v>2</v>
      </c>
      <c r="AQ234" s="25">
        <f>BattMobility!G209+cambio!G209+Claus2you!G209+CoopStroom!G209+Cozywheels!G209+Dégage!G209+Flexigo!G209+Klimaan!G209+Moovee!G209+Poppy!G209+'Mobilize Share'!G209+Stapp.in!G209</f>
        <v>0</v>
      </c>
      <c r="AR234" s="29">
        <f t="shared" si="4"/>
        <v>0.10124019235636549</v>
      </c>
      <c r="AS234" s="29">
        <f t="shared" si="5"/>
        <v>0</v>
      </c>
      <c r="AT234" s="25">
        <f t="shared" si="6"/>
        <v>2</v>
      </c>
      <c r="AU234" s="30">
        <v>39.552</v>
      </c>
      <c r="AV234" s="31">
        <v>39.552</v>
      </c>
    </row>
    <row r="235" spans="1:48" ht="14.25" customHeight="1" x14ac:dyDescent="0.35">
      <c r="A235" s="2" t="s">
        <v>285</v>
      </c>
      <c r="B235" s="13" t="s">
        <v>50</v>
      </c>
      <c r="C235" s="13">
        <v>46024</v>
      </c>
      <c r="D235" s="14">
        <v>19030</v>
      </c>
      <c r="E235" s="14">
        <v>19273</v>
      </c>
      <c r="F235" s="14">
        <v>19589</v>
      </c>
      <c r="G235" s="14">
        <v>19767</v>
      </c>
      <c r="H235" s="15">
        <v>2</v>
      </c>
      <c r="I235" s="13">
        <v>0</v>
      </c>
      <c r="J235" s="16">
        <v>0.10509721492380451</v>
      </c>
      <c r="K235" s="15">
        <v>2</v>
      </c>
      <c r="L235" s="13">
        <v>0</v>
      </c>
      <c r="M235" s="16">
        <v>0.10509721492380451</v>
      </c>
      <c r="N235" s="15">
        <v>2</v>
      </c>
      <c r="O235" s="13">
        <v>2</v>
      </c>
      <c r="P235" s="16">
        <v>0.10377211643231463</v>
      </c>
      <c r="Q235" s="16">
        <v>0.10377211643231463</v>
      </c>
      <c r="R235" s="18">
        <v>0</v>
      </c>
      <c r="S235" s="16">
        <v>-1.3250984914898872E-3</v>
      </c>
      <c r="T235" s="18">
        <v>0</v>
      </c>
      <c r="U235" s="16">
        <v>-1.3250984914898872E-3</v>
      </c>
      <c r="V235" s="18">
        <v>0</v>
      </c>
      <c r="W235" s="16">
        <v>0</v>
      </c>
      <c r="X235" s="15">
        <v>2</v>
      </c>
      <c r="Y235" s="13">
        <v>2</v>
      </c>
      <c r="Z235" s="16">
        <v>0.10377211643231463</v>
      </c>
      <c r="AA235" s="16">
        <v>0.10377211643231463</v>
      </c>
      <c r="AB235" s="15">
        <v>2</v>
      </c>
      <c r="AC235" s="13">
        <v>2</v>
      </c>
      <c r="AD235" s="16">
        <v>0.10209811628975445</v>
      </c>
      <c r="AE235" s="16">
        <v>0.10209811628975445</v>
      </c>
      <c r="AF235" s="19">
        <v>2</v>
      </c>
      <c r="AG235" s="20">
        <v>2</v>
      </c>
      <c r="AH235" s="16">
        <v>0.10209811628975445</v>
      </c>
      <c r="AI235" s="21">
        <v>0.10209811628975445</v>
      </c>
      <c r="AJ235" s="22">
        <f>BattMobility!D236+cambio!D236+Claus2you!D236+CoopStroom!D236+Cozywheels!D236+Dégage!D236+Flexigo!D236+Klimaan!D236+Moovee!D236+Poppy!D236+'Mobilize Share'!D236+Stapp.in!D236</f>
        <v>2</v>
      </c>
      <c r="AK235" s="23">
        <f>BattMobility!E236+cambio!E236+Claus2you!E236+CoopStroom!E236+Cozywheels!E236+Dégage!E236+Flexigo!E236+Klimaan!E236+Moovee!E236+Poppy!E236+'Mobilize Share'!E236+Stapp.in!E236</f>
        <v>2</v>
      </c>
      <c r="AL235" s="21">
        <f t="shared" si="0"/>
        <v>0.10117873223048515</v>
      </c>
      <c r="AM235" s="21">
        <f t="shared" si="1"/>
        <v>0.10117873223048515</v>
      </c>
      <c r="AN235" s="25">
        <f t="shared" si="2"/>
        <v>0</v>
      </c>
      <c r="AO235" s="26">
        <f t="shared" si="3"/>
        <v>0</v>
      </c>
      <c r="AP235" s="27">
        <f>BattMobility!F236+cambio!F236+Claus2you!F236+CoopStroom!F236+Cozywheels!F236+Dégage!F236+Flexigo!F236+Klimaan!F236+Moovee!F236+Poppy!F236+'Mobilize Share'!F236+Stapp.in!F236</f>
        <v>2</v>
      </c>
      <c r="AQ235" s="25">
        <f>BattMobility!G236+cambio!G236+Claus2you!G236+CoopStroom!G236+Cozywheels!G236+Dégage!G236+Flexigo!G236+Klimaan!G236+Moovee!G236+Poppy!G236+'Mobilize Share'!G236+Stapp.in!G236</f>
        <v>2</v>
      </c>
      <c r="AR235" s="29">
        <f t="shared" si="4"/>
        <v>0.10117873223048515</v>
      </c>
      <c r="AS235" s="29">
        <f t="shared" si="5"/>
        <v>0.10117873223048515</v>
      </c>
      <c r="AT235" s="25">
        <f t="shared" si="6"/>
        <v>0</v>
      </c>
      <c r="AU235" s="30">
        <v>39.177999999999997</v>
      </c>
      <c r="AV235" s="31">
        <v>37.177999999999997</v>
      </c>
    </row>
    <row r="236" spans="1:48" ht="14.25" customHeight="1" x14ac:dyDescent="0.35">
      <c r="A236" s="2" t="s">
        <v>286</v>
      </c>
      <c r="B236" s="13" t="s">
        <v>59</v>
      </c>
      <c r="C236" s="13">
        <v>71037</v>
      </c>
      <c r="D236" s="14">
        <v>15172</v>
      </c>
      <c r="E236" s="14">
        <v>15366</v>
      </c>
      <c r="F236" s="14">
        <v>15320</v>
      </c>
      <c r="G236" s="14">
        <v>15347</v>
      </c>
      <c r="H236" s="15">
        <v>0</v>
      </c>
      <c r="I236" s="13">
        <v>0</v>
      </c>
      <c r="J236" s="16">
        <v>0</v>
      </c>
      <c r="K236" s="15">
        <v>0</v>
      </c>
      <c r="L236" s="13">
        <v>0</v>
      </c>
      <c r="M236" s="16">
        <v>0</v>
      </c>
      <c r="N236" s="15">
        <v>2</v>
      </c>
      <c r="O236" s="13">
        <v>2</v>
      </c>
      <c r="P236" s="16">
        <v>0.13015749056358195</v>
      </c>
      <c r="Q236" s="16">
        <v>0.13015749056358195</v>
      </c>
      <c r="R236" s="18">
        <v>2</v>
      </c>
      <c r="S236" s="16">
        <v>0.13015749056358195</v>
      </c>
      <c r="T236" s="18">
        <v>2</v>
      </c>
      <c r="U236" s="16">
        <v>0.13015749056358195</v>
      </c>
      <c r="V236" s="18">
        <v>0</v>
      </c>
      <c r="W236" s="16">
        <v>0</v>
      </c>
      <c r="X236" s="15">
        <v>3</v>
      </c>
      <c r="Y236" s="13">
        <v>2</v>
      </c>
      <c r="Z236" s="16">
        <v>0.19523623584537292</v>
      </c>
      <c r="AA236" s="16">
        <v>0.13015749056358195</v>
      </c>
      <c r="AB236" s="15">
        <v>4</v>
      </c>
      <c r="AC236" s="13">
        <v>3</v>
      </c>
      <c r="AD236" s="16">
        <v>0.2610966057441253</v>
      </c>
      <c r="AE236" s="16">
        <v>0.195822454308094</v>
      </c>
      <c r="AF236" s="19">
        <v>2</v>
      </c>
      <c r="AG236" s="20">
        <v>1</v>
      </c>
      <c r="AH236" s="16">
        <v>0.13054830287206265</v>
      </c>
      <c r="AI236" s="21">
        <v>6.5274151436031325E-2</v>
      </c>
      <c r="AJ236" s="22">
        <f>BattMobility!D164+cambio!D164+Claus2you!D164+CoopStroom!D164+Cozywheels!D164+Dégage!D164+Flexigo!D164+Klimaan!D164+Moovee!D164+Poppy!D164+'Mobilize Share'!D164+Stapp.in!D164</f>
        <v>2</v>
      </c>
      <c r="AK236" s="23">
        <f>BattMobility!E164+cambio!E164+Claus2you!E164+CoopStroom!E164+Cozywheels!E164+Dégage!E164+Flexigo!E164+Klimaan!E164+Moovee!E164+Poppy!E164+'Mobilize Share'!E164+Stapp.in!E164</f>
        <v>1</v>
      </c>
      <c r="AL236" s="21">
        <f t="shared" si="0"/>
        <v>0.13031862904802241</v>
      </c>
      <c r="AM236" s="21">
        <f t="shared" si="1"/>
        <v>6.5159314524011205E-2</v>
      </c>
      <c r="AN236" s="25">
        <f t="shared" si="2"/>
        <v>-2</v>
      </c>
      <c r="AO236" s="26">
        <f t="shared" si="3"/>
        <v>-0.5</v>
      </c>
      <c r="AP236" s="27">
        <f>BattMobility!F164+cambio!F164+Claus2you!F164+CoopStroom!F164+Cozywheels!F164+Dégage!F164+Flexigo!F164+Klimaan!F164+Moovee!F164+Poppy!F164+'Mobilize Share'!F164+Stapp.in!F164</f>
        <v>2</v>
      </c>
      <c r="AQ236" s="25">
        <f>BattMobility!G164+cambio!G164+Claus2you!G164+CoopStroom!G164+Cozywheels!G164+Dégage!G164+Flexigo!G164+Klimaan!G164+Moovee!G164+Poppy!G164+'Mobilize Share'!G164+Stapp.in!G164</f>
        <v>1</v>
      </c>
      <c r="AR236" s="29">
        <f t="shared" si="4"/>
        <v>0.13031862904802241</v>
      </c>
      <c r="AS236" s="29">
        <f t="shared" si="5"/>
        <v>6.5159314524011205E-2</v>
      </c>
      <c r="AT236" s="25">
        <f t="shared" si="6"/>
        <v>0</v>
      </c>
      <c r="AU236" s="30">
        <v>30.64</v>
      </c>
      <c r="AV236" s="31">
        <v>28.64</v>
      </c>
    </row>
    <row r="237" spans="1:48" ht="14.25" customHeight="1" x14ac:dyDescent="0.35">
      <c r="A237" s="2" t="s">
        <v>287</v>
      </c>
      <c r="B237" s="13" t="s">
        <v>52</v>
      </c>
      <c r="C237" s="13">
        <v>23050</v>
      </c>
      <c r="D237" s="14">
        <v>19991</v>
      </c>
      <c r="E237" s="14">
        <v>20239</v>
      </c>
      <c r="F237" s="14">
        <v>20299</v>
      </c>
      <c r="G237" s="14">
        <v>20392</v>
      </c>
      <c r="H237" s="15">
        <v>2</v>
      </c>
      <c r="I237" s="13">
        <v>0</v>
      </c>
      <c r="J237" s="16">
        <v>0.1000450202591166</v>
      </c>
      <c r="K237" s="15">
        <v>2</v>
      </c>
      <c r="L237" s="13">
        <v>0</v>
      </c>
      <c r="M237" s="16">
        <v>0.1000450202591166</v>
      </c>
      <c r="N237" s="15">
        <v>2</v>
      </c>
      <c r="O237" s="13">
        <v>2</v>
      </c>
      <c r="P237" s="16">
        <v>9.8819111616186561E-2</v>
      </c>
      <c r="Q237" s="16">
        <v>9.8819111616186561E-2</v>
      </c>
      <c r="R237" s="18">
        <v>0</v>
      </c>
      <c r="S237" s="16">
        <v>-1.2259086429300403E-3</v>
      </c>
      <c r="T237" s="18">
        <v>0</v>
      </c>
      <c r="U237" s="16">
        <v>-1.2259086429300403E-3</v>
      </c>
      <c r="V237" s="18">
        <v>0</v>
      </c>
      <c r="W237" s="16">
        <v>0</v>
      </c>
      <c r="X237" s="15">
        <v>3</v>
      </c>
      <c r="Y237" s="13">
        <v>3</v>
      </c>
      <c r="Z237" s="16">
        <v>0.14822866742427987</v>
      </c>
      <c r="AA237" s="16">
        <v>0.14822866742427987</v>
      </c>
      <c r="AB237" s="15">
        <v>2</v>
      </c>
      <c r="AC237" s="13">
        <v>2</v>
      </c>
      <c r="AD237" s="16">
        <v>9.8527021035518983E-2</v>
      </c>
      <c r="AE237" s="16">
        <v>9.8527021035518983E-2</v>
      </c>
      <c r="AF237" s="19">
        <v>2</v>
      </c>
      <c r="AG237" s="20">
        <v>2</v>
      </c>
      <c r="AH237" s="16">
        <v>9.8527021035518983E-2</v>
      </c>
      <c r="AI237" s="21">
        <v>9.8527021035518983E-2</v>
      </c>
      <c r="AJ237" s="22">
        <f>BattMobility!D173+cambio!D173+Claus2you!D173+CoopStroom!D173+Cozywheels!D173+Dégage!D173+Flexigo!D173+Klimaan!D173+Moovee!D173+Poppy!D173+'Mobilize Share'!D173+Stapp.in!D173</f>
        <v>2</v>
      </c>
      <c r="AK237" s="23">
        <f>BattMobility!E173+cambio!E173+Claus2you!E173+CoopStroom!E173+Cozywheels!E173+Dégage!E173+Flexigo!E173+Klimaan!E173+Moovee!E173+Poppy!E173+'Mobilize Share'!E173+Stapp.in!E173</f>
        <v>2</v>
      </c>
      <c r="AL237" s="21">
        <f t="shared" si="0"/>
        <v>9.8077677520596304E-2</v>
      </c>
      <c r="AM237" s="21">
        <f t="shared" si="1"/>
        <v>9.8077677520596304E-2</v>
      </c>
      <c r="AN237" s="25">
        <f t="shared" si="2"/>
        <v>0</v>
      </c>
      <c r="AO237" s="26">
        <f t="shared" si="3"/>
        <v>0</v>
      </c>
      <c r="AP237" s="27">
        <f>BattMobility!F173+cambio!F173+Claus2you!F173+CoopStroom!F173+Cozywheels!F173+Dégage!F173+Flexigo!F173+Klimaan!F173+Moovee!F173+Poppy!F173+'Mobilize Share'!F173+Stapp.in!F173</f>
        <v>2</v>
      </c>
      <c r="AQ237" s="25">
        <f>BattMobility!G173+cambio!G173+Claus2you!G173+CoopStroom!G173+Cozywheels!G173+Dégage!G173+Flexigo!G173+Klimaan!G173+Moovee!G173+Poppy!G173+'Mobilize Share'!G173+Stapp.in!G173</f>
        <v>2</v>
      </c>
      <c r="AR237" s="29">
        <f t="shared" si="4"/>
        <v>9.8077677520596304E-2</v>
      </c>
      <c r="AS237" s="29">
        <f t="shared" si="5"/>
        <v>9.8077677520596304E-2</v>
      </c>
      <c r="AT237" s="25">
        <f t="shared" si="6"/>
        <v>0</v>
      </c>
      <c r="AU237" s="30">
        <v>40.597999999999999</v>
      </c>
      <c r="AV237" s="31">
        <v>38.597999999999999</v>
      </c>
    </row>
    <row r="238" spans="1:48" ht="14.25" customHeight="1" x14ac:dyDescent="0.35">
      <c r="A238" s="2" t="s">
        <v>288</v>
      </c>
      <c r="B238" s="13" t="s">
        <v>48</v>
      </c>
      <c r="C238" s="13">
        <v>11024</v>
      </c>
      <c r="D238" s="14">
        <v>21340</v>
      </c>
      <c r="E238" s="14">
        <v>21624</v>
      </c>
      <c r="F238" s="14">
        <v>21693</v>
      </c>
      <c r="G238" s="14">
        <v>21801</v>
      </c>
      <c r="H238" s="15">
        <v>6</v>
      </c>
      <c r="I238" s="13">
        <v>0</v>
      </c>
      <c r="J238" s="16">
        <v>0.28116213683223995</v>
      </c>
      <c r="K238" s="15">
        <v>11</v>
      </c>
      <c r="L238" s="13">
        <v>0</v>
      </c>
      <c r="M238" s="16">
        <v>0.51546391752577325</v>
      </c>
      <c r="N238" s="15">
        <v>21</v>
      </c>
      <c r="O238" s="13">
        <v>0</v>
      </c>
      <c r="P238" s="16">
        <v>0.97114317425083241</v>
      </c>
      <c r="Q238" s="16">
        <v>0</v>
      </c>
      <c r="R238" s="18">
        <v>15</v>
      </c>
      <c r="S238" s="16">
        <v>0.6899810374185924</v>
      </c>
      <c r="T238" s="18">
        <v>10</v>
      </c>
      <c r="U238" s="16">
        <v>0.45567925672505916</v>
      </c>
      <c r="V238" s="18">
        <v>1</v>
      </c>
      <c r="W238" s="16">
        <v>4.624491305956345E-2</v>
      </c>
      <c r="X238" s="15">
        <v>28</v>
      </c>
      <c r="Y238" s="13">
        <v>0</v>
      </c>
      <c r="Z238" s="16">
        <v>1.2948575656677765</v>
      </c>
      <c r="AA238" s="16">
        <v>0</v>
      </c>
      <c r="AB238" s="15">
        <v>28</v>
      </c>
      <c r="AC238" s="13">
        <v>0</v>
      </c>
      <c r="AD238" s="16">
        <v>1.2907389480477574</v>
      </c>
      <c r="AE238" s="16">
        <v>0</v>
      </c>
      <c r="AF238" s="19">
        <v>2</v>
      </c>
      <c r="AG238" s="20">
        <v>0</v>
      </c>
      <c r="AH238" s="16">
        <v>9.2195639146268382E-2</v>
      </c>
      <c r="AI238" s="21">
        <v>0</v>
      </c>
      <c r="AJ238" s="22">
        <f>BattMobility!D129+cambio!D129+Claus2you!D129+CoopStroom!D129+Cozywheels!D129+Dégage!D129+Flexigo!D129+Klimaan!D129+Moovee!D129+Poppy!D129+'Mobilize Share'!D129+Stapp.in!D129</f>
        <v>2</v>
      </c>
      <c r="AK238" s="23">
        <f>BattMobility!E129+cambio!E129+Claus2you!E129+CoopStroom!E129+Cozywheels!E129+Dégage!E129+Flexigo!E129+Klimaan!E129+Moovee!E129+Poppy!E129+'Mobilize Share'!E129+Stapp.in!E129</f>
        <v>0</v>
      </c>
      <c r="AL238" s="21">
        <f t="shared" si="0"/>
        <v>9.1738911059125738E-2</v>
      </c>
      <c r="AM238" s="21">
        <f t="shared" si="1"/>
        <v>0</v>
      </c>
      <c r="AN238" s="25">
        <f t="shared" si="2"/>
        <v>-26</v>
      </c>
      <c r="AO238" s="26">
        <f t="shared" si="3"/>
        <v>-0.9285714285714286</v>
      </c>
      <c r="AP238" s="27">
        <f>BattMobility!F129+cambio!F129+Claus2you!F129+CoopStroom!F129+Cozywheels!F129+Dégage!F129+Flexigo!F129+Klimaan!F129+Moovee!F129+Poppy!F129+'Mobilize Share'!F129+Stapp.in!F129</f>
        <v>2</v>
      </c>
      <c r="AQ238" s="25">
        <f>BattMobility!G129+cambio!G129+Claus2you!G129+CoopStroom!G129+Cozywheels!G129+Dégage!G129+Flexigo!G129+Klimaan!G129+Moovee!G129+Poppy!G129+'Mobilize Share'!G129+Stapp.in!G129</f>
        <v>0</v>
      </c>
      <c r="AR238" s="29">
        <f t="shared" si="4"/>
        <v>9.1738911059125738E-2</v>
      </c>
      <c r="AS238" s="29">
        <f t="shared" si="5"/>
        <v>0</v>
      </c>
      <c r="AT238" s="25">
        <f t="shared" si="6"/>
        <v>0</v>
      </c>
      <c r="AU238" s="30">
        <v>43.386000000000003</v>
      </c>
      <c r="AV238" s="31">
        <v>41.386000000000003</v>
      </c>
    </row>
    <row r="239" spans="1:48" ht="14.25" customHeight="1" x14ac:dyDescent="0.35">
      <c r="A239" s="2" t="s">
        <v>289</v>
      </c>
      <c r="B239" s="13" t="s">
        <v>59</v>
      </c>
      <c r="C239" s="13">
        <v>71066</v>
      </c>
      <c r="D239" s="14">
        <v>21473</v>
      </c>
      <c r="E239" s="14">
        <v>21653</v>
      </c>
      <c r="F239" s="14">
        <v>21845</v>
      </c>
      <c r="G239" s="14">
        <v>21923</v>
      </c>
      <c r="H239" s="15">
        <v>0</v>
      </c>
      <c r="I239" s="13">
        <v>0</v>
      </c>
      <c r="J239" s="16">
        <v>0</v>
      </c>
      <c r="K239" s="15">
        <v>0</v>
      </c>
      <c r="L239" s="13">
        <v>0</v>
      </c>
      <c r="M239" s="16">
        <v>0</v>
      </c>
      <c r="N239" s="15">
        <v>1</v>
      </c>
      <c r="O239" s="13">
        <v>1</v>
      </c>
      <c r="P239" s="16">
        <v>4.6182976954694498E-2</v>
      </c>
      <c r="Q239" s="16">
        <v>4.6182976954694498E-2</v>
      </c>
      <c r="R239" s="18">
        <v>1</v>
      </c>
      <c r="S239" s="16">
        <v>4.6182976954694498E-2</v>
      </c>
      <c r="T239" s="18">
        <v>1</v>
      </c>
      <c r="U239" s="16">
        <v>4.6182976954694498E-2</v>
      </c>
      <c r="V239" s="18">
        <v>0</v>
      </c>
      <c r="W239" s="16">
        <v>0</v>
      </c>
      <c r="X239" s="15">
        <v>2</v>
      </c>
      <c r="Y239" s="13">
        <v>1</v>
      </c>
      <c r="Z239" s="16">
        <v>9.2365953909388995E-2</v>
      </c>
      <c r="AA239" s="16">
        <v>4.6182976954694498E-2</v>
      </c>
      <c r="AB239" s="15">
        <v>2</v>
      </c>
      <c r="AC239" s="13">
        <v>1</v>
      </c>
      <c r="AD239" s="16">
        <v>9.1554131380178524E-2</v>
      </c>
      <c r="AE239" s="16">
        <v>4.5777065690089262E-2</v>
      </c>
      <c r="AF239" s="19">
        <v>2</v>
      </c>
      <c r="AG239" s="20">
        <v>1</v>
      </c>
      <c r="AH239" s="16">
        <v>9.1554131380178524E-2</v>
      </c>
      <c r="AI239" s="21">
        <v>4.5777065690089262E-2</v>
      </c>
      <c r="AJ239" s="22">
        <f>BattMobility!D278+cambio!D278+Claus2you!D278+CoopStroom!D278+Cozywheels!D278+Dégage!D278+Flexigo!D278+Klimaan!D278+Moovee!D278+Poppy!D278+'Mobilize Share'!D278+Stapp.in!D278</f>
        <v>2</v>
      </c>
      <c r="AK239" s="23">
        <f>BattMobility!E278+cambio!E278+Claus2you!E278+CoopStroom!E278+Cozywheels!E278+Dégage!E278+Flexigo!E278+Klimaan!E278+Moovee!E278+Poppy!E278+'Mobilize Share'!E278+Stapp.in!E278</f>
        <v>1</v>
      </c>
      <c r="AL239" s="21">
        <f t="shared" si="0"/>
        <v>9.1228390275053597E-2</v>
      </c>
      <c r="AM239" s="21">
        <f t="shared" si="1"/>
        <v>4.5614195137526799E-2</v>
      </c>
      <c r="AN239" s="25">
        <f t="shared" si="2"/>
        <v>0</v>
      </c>
      <c r="AO239" s="26">
        <f t="shared" si="3"/>
        <v>0</v>
      </c>
      <c r="AP239" s="27">
        <f>BattMobility!F278+cambio!F278+Claus2you!F278+CoopStroom!F278+Cozywheels!F278+Dégage!F278+Flexigo!F278+Klimaan!F278+Moovee!F278+Poppy!F278+'Mobilize Share'!F278+Stapp.in!F278</f>
        <v>2</v>
      </c>
      <c r="AQ239" s="25">
        <f>BattMobility!G278+cambio!G278+Claus2you!G278+CoopStroom!G278+Cozywheels!G278+Dégage!G278+Flexigo!G278+Klimaan!G278+Moovee!G278+Poppy!G278+'Mobilize Share'!G278+Stapp.in!G278</f>
        <v>1</v>
      </c>
      <c r="AR239" s="29">
        <f t="shared" si="4"/>
        <v>9.1228390275053597E-2</v>
      </c>
      <c r="AS239" s="29">
        <f t="shared" si="5"/>
        <v>4.5614195137526799E-2</v>
      </c>
      <c r="AT239" s="25">
        <f t="shared" si="6"/>
        <v>0</v>
      </c>
      <c r="AU239" s="30">
        <v>43.69</v>
      </c>
      <c r="AV239" s="31">
        <v>41.69</v>
      </c>
    </row>
    <row r="240" spans="1:48" ht="14.25" customHeight="1" x14ac:dyDescent="0.35">
      <c r="A240" s="2" t="s">
        <v>290</v>
      </c>
      <c r="B240" s="13" t="s">
        <v>48</v>
      </c>
      <c r="C240" s="13">
        <v>11053</v>
      </c>
      <c r="D240" s="14">
        <v>21523</v>
      </c>
      <c r="E240" s="14">
        <v>21644</v>
      </c>
      <c r="F240" s="14">
        <v>21794</v>
      </c>
      <c r="G240" s="14">
        <v>21941</v>
      </c>
      <c r="H240" s="15">
        <v>0</v>
      </c>
      <c r="I240" s="13">
        <v>0</v>
      </c>
      <c r="J240" s="16">
        <v>0</v>
      </c>
      <c r="K240" s="15">
        <v>0</v>
      </c>
      <c r="L240" s="13">
        <v>0</v>
      </c>
      <c r="M240" s="16">
        <v>0</v>
      </c>
      <c r="N240" s="15">
        <v>3</v>
      </c>
      <c r="O240" s="13">
        <v>2</v>
      </c>
      <c r="P240" s="16">
        <v>0.13860654222879318</v>
      </c>
      <c r="Q240" s="16">
        <v>9.2404361485862133E-2</v>
      </c>
      <c r="R240" s="18">
        <v>3</v>
      </c>
      <c r="S240" s="16">
        <v>0.13860654222879318</v>
      </c>
      <c r="T240" s="18">
        <v>3</v>
      </c>
      <c r="U240" s="16">
        <v>0.13860654222879318</v>
      </c>
      <c r="V240" s="18">
        <v>1</v>
      </c>
      <c r="W240" s="16">
        <v>4.6202180742931066E-2</v>
      </c>
      <c r="X240" s="15">
        <v>3</v>
      </c>
      <c r="Y240" s="13">
        <v>2</v>
      </c>
      <c r="Z240" s="16">
        <v>0.13860654222879318</v>
      </c>
      <c r="AA240" s="16">
        <v>9.2404361485862133E-2</v>
      </c>
      <c r="AB240" s="15">
        <v>2</v>
      </c>
      <c r="AC240" s="13">
        <v>2</v>
      </c>
      <c r="AD240" s="16">
        <v>9.1768376617417644E-2</v>
      </c>
      <c r="AE240" s="16">
        <v>9.1768376617417644E-2</v>
      </c>
      <c r="AF240" s="19">
        <v>2</v>
      </c>
      <c r="AG240" s="20">
        <v>2</v>
      </c>
      <c r="AH240" s="16">
        <v>9.1768376617417644E-2</v>
      </c>
      <c r="AI240" s="21">
        <v>9.1768376617417644E-2</v>
      </c>
      <c r="AJ240" s="22">
        <f>BattMobility!D270+cambio!D270+Claus2you!D270+CoopStroom!D270+Cozywheels!D270+Dégage!D270+Flexigo!D270+Klimaan!D270+Moovee!D270+Poppy!D270+'Mobilize Share'!D270+Stapp.in!D270</f>
        <v>2</v>
      </c>
      <c r="AK240" s="23">
        <f>BattMobility!E270+cambio!E270+Claus2you!E270+CoopStroom!E270+Cozywheels!E270+Dégage!E270+Flexigo!E270+Klimaan!E270+Moovee!E270+Poppy!E270+'Mobilize Share'!E270+Stapp.in!E270</f>
        <v>2</v>
      </c>
      <c r="AL240" s="21">
        <f t="shared" si="0"/>
        <v>9.1153548151861802E-2</v>
      </c>
      <c r="AM240" s="21">
        <f t="shared" si="1"/>
        <v>9.1153548151861802E-2</v>
      </c>
      <c r="AN240" s="25">
        <f t="shared" si="2"/>
        <v>0</v>
      </c>
      <c r="AO240" s="26">
        <f t="shared" si="3"/>
        <v>0</v>
      </c>
      <c r="AP240" s="27">
        <f>BattMobility!F270+cambio!F270+Claus2you!F270+CoopStroom!F270+Cozywheels!F270+Dégage!F270+Flexigo!F270+Klimaan!F270+Moovee!F270+Poppy!F270+'Mobilize Share'!F270+Stapp.in!F270</f>
        <v>2</v>
      </c>
      <c r="AQ240" s="25">
        <f>BattMobility!G270+cambio!G270+Claus2you!G270+CoopStroom!G270+Cozywheels!G270+Dégage!G270+Flexigo!G270+Klimaan!G270+Moovee!G270+Poppy!G270+'Mobilize Share'!G270+Stapp.in!G270</f>
        <v>2</v>
      </c>
      <c r="AR240" s="29">
        <f t="shared" si="4"/>
        <v>9.1153548151861802E-2</v>
      </c>
      <c r="AS240" s="29">
        <f t="shared" si="5"/>
        <v>9.1153548151861802E-2</v>
      </c>
      <c r="AT240" s="25">
        <f t="shared" si="6"/>
        <v>0</v>
      </c>
      <c r="AU240" s="30">
        <v>43.588000000000001</v>
      </c>
      <c r="AV240" s="31">
        <v>41.588000000000001</v>
      </c>
    </row>
    <row r="241" spans="1:48" ht="14.25" customHeight="1" x14ac:dyDescent="0.35">
      <c r="A241" s="2" t="s">
        <v>291</v>
      </c>
      <c r="B241" s="13" t="s">
        <v>48</v>
      </c>
      <c r="C241" s="13">
        <v>11055</v>
      </c>
      <c r="D241" s="14">
        <v>22317</v>
      </c>
      <c r="E241" s="14">
        <v>22427</v>
      </c>
      <c r="F241" s="14">
        <v>22557</v>
      </c>
      <c r="G241" s="14">
        <v>22770</v>
      </c>
      <c r="H241" s="15">
        <v>0</v>
      </c>
      <c r="I241" s="13">
        <v>0</v>
      </c>
      <c r="J241" s="16">
        <v>0</v>
      </c>
      <c r="K241" s="15">
        <v>0</v>
      </c>
      <c r="L241" s="13">
        <v>0</v>
      </c>
      <c r="M241" s="16">
        <v>0</v>
      </c>
      <c r="N241" s="15">
        <v>2</v>
      </c>
      <c r="O241" s="13">
        <v>2</v>
      </c>
      <c r="P241" s="16">
        <v>8.9178222678022029E-2</v>
      </c>
      <c r="Q241" s="16">
        <v>8.9178222678022029E-2</v>
      </c>
      <c r="R241" s="18">
        <v>2</v>
      </c>
      <c r="S241" s="16">
        <v>8.9178222678022029E-2</v>
      </c>
      <c r="T241" s="18">
        <v>2</v>
      </c>
      <c r="U241" s="16">
        <v>8.9178222678022029E-2</v>
      </c>
      <c r="V241" s="18">
        <v>0</v>
      </c>
      <c r="W241" s="16">
        <v>0</v>
      </c>
      <c r="X241" s="15">
        <v>2</v>
      </c>
      <c r="Y241" s="13">
        <v>2</v>
      </c>
      <c r="Z241" s="16">
        <v>8.9178222678022029E-2</v>
      </c>
      <c r="AA241" s="16">
        <v>8.9178222678022029E-2</v>
      </c>
      <c r="AB241" s="15">
        <v>2</v>
      </c>
      <c r="AC241" s="13">
        <v>2</v>
      </c>
      <c r="AD241" s="16">
        <v>8.8664272731302923E-2</v>
      </c>
      <c r="AE241" s="16">
        <v>8.8664272731302923E-2</v>
      </c>
      <c r="AF241" s="19">
        <v>2</v>
      </c>
      <c r="AG241" s="20">
        <v>2</v>
      </c>
      <c r="AH241" s="16">
        <v>8.8664272731302923E-2</v>
      </c>
      <c r="AI241" s="21">
        <v>8.8664272731302923E-2</v>
      </c>
      <c r="AJ241" s="22">
        <f>BattMobility!D277+cambio!D277+Claus2you!D277+CoopStroom!D277+Cozywheels!D277+Dégage!D277+Flexigo!D277+Klimaan!D277+Moovee!D277+Poppy!D277+'Mobilize Share'!D277+Stapp.in!D277</f>
        <v>2</v>
      </c>
      <c r="AK241" s="23">
        <f>BattMobility!E277+cambio!E277+Claus2you!E277+CoopStroom!E277+Cozywheels!E277+Dégage!E277+Flexigo!E277+Klimaan!E277+Moovee!E277+Poppy!E277+'Mobilize Share'!E277+Stapp.in!E277</f>
        <v>2</v>
      </c>
      <c r="AL241" s="21">
        <f t="shared" si="0"/>
        <v>8.7834870443566096E-2</v>
      </c>
      <c r="AM241" s="21">
        <f t="shared" si="1"/>
        <v>8.7834870443566096E-2</v>
      </c>
      <c r="AN241" s="25">
        <f t="shared" si="2"/>
        <v>0</v>
      </c>
      <c r="AO241" s="26">
        <f t="shared" si="3"/>
        <v>0</v>
      </c>
      <c r="AP241" s="27">
        <f>BattMobility!F277+cambio!F277+Claus2you!F277+CoopStroom!F277+Cozywheels!F277+Dégage!F277+Flexigo!F277+Klimaan!F277+Moovee!F277+Poppy!F277+'Mobilize Share'!F277+Stapp.in!F277</f>
        <v>2</v>
      </c>
      <c r="AQ241" s="25">
        <f>BattMobility!G277+cambio!G277+Claus2you!G277+CoopStroom!G277+Cozywheels!G277+Dégage!G277+Flexigo!G277+Klimaan!G277+Moovee!G277+Poppy!G277+'Mobilize Share'!G277+Stapp.in!G277</f>
        <v>2</v>
      </c>
      <c r="AR241" s="29">
        <f t="shared" si="4"/>
        <v>8.7834870443566096E-2</v>
      </c>
      <c r="AS241" s="29">
        <f t="shared" si="5"/>
        <v>8.7834870443566096E-2</v>
      </c>
      <c r="AT241" s="25">
        <f t="shared" si="6"/>
        <v>0</v>
      </c>
      <c r="AU241" s="30">
        <v>45.113999999999997</v>
      </c>
      <c r="AV241" s="31">
        <v>43.113999999999997</v>
      </c>
    </row>
    <row r="242" spans="1:48" ht="14.25" customHeight="1" x14ac:dyDescent="0.35">
      <c r="A242" s="2" t="s">
        <v>292</v>
      </c>
      <c r="B242" s="13" t="s">
        <v>52</v>
      </c>
      <c r="C242" s="13">
        <v>24134</v>
      </c>
      <c r="D242" s="14">
        <v>23375</v>
      </c>
      <c r="E242" s="14">
        <v>23705</v>
      </c>
      <c r="F242" s="14">
        <v>24001</v>
      </c>
      <c r="G242" s="14">
        <v>24200</v>
      </c>
      <c r="H242" s="15">
        <v>1</v>
      </c>
      <c r="I242" s="13">
        <v>0</v>
      </c>
      <c r="J242" s="16">
        <v>4.2780748663101609E-2</v>
      </c>
      <c r="K242" s="15">
        <v>1</v>
      </c>
      <c r="L242" s="13">
        <v>0</v>
      </c>
      <c r="M242" s="16">
        <v>4.2780748663101609E-2</v>
      </c>
      <c r="N242" s="15">
        <v>2</v>
      </c>
      <c r="O242" s="13">
        <v>0</v>
      </c>
      <c r="P242" s="16">
        <v>8.437038599451592E-2</v>
      </c>
      <c r="Q242" s="16">
        <v>0</v>
      </c>
      <c r="R242" s="18">
        <v>1</v>
      </c>
      <c r="S242" s="16">
        <v>4.1589637331414311E-2</v>
      </c>
      <c r="T242" s="18">
        <v>1</v>
      </c>
      <c r="U242" s="16">
        <v>4.1589637331414311E-2</v>
      </c>
      <c r="V242" s="18">
        <v>0</v>
      </c>
      <c r="W242" s="16">
        <v>0</v>
      </c>
      <c r="X242" s="15">
        <v>3</v>
      </c>
      <c r="Y242" s="13">
        <v>0</v>
      </c>
      <c r="Z242" s="16">
        <v>0.12655557899177389</v>
      </c>
      <c r="AA242" s="16">
        <v>0</v>
      </c>
      <c r="AB242" s="15">
        <v>1</v>
      </c>
      <c r="AC242" s="13">
        <v>0</v>
      </c>
      <c r="AD242" s="16">
        <v>4.1664930627890506E-2</v>
      </c>
      <c r="AE242" s="16">
        <v>0</v>
      </c>
      <c r="AF242" s="19">
        <v>2</v>
      </c>
      <c r="AG242" s="20">
        <v>1</v>
      </c>
      <c r="AH242" s="16">
        <v>8.3329861255781013E-2</v>
      </c>
      <c r="AI242" s="21">
        <v>4.1664930627890506E-2</v>
      </c>
      <c r="AJ242" s="22">
        <f>BattMobility!D220+cambio!D220+Claus2you!D220+CoopStroom!D220+Cozywheels!D220+Dégage!D220+Flexigo!D220+Klimaan!D220+Moovee!D220+Poppy!D220+'Mobilize Share'!D220+Stapp.in!D220</f>
        <v>1</v>
      </c>
      <c r="AK242" s="23">
        <f>BattMobility!E220+cambio!E220+Claus2you!E220+CoopStroom!E220+Cozywheels!E220+Dégage!E220+Flexigo!E220+Klimaan!E220+Moovee!E220+Poppy!E220+'Mobilize Share'!E220+Stapp.in!E220</f>
        <v>0</v>
      </c>
      <c r="AL242" s="21">
        <f t="shared" si="0"/>
        <v>4.1322314049586778E-2</v>
      </c>
      <c r="AM242" s="21">
        <f t="shared" si="1"/>
        <v>0</v>
      </c>
      <c r="AN242" s="25">
        <f t="shared" si="2"/>
        <v>0</v>
      </c>
      <c r="AO242" s="26">
        <f t="shared" si="3"/>
        <v>0</v>
      </c>
      <c r="AP242" s="27">
        <f>BattMobility!F220+cambio!F220+Claus2you!F220+CoopStroom!F220+Cozywheels!F220+Dégage!F220+Flexigo!F220+Klimaan!F220+Moovee!F220+Poppy!F220+'Mobilize Share'!F220+Stapp.in!F220</f>
        <v>2</v>
      </c>
      <c r="AQ242" s="25">
        <f>BattMobility!G220+cambio!G220+Claus2you!G220+CoopStroom!G220+Cozywheels!G220+Dégage!G220+Flexigo!G220+Klimaan!G220+Moovee!G220+Poppy!G220+'Mobilize Share'!G220+Stapp.in!G220</f>
        <v>2</v>
      </c>
      <c r="AR242" s="29">
        <f t="shared" si="4"/>
        <v>8.2644628099173556E-2</v>
      </c>
      <c r="AS242" s="29">
        <f t="shared" si="5"/>
        <v>8.2644628099173556E-2</v>
      </c>
      <c r="AT242" s="25">
        <f t="shared" si="6"/>
        <v>0</v>
      </c>
      <c r="AU242" s="30">
        <v>48.002000000000002</v>
      </c>
      <c r="AV242" s="31">
        <v>46.002000000000002</v>
      </c>
    </row>
    <row r="243" spans="1:48" ht="14.25" customHeight="1" x14ac:dyDescent="0.35">
      <c r="A243" s="12" t="s">
        <v>293</v>
      </c>
      <c r="B243" s="13" t="s">
        <v>52</v>
      </c>
      <c r="C243" s="13">
        <v>23106</v>
      </c>
      <c r="D243" s="14"/>
      <c r="E243" s="14"/>
      <c r="F243" s="14"/>
      <c r="G243" s="14">
        <v>25287</v>
      </c>
      <c r="H243" s="15"/>
      <c r="I243" s="13"/>
      <c r="J243" s="16"/>
      <c r="K243" s="15"/>
      <c r="L243" s="13"/>
      <c r="M243" s="16"/>
      <c r="N243" s="15"/>
      <c r="O243" s="13"/>
      <c r="P243" s="16"/>
      <c r="Q243" s="16"/>
      <c r="R243" s="18"/>
      <c r="S243" s="16"/>
      <c r="T243" s="18"/>
      <c r="U243" s="16"/>
      <c r="V243" s="18"/>
      <c r="W243" s="16"/>
      <c r="X243" s="15"/>
      <c r="Y243" s="13"/>
      <c r="Z243" s="16"/>
      <c r="AA243" s="16"/>
      <c r="AB243" s="15">
        <f>'overzicht voor jun 25'!AA72+'overzicht voor jun 25'!AA82+'overzicht voor jun 25'!AA102</f>
        <v>1</v>
      </c>
      <c r="AC243" s="13">
        <f>'overzicht voor jun 25'!AB72+'overzicht voor jun 25'!AB82+'overzicht voor jun 25'!AB102</f>
        <v>1</v>
      </c>
      <c r="AD243" s="16"/>
      <c r="AE243" s="16"/>
      <c r="AF243" s="19"/>
      <c r="AG243" s="20"/>
      <c r="AH243" s="16"/>
      <c r="AI243" s="21"/>
      <c r="AJ243" s="22">
        <f>BattMobility!D201+cambio!D201+Claus2you!D201+CoopStroom!D201+Cozywheels!D201+Dégage!D201+Flexigo!D201+Klimaan!D201+Moovee!D201+Poppy!D201+'Mobilize Share'!D201+Stapp.in!D201</f>
        <v>2</v>
      </c>
      <c r="AK243" s="23">
        <f>BattMobility!E201+cambio!E201+Claus2you!E201+CoopStroom!E201+Cozywheels!E201+Dégage!E201+Flexigo!E201+Klimaan!E201+Moovee!E201+Poppy!E201+'Mobilize Share'!E201+Stapp.in!E201</f>
        <v>2</v>
      </c>
      <c r="AL243" s="21">
        <f t="shared" si="0"/>
        <v>7.909202356942302E-2</v>
      </c>
      <c r="AM243" s="21">
        <f t="shared" si="1"/>
        <v>7.909202356942302E-2</v>
      </c>
      <c r="AN243" s="25">
        <f t="shared" si="2"/>
        <v>1</v>
      </c>
      <c r="AO243" s="26">
        <f t="shared" si="3"/>
        <v>1</v>
      </c>
      <c r="AP243" s="27">
        <f>BattMobility!F201+cambio!F201+Claus2you!F201+CoopStroom!F201+Cozywheels!F201+Dégage!F201+Flexigo!F201+Klimaan!F201+Moovee!F201+Poppy!F201+'Mobilize Share'!F201+Stapp.in!F201</f>
        <v>2</v>
      </c>
      <c r="AQ243" s="25">
        <f>BattMobility!G201+cambio!G201+Claus2you!G201+CoopStroom!G201+Cozywheels!G201+Dégage!G201+Flexigo!G201+Klimaan!G201+Moovee!G201+Poppy!G201+'Mobilize Share'!G201+Stapp.in!G201</f>
        <v>2</v>
      </c>
      <c r="AR243" s="29">
        <f t="shared" si="4"/>
        <v>7.909202356942302E-2</v>
      </c>
      <c r="AS243" s="29">
        <f t="shared" si="5"/>
        <v>7.909202356942302E-2</v>
      </c>
      <c r="AT243" s="25">
        <f t="shared" si="6"/>
        <v>2</v>
      </c>
      <c r="AU243" s="30"/>
      <c r="AV243" s="31"/>
    </row>
    <row r="244" spans="1:48" ht="14.25" customHeight="1" x14ac:dyDescent="0.35">
      <c r="A244" s="2" t="s">
        <v>294</v>
      </c>
      <c r="B244" s="13" t="s">
        <v>48</v>
      </c>
      <c r="C244" s="13">
        <v>11009</v>
      </c>
      <c r="D244" s="14">
        <v>30143</v>
      </c>
      <c r="E244" s="14">
        <v>30387</v>
      </c>
      <c r="F244" s="14">
        <v>30610</v>
      </c>
      <c r="G244" s="14">
        <v>30664</v>
      </c>
      <c r="H244" s="15">
        <v>0</v>
      </c>
      <c r="I244" s="13">
        <v>0</v>
      </c>
      <c r="J244" s="16">
        <v>0</v>
      </c>
      <c r="K244" s="15">
        <v>0</v>
      </c>
      <c r="L244" s="13">
        <v>0</v>
      </c>
      <c r="M244" s="16">
        <v>0</v>
      </c>
      <c r="N244" s="15">
        <v>0</v>
      </c>
      <c r="O244" s="13">
        <v>0</v>
      </c>
      <c r="P244" s="16">
        <v>0</v>
      </c>
      <c r="Q244" s="16">
        <v>0</v>
      </c>
      <c r="R244" s="18">
        <v>0</v>
      </c>
      <c r="S244" s="16">
        <v>0</v>
      </c>
      <c r="T244" s="18">
        <v>0</v>
      </c>
      <c r="U244" s="16">
        <v>0</v>
      </c>
      <c r="V244" s="18">
        <v>0</v>
      </c>
      <c r="W244" s="16">
        <v>0</v>
      </c>
      <c r="X244" s="15">
        <v>0</v>
      </c>
      <c r="Y244" s="13">
        <v>0</v>
      </c>
      <c r="Z244" s="16">
        <v>0</v>
      </c>
      <c r="AA244" s="16">
        <v>0</v>
      </c>
      <c r="AB244" s="15">
        <v>1</v>
      </c>
      <c r="AC244" s="13">
        <v>0</v>
      </c>
      <c r="AD244" s="16">
        <v>3.2669062397909183E-2</v>
      </c>
      <c r="AE244" s="16">
        <v>0</v>
      </c>
      <c r="AF244" s="19">
        <v>2</v>
      </c>
      <c r="AG244" s="20">
        <v>0</v>
      </c>
      <c r="AH244" s="16">
        <v>6.5338124795818367E-2</v>
      </c>
      <c r="AI244" s="21">
        <v>0</v>
      </c>
      <c r="AJ244" s="22">
        <f>BattMobility!D42+cambio!D42+Claus2you!D42+CoopStroom!D42+Cozywheels!D42+Dégage!D42+Flexigo!D42+Klimaan!D42+Moovee!D42+Poppy!D42+'Mobilize Share'!D42+Stapp.in!D42</f>
        <v>2</v>
      </c>
      <c r="AK244" s="23">
        <f>BattMobility!E42+cambio!E42+Claus2you!E42+CoopStroom!E42+Cozywheels!E42+Dégage!E42+Flexigo!E42+Klimaan!E42+Moovee!E42+Poppy!E42+'Mobilize Share'!E42+Stapp.in!E42</f>
        <v>0</v>
      </c>
      <c r="AL244" s="21">
        <f t="shared" si="0"/>
        <v>6.5223062875032614E-2</v>
      </c>
      <c r="AM244" s="21">
        <f t="shared" si="1"/>
        <v>0</v>
      </c>
      <c r="AN244" s="25">
        <f t="shared" si="2"/>
        <v>1</v>
      </c>
      <c r="AO244" s="26">
        <f t="shared" si="3"/>
        <v>1</v>
      </c>
      <c r="AP244" s="27">
        <f>BattMobility!F42+cambio!F42+Claus2you!F42+CoopStroom!F42+Cozywheels!F42+Dégage!F42+Flexigo!F42+Klimaan!F42+Moovee!F42+Poppy!F42+'Mobilize Share'!F42+Stapp.in!F42</f>
        <v>2</v>
      </c>
      <c r="AQ244" s="25">
        <f>BattMobility!G42+cambio!G42+Claus2you!G42+CoopStroom!G42+Cozywheels!G42+Dégage!G42+Flexigo!G42+Klimaan!G42+Moovee!G42+Poppy!G42+'Mobilize Share'!G42+Stapp.in!G42</f>
        <v>0</v>
      </c>
      <c r="AR244" s="29">
        <f t="shared" si="4"/>
        <v>6.5223062875032614E-2</v>
      </c>
      <c r="AS244" s="29">
        <f t="shared" si="5"/>
        <v>0</v>
      </c>
      <c r="AT244" s="25">
        <f t="shared" si="6"/>
        <v>0</v>
      </c>
      <c r="AU244" s="30">
        <v>61.22</v>
      </c>
      <c r="AV244" s="31">
        <v>59.22</v>
      </c>
    </row>
    <row r="245" spans="1:48" ht="14.25" customHeight="1" x14ac:dyDescent="0.35">
      <c r="A245" s="2" t="s">
        <v>295</v>
      </c>
      <c r="B245" s="13" t="s">
        <v>59</v>
      </c>
      <c r="C245" s="13">
        <v>73042</v>
      </c>
      <c r="D245" s="14">
        <v>26172</v>
      </c>
      <c r="E245" s="14">
        <v>26270</v>
      </c>
      <c r="F245" s="14">
        <v>26366</v>
      </c>
      <c r="G245" s="14">
        <v>26457</v>
      </c>
      <c r="H245" s="15">
        <v>0</v>
      </c>
      <c r="I245" s="13">
        <v>0</v>
      </c>
      <c r="J245" s="16">
        <v>0</v>
      </c>
      <c r="K245" s="15">
        <v>0</v>
      </c>
      <c r="L245" s="13">
        <v>0</v>
      </c>
      <c r="M245" s="16">
        <v>0</v>
      </c>
      <c r="N245" s="15">
        <v>1</v>
      </c>
      <c r="O245" s="13">
        <v>0</v>
      </c>
      <c r="P245" s="16">
        <v>3.8066235249333842E-2</v>
      </c>
      <c r="Q245" s="16">
        <v>0</v>
      </c>
      <c r="R245" s="18">
        <v>1</v>
      </c>
      <c r="S245" s="16">
        <v>3.8066235249333842E-2</v>
      </c>
      <c r="T245" s="18">
        <v>1</v>
      </c>
      <c r="U245" s="16">
        <v>3.8066235249333842E-2</v>
      </c>
      <c r="V245" s="18">
        <v>0</v>
      </c>
      <c r="W245" s="16">
        <v>0</v>
      </c>
      <c r="X245" s="15">
        <v>3</v>
      </c>
      <c r="Y245" s="13">
        <v>1</v>
      </c>
      <c r="Z245" s="16">
        <v>0.11419870574800152</v>
      </c>
      <c r="AA245" s="16">
        <v>3.8066235249333842E-2</v>
      </c>
      <c r="AB245" s="15">
        <v>3</v>
      </c>
      <c r="AC245" s="13">
        <v>1</v>
      </c>
      <c r="AD245" s="16">
        <v>0.11378290222255937</v>
      </c>
      <c r="AE245" s="16">
        <v>3.792763407418645E-2</v>
      </c>
      <c r="AF245" s="19">
        <v>3</v>
      </c>
      <c r="AG245" s="20">
        <v>1</v>
      </c>
      <c r="AH245" s="16">
        <v>0.11378290222255937</v>
      </c>
      <c r="AI245" s="21">
        <v>3.792763407418645E-2</v>
      </c>
      <c r="AJ245" s="22">
        <f>BattMobility!D139+cambio!D139+Claus2you!D139+CoopStroom!D139+Cozywheels!D139+Dégage!D139+Flexigo!D139+Klimaan!D139+Moovee!D139+Poppy!D139+'Mobilize Share'!D139+Stapp.in!D139</f>
        <v>3</v>
      </c>
      <c r="AK245" s="23">
        <f>BattMobility!E139+cambio!E139+Claus2you!E139+CoopStroom!E139+Cozywheels!E139+Dégage!E139+Flexigo!E139+Klimaan!E139+Moovee!E139+Poppy!E139+'Mobilize Share'!E139+Stapp.in!E139</f>
        <v>1</v>
      </c>
      <c r="AL245" s="21">
        <f t="shared" si="0"/>
        <v>0.11339154099104207</v>
      </c>
      <c r="AM245" s="21">
        <f t="shared" si="1"/>
        <v>3.779718033034736E-2</v>
      </c>
      <c r="AN245" s="25">
        <f t="shared" si="2"/>
        <v>0</v>
      </c>
      <c r="AO245" s="26">
        <f t="shared" si="3"/>
        <v>0</v>
      </c>
      <c r="AP245" s="27">
        <f>BattMobility!F139+cambio!F139+Claus2you!F139+CoopStroom!F139+Cozywheels!F139+Dégage!F139+Flexigo!F139+Klimaan!F139+Moovee!F139+Poppy!F139+'Mobilize Share'!F139+Stapp.in!F139</f>
        <v>2</v>
      </c>
      <c r="AQ245" s="25">
        <f>BattMobility!G139+cambio!G139+Claus2you!G139+CoopStroom!G139+Cozywheels!G139+Dégage!G139+Flexigo!G139+Klimaan!G139+Moovee!G139+Poppy!G139+'Mobilize Share'!G139+Stapp.in!G139</f>
        <v>1</v>
      </c>
      <c r="AR245" s="29">
        <f t="shared" si="4"/>
        <v>7.559436066069472E-2</v>
      </c>
      <c r="AS245" s="29">
        <f t="shared" si="5"/>
        <v>3.779718033034736E-2</v>
      </c>
      <c r="AT245" s="25">
        <f t="shared" si="6"/>
        <v>-1</v>
      </c>
      <c r="AU245" s="30">
        <v>52.731999999999999</v>
      </c>
      <c r="AV245" s="31">
        <v>49.731999999999999</v>
      </c>
    </row>
    <row r="246" spans="1:48" ht="14.25" customHeight="1" x14ac:dyDescent="0.35">
      <c r="A246" s="2" t="s">
        <v>296</v>
      </c>
      <c r="B246" s="13" t="s">
        <v>59</v>
      </c>
      <c r="C246" s="13">
        <v>72039</v>
      </c>
      <c r="D246" s="14">
        <v>30844</v>
      </c>
      <c r="E246" s="14">
        <v>30960</v>
      </c>
      <c r="F246" s="14">
        <v>30896</v>
      </c>
      <c r="G246" s="14">
        <v>30945</v>
      </c>
      <c r="H246" s="15">
        <v>1</v>
      </c>
      <c r="I246" s="13">
        <v>0</v>
      </c>
      <c r="J246" s="16">
        <v>3.242121644404098E-2</v>
      </c>
      <c r="K246" s="15">
        <v>0</v>
      </c>
      <c r="L246" s="13">
        <v>0</v>
      </c>
      <c r="M246" s="16">
        <v>0</v>
      </c>
      <c r="N246" s="15">
        <v>0</v>
      </c>
      <c r="O246" s="13">
        <v>0</v>
      </c>
      <c r="P246" s="16">
        <v>0</v>
      </c>
      <c r="Q246" s="16">
        <v>0</v>
      </c>
      <c r="R246" s="18">
        <v>-1</v>
      </c>
      <c r="S246" s="16">
        <v>-3.242121644404098E-2</v>
      </c>
      <c r="T246" s="18">
        <v>0</v>
      </c>
      <c r="U246" s="16">
        <v>0</v>
      </c>
      <c r="V246" s="18">
        <v>0</v>
      </c>
      <c r="W246" s="16">
        <v>0</v>
      </c>
      <c r="X246" s="15">
        <v>1</v>
      </c>
      <c r="Y246" s="13">
        <v>1</v>
      </c>
      <c r="Z246" s="16">
        <v>3.2299741602067181E-2</v>
      </c>
      <c r="AA246" s="16">
        <v>3.2299741602067181E-2</v>
      </c>
      <c r="AB246" s="15">
        <v>3</v>
      </c>
      <c r="AC246" s="13">
        <v>1</v>
      </c>
      <c r="AD246" s="16">
        <v>9.7099948213360945E-2</v>
      </c>
      <c r="AE246" s="16">
        <v>3.2366649404453648E-2</v>
      </c>
      <c r="AF246" s="19">
        <v>3</v>
      </c>
      <c r="AG246" s="20">
        <v>1</v>
      </c>
      <c r="AH246" s="16">
        <v>9.7099948213360945E-2</v>
      </c>
      <c r="AI246" s="21">
        <v>3.2366649404453648E-2</v>
      </c>
      <c r="AJ246" s="22">
        <f>BattMobility!D107+cambio!D107+Claus2you!D107+CoopStroom!D107+Cozywheels!D107+Dégage!D107+Flexigo!D107+Klimaan!D107+Moovee!D107+Poppy!D107+'Mobilize Share'!D107+Stapp.in!D107</f>
        <v>2</v>
      </c>
      <c r="AK246" s="23">
        <f>BattMobility!E107+cambio!E107+Claus2you!E107+CoopStroom!E107+Cozywheels!E107+Dégage!E107+Flexigo!E107+Klimaan!E107+Moovee!E107+Poppy!E107+'Mobilize Share'!E107+Stapp.in!E107</f>
        <v>0</v>
      </c>
      <c r="AL246" s="21">
        <f t="shared" si="0"/>
        <v>6.4630796574567773E-2</v>
      </c>
      <c r="AM246" s="21">
        <f t="shared" si="1"/>
        <v>0</v>
      </c>
      <c r="AN246" s="25">
        <f t="shared" si="2"/>
        <v>-1</v>
      </c>
      <c r="AO246" s="26">
        <f t="shared" si="3"/>
        <v>-0.33333333333333331</v>
      </c>
      <c r="AP246" s="27">
        <f>BattMobility!F107+cambio!F107+Claus2you!F107+CoopStroom!F107+Cozywheels!F107+Dégage!F107+Flexigo!F107+Klimaan!F107+Moovee!F107+Poppy!F107+'Mobilize Share'!F107+Stapp.in!F107</f>
        <v>2</v>
      </c>
      <c r="AQ246" s="25">
        <f>BattMobility!G107+cambio!G107+Claus2you!G107+CoopStroom!G107+Cozywheels!G107+Dégage!G107+Flexigo!G107+Klimaan!G107+Moovee!G107+Poppy!G107+'Mobilize Share'!G107+Stapp.in!G107</f>
        <v>1</v>
      </c>
      <c r="AR246" s="29">
        <f t="shared" si="4"/>
        <v>6.4630796574567773E-2</v>
      </c>
      <c r="AS246" s="29">
        <f t="shared" si="5"/>
        <v>3.2315398287283886E-2</v>
      </c>
      <c r="AT246" s="25">
        <f t="shared" si="6"/>
        <v>-1</v>
      </c>
      <c r="AU246" s="30">
        <v>61.792000000000002</v>
      </c>
      <c r="AV246" s="31">
        <v>58.792000000000002</v>
      </c>
    </row>
    <row r="247" spans="1:48" ht="14.25" customHeight="1" x14ac:dyDescent="0.35">
      <c r="A247" s="2" t="s">
        <v>297</v>
      </c>
      <c r="B247" s="13" t="s">
        <v>50</v>
      </c>
      <c r="C247" s="13">
        <v>45062</v>
      </c>
      <c r="D247" s="14">
        <v>2023</v>
      </c>
      <c r="E247" s="14">
        <v>2036</v>
      </c>
      <c r="F247" s="14">
        <v>2012</v>
      </c>
      <c r="G247" s="14">
        <v>2026</v>
      </c>
      <c r="H247" s="15">
        <v>0</v>
      </c>
      <c r="I247" s="13">
        <v>0</v>
      </c>
      <c r="J247" s="16">
        <v>0</v>
      </c>
      <c r="K247" s="15">
        <v>0</v>
      </c>
      <c r="L247" s="13">
        <v>0</v>
      </c>
      <c r="M247" s="16">
        <v>0</v>
      </c>
      <c r="N247" s="15">
        <v>0</v>
      </c>
      <c r="O247" s="13">
        <v>0</v>
      </c>
      <c r="P247" s="16">
        <v>0</v>
      </c>
      <c r="Q247" s="16">
        <v>0</v>
      </c>
      <c r="R247" s="18">
        <v>0</v>
      </c>
      <c r="S247" s="16">
        <v>0</v>
      </c>
      <c r="T247" s="18">
        <v>0</v>
      </c>
      <c r="U247" s="16">
        <v>0</v>
      </c>
      <c r="V247" s="18">
        <v>0</v>
      </c>
      <c r="W247" s="16">
        <v>0</v>
      </c>
      <c r="X247" s="15">
        <v>0</v>
      </c>
      <c r="Y247" s="13">
        <v>0</v>
      </c>
      <c r="Z247" s="16">
        <v>0</v>
      </c>
      <c r="AA247" s="16">
        <v>0</v>
      </c>
      <c r="AB247" s="15">
        <v>0</v>
      </c>
      <c r="AC247" s="13">
        <v>0</v>
      </c>
      <c r="AD247" s="16">
        <v>0</v>
      </c>
      <c r="AE247" s="16">
        <v>0</v>
      </c>
      <c r="AF247" s="19">
        <v>0</v>
      </c>
      <c r="AG247" s="20">
        <v>0</v>
      </c>
      <c r="AH247" s="16">
        <v>0</v>
      </c>
      <c r="AI247" s="21">
        <v>0</v>
      </c>
      <c r="AJ247" s="22">
        <f>BattMobility!D106+cambio!D106+Claus2you!D106+CoopStroom!D106+Cozywheels!D106+Dégage!D106+Flexigo!D106+Klimaan!D106+Moovee!D106+Poppy!D106+'Mobilize Share'!D106+Stapp.in!D106</f>
        <v>0</v>
      </c>
      <c r="AK247" s="23">
        <f>BattMobility!E106+cambio!E106+Claus2you!E106+CoopStroom!E106+Cozywheels!E106+Dégage!E106+Flexigo!E106+Klimaan!E106+Moovee!E106+Poppy!E106+'Mobilize Share'!E106+Stapp.in!E106</f>
        <v>0</v>
      </c>
      <c r="AL247" s="21">
        <f t="shared" si="0"/>
        <v>0</v>
      </c>
      <c r="AM247" s="21">
        <f t="shared" si="1"/>
        <v>0</v>
      </c>
      <c r="AN247" s="25">
        <f t="shared" si="2"/>
        <v>0</v>
      </c>
      <c r="AO247" s="26" t="e">
        <f t="shared" si="3"/>
        <v>#DIV/0!</v>
      </c>
      <c r="AP247" s="27">
        <f>BattMobility!F106+cambio!F106+Claus2you!F106+CoopStroom!F106+Cozywheels!F106+Dégage!F106+Flexigo!F106+Klimaan!F106+Moovee!F106+Poppy!F106+'Mobilize Share'!F106+Stapp.in!F106</f>
        <v>1</v>
      </c>
      <c r="AQ247" s="25">
        <f>BattMobility!G106+cambio!G106+Claus2you!G106+CoopStroom!G106+Cozywheels!G106+Dégage!G106+Flexigo!G106+Klimaan!G106+Moovee!G106+Poppy!G106+'Mobilize Share'!G106+Stapp.in!G106</f>
        <v>1</v>
      </c>
      <c r="AR247" s="29">
        <f t="shared" si="4"/>
        <v>0.4935834155972359</v>
      </c>
      <c r="AS247" s="29">
        <f t="shared" si="5"/>
        <v>0.4935834155972359</v>
      </c>
      <c r="AT247" s="25">
        <f t="shared" si="6"/>
        <v>1</v>
      </c>
      <c r="AU247" s="30">
        <v>4.024</v>
      </c>
      <c r="AV247" s="31">
        <v>4.024</v>
      </c>
    </row>
    <row r="248" spans="1:48" ht="14.25" customHeight="1" x14ac:dyDescent="0.35">
      <c r="A248" s="2" t="s">
        <v>298</v>
      </c>
      <c r="B248" s="13" t="s">
        <v>52</v>
      </c>
      <c r="C248" s="13">
        <v>23098</v>
      </c>
      <c r="D248" s="14">
        <v>5770</v>
      </c>
      <c r="E248" s="14">
        <v>5851</v>
      </c>
      <c r="F248" s="14">
        <v>5944</v>
      </c>
      <c r="G248" s="14">
        <v>6040</v>
      </c>
      <c r="H248" s="15">
        <v>1</v>
      </c>
      <c r="I248" s="13">
        <v>0</v>
      </c>
      <c r="J248" s="16">
        <v>0.1733102253032929</v>
      </c>
      <c r="K248" s="15">
        <v>0</v>
      </c>
      <c r="L248" s="13">
        <v>0</v>
      </c>
      <c r="M248" s="16">
        <v>0</v>
      </c>
      <c r="N248" s="15">
        <v>0</v>
      </c>
      <c r="O248" s="13">
        <v>0</v>
      </c>
      <c r="P248" s="16">
        <v>0</v>
      </c>
      <c r="Q248" s="16">
        <v>0</v>
      </c>
      <c r="R248" s="18">
        <v>-1</v>
      </c>
      <c r="S248" s="16">
        <v>-0.1733102253032929</v>
      </c>
      <c r="T248" s="18">
        <v>0</v>
      </c>
      <c r="U248" s="16">
        <v>0</v>
      </c>
      <c r="V248" s="18">
        <v>0</v>
      </c>
      <c r="W248" s="16">
        <v>0</v>
      </c>
      <c r="X248" s="15">
        <v>1</v>
      </c>
      <c r="Y248" s="13">
        <v>0</v>
      </c>
      <c r="Z248" s="16">
        <v>0.17091095539224063</v>
      </c>
      <c r="AA248" s="16">
        <v>0</v>
      </c>
      <c r="AB248" s="15">
        <v>1</v>
      </c>
      <c r="AC248" s="13">
        <v>0</v>
      </c>
      <c r="AD248" s="16">
        <v>0.16823687752355315</v>
      </c>
      <c r="AE248" s="16">
        <v>0</v>
      </c>
      <c r="AF248" s="19">
        <v>2</v>
      </c>
      <c r="AG248" s="20">
        <v>1</v>
      </c>
      <c r="AH248" s="16">
        <v>0.3364737550471063</v>
      </c>
      <c r="AI248" s="21">
        <v>0.16823687752355315</v>
      </c>
      <c r="AJ248" s="22">
        <f>BattMobility!D62+cambio!D62+Claus2you!D62+CoopStroom!D62+Cozywheels!D62+Dégage!D62+Flexigo!D62+Klimaan!D62+Moovee!D62+Poppy!D62+'Mobilize Share'!D62+Stapp.in!D62</f>
        <v>2</v>
      </c>
      <c r="AK248" s="23">
        <f>BattMobility!E62+cambio!E62+Claus2you!E62+CoopStroom!E62+Cozywheels!E62+Dégage!E62+Flexigo!E62+Klimaan!E62+Moovee!E62+Poppy!E62+'Mobilize Share'!E62+Stapp.in!E62</f>
        <v>1</v>
      </c>
      <c r="AL248" s="21">
        <f t="shared" si="0"/>
        <v>0.33112582781456956</v>
      </c>
      <c r="AM248" s="21">
        <f t="shared" si="1"/>
        <v>0.16556291390728478</v>
      </c>
      <c r="AN248" s="25">
        <f t="shared" si="2"/>
        <v>1</v>
      </c>
      <c r="AO248" s="26">
        <f t="shared" si="3"/>
        <v>1</v>
      </c>
      <c r="AP248" s="27">
        <f>BattMobility!F62+cambio!F62+Claus2you!F62+CoopStroom!F62+Cozywheels!F62+Dégage!F62+Flexigo!F62+Klimaan!F62+Moovee!F62+Poppy!F62+'Mobilize Share'!F62+Stapp.in!F62</f>
        <v>1</v>
      </c>
      <c r="AQ248" s="25">
        <f>BattMobility!G62+cambio!G62+Claus2you!G62+CoopStroom!G62+Cozywheels!G62+Dégage!G62+Flexigo!G62+Klimaan!G62+Moovee!G62+Poppy!G62+'Mobilize Share'!G62+Stapp.in!G62</f>
        <v>0</v>
      </c>
      <c r="AR248" s="29">
        <f t="shared" si="4"/>
        <v>0.16556291390728478</v>
      </c>
      <c r="AS248" s="29">
        <f t="shared" si="5"/>
        <v>0</v>
      </c>
      <c r="AT248" s="25">
        <f t="shared" si="6"/>
        <v>-1</v>
      </c>
      <c r="AU248" s="30">
        <v>11.888</v>
      </c>
      <c r="AV248" s="31">
        <v>9.8879999999999999</v>
      </c>
    </row>
    <row r="249" spans="1:48" ht="14.25" customHeight="1" x14ac:dyDescent="0.35">
      <c r="A249" s="2" t="s">
        <v>299</v>
      </c>
      <c r="B249" s="13" t="s">
        <v>59</v>
      </c>
      <c r="C249" s="13">
        <v>71045</v>
      </c>
      <c r="D249" s="14">
        <v>7027</v>
      </c>
      <c r="E249" s="14">
        <v>7190</v>
      </c>
      <c r="F249" s="14">
        <v>7295</v>
      </c>
      <c r="G249" s="14">
        <v>7328</v>
      </c>
      <c r="H249" s="15">
        <v>0</v>
      </c>
      <c r="I249" s="13">
        <v>0</v>
      </c>
      <c r="J249" s="16">
        <v>0</v>
      </c>
      <c r="K249" s="15">
        <v>0</v>
      </c>
      <c r="L249" s="13">
        <v>0</v>
      </c>
      <c r="M249" s="16">
        <v>0</v>
      </c>
      <c r="N249" s="15">
        <v>0</v>
      </c>
      <c r="O249" s="13">
        <v>0</v>
      </c>
      <c r="P249" s="16">
        <v>0</v>
      </c>
      <c r="Q249" s="16">
        <v>0</v>
      </c>
      <c r="R249" s="18">
        <v>0</v>
      </c>
      <c r="S249" s="16">
        <v>0</v>
      </c>
      <c r="T249" s="18">
        <v>0</v>
      </c>
      <c r="U249" s="16">
        <v>0</v>
      </c>
      <c r="V249" s="18">
        <v>0</v>
      </c>
      <c r="W249" s="16">
        <v>0</v>
      </c>
      <c r="X249" s="15">
        <v>0</v>
      </c>
      <c r="Y249" s="13">
        <v>0</v>
      </c>
      <c r="Z249" s="16">
        <v>0</v>
      </c>
      <c r="AA249" s="16">
        <v>0</v>
      </c>
      <c r="AB249" s="15">
        <v>0</v>
      </c>
      <c r="AC249" s="13">
        <v>0</v>
      </c>
      <c r="AD249" s="16">
        <v>0</v>
      </c>
      <c r="AE249" s="16">
        <v>0</v>
      </c>
      <c r="AF249" s="19">
        <v>0</v>
      </c>
      <c r="AG249" s="20">
        <v>0</v>
      </c>
      <c r="AH249" s="16">
        <v>0</v>
      </c>
      <c r="AI249" s="21">
        <v>0</v>
      </c>
      <c r="AJ249" s="22">
        <f>BattMobility!D185+cambio!D185+Claus2you!D185+CoopStroom!D185+Cozywheels!D185+Dégage!D185+Flexigo!D185+Klimaan!D185+Moovee!D185+Poppy!D185+'Mobilize Share'!D185+Stapp.in!D185</f>
        <v>0</v>
      </c>
      <c r="AK249" s="23">
        <f>BattMobility!E185+cambio!E185+Claus2you!E185+CoopStroom!E185+Cozywheels!E185+Dégage!E185+Flexigo!E185+Klimaan!E185+Moovee!E185+Poppy!E185+'Mobilize Share'!E185+Stapp.in!E185</f>
        <v>0</v>
      </c>
      <c r="AL249" s="21">
        <f t="shared" si="0"/>
        <v>0</v>
      </c>
      <c r="AM249" s="21">
        <f t="shared" si="1"/>
        <v>0</v>
      </c>
      <c r="AN249" s="25">
        <f t="shared" si="2"/>
        <v>0</v>
      </c>
      <c r="AO249" s="26" t="e">
        <f t="shared" si="3"/>
        <v>#DIV/0!</v>
      </c>
      <c r="AP249" s="27">
        <f>BattMobility!F185+cambio!F185+Claus2you!F185+CoopStroom!F185+Cozywheels!F185+Dégage!F185+Flexigo!F185+Klimaan!F185+Moovee!F185+Poppy!F185+'Mobilize Share'!F185+Stapp.in!F185</f>
        <v>1</v>
      </c>
      <c r="AQ249" s="25">
        <f>BattMobility!G185+cambio!G185+Claus2you!G185+CoopStroom!G185+Cozywheels!G185+Dégage!G185+Flexigo!G185+Klimaan!G185+Moovee!G185+Poppy!G185+'Mobilize Share'!G185+Stapp.in!G185</f>
        <v>1</v>
      </c>
      <c r="AR249" s="29">
        <f t="shared" si="4"/>
        <v>0.13646288209606985</v>
      </c>
      <c r="AS249" s="29">
        <f t="shared" si="5"/>
        <v>0.13646288209606985</v>
      </c>
      <c r="AT249" s="25">
        <f t="shared" si="6"/>
        <v>1</v>
      </c>
      <c r="AU249" s="30">
        <v>14.59</v>
      </c>
      <c r="AV249" s="31">
        <v>14.59</v>
      </c>
    </row>
    <row r="250" spans="1:48" ht="14.25" customHeight="1" x14ac:dyDescent="0.35">
      <c r="A250" s="2" t="s">
        <v>300</v>
      </c>
      <c r="B250" s="13" t="s">
        <v>59</v>
      </c>
      <c r="C250" s="13">
        <v>73022</v>
      </c>
      <c r="D250" s="14">
        <v>7457</v>
      </c>
      <c r="E250" s="14">
        <v>7554</v>
      </c>
      <c r="F250" s="14">
        <v>7593</v>
      </c>
      <c r="G250" s="14">
        <v>7574</v>
      </c>
      <c r="H250" s="15">
        <v>0</v>
      </c>
      <c r="I250" s="13">
        <v>0</v>
      </c>
      <c r="J250" s="16">
        <v>0</v>
      </c>
      <c r="K250" s="15">
        <v>0</v>
      </c>
      <c r="L250" s="13">
        <v>0</v>
      </c>
      <c r="M250" s="16">
        <v>0</v>
      </c>
      <c r="N250" s="15">
        <v>0</v>
      </c>
      <c r="O250" s="13">
        <v>0</v>
      </c>
      <c r="P250" s="16">
        <v>0</v>
      </c>
      <c r="Q250" s="16">
        <v>0</v>
      </c>
      <c r="R250" s="18">
        <v>0</v>
      </c>
      <c r="S250" s="16">
        <v>0</v>
      </c>
      <c r="T250" s="18">
        <v>0</v>
      </c>
      <c r="U250" s="16">
        <v>0</v>
      </c>
      <c r="V250" s="18">
        <v>0</v>
      </c>
      <c r="W250" s="16">
        <v>0</v>
      </c>
      <c r="X250" s="15">
        <v>0</v>
      </c>
      <c r="Y250" s="13">
        <v>0</v>
      </c>
      <c r="Z250" s="16">
        <v>0</v>
      </c>
      <c r="AA250" s="16">
        <v>0</v>
      </c>
      <c r="AB250" s="15">
        <v>0</v>
      </c>
      <c r="AC250" s="13">
        <v>0</v>
      </c>
      <c r="AD250" s="16">
        <v>0</v>
      </c>
      <c r="AE250" s="16">
        <v>0</v>
      </c>
      <c r="AF250" s="19">
        <v>0</v>
      </c>
      <c r="AG250" s="20">
        <v>0</v>
      </c>
      <c r="AH250" s="16">
        <v>0</v>
      </c>
      <c r="AI250" s="21">
        <v>0</v>
      </c>
      <c r="AJ250" s="22">
        <f>BattMobility!D89+cambio!D89+Claus2you!D89+CoopStroom!D89+Cozywheels!D89+Dégage!D89+Flexigo!D89+Klimaan!D89+Moovee!D89+Poppy!D89+'Mobilize Share'!D89+Stapp.in!D89</f>
        <v>1</v>
      </c>
      <c r="AK250" s="23">
        <f>BattMobility!E89+cambio!E89+Claus2you!E89+CoopStroom!E89+Cozywheels!E89+Dégage!E89+Flexigo!E89+Klimaan!E89+Moovee!E89+Poppy!E89+'Mobilize Share'!E89+Stapp.in!E89</f>
        <v>0</v>
      </c>
      <c r="AL250" s="21">
        <f t="shared" si="0"/>
        <v>0.13203063110641669</v>
      </c>
      <c r="AM250" s="21">
        <f t="shared" si="1"/>
        <v>0</v>
      </c>
      <c r="AN250" s="25">
        <f t="shared" si="2"/>
        <v>1</v>
      </c>
      <c r="AO250" s="26" t="e">
        <f t="shared" si="3"/>
        <v>#DIV/0!</v>
      </c>
      <c r="AP250" s="27">
        <f>BattMobility!F89+cambio!F89+Claus2you!F89+CoopStroom!F89+Cozywheels!F89+Dégage!F89+Flexigo!F89+Klimaan!F89+Moovee!F89+Poppy!F89+'Mobilize Share'!F89+Stapp.in!F89</f>
        <v>1</v>
      </c>
      <c r="AQ250" s="25">
        <f>BattMobility!G89+cambio!G89+Claus2you!G89+CoopStroom!G89+Cozywheels!G89+Dégage!G89+Flexigo!G89+Klimaan!G89+Moovee!G89+Poppy!G89+'Mobilize Share'!G89+Stapp.in!G89</f>
        <v>0</v>
      </c>
      <c r="AR250" s="29">
        <f t="shared" si="4"/>
        <v>0.13203063110641669</v>
      </c>
      <c r="AS250" s="29">
        <f t="shared" si="5"/>
        <v>0</v>
      </c>
      <c r="AT250" s="25">
        <f t="shared" si="6"/>
        <v>1</v>
      </c>
      <c r="AU250" s="30">
        <v>15.186</v>
      </c>
      <c r="AV250" s="31">
        <v>15.186</v>
      </c>
    </row>
    <row r="251" spans="1:48" ht="14.25" customHeight="1" x14ac:dyDescent="0.35">
      <c r="A251" s="2" t="s">
        <v>301</v>
      </c>
      <c r="B251" s="13" t="s">
        <v>48</v>
      </c>
      <c r="C251" s="13">
        <v>13006</v>
      </c>
      <c r="D251" s="14">
        <v>9686</v>
      </c>
      <c r="E251" s="14">
        <v>9805</v>
      </c>
      <c r="F251" s="14">
        <v>9892</v>
      </c>
      <c r="G251" s="14">
        <v>10076</v>
      </c>
      <c r="H251" s="15">
        <v>1</v>
      </c>
      <c r="I251" s="13">
        <v>0</v>
      </c>
      <c r="J251" s="16">
        <v>0.10324179227751394</v>
      </c>
      <c r="K251" s="15">
        <v>0</v>
      </c>
      <c r="L251" s="13">
        <v>0</v>
      </c>
      <c r="M251" s="16">
        <v>0</v>
      </c>
      <c r="N251" s="15">
        <v>0</v>
      </c>
      <c r="O251" s="13">
        <v>0</v>
      </c>
      <c r="P251" s="16">
        <v>0</v>
      </c>
      <c r="Q251" s="16">
        <v>0</v>
      </c>
      <c r="R251" s="18">
        <v>-1</v>
      </c>
      <c r="S251" s="16">
        <v>-0.10324179227751394</v>
      </c>
      <c r="T251" s="18">
        <v>0</v>
      </c>
      <c r="U251" s="16">
        <v>0</v>
      </c>
      <c r="V251" s="18">
        <v>0</v>
      </c>
      <c r="W251" s="16">
        <v>0</v>
      </c>
      <c r="X251" s="15">
        <v>0</v>
      </c>
      <c r="Y251" s="13">
        <v>0</v>
      </c>
      <c r="Z251" s="16">
        <v>0</v>
      </c>
      <c r="AA251" s="16">
        <v>0</v>
      </c>
      <c r="AB251" s="15">
        <v>1</v>
      </c>
      <c r="AC251" s="13">
        <v>0</v>
      </c>
      <c r="AD251" s="16">
        <v>0.10109179134654266</v>
      </c>
      <c r="AE251" s="16">
        <v>0</v>
      </c>
      <c r="AF251" s="19">
        <v>1</v>
      </c>
      <c r="AG251" s="20">
        <v>0</v>
      </c>
      <c r="AH251" s="16">
        <v>0.10109179134654266</v>
      </c>
      <c r="AI251" s="21">
        <v>0</v>
      </c>
      <c r="AJ251" s="22">
        <f>BattMobility!D55+cambio!D55+Claus2you!D55+CoopStroom!D55+Cozywheels!D55+Dégage!D55+Flexigo!D55+Klimaan!D55+Moovee!D55+Poppy!D55+'Mobilize Share'!D55+Stapp.in!D55</f>
        <v>1</v>
      </c>
      <c r="AK251" s="23">
        <f>BattMobility!E55+cambio!E55+Claus2you!E55+CoopStroom!E55+Cozywheels!E55+Dégage!E55+Flexigo!E55+Klimaan!E55+Moovee!E55+Poppy!E55+'Mobilize Share'!E55+Stapp.in!E55</f>
        <v>0</v>
      </c>
      <c r="AL251" s="21">
        <f t="shared" si="0"/>
        <v>9.924573243350536E-2</v>
      </c>
      <c r="AM251" s="21">
        <f t="shared" si="1"/>
        <v>0</v>
      </c>
      <c r="AN251" s="25">
        <f t="shared" si="2"/>
        <v>0</v>
      </c>
      <c r="AO251" s="26">
        <f t="shared" si="3"/>
        <v>0</v>
      </c>
      <c r="AP251" s="27">
        <f>BattMobility!F55+cambio!F55+Claus2you!F55+CoopStroom!F55+Cozywheels!F55+Dégage!F55+Flexigo!F55+Klimaan!F55+Moovee!F55+Poppy!F55+'Mobilize Share'!F55+Stapp.in!F55</f>
        <v>1</v>
      </c>
      <c r="AQ251" s="25">
        <f>BattMobility!G55+cambio!G55+Claus2you!G55+CoopStroom!G55+Cozywheels!G55+Dégage!G55+Flexigo!G55+Klimaan!G55+Moovee!G55+Poppy!G55+'Mobilize Share'!G55+Stapp.in!G55</f>
        <v>0</v>
      </c>
      <c r="AR251" s="29">
        <f t="shared" si="4"/>
        <v>9.924573243350536E-2</v>
      </c>
      <c r="AS251" s="29">
        <f t="shared" si="5"/>
        <v>0</v>
      </c>
      <c r="AT251" s="25">
        <f t="shared" si="6"/>
        <v>0</v>
      </c>
      <c r="AU251" s="30">
        <v>19.783999999999999</v>
      </c>
      <c r="AV251" s="31">
        <v>18.783999999999999</v>
      </c>
    </row>
    <row r="252" spans="1:48" ht="14.25" customHeight="1" x14ac:dyDescent="0.35">
      <c r="A252" s="2" t="s">
        <v>302</v>
      </c>
      <c r="B252" s="13" t="s">
        <v>52</v>
      </c>
      <c r="C252" s="13">
        <v>24135</v>
      </c>
      <c r="D252" s="14">
        <v>11037</v>
      </c>
      <c r="E252" s="14">
        <v>11440</v>
      </c>
      <c r="F252" s="14">
        <v>11604</v>
      </c>
      <c r="G252" s="14">
        <v>11568</v>
      </c>
      <c r="H252" s="15">
        <v>0</v>
      </c>
      <c r="I252" s="13">
        <v>0</v>
      </c>
      <c r="J252" s="16">
        <v>0</v>
      </c>
      <c r="K252" s="15">
        <v>1</v>
      </c>
      <c r="L252" s="13">
        <v>0</v>
      </c>
      <c r="M252" s="16">
        <v>9.0604330887016402E-2</v>
      </c>
      <c r="N252" s="15">
        <v>1</v>
      </c>
      <c r="O252" s="13">
        <v>1</v>
      </c>
      <c r="P252" s="16">
        <v>8.7412587412587409E-2</v>
      </c>
      <c r="Q252" s="16">
        <v>8.7412587412587409E-2</v>
      </c>
      <c r="R252" s="18">
        <v>1</v>
      </c>
      <c r="S252" s="16">
        <v>8.7412587412587409E-2</v>
      </c>
      <c r="T252" s="18">
        <v>0</v>
      </c>
      <c r="U252" s="16">
        <v>-3.191743474428993E-3</v>
      </c>
      <c r="V252" s="18">
        <v>0</v>
      </c>
      <c r="W252" s="16">
        <v>0</v>
      </c>
      <c r="X252" s="15">
        <v>1</v>
      </c>
      <c r="Y252" s="13">
        <v>1</v>
      </c>
      <c r="Z252" s="16">
        <v>8.7412587412587409E-2</v>
      </c>
      <c r="AA252" s="16">
        <v>8.7412587412587409E-2</v>
      </c>
      <c r="AB252" s="15">
        <v>1</v>
      </c>
      <c r="AC252" s="13">
        <v>1</v>
      </c>
      <c r="AD252" s="16">
        <v>8.617718028266115E-2</v>
      </c>
      <c r="AE252" s="16">
        <v>8.617718028266115E-2</v>
      </c>
      <c r="AF252" s="19">
        <v>1</v>
      </c>
      <c r="AG252" s="20">
        <v>1</v>
      </c>
      <c r="AH252" s="16">
        <v>8.617718028266115E-2</v>
      </c>
      <c r="AI252" s="21">
        <v>8.617718028266115E-2</v>
      </c>
      <c r="AJ252" s="22">
        <f>BattMobility!D242+cambio!D242+Claus2you!D242+CoopStroom!D242+Cozywheels!D242+Dégage!D242+Flexigo!D242+Klimaan!D242+Moovee!D242+Poppy!D242+'Mobilize Share'!D242+Stapp.in!D242</f>
        <v>1</v>
      </c>
      <c r="AK252" s="23">
        <f>BattMobility!E242+cambio!E242+Claus2you!E242+CoopStroom!E242+Cozywheels!E242+Dégage!E242+Flexigo!E242+Klimaan!E242+Moovee!E242+Poppy!E242+'Mobilize Share'!E242+Stapp.in!E242</f>
        <v>1</v>
      </c>
      <c r="AL252" s="21">
        <f t="shared" si="0"/>
        <v>8.6445366528354078E-2</v>
      </c>
      <c r="AM252" s="21">
        <f t="shared" si="1"/>
        <v>8.6445366528354078E-2</v>
      </c>
      <c r="AN252" s="25">
        <f t="shared" si="2"/>
        <v>0</v>
      </c>
      <c r="AO252" s="26">
        <f t="shared" si="3"/>
        <v>0</v>
      </c>
      <c r="AP252" s="27">
        <f>BattMobility!F242+cambio!F242+Claus2you!F242+CoopStroom!F242+Cozywheels!F242+Dégage!F242+Flexigo!F242+Klimaan!F242+Moovee!F242+Poppy!F242+'Mobilize Share'!F242+Stapp.in!F242</f>
        <v>1</v>
      </c>
      <c r="AQ252" s="25">
        <f>BattMobility!G242+cambio!G242+Claus2you!G242+CoopStroom!G242+Cozywheels!G242+Dégage!G242+Flexigo!G242+Klimaan!G242+Moovee!G242+Poppy!G242+'Mobilize Share'!G242+Stapp.in!G242</f>
        <v>1</v>
      </c>
      <c r="AR252" s="29">
        <f t="shared" si="4"/>
        <v>8.6445366528354078E-2</v>
      </c>
      <c r="AS252" s="29">
        <f t="shared" si="5"/>
        <v>8.6445366528354078E-2</v>
      </c>
      <c r="AT252" s="25">
        <f t="shared" si="6"/>
        <v>0</v>
      </c>
      <c r="AU252" s="30">
        <v>23.207999999999998</v>
      </c>
      <c r="AV252" s="31">
        <v>22.207999999999998</v>
      </c>
    </row>
    <row r="253" spans="1:48" ht="14.25" customHeight="1" x14ac:dyDescent="0.35">
      <c r="A253" s="2" t="s">
        <v>303</v>
      </c>
      <c r="B253" s="13" t="s">
        <v>48</v>
      </c>
      <c r="C253" s="13">
        <v>13010</v>
      </c>
      <c r="D253" s="14">
        <v>11442</v>
      </c>
      <c r="E253" s="14">
        <v>11519</v>
      </c>
      <c r="F253" s="14">
        <v>11607</v>
      </c>
      <c r="G253" s="14">
        <v>11609</v>
      </c>
      <c r="H253" s="15">
        <v>1</v>
      </c>
      <c r="I253" s="13">
        <v>0</v>
      </c>
      <c r="J253" s="16">
        <v>8.7397308162908582E-2</v>
      </c>
      <c r="K253" s="15">
        <v>0</v>
      </c>
      <c r="L253" s="13">
        <v>0</v>
      </c>
      <c r="M253" s="16">
        <v>0</v>
      </c>
      <c r="N253" s="15">
        <v>0</v>
      </c>
      <c r="O253" s="13">
        <v>0</v>
      </c>
      <c r="P253" s="16">
        <v>0</v>
      </c>
      <c r="Q253" s="16">
        <v>0</v>
      </c>
      <c r="R253" s="18">
        <v>-1</v>
      </c>
      <c r="S253" s="16">
        <v>-8.7397308162908582E-2</v>
      </c>
      <c r="T253" s="18">
        <v>0</v>
      </c>
      <c r="U253" s="16">
        <v>0</v>
      </c>
      <c r="V253" s="18">
        <v>0</v>
      </c>
      <c r="W253" s="16">
        <v>0</v>
      </c>
      <c r="X253" s="15">
        <v>2</v>
      </c>
      <c r="Y253" s="13">
        <v>0</v>
      </c>
      <c r="Z253" s="16">
        <v>0.17362618282837053</v>
      </c>
      <c r="AA253" s="16">
        <v>0</v>
      </c>
      <c r="AB253" s="15">
        <v>2</v>
      </c>
      <c r="AC253" s="13">
        <v>0</v>
      </c>
      <c r="AD253" s="16">
        <v>0.17230981304385284</v>
      </c>
      <c r="AE253" s="16">
        <v>0</v>
      </c>
      <c r="AF253" s="19">
        <v>1</v>
      </c>
      <c r="AG253" s="20">
        <v>0</v>
      </c>
      <c r="AH253" s="16">
        <v>8.6154906521926422E-2</v>
      </c>
      <c r="AI253" s="21">
        <v>0</v>
      </c>
      <c r="AJ253" s="22">
        <f>BattMobility!D79+cambio!D79+Claus2you!D79+CoopStroom!D79+Cozywheels!D79+Dégage!D79+Flexigo!D79+Klimaan!D79+Moovee!D79+Poppy!D79+'Mobilize Share'!D79+Stapp.in!D79</f>
        <v>1</v>
      </c>
      <c r="AK253" s="23">
        <f>BattMobility!E79+cambio!E79+Claus2you!E79+CoopStroom!E79+Cozywheels!E79+Dégage!E79+Flexigo!E79+Klimaan!E79+Moovee!E79+Poppy!E79+'Mobilize Share'!E79+Stapp.in!E79</f>
        <v>0</v>
      </c>
      <c r="AL253" s="21">
        <f t="shared" si="0"/>
        <v>8.6140063743647174E-2</v>
      </c>
      <c r="AM253" s="21">
        <f t="shared" si="1"/>
        <v>0</v>
      </c>
      <c r="AN253" s="25">
        <f t="shared" si="2"/>
        <v>-1</v>
      </c>
      <c r="AO253" s="26">
        <f t="shared" si="3"/>
        <v>-0.5</v>
      </c>
      <c r="AP253" s="27">
        <f>BattMobility!F79+cambio!F79+Claus2you!F79+CoopStroom!F79+Cozywheels!F79+Dégage!F79+Flexigo!F79+Klimaan!F79+Moovee!F79+Poppy!F79+'Mobilize Share'!F79+Stapp.in!F79</f>
        <v>1</v>
      </c>
      <c r="AQ253" s="25">
        <f>BattMobility!G79+cambio!G79+Claus2you!G79+CoopStroom!G79+Cozywheels!G79+Dégage!G79+Flexigo!G79+Klimaan!G79+Moovee!G79+Poppy!G79+'Mobilize Share'!G79+Stapp.in!G79</f>
        <v>0</v>
      </c>
      <c r="AR253" s="29">
        <f t="shared" si="4"/>
        <v>8.6140063743647174E-2</v>
      </c>
      <c r="AS253" s="29">
        <f t="shared" si="5"/>
        <v>0</v>
      </c>
      <c r="AT253" s="25">
        <f t="shared" si="6"/>
        <v>0</v>
      </c>
      <c r="AU253" s="30">
        <v>23.213999999999999</v>
      </c>
      <c r="AV253" s="31">
        <v>22.213999999999999</v>
      </c>
    </row>
    <row r="254" spans="1:48" ht="14.25" customHeight="1" x14ac:dyDescent="0.35">
      <c r="A254" s="2" t="s">
        <v>304</v>
      </c>
      <c r="B254" s="13" t="s">
        <v>48</v>
      </c>
      <c r="C254" s="13">
        <v>13001</v>
      </c>
      <c r="D254" s="14">
        <v>13297</v>
      </c>
      <c r="E254" s="14">
        <v>13344</v>
      </c>
      <c r="F254" s="14">
        <v>13391</v>
      </c>
      <c r="G254" s="14">
        <v>13323</v>
      </c>
      <c r="H254" s="15">
        <v>1</v>
      </c>
      <c r="I254" s="13">
        <v>1</v>
      </c>
      <c r="J254" s="16">
        <v>7.5204933443633909E-2</v>
      </c>
      <c r="K254" s="15">
        <v>1</v>
      </c>
      <c r="L254" s="13">
        <v>1</v>
      </c>
      <c r="M254" s="16">
        <v>7.5204933443633909E-2</v>
      </c>
      <c r="N254" s="15">
        <v>1</v>
      </c>
      <c r="O254" s="13">
        <v>1</v>
      </c>
      <c r="P254" s="16">
        <v>7.4940047961630687E-2</v>
      </c>
      <c r="Q254" s="16">
        <v>7.4940047961630687E-2</v>
      </c>
      <c r="R254" s="18">
        <v>0</v>
      </c>
      <c r="S254" s="16">
        <v>-2.6488548200322148E-4</v>
      </c>
      <c r="T254" s="18">
        <v>0</v>
      </c>
      <c r="U254" s="16">
        <v>-2.6488548200322148E-4</v>
      </c>
      <c r="V254" s="18">
        <v>0</v>
      </c>
      <c r="W254" s="16">
        <v>0</v>
      </c>
      <c r="X254" s="15">
        <v>1</v>
      </c>
      <c r="Y254" s="13">
        <v>1</v>
      </c>
      <c r="Z254" s="16">
        <v>7.4940047961630687E-2</v>
      </c>
      <c r="AA254" s="16">
        <v>7.4940047961630687E-2</v>
      </c>
      <c r="AB254" s="15">
        <v>3</v>
      </c>
      <c r="AC254" s="13">
        <v>1</v>
      </c>
      <c r="AD254" s="16">
        <v>0.22403106564110223</v>
      </c>
      <c r="AE254" s="16">
        <v>7.4677021880367414E-2</v>
      </c>
      <c r="AF254" s="19">
        <v>2</v>
      </c>
      <c r="AG254" s="20">
        <v>2</v>
      </c>
      <c r="AH254" s="16">
        <v>0.14935404376073483</v>
      </c>
      <c r="AI254" s="21">
        <v>0.14935404376073483</v>
      </c>
      <c r="AJ254" s="22">
        <f>BattMobility!D12+cambio!D12+Claus2you!D12+CoopStroom!D12+Cozywheels!D12+Dégage!D12+Flexigo!D12+Klimaan!D12+Moovee!D12+Poppy!D12+'Mobilize Share'!D12+Stapp.in!D12</f>
        <v>2</v>
      </c>
      <c r="AK254" s="23">
        <f>BattMobility!E12+cambio!E12+Claus2you!E12+CoopStroom!E12+Cozywheels!E12+Dégage!E12+Flexigo!E12+Klimaan!E12+Moovee!E12+Poppy!E12+'Mobilize Share'!E12+Stapp.in!E12</f>
        <v>1</v>
      </c>
      <c r="AL254" s="21">
        <f t="shared" si="0"/>
        <v>0.15011634016362682</v>
      </c>
      <c r="AM254" s="21">
        <f t="shared" si="1"/>
        <v>7.5058170081813411E-2</v>
      </c>
      <c r="AN254" s="25">
        <f t="shared" si="2"/>
        <v>-1</v>
      </c>
      <c r="AO254" s="26">
        <f t="shared" si="3"/>
        <v>-0.33333333333333331</v>
      </c>
      <c r="AP254" s="27">
        <f>BattMobility!F12+cambio!F12+Claus2you!F12+CoopStroom!F12+Cozywheels!F12+Dégage!F12+Flexigo!F12+Klimaan!F12+Moovee!F12+Poppy!F12+'Mobilize Share'!F12+Stapp.in!F12</f>
        <v>1</v>
      </c>
      <c r="AQ254" s="25">
        <f>BattMobility!G12+cambio!G12+Claus2you!G12+CoopStroom!G12+Cozywheels!G12+Dégage!G12+Flexigo!G12+Klimaan!G12+Moovee!G12+Poppy!G12+'Mobilize Share'!G12+Stapp.in!G12</f>
        <v>0</v>
      </c>
      <c r="AR254" s="29">
        <f t="shared" si="4"/>
        <v>7.5058170081813411E-2</v>
      </c>
      <c r="AS254" s="29">
        <f t="shared" si="5"/>
        <v>0</v>
      </c>
      <c r="AT254" s="25">
        <f t="shared" si="6"/>
        <v>-1</v>
      </c>
      <c r="AU254" s="30">
        <v>26.782</v>
      </c>
      <c r="AV254" s="31">
        <v>24.782</v>
      </c>
    </row>
    <row r="255" spans="1:48" ht="14.25" customHeight="1" x14ac:dyDescent="0.35">
      <c r="A255" s="2" t="s">
        <v>305</v>
      </c>
      <c r="B255" s="13" t="s">
        <v>48</v>
      </c>
      <c r="C255" s="13">
        <v>11054</v>
      </c>
      <c r="D255" s="14">
        <v>13172</v>
      </c>
      <c r="E255" s="14">
        <v>13352</v>
      </c>
      <c r="F255" s="14">
        <v>13445</v>
      </c>
      <c r="G255" s="14">
        <v>13423</v>
      </c>
      <c r="H255" s="15">
        <v>1</v>
      </c>
      <c r="I255" s="13">
        <v>0</v>
      </c>
      <c r="J255" s="16">
        <v>7.5918615244457949E-2</v>
      </c>
      <c r="K255" s="15">
        <v>0</v>
      </c>
      <c r="L255" s="13">
        <v>0</v>
      </c>
      <c r="M255" s="16">
        <v>0</v>
      </c>
      <c r="N255" s="15">
        <v>0</v>
      </c>
      <c r="O255" s="13">
        <v>0</v>
      </c>
      <c r="P255" s="16">
        <v>0</v>
      </c>
      <c r="Q255" s="16">
        <v>0</v>
      </c>
      <c r="R255" s="18">
        <v>-1</v>
      </c>
      <c r="S255" s="16">
        <v>-7.5918615244457949E-2</v>
      </c>
      <c r="T255" s="18">
        <v>0</v>
      </c>
      <c r="U255" s="16">
        <v>0</v>
      </c>
      <c r="V255" s="18">
        <v>0</v>
      </c>
      <c r="W255" s="16">
        <v>0</v>
      </c>
      <c r="X255" s="15">
        <v>1</v>
      </c>
      <c r="Y255" s="13">
        <v>0</v>
      </c>
      <c r="Z255" s="16">
        <v>7.4895146794487721E-2</v>
      </c>
      <c r="AA255" s="16">
        <v>0</v>
      </c>
      <c r="AB255" s="15">
        <v>1</v>
      </c>
      <c r="AC255" s="13">
        <v>0</v>
      </c>
      <c r="AD255" s="16">
        <v>7.4377091855708441E-2</v>
      </c>
      <c r="AE255" s="16">
        <v>0</v>
      </c>
      <c r="AF255" s="19">
        <v>1</v>
      </c>
      <c r="AG255" s="20">
        <v>0</v>
      </c>
      <c r="AH255" s="16">
        <v>7.4377091855708441E-2</v>
      </c>
      <c r="AI255" s="21">
        <v>0</v>
      </c>
      <c r="AJ255" s="22">
        <f>BattMobility!D271+cambio!D271+Claus2you!D271+CoopStroom!D271+Cozywheels!D271+Dégage!D271+Flexigo!D271+Klimaan!D271+Moovee!D271+Poppy!D271+'Mobilize Share'!D271+Stapp.in!D271</f>
        <v>1</v>
      </c>
      <c r="AK255" s="23">
        <f>BattMobility!E271+cambio!E271+Claus2you!E271+CoopStroom!E271+Cozywheels!E271+Dégage!E271+Flexigo!E271+Klimaan!E271+Moovee!E271+Poppy!E271+'Mobilize Share'!E271+Stapp.in!E271</f>
        <v>0</v>
      </c>
      <c r="AL255" s="21">
        <f t="shared" si="0"/>
        <v>7.4498994263577437E-2</v>
      </c>
      <c r="AM255" s="21">
        <f t="shared" si="1"/>
        <v>0</v>
      </c>
      <c r="AN255" s="25">
        <f t="shared" si="2"/>
        <v>0</v>
      </c>
      <c r="AO255" s="26">
        <f t="shared" si="3"/>
        <v>0</v>
      </c>
      <c r="AP255" s="27">
        <f>BattMobility!F271+cambio!F271+Claus2you!F271+CoopStroom!F271+Cozywheels!F271+Dégage!F271+Flexigo!F271+Klimaan!F271+Moovee!F271+Poppy!F271+'Mobilize Share'!F271+Stapp.in!F271</f>
        <v>1</v>
      </c>
      <c r="AQ255" s="25">
        <f>BattMobility!G271+cambio!G271+Claus2you!G271+CoopStroom!G271+Cozywheels!G271+Dégage!G271+Flexigo!G271+Klimaan!G271+Moovee!G271+Poppy!G271+'Mobilize Share'!G271+Stapp.in!G271</f>
        <v>0</v>
      </c>
      <c r="AR255" s="29">
        <f t="shared" si="4"/>
        <v>7.4498994263577437E-2</v>
      </c>
      <c r="AS255" s="29">
        <f t="shared" si="5"/>
        <v>0</v>
      </c>
      <c r="AT255" s="25">
        <f t="shared" si="6"/>
        <v>0</v>
      </c>
      <c r="AU255" s="30">
        <v>26.89</v>
      </c>
      <c r="AV255" s="31">
        <v>25.89</v>
      </c>
    </row>
    <row r="256" spans="1:48" ht="14.25" customHeight="1" x14ac:dyDescent="0.35">
      <c r="A256" s="2" t="s">
        <v>306</v>
      </c>
      <c r="B256" s="13" t="s">
        <v>52</v>
      </c>
      <c r="C256" s="13">
        <v>23105</v>
      </c>
      <c r="D256" s="14">
        <v>13466</v>
      </c>
      <c r="E256" s="14">
        <v>13556</v>
      </c>
      <c r="F256" s="14">
        <v>13651</v>
      </c>
      <c r="G256" s="14">
        <v>13770</v>
      </c>
      <c r="H256" s="15">
        <v>0</v>
      </c>
      <c r="I256" s="13">
        <v>0</v>
      </c>
      <c r="J256" s="16">
        <v>0</v>
      </c>
      <c r="K256" s="15">
        <v>0</v>
      </c>
      <c r="L256" s="13">
        <v>0</v>
      </c>
      <c r="M256" s="16">
        <v>0</v>
      </c>
      <c r="N256" s="15">
        <v>0</v>
      </c>
      <c r="O256" s="13">
        <v>0</v>
      </c>
      <c r="P256" s="16">
        <v>0</v>
      </c>
      <c r="Q256" s="16">
        <v>0</v>
      </c>
      <c r="R256" s="18">
        <v>0</v>
      </c>
      <c r="S256" s="16">
        <v>0</v>
      </c>
      <c r="T256" s="18">
        <v>0</v>
      </c>
      <c r="U256" s="16">
        <v>0</v>
      </c>
      <c r="V256" s="18">
        <v>0</v>
      </c>
      <c r="W256" s="16">
        <v>0</v>
      </c>
      <c r="X256" s="15">
        <v>1</v>
      </c>
      <c r="Y256" s="13">
        <v>0</v>
      </c>
      <c r="Z256" s="16">
        <v>7.3768073177928592E-2</v>
      </c>
      <c r="AA256" s="16">
        <v>0</v>
      </c>
      <c r="AB256" s="15">
        <v>1</v>
      </c>
      <c r="AC256" s="13">
        <v>0</v>
      </c>
      <c r="AD256" s="16">
        <v>7.3254706614900009E-2</v>
      </c>
      <c r="AE256" s="16">
        <v>0</v>
      </c>
      <c r="AF256" s="19">
        <v>1</v>
      </c>
      <c r="AG256" s="20">
        <v>0</v>
      </c>
      <c r="AH256" s="16">
        <v>7.3254706614900009E-2</v>
      </c>
      <c r="AI256" s="21">
        <v>0</v>
      </c>
      <c r="AJ256" s="22">
        <f>BattMobility!D6+cambio!D6+Claus2you!D6+CoopStroom!D6+Cozywheels!D6+Dégage!D6+Flexigo!D6+Klimaan!D6+Moovee!D6+Poppy!D6+'Mobilize Share'!D6+Stapp.in!D6</f>
        <v>1</v>
      </c>
      <c r="AK256" s="23">
        <f>BattMobility!E6+cambio!E6+Claus2you!E6+CoopStroom!E6+Cozywheels!E6+Dégage!E6+Flexigo!E6+Klimaan!E6+Moovee!E6+Poppy!E6+'Mobilize Share'!E6+Stapp.in!E6</f>
        <v>0</v>
      </c>
      <c r="AL256" s="21">
        <f t="shared" si="0"/>
        <v>7.2621641249092234E-2</v>
      </c>
      <c r="AM256" s="21">
        <f t="shared" si="1"/>
        <v>0</v>
      </c>
      <c r="AN256" s="25">
        <f t="shared" si="2"/>
        <v>0</v>
      </c>
      <c r="AO256" s="26">
        <f t="shared" si="3"/>
        <v>0</v>
      </c>
      <c r="AP256" s="27">
        <f>BattMobility!F6+cambio!F6+Claus2you!F6+CoopStroom!F6+Cozywheels!F6+Dégage!F6+Flexigo!F6+Klimaan!F6+Moovee!F6+Poppy!F6+'Mobilize Share'!F6+Stapp.in!F6</f>
        <v>1</v>
      </c>
      <c r="AQ256" s="25">
        <f>BattMobility!G6+cambio!G6+Claus2you!G6+CoopStroom!G6+Cozywheels!G6+Dégage!G6+Flexigo!G6+Klimaan!G6+Moovee!G6+Poppy!G6+'Mobilize Share'!G6+Stapp.in!G6</f>
        <v>0</v>
      </c>
      <c r="AR256" s="29">
        <f t="shared" si="4"/>
        <v>7.2621641249092234E-2</v>
      </c>
      <c r="AS256" s="29">
        <f t="shared" si="5"/>
        <v>0</v>
      </c>
      <c r="AT256" s="25">
        <f t="shared" si="6"/>
        <v>0</v>
      </c>
      <c r="AU256" s="30">
        <v>27.302</v>
      </c>
      <c r="AV256" s="31">
        <v>26.302</v>
      </c>
    </row>
    <row r="257" spans="1:48" ht="14.25" customHeight="1" x14ac:dyDescent="0.35">
      <c r="A257" s="2" t="s">
        <v>307</v>
      </c>
      <c r="B257" s="13" t="s">
        <v>59</v>
      </c>
      <c r="C257" s="13">
        <v>71002</v>
      </c>
      <c r="D257" s="14">
        <v>8246</v>
      </c>
      <c r="E257" s="14">
        <v>8214</v>
      </c>
      <c r="F257" s="14">
        <v>8259</v>
      </c>
      <c r="G257" s="14">
        <v>8298</v>
      </c>
      <c r="H257" s="15">
        <v>0</v>
      </c>
      <c r="I257" s="13">
        <v>0</v>
      </c>
      <c r="J257" s="16">
        <v>0</v>
      </c>
      <c r="K257" s="15">
        <v>0</v>
      </c>
      <c r="L257" s="13">
        <v>0</v>
      </c>
      <c r="M257" s="16">
        <v>0</v>
      </c>
      <c r="N257" s="15">
        <v>0</v>
      </c>
      <c r="O257" s="13">
        <v>0</v>
      </c>
      <c r="P257" s="16">
        <v>0</v>
      </c>
      <c r="Q257" s="16">
        <v>0</v>
      </c>
      <c r="R257" s="18">
        <v>0</v>
      </c>
      <c r="S257" s="16">
        <v>0</v>
      </c>
      <c r="T257" s="18">
        <v>0</v>
      </c>
      <c r="U257" s="16">
        <v>0</v>
      </c>
      <c r="V257" s="18">
        <v>0</v>
      </c>
      <c r="W257" s="16">
        <v>0</v>
      </c>
      <c r="X257" s="15">
        <v>0</v>
      </c>
      <c r="Y257" s="13">
        <v>0</v>
      </c>
      <c r="Z257" s="16">
        <v>0</v>
      </c>
      <c r="AA257" s="16">
        <v>0</v>
      </c>
      <c r="AB257" s="15">
        <v>1</v>
      </c>
      <c r="AC257" s="13">
        <v>1</v>
      </c>
      <c r="AD257" s="16">
        <v>0.1210800339024095</v>
      </c>
      <c r="AE257" s="16">
        <v>0.1210800339024095</v>
      </c>
      <c r="AF257" s="19">
        <v>1</v>
      </c>
      <c r="AG257" s="20">
        <v>1</v>
      </c>
      <c r="AH257" s="16">
        <v>0.1210800339024095</v>
      </c>
      <c r="AI257" s="21">
        <v>0.1210800339024095</v>
      </c>
      <c r="AJ257" s="22">
        <f>BattMobility!D13+cambio!D13+Claus2you!D13+CoopStroom!D13+Cozywheels!D13+Dégage!D13+Flexigo!D13+Klimaan!D13+Moovee!D13+Poppy!D13+'Mobilize Share'!D13+Stapp.in!D13</f>
        <v>1</v>
      </c>
      <c r="AK257" s="23">
        <f>BattMobility!E13+cambio!E13+Claus2you!E13+CoopStroom!E13+Cozywheels!E13+Dégage!E13+Flexigo!E13+Klimaan!E13+Moovee!E13+Poppy!E13+'Mobilize Share'!E13+Stapp.in!E13</f>
        <v>1</v>
      </c>
      <c r="AL257" s="21">
        <f t="shared" ref="AL257:AL286" si="7">AJ257/G257*1000</f>
        <v>0.12051096649795132</v>
      </c>
      <c r="AM257" s="21">
        <f t="shared" ref="AM257:AM286" si="8">AK257/G257*1000</f>
        <v>0.12051096649795132</v>
      </c>
      <c r="AN257" s="25">
        <f t="shared" ref="AN257:AN286" si="9">AJ257-AB257</f>
        <v>0</v>
      </c>
      <c r="AO257" s="26">
        <f t="shared" ref="AO257:AO286" si="10">AN257/AB257</f>
        <v>0</v>
      </c>
      <c r="AP257" s="27">
        <f>BattMobility!F13+cambio!F13+Claus2you!F13+CoopStroom!F13+Cozywheels!F13+Dégage!F13+Flexigo!F13+Klimaan!F13+Moovee!F13+Poppy!F13+'Mobilize Share'!F13+Stapp.in!F13</f>
        <v>1</v>
      </c>
      <c r="AQ257" s="25">
        <f>BattMobility!G13+cambio!G13+Claus2you!G13+CoopStroom!G13+Cozywheels!G13+Dégage!G13+Flexigo!G13+Klimaan!G13+Moovee!G13+Poppy!G13+'Mobilize Share'!G13+Stapp.in!G13</f>
        <v>1</v>
      </c>
      <c r="AR257" s="29">
        <f t="shared" ref="AR257:AR286" si="11">AP257/G257*1000</f>
        <v>0.12051096649795132</v>
      </c>
      <c r="AS257" s="29">
        <f t="shared" ref="AS257:AS286" si="12">AQ257/G257*1000</f>
        <v>0.12051096649795132</v>
      </c>
      <c r="AT257" s="25">
        <f t="shared" ref="AT257:AT286" si="13">AP257-AF257</f>
        <v>0</v>
      </c>
      <c r="AU257" s="30">
        <v>16.518000000000001</v>
      </c>
      <c r="AV257" s="31">
        <v>15.518000000000001</v>
      </c>
    </row>
    <row r="258" spans="1:48" ht="14.25" customHeight="1" x14ac:dyDescent="0.35">
      <c r="A258" s="2" t="s">
        <v>308</v>
      </c>
      <c r="B258" s="13" t="s">
        <v>59</v>
      </c>
      <c r="C258" s="13">
        <v>71034</v>
      </c>
      <c r="D258" s="14">
        <v>16125</v>
      </c>
      <c r="E258" s="14">
        <v>16407</v>
      </c>
      <c r="F258" s="14">
        <v>16607</v>
      </c>
      <c r="G258" s="14">
        <v>16858</v>
      </c>
      <c r="H258" s="15">
        <v>0</v>
      </c>
      <c r="I258" s="13">
        <v>0</v>
      </c>
      <c r="J258" s="16">
        <v>0</v>
      </c>
      <c r="K258" s="15">
        <v>0</v>
      </c>
      <c r="L258" s="13">
        <v>0</v>
      </c>
      <c r="M258" s="16">
        <v>0</v>
      </c>
      <c r="N258" s="15">
        <v>0</v>
      </c>
      <c r="O258" s="13">
        <v>0</v>
      </c>
      <c r="P258" s="16">
        <v>0</v>
      </c>
      <c r="Q258" s="16">
        <v>0</v>
      </c>
      <c r="R258" s="18">
        <v>0</v>
      </c>
      <c r="S258" s="16">
        <v>0</v>
      </c>
      <c r="T258" s="18">
        <v>0</v>
      </c>
      <c r="U258" s="16">
        <v>0</v>
      </c>
      <c r="V258" s="18">
        <v>0</v>
      </c>
      <c r="W258" s="16">
        <v>0</v>
      </c>
      <c r="X258" s="15">
        <v>0</v>
      </c>
      <c r="Y258" s="13">
        <v>0</v>
      </c>
      <c r="Z258" s="16">
        <v>0</v>
      </c>
      <c r="AA258" s="16">
        <v>0</v>
      </c>
      <c r="AB258" s="15">
        <v>0</v>
      </c>
      <c r="AC258" s="13">
        <v>0</v>
      </c>
      <c r="AD258" s="16">
        <v>0</v>
      </c>
      <c r="AE258" s="16">
        <v>0</v>
      </c>
      <c r="AF258" s="19">
        <v>1</v>
      </c>
      <c r="AG258" s="20">
        <v>1</v>
      </c>
      <c r="AH258" s="16">
        <v>6.0215571746853741E-2</v>
      </c>
      <c r="AI258" s="21">
        <v>6.0215571746853741E-2</v>
      </c>
      <c r="AJ258" s="22">
        <f>BattMobility!D147+cambio!D147+Claus2you!D147+CoopStroom!D147+Cozywheels!D147+Dégage!D147+Flexigo!D147+Klimaan!D147+Moovee!D147+Poppy!D147+'Mobilize Share'!D147+Stapp.in!D147</f>
        <v>1</v>
      </c>
      <c r="AK258" s="23">
        <f>BattMobility!E147+cambio!E147+Claus2you!E147+CoopStroom!E147+Cozywheels!E147+Dégage!E147+Flexigo!E147+Klimaan!E147+Moovee!E147+Poppy!E147+'Mobilize Share'!E147+Stapp.in!E147</f>
        <v>1</v>
      </c>
      <c r="AL258" s="21">
        <f t="shared" si="7"/>
        <v>5.9319017677067265E-2</v>
      </c>
      <c r="AM258" s="21">
        <f t="shared" si="8"/>
        <v>5.9319017677067265E-2</v>
      </c>
      <c r="AN258" s="25">
        <f t="shared" si="9"/>
        <v>1</v>
      </c>
      <c r="AO258" s="26" t="e">
        <f t="shared" si="10"/>
        <v>#DIV/0!</v>
      </c>
      <c r="AP258" s="27">
        <f>BattMobility!F147+cambio!F147+Claus2you!F147+CoopStroom!F147+Cozywheels!F147+Dégage!F147+Flexigo!F147+Klimaan!F147+Moovee!F147+Poppy!F147+'Mobilize Share'!F147+Stapp.in!F147</f>
        <v>1</v>
      </c>
      <c r="AQ258" s="25">
        <f>BattMobility!G147+cambio!G147+Claus2you!G147+CoopStroom!G147+Cozywheels!G147+Dégage!G147+Flexigo!G147+Klimaan!G147+Moovee!G147+Poppy!G147+'Mobilize Share'!G147+Stapp.in!G147</f>
        <v>1</v>
      </c>
      <c r="AR258" s="29">
        <f t="shared" si="11"/>
        <v>5.9319017677067265E-2</v>
      </c>
      <c r="AS258" s="29">
        <f t="shared" si="12"/>
        <v>5.9319017677067265E-2</v>
      </c>
      <c r="AT258" s="25">
        <f t="shared" si="13"/>
        <v>0</v>
      </c>
      <c r="AU258" s="30">
        <v>33.213999999999999</v>
      </c>
      <c r="AV258" s="31">
        <v>32.213999999999999</v>
      </c>
    </row>
    <row r="259" spans="1:48" ht="14.25" customHeight="1" x14ac:dyDescent="0.35">
      <c r="A259" s="2" t="s">
        <v>309</v>
      </c>
      <c r="B259" s="13" t="s">
        <v>59</v>
      </c>
      <c r="C259" s="13">
        <v>71011</v>
      </c>
      <c r="D259" s="14">
        <v>19241</v>
      </c>
      <c r="E259" s="14">
        <v>19423</v>
      </c>
      <c r="F259" s="14">
        <v>19607</v>
      </c>
      <c r="G259" s="14">
        <v>19788</v>
      </c>
      <c r="H259" s="15">
        <v>0</v>
      </c>
      <c r="I259" s="13">
        <v>0</v>
      </c>
      <c r="J259" s="16">
        <v>0</v>
      </c>
      <c r="K259" s="15">
        <v>0</v>
      </c>
      <c r="L259" s="13">
        <v>0</v>
      </c>
      <c r="M259" s="16">
        <v>0</v>
      </c>
      <c r="N259" s="15">
        <v>0</v>
      </c>
      <c r="O259" s="13">
        <v>0</v>
      </c>
      <c r="P259" s="16">
        <v>0</v>
      </c>
      <c r="Q259" s="16">
        <v>0</v>
      </c>
      <c r="R259" s="18">
        <v>0</v>
      </c>
      <c r="S259" s="16">
        <v>0</v>
      </c>
      <c r="T259" s="18">
        <v>0</v>
      </c>
      <c r="U259" s="16">
        <v>0</v>
      </c>
      <c r="V259" s="18">
        <v>0</v>
      </c>
      <c r="W259" s="16">
        <v>0</v>
      </c>
      <c r="X259" s="15">
        <v>1</v>
      </c>
      <c r="Y259" s="13">
        <v>0</v>
      </c>
      <c r="Z259" s="16">
        <v>5.1485352417237298E-2</v>
      </c>
      <c r="AA259" s="16">
        <v>0</v>
      </c>
      <c r="AB259" s="15">
        <v>1</v>
      </c>
      <c r="AC259" s="13">
        <v>1</v>
      </c>
      <c r="AD259" s="16">
        <v>5.100219309430306E-2</v>
      </c>
      <c r="AE259" s="16">
        <v>5.100219309430306E-2</v>
      </c>
      <c r="AF259" s="19">
        <v>1</v>
      </c>
      <c r="AG259" s="20">
        <v>0</v>
      </c>
      <c r="AH259" s="16">
        <v>5.100219309430306E-2</v>
      </c>
      <c r="AI259" s="21">
        <v>0</v>
      </c>
      <c r="AJ259" s="22">
        <f>BattMobility!D57+cambio!D57+Claus2you!D57+CoopStroom!D57+Cozywheels!D57+Dégage!D57+Flexigo!D57+Klimaan!D57+Moovee!D57+Poppy!D57+'Mobilize Share'!D57+Stapp.in!D57</f>
        <v>1</v>
      </c>
      <c r="AK259" s="23">
        <f>BattMobility!E57+cambio!E57+Claus2you!E57+CoopStroom!E57+Cozywheels!E57+Dégage!E57+Flexigo!E57+Klimaan!E57+Moovee!E57+Poppy!E57+'Mobilize Share'!E57+Stapp.in!E57</f>
        <v>0</v>
      </c>
      <c r="AL259" s="21">
        <f t="shared" si="7"/>
        <v>5.0535678188801288E-2</v>
      </c>
      <c r="AM259" s="21">
        <f t="shared" si="8"/>
        <v>0</v>
      </c>
      <c r="AN259" s="25">
        <f t="shared" si="9"/>
        <v>0</v>
      </c>
      <c r="AO259" s="26">
        <f t="shared" si="10"/>
        <v>0</v>
      </c>
      <c r="AP259" s="27">
        <f>BattMobility!F57+cambio!F57+Claus2you!F57+CoopStroom!F57+Cozywheels!F57+Dégage!F57+Flexigo!F57+Klimaan!F57+Moovee!F57+Poppy!F57+'Mobilize Share'!F57+Stapp.in!F57</f>
        <v>1</v>
      </c>
      <c r="AQ259" s="25">
        <f>BattMobility!G57+cambio!G57+Claus2you!G57+CoopStroom!G57+Cozywheels!G57+Dégage!G57+Flexigo!G57+Klimaan!G57+Moovee!G57+Poppy!G57+'Mobilize Share'!G57+Stapp.in!G57</f>
        <v>0</v>
      </c>
      <c r="AR259" s="29">
        <f t="shared" si="11"/>
        <v>5.0535678188801288E-2</v>
      </c>
      <c r="AS259" s="29">
        <f t="shared" si="12"/>
        <v>0</v>
      </c>
      <c r="AT259" s="25">
        <f t="shared" si="13"/>
        <v>0</v>
      </c>
      <c r="AU259" s="30">
        <v>39.213999999999999</v>
      </c>
      <c r="AV259" s="31">
        <v>38.213999999999999</v>
      </c>
    </row>
    <row r="260" spans="1:48" ht="14.25" customHeight="1" x14ac:dyDescent="0.35">
      <c r="A260" s="2" t="s">
        <v>310</v>
      </c>
      <c r="B260" s="13" t="s">
        <v>59</v>
      </c>
      <c r="C260" s="13">
        <v>72043</v>
      </c>
      <c r="D260" s="14">
        <v>33601</v>
      </c>
      <c r="E260" s="14">
        <v>34100</v>
      </c>
      <c r="F260" s="14">
        <v>34433</v>
      </c>
      <c r="G260" s="14">
        <v>34635</v>
      </c>
      <c r="H260" s="15">
        <v>0</v>
      </c>
      <c r="I260" s="13">
        <v>0</v>
      </c>
      <c r="J260" s="16">
        <v>0</v>
      </c>
      <c r="K260" s="15">
        <v>1</v>
      </c>
      <c r="L260" s="13">
        <v>0</v>
      </c>
      <c r="M260" s="16">
        <v>2.9761019017291151E-2</v>
      </c>
      <c r="N260" s="15">
        <v>2</v>
      </c>
      <c r="O260" s="13">
        <v>1</v>
      </c>
      <c r="P260" s="16">
        <v>5.865102639296188E-2</v>
      </c>
      <c r="Q260" s="16">
        <v>2.932551319648094E-2</v>
      </c>
      <c r="R260" s="18">
        <v>2</v>
      </c>
      <c r="S260" s="16">
        <v>5.865102639296188E-2</v>
      </c>
      <c r="T260" s="18">
        <v>1</v>
      </c>
      <c r="U260" s="16">
        <v>2.8890007375670729E-2</v>
      </c>
      <c r="V260" s="18">
        <v>0</v>
      </c>
      <c r="W260" s="16">
        <v>0</v>
      </c>
      <c r="X260" s="15">
        <v>2</v>
      </c>
      <c r="Y260" s="13">
        <v>1</v>
      </c>
      <c r="Z260" s="16">
        <v>5.865102639296188E-2</v>
      </c>
      <c r="AA260" s="16">
        <v>2.932551319648094E-2</v>
      </c>
      <c r="AB260" s="15">
        <v>1</v>
      </c>
      <c r="AC260" s="13">
        <v>1</v>
      </c>
      <c r="AD260" s="16">
        <v>2.9041907472482795E-2</v>
      </c>
      <c r="AE260" s="16">
        <v>2.9041907472482795E-2</v>
      </c>
      <c r="AF260" s="19">
        <v>1</v>
      </c>
      <c r="AG260" s="20">
        <v>1</v>
      </c>
      <c r="AH260" s="16">
        <v>2.9041907472482795E-2</v>
      </c>
      <c r="AI260" s="21">
        <v>2.9041907472482795E-2</v>
      </c>
      <c r="AJ260" s="22">
        <f>BattMobility!D203+cambio!D203+Claus2you!D203+CoopStroom!D203+Cozywheels!D203+Dégage!D203+Flexigo!D203+Klimaan!D203+Moovee!D203+Poppy!D203+'Mobilize Share'!D203+Stapp.in!D203</f>
        <v>1</v>
      </c>
      <c r="AK260" s="23">
        <f>BattMobility!E203+cambio!E203+Claus2you!E203+CoopStroom!E203+Cozywheels!E203+Dégage!E203+Flexigo!E203+Klimaan!E203+Moovee!E203+Poppy!E203+'Mobilize Share'!E203+Stapp.in!E203</f>
        <v>1</v>
      </c>
      <c r="AL260" s="21">
        <f t="shared" si="7"/>
        <v>2.8872527789807995E-2</v>
      </c>
      <c r="AM260" s="21">
        <f t="shared" si="8"/>
        <v>2.8872527789807995E-2</v>
      </c>
      <c r="AN260" s="25">
        <f t="shared" si="9"/>
        <v>0</v>
      </c>
      <c r="AO260" s="26">
        <f t="shared" si="10"/>
        <v>0</v>
      </c>
      <c r="AP260" s="27">
        <f>BattMobility!F203+cambio!F203+Claus2you!F203+CoopStroom!F203+Cozywheels!F203+Dégage!F203+Flexigo!F203+Klimaan!F203+Moovee!F203+Poppy!F203+'Mobilize Share'!F203+Stapp.in!F203</f>
        <v>1</v>
      </c>
      <c r="AQ260" s="25">
        <f>BattMobility!G203+cambio!G203+Claus2you!G203+CoopStroom!G203+Cozywheels!G203+Dégage!G203+Flexigo!G203+Klimaan!G203+Moovee!G203+Poppy!G203+'Mobilize Share'!G203+Stapp.in!G203</f>
        <v>1</v>
      </c>
      <c r="AR260" s="29">
        <f t="shared" si="11"/>
        <v>2.8872527789807995E-2</v>
      </c>
      <c r="AS260" s="29">
        <f t="shared" si="12"/>
        <v>2.8872527789807995E-2</v>
      </c>
      <c r="AT260" s="25">
        <f t="shared" si="13"/>
        <v>0</v>
      </c>
      <c r="AU260" s="30">
        <v>68.866</v>
      </c>
      <c r="AV260" s="31">
        <v>67.866</v>
      </c>
    </row>
    <row r="261" spans="1:48" ht="14.25" customHeight="1" x14ac:dyDescent="0.35">
      <c r="A261" s="2" t="s">
        <v>311</v>
      </c>
      <c r="B261" s="13" t="s">
        <v>48</v>
      </c>
      <c r="C261" s="13">
        <v>11039</v>
      </c>
      <c r="D261" s="14">
        <v>20031</v>
      </c>
      <c r="E261" s="14">
        <v>20293</v>
      </c>
      <c r="F261" s="14">
        <v>20319</v>
      </c>
      <c r="G261" s="14">
        <v>20508</v>
      </c>
      <c r="H261" s="15">
        <v>3</v>
      </c>
      <c r="I261" s="13">
        <v>0</v>
      </c>
      <c r="J261" s="16">
        <v>0.14976785981728322</v>
      </c>
      <c r="K261" s="15">
        <v>11</v>
      </c>
      <c r="L261" s="13">
        <v>0</v>
      </c>
      <c r="M261" s="16">
        <v>0.54914881933003845</v>
      </c>
      <c r="N261" s="15">
        <v>16</v>
      </c>
      <c r="O261" s="13">
        <v>0</v>
      </c>
      <c r="P261" s="16">
        <v>0.78844921894249254</v>
      </c>
      <c r="Q261" s="16">
        <v>0</v>
      </c>
      <c r="R261" s="18">
        <v>13</v>
      </c>
      <c r="S261" s="16">
        <v>0.63868135912520929</v>
      </c>
      <c r="T261" s="18">
        <v>5</v>
      </c>
      <c r="U261" s="16">
        <v>0.23930039961245408</v>
      </c>
      <c r="V261" s="18">
        <v>2</v>
      </c>
      <c r="W261" s="16">
        <v>9.8556152367811567E-2</v>
      </c>
      <c r="X261" s="15">
        <v>0</v>
      </c>
      <c r="Y261" s="13">
        <v>0</v>
      </c>
      <c r="Z261" s="16">
        <v>0</v>
      </c>
      <c r="AA261" s="16">
        <v>0</v>
      </c>
      <c r="AB261" s="15">
        <v>0</v>
      </c>
      <c r="AC261" s="13">
        <v>0</v>
      </c>
      <c r="AD261" s="16">
        <v>0</v>
      </c>
      <c r="AE261" s="16">
        <v>0</v>
      </c>
      <c r="AF261" s="19">
        <v>1</v>
      </c>
      <c r="AG261" s="20">
        <v>1</v>
      </c>
      <c r="AH261" s="16">
        <v>4.9215020424233473E-2</v>
      </c>
      <c r="AI261" s="21">
        <v>4.9215020424233473E-2</v>
      </c>
      <c r="AJ261" s="22">
        <f>BattMobility!D221+cambio!D221+Claus2you!D221+CoopStroom!D221+Cozywheels!D221+Dégage!D221+Flexigo!D221+Klimaan!D221+Moovee!D221+Poppy!D221+'Mobilize Share'!D221+Stapp.in!D221</f>
        <v>1</v>
      </c>
      <c r="AK261" s="23">
        <f>BattMobility!E221+cambio!E221+Claus2you!E221+CoopStroom!E221+Cozywheels!E221+Dégage!E221+Flexigo!E221+Klimaan!E221+Moovee!E221+Poppy!E221+'Mobilize Share'!E221+Stapp.in!E221</f>
        <v>1</v>
      </c>
      <c r="AL261" s="21">
        <f t="shared" si="7"/>
        <v>4.8761458942851575E-2</v>
      </c>
      <c r="AM261" s="21">
        <f t="shared" si="8"/>
        <v>4.8761458942851575E-2</v>
      </c>
      <c r="AN261" s="25">
        <f t="shared" si="9"/>
        <v>1</v>
      </c>
      <c r="AO261" s="26" t="e">
        <f t="shared" si="10"/>
        <v>#DIV/0!</v>
      </c>
      <c r="AP261" s="27">
        <f>BattMobility!F221+cambio!F221+Claus2you!F221+CoopStroom!F221+Cozywheels!F221+Dégage!F221+Flexigo!F221+Klimaan!F221+Moovee!F221+Poppy!F221+'Mobilize Share'!F221+Stapp.in!F221</f>
        <v>1</v>
      </c>
      <c r="AQ261" s="25">
        <f>BattMobility!G221+cambio!G221+Claus2you!G221+CoopStroom!G221+Cozywheels!G221+Dégage!G221+Flexigo!G221+Klimaan!G221+Moovee!G221+Poppy!G221+'Mobilize Share'!G221+Stapp.in!G221</f>
        <v>1</v>
      </c>
      <c r="AR261" s="29">
        <f t="shared" si="11"/>
        <v>4.8761458942851575E-2</v>
      </c>
      <c r="AS261" s="29">
        <f t="shared" si="12"/>
        <v>4.8761458942851575E-2</v>
      </c>
      <c r="AT261" s="25">
        <f t="shared" si="13"/>
        <v>0</v>
      </c>
      <c r="AU261" s="30">
        <v>40.637999999999998</v>
      </c>
      <c r="AV261" s="31">
        <v>39.637999999999998</v>
      </c>
    </row>
    <row r="262" spans="1:48" ht="14.25" customHeight="1" x14ac:dyDescent="0.35">
      <c r="A262" s="2" t="s">
        <v>312</v>
      </c>
      <c r="B262" s="13" t="s">
        <v>48</v>
      </c>
      <c r="C262" s="13">
        <v>11023</v>
      </c>
      <c r="D262" s="14">
        <v>27442</v>
      </c>
      <c r="E262" s="14">
        <v>27743</v>
      </c>
      <c r="F262" s="14">
        <v>27782</v>
      </c>
      <c r="G262" s="14">
        <v>27976</v>
      </c>
      <c r="H262" s="15">
        <v>21</v>
      </c>
      <c r="I262" s="13">
        <v>0</v>
      </c>
      <c r="J262" s="16">
        <v>0.76525034618468035</v>
      </c>
      <c r="K262" s="15">
        <v>10</v>
      </c>
      <c r="L262" s="13">
        <v>0</v>
      </c>
      <c r="M262" s="16">
        <v>0.36440492675460973</v>
      </c>
      <c r="N262" s="15">
        <v>1</v>
      </c>
      <c r="O262" s="13">
        <v>0</v>
      </c>
      <c r="P262" s="16">
        <v>3.6045128500883102E-2</v>
      </c>
      <c r="Q262" s="16">
        <v>0</v>
      </c>
      <c r="R262" s="18">
        <v>-20</v>
      </c>
      <c r="S262" s="16">
        <v>-0.7292052176837972</v>
      </c>
      <c r="T262" s="18">
        <v>-9</v>
      </c>
      <c r="U262" s="16">
        <v>-0.32835979825372663</v>
      </c>
      <c r="V262" s="18">
        <v>1</v>
      </c>
      <c r="W262" s="16">
        <v>3.6045128500883102E-2</v>
      </c>
      <c r="X262" s="15">
        <v>2</v>
      </c>
      <c r="Y262" s="13">
        <v>0</v>
      </c>
      <c r="Z262" s="16">
        <v>7.2090257001766203E-2</v>
      </c>
      <c r="AA262" s="16">
        <v>0</v>
      </c>
      <c r="AB262" s="15">
        <v>2</v>
      </c>
      <c r="AC262" s="13">
        <v>0</v>
      </c>
      <c r="AD262" s="16">
        <v>7.1989057663235198E-2</v>
      </c>
      <c r="AE262" s="16">
        <v>0</v>
      </c>
      <c r="AF262" s="19">
        <v>2</v>
      </c>
      <c r="AG262" s="20">
        <v>0</v>
      </c>
      <c r="AH262" s="16">
        <v>7.1989057663235198E-2</v>
      </c>
      <c r="AI262" s="21">
        <v>0</v>
      </c>
      <c r="AJ262" s="22">
        <f>BattMobility!D120+cambio!D120+Claus2you!D120+CoopStroom!D120+Cozywheels!D120+Dégage!D120+Flexigo!D120+Klimaan!D120+Moovee!D120+Poppy!D120+'Mobilize Share'!D120+Stapp.in!D120</f>
        <v>1</v>
      </c>
      <c r="AK262" s="23">
        <f>BattMobility!E120+cambio!E120+Claus2you!E120+CoopStroom!E120+Cozywheels!E120+Dégage!E120+Flexigo!E120+Klimaan!E120+Moovee!E120+Poppy!E120+'Mobilize Share'!E120+Stapp.in!E120</f>
        <v>0</v>
      </c>
      <c r="AL262" s="21">
        <f t="shared" si="7"/>
        <v>3.5744924220760657E-2</v>
      </c>
      <c r="AM262" s="21">
        <f t="shared" si="8"/>
        <v>0</v>
      </c>
      <c r="AN262" s="25">
        <f t="shared" si="9"/>
        <v>-1</v>
      </c>
      <c r="AO262" s="26">
        <f t="shared" si="10"/>
        <v>-0.5</v>
      </c>
      <c r="AP262" s="27">
        <f>BattMobility!F120+cambio!F120+Claus2you!F120+CoopStroom!F120+Cozywheels!F120+Dégage!F120+Flexigo!F120+Klimaan!F120+Moovee!F120+Poppy!F120+'Mobilize Share'!F120+Stapp.in!F120</f>
        <v>1</v>
      </c>
      <c r="AQ262" s="25">
        <f>BattMobility!G120+cambio!G120+Claus2you!G120+CoopStroom!G120+Cozywheels!G120+Dégage!G120+Flexigo!G120+Klimaan!G120+Moovee!G120+Poppy!G120+'Mobilize Share'!G120+Stapp.in!G120</f>
        <v>0</v>
      </c>
      <c r="AR262" s="29">
        <f t="shared" si="11"/>
        <v>3.5744924220760657E-2</v>
      </c>
      <c r="AS262" s="29">
        <f t="shared" si="12"/>
        <v>0</v>
      </c>
      <c r="AT262" s="25">
        <f t="shared" si="13"/>
        <v>-1</v>
      </c>
      <c r="AU262" s="30">
        <v>55.564</v>
      </c>
      <c r="AV262" s="31">
        <v>53.564</v>
      </c>
    </row>
    <row r="263" spans="1:48" ht="14.25" customHeight="1" x14ac:dyDescent="0.35">
      <c r="A263" s="2" t="s">
        <v>313</v>
      </c>
      <c r="B263" s="13" t="s">
        <v>59</v>
      </c>
      <c r="C263" s="13">
        <v>73028</v>
      </c>
      <c r="D263" s="14">
        <v>79</v>
      </c>
      <c r="E263" s="14">
        <v>77</v>
      </c>
      <c r="F263" s="14">
        <v>76</v>
      </c>
      <c r="G263" s="14">
        <v>75</v>
      </c>
      <c r="H263" s="15">
        <v>0</v>
      </c>
      <c r="I263" s="13">
        <v>0</v>
      </c>
      <c r="J263" s="16">
        <v>0</v>
      </c>
      <c r="K263" s="15">
        <v>0</v>
      </c>
      <c r="L263" s="13">
        <v>0</v>
      </c>
      <c r="M263" s="16">
        <v>0</v>
      </c>
      <c r="N263" s="15">
        <v>0</v>
      </c>
      <c r="O263" s="13">
        <v>0</v>
      </c>
      <c r="P263" s="16">
        <v>0</v>
      </c>
      <c r="Q263" s="16">
        <v>0</v>
      </c>
      <c r="R263" s="18">
        <v>0</v>
      </c>
      <c r="S263" s="16">
        <v>0</v>
      </c>
      <c r="T263" s="18">
        <v>0</v>
      </c>
      <c r="U263" s="16">
        <v>0</v>
      </c>
      <c r="V263" s="18">
        <v>0</v>
      </c>
      <c r="W263" s="16">
        <v>0</v>
      </c>
      <c r="X263" s="15">
        <v>0</v>
      </c>
      <c r="Y263" s="13">
        <v>0</v>
      </c>
      <c r="Z263" s="16">
        <v>0</v>
      </c>
      <c r="AA263" s="16">
        <v>0</v>
      </c>
      <c r="AB263" s="15">
        <v>0</v>
      </c>
      <c r="AC263" s="13">
        <v>0</v>
      </c>
      <c r="AD263" s="16">
        <v>0</v>
      </c>
      <c r="AE263" s="16">
        <v>0</v>
      </c>
      <c r="AF263" s="19">
        <v>0</v>
      </c>
      <c r="AG263" s="20">
        <v>0</v>
      </c>
      <c r="AH263" s="16">
        <v>0</v>
      </c>
      <c r="AI263" s="21">
        <v>0</v>
      </c>
      <c r="AJ263" s="22">
        <f>BattMobility!D97+cambio!D97+Claus2you!D97+CoopStroom!D97+Cozywheels!D97+Dégage!D97+Flexigo!D97+Klimaan!D97+Moovee!D97+Poppy!D97+'Mobilize Share'!D97+Stapp.in!D97</f>
        <v>0</v>
      </c>
      <c r="AK263" s="23">
        <f>BattMobility!E97+cambio!E97+Claus2you!E97+CoopStroom!E97+Cozywheels!E97+Dégage!E97+Flexigo!E97+Klimaan!E97+Moovee!E97+Poppy!E97+'Mobilize Share'!E97+Stapp.in!E97</f>
        <v>0</v>
      </c>
      <c r="AL263" s="21">
        <f t="shared" si="7"/>
        <v>0</v>
      </c>
      <c r="AM263" s="21">
        <f t="shared" si="8"/>
        <v>0</v>
      </c>
      <c r="AN263" s="25">
        <f t="shared" si="9"/>
        <v>0</v>
      </c>
      <c r="AO263" s="26" t="e">
        <f t="shared" si="10"/>
        <v>#DIV/0!</v>
      </c>
      <c r="AP263" s="27">
        <f>BattMobility!F97+cambio!F97+Claus2you!F97+CoopStroom!F97+Cozywheels!F97+Dégage!F97+Flexigo!F97+Klimaan!F97+Moovee!F97+Poppy!F97+'Mobilize Share'!F97+Stapp.in!F97</f>
        <v>0</v>
      </c>
      <c r="AQ263" s="25">
        <f>BattMobility!G97+cambio!G97+Claus2you!G97+CoopStroom!G97+Cozywheels!G97+Dégage!G97+Flexigo!G97+Klimaan!G97+Moovee!G97+Poppy!G97+'Mobilize Share'!G97+Stapp.in!G97</f>
        <v>0</v>
      </c>
      <c r="AR263" s="29">
        <f t="shared" si="11"/>
        <v>0</v>
      </c>
      <c r="AS263" s="29">
        <f t="shared" si="12"/>
        <v>0</v>
      </c>
      <c r="AT263" s="25">
        <f t="shared" si="13"/>
        <v>0</v>
      </c>
      <c r="AU263" s="30">
        <v>0.152</v>
      </c>
      <c r="AV263" s="31">
        <v>0.152</v>
      </c>
    </row>
    <row r="264" spans="1:48" ht="14.25" customHeight="1" x14ac:dyDescent="0.35">
      <c r="A264" s="2" t="s">
        <v>314</v>
      </c>
      <c r="B264" s="13" t="s">
        <v>55</v>
      </c>
      <c r="C264" s="13">
        <v>34043</v>
      </c>
      <c r="D264" s="14">
        <v>2056</v>
      </c>
      <c r="E264" s="14">
        <v>2056</v>
      </c>
      <c r="F264" s="14">
        <v>2063</v>
      </c>
      <c r="G264" s="14">
        <v>2053</v>
      </c>
      <c r="H264" s="15">
        <v>0</v>
      </c>
      <c r="I264" s="13">
        <v>0</v>
      </c>
      <c r="J264" s="16">
        <v>0</v>
      </c>
      <c r="K264" s="15">
        <v>0</v>
      </c>
      <c r="L264" s="13">
        <v>0</v>
      </c>
      <c r="M264" s="16">
        <v>0</v>
      </c>
      <c r="N264" s="15">
        <v>0</v>
      </c>
      <c r="O264" s="13">
        <v>0</v>
      </c>
      <c r="P264" s="16">
        <v>0</v>
      </c>
      <c r="Q264" s="16">
        <v>0</v>
      </c>
      <c r="R264" s="18">
        <v>0</v>
      </c>
      <c r="S264" s="16">
        <v>0</v>
      </c>
      <c r="T264" s="18">
        <v>0</v>
      </c>
      <c r="U264" s="16">
        <v>0</v>
      </c>
      <c r="V264" s="18">
        <v>0</v>
      </c>
      <c r="W264" s="16">
        <v>0</v>
      </c>
      <c r="X264" s="15">
        <v>0</v>
      </c>
      <c r="Y264" s="13">
        <v>0</v>
      </c>
      <c r="Z264" s="16">
        <v>0</v>
      </c>
      <c r="AA264" s="16">
        <v>0</v>
      </c>
      <c r="AB264" s="15">
        <v>0</v>
      </c>
      <c r="AC264" s="13">
        <v>0</v>
      </c>
      <c r="AD264" s="16">
        <v>0</v>
      </c>
      <c r="AE264" s="16">
        <v>0</v>
      </c>
      <c r="AF264" s="19">
        <v>0</v>
      </c>
      <c r="AG264" s="20">
        <v>0</v>
      </c>
      <c r="AH264" s="16">
        <v>0</v>
      </c>
      <c r="AI264" s="21">
        <v>0</v>
      </c>
      <c r="AJ264" s="22">
        <f>BattMobility!D232+cambio!D232+Claus2you!D232+CoopStroom!D232+Cozywheels!D232+Dégage!D232+Flexigo!D232+Klimaan!D232+Moovee!D232+Poppy!D232+'Mobilize Share'!D232+Stapp.in!D232</f>
        <v>0</v>
      </c>
      <c r="AK264" s="23">
        <f>BattMobility!E232+cambio!E232+Claus2you!E232+CoopStroom!E232+Cozywheels!E232+Dégage!E232+Flexigo!E232+Klimaan!E232+Moovee!E232+Poppy!E232+'Mobilize Share'!E232+Stapp.in!E232</f>
        <v>0</v>
      </c>
      <c r="AL264" s="21">
        <f t="shared" si="7"/>
        <v>0</v>
      </c>
      <c r="AM264" s="21">
        <f t="shared" si="8"/>
        <v>0</v>
      </c>
      <c r="AN264" s="25">
        <f t="shared" si="9"/>
        <v>0</v>
      </c>
      <c r="AO264" s="26" t="e">
        <f t="shared" si="10"/>
        <v>#DIV/0!</v>
      </c>
      <c r="AP264" s="27">
        <f>BattMobility!F232+cambio!F232+Claus2you!F232+CoopStroom!F232+Cozywheels!F232+Dégage!F232+Flexigo!F232+Klimaan!F232+Moovee!F232+Poppy!F232+'Mobilize Share'!F232+Stapp.in!F232</f>
        <v>0</v>
      </c>
      <c r="AQ264" s="25">
        <f>BattMobility!G232+cambio!G232+Claus2you!G232+CoopStroom!G232+Cozywheels!G232+Dégage!G232+Flexigo!G232+Klimaan!G232+Moovee!G232+Poppy!G232+'Mobilize Share'!G232+Stapp.in!G232</f>
        <v>0</v>
      </c>
      <c r="AR264" s="29">
        <f t="shared" si="11"/>
        <v>0</v>
      </c>
      <c r="AS264" s="29">
        <f t="shared" si="12"/>
        <v>0</v>
      </c>
      <c r="AT264" s="25">
        <f t="shared" si="13"/>
        <v>0</v>
      </c>
      <c r="AU264" s="30">
        <v>4.1260000000000003</v>
      </c>
      <c r="AV264" s="31">
        <v>4.1260000000000003</v>
      </c>
    </row>
    <row r="265" spans="1:48" ht="14.25" customHeight="1" x14ac:dyDescent="0.35">
      <c r="A265" s="2" t="s">
        <v>315</v>
      </c>
      <c r="B265" s="13" t="s">
        <v>52</v>
      </c>
      <c r="C265" s="13">
        <v>23009</v>
      </c>
      <c r="D265" s="14">
        <v>2265</v>
      </c>
      <c r="E265" s="14">
        <v>2266</v>
      </c>
      <c r="F265" s="14">
        <v>2276</v>
      </c>
      <c r="G265" s="14">
        <v>2266</v>
      </c>
      <c r="H265" s="15">
        <v>0</v>
      </c>
      <c r="I265" s="13">
        <v>0</v>
      </c>
      <c r="J265" s="16">
        <v>0</v>
      </c>
      <c r="K265" s="15">
        <v>0</v>
      </c>
      <c r="L265" s="13">
        <v>0</v>
      </c>
      <c r="M265" s="16">
        <v>0</v>
      </c>
      <c r="N265" s="15">
        <v>0</v>
      </c>
      <c r="O265" s="13">
        <v>0</v>
      </c>
      <c r="P265" s="16">
        <v>0</v>
      </c>
      <c r="Q265" s="16">
        <v>0</v>
      </c>
      <c r="R265" s="18">
        <v>0</v>
      </c>
      <c r="S265" s="16">
        <v>0</v>
      </c>
      <c r="T265" s="18">
        <v>0</v>
      </c>
      <c r="U265" s="16">
        <v>0</v>
      </c>
      <c r="V265" s="18">
        <v>0</v>
      </c>
      <c r="W265" s="16">
        <v>0</v>
      </c>
      <c r="X265" s="15">
        <v>0</v>
      </c>
      <c r="Y265" s="13">
        <v>0</v>
      </c>
      <c r="Z265" s="32">
        <v>0</v>
      </c>
      <c r="AA265" s="16">
        <v>0</v>
      </c>
      <c r="AB265" s="15">
        <v>0</v>
      </c>
      <c r="AC265" s="13">
        <v>0</v>
      </c>
      <c r="AD265" s="32">
        <v>0</v>
      </c>
      <c r="AE265" s="16">
        <v>0</v>
      </c>
      <c r="AF265" s="19">
        <v>0</v>
      </c>
      <c r="AG265" s="20">
        <v>0</v>
      </c>
      <c r="AH265" s="16">
        <v>0</v>
      </c>
      <c r="AI265" s="21">
        <v>0</v>
      </c>
      <c r="AJ265" s="22">
        <f>BattMobility!D28+cambio!D28+Claus2you!D28+CoopStroom!D28+Cozywheels!D28+Dégage!D28+Flexigo!D28+Klimaan!D28+Moovee!D28+Poppy!D28+'Mobilize Share'!D28+Stapp.in!D28</f>
        <v>0</v>
      </c>
      <c r="AK265" s="23">
        <f>BattMobility!E28+cambio!E28+Claus2you!E28+CoopStroom!E28+Cozywheels!E28+Dégage!E28+Flexigo!E28+Klimaan!E28+Moovee!E28+Poppy!E28+'Mobilize Share'!E28+Stapp.in!E28</f>
        <v>0</v>
      </c>
      <c r="AL265" s="21">
        <f t="shared" si="7"/>
        <v>0</v>
      </c>
      <c r="AM265" s="21">
        <f t="shared" si="8"/>
        <v>0</v>
      </c>
      <c r="AN265" s="25">
        <f t="shared" si="9"/>
        <v>0</v>
      </c>
      <c r="AO265" s="26" t="e">
        <f t="shared" si="10"/>
        <v>#DIV/0!</v>
      </c>
      <c r="AP265" s="27">
        <f>BattMobility!F28+cambio!F28+Claus2you!F28+CoopStroom!F28+Cozywheels!F28+Dégage!F28+Flexigo!F28+Klimaan!F28+Moovee!F28+Poppy!F28+'Mobilize Share'!F28+Stapp.in!F28</f>
        <v>0</v>
      </c>
      <c r="AQ265" s="25">
        <f>BattMobility!G28+cambio!G28+Claus2you!G28+CoopStroom!G28+Cozywheels!G28+Dégage!G28+Flexigo!G28+Klimaan!G28+Moovee!G28+Poppy!G28+'Mobilize Share'!G28+Stapp.in!G28</f>
        <v>0</v>
      </c>
      <c r="AR265" s="29">
        <f t="shared" si="11"/>
        <v>0</v>
      </c>
      <c r="AS265" s="29">
        <f t="shared" si="12"/>
        <v>0</v>
      </c>
      <c r="AT265" s="25">
        <f t="shared" si="13"/>
        <v>0</v>
      </c>
      <c r="AU265" s="30">
        <v>4.5519999999999996</v>
      </c>
      <c r="AV265" s="31">
        <v>4.5519999999999996</v>
      </c>
    </row>
    <row r="266" spans="1:48" ht="14.25" customHeight="1" x14ac:dyDescent="0.35">
      <c r="A266" s="2" t="s">
        <v>316</v>
      </c>
      <c r="B266" s="13" t="s">
        <v>55</v>
      </c>
      <c r="C266" s="13">
        <v>31042</v>
      </c>
      <c r="D266" s="14">
        <v>2709</v>
      </c>
      <c r="E266" s="14">
        <v>2751</v>
      </c>
      <c r="F266" s="14">
        <v>2676</v>
      </c>
      <c r="G266" s="14">
        <v>2657</v>
      </c>
      <c r="H266" s="15">
        <v>0</v>
      </c>
      <c r="I266" s="13">
        <v>0</v>
      </c>
      <c r="J266" s="16">
        <v>0</v>
      </c>
      <c r="K266" s="15">
        <v>0</v>
      </c>
      <c r="L266" s="13">
        <v>0</v>
      </c>
      <c r="M266" s="16">
        <v>0</v>
      </c>
      <c r="N266" s="15">
        <v>0</v>
      </c>
      <c r="O266" s="13">
        <v>0</v>
      </c>
      <c r="P266" s="16">
        <v>0</v>
      </c>
      <c r="Q266" s="16">
        <v>0</v>
      </c>
      <c r="R266" s="18">
        <v>0</v>
      </c>
      <c r="S266" s="16">
        <v>0</v>
      </c>
      <c r="T266" s="18">
        <v>0</v>
      </c>
      <c r="U266" s="16">
        <v>0</v>
      </c>
      <c r="V266" s="18">
        <v>0</v>
      </c>
      <c r="W266" s="16">
        <v>0</v>
      </c>
      <c r="X266" s="15">
        <v>0</v>
      </c>
      <c r="Y266" s="13">
        <v>0</v>
      </c>
      <c r="Z266" s="16">
        <v>0</v>
      </c>
      <c r="AA266" s="16">
        <v>0</v>
      </c>
      <c r="AB266" s="15">
        <v>0</v>
      </c>
      <c r="AC266" s="13">
        <v>0</v>
      </c>
      <c r="AD266" s="16">
        <v>0</v>
      </c>
      <c r="AE266" s="16">
        <v>0</v>
      </c>
      <c r="AF266" s="19">
        <v>0</v>
      </c>
      <c r="AG266" s="20">
        <v>0</v>
      </c>
      <c r="AH266" s="16">
        <v>0</v>
      </c>
      <c r="AI266" s="21">
        <v>0</v>
      </c>
      <c r="AJ266" s="22">
        <f>BattMobility!D282+cambio!D282+Claus2you!D282+CoopStroom!D282+Cozywheels!D282+Dégage!D282+Flexigo!D282+Klimaan!D282+Moovee!D282+Poppy!D282+'Mobilize Share'!D282+Stapp.in!D282</f>
        <v>0</v>
      </c>
      <c r="AK266" s="23">
        <f>BattMobility!E282+cambio!E282+Claus2you!E282+CoopStroom!E282+Cozywheels!E282+Dégage!E282+Flexigo!E282+Klimaan!E282+Moovee!E282+Poppy!E282+'Mobilize Share'!E282+Stapp.in!E282</f>
        <v>0</v>
      </c>
      <c r="AL266" s="21">
        <f t="shared" si="7"/>
        <v>0</v>
      </c>
      <c r="AM266" s="21">
        <f t="shared" si="8"/>
        <v>0</v>
      </c>
      <c r="AN266" s="25">
        <f t="shared" si="9"/>
        <v>0</v>
      </c>
      <c r="AO266" s="26" t="e">
        <f t="shared" si="10"/>
        <v>#DIV/0!</v>
      </c>
      <c r="AP266" s="27">
        <f>BattMobility!F282+cambio!F282+Claus2you!F282+CoopStroom!F282+Cozywheels!F282+Dégage!F282+Flexigo!F282+Klimaan!F282+Moovee!F282+Poppy!F282+'Mobilize Share'!F282+Stapp.in!F282</f>
        <v>0</v>
      </c>
      <c r="AQ266" s="25">
        <f>BattMobility!G282+cambio!G282+Claus2you!G282+CoopStroom!G282+Cozywheels!G282+Dégage!G282+Flexigo!G282+Klimaan!G282+Moovee!G282+Poppy!G282+'Mobilize Share'!G282+Stapp.in!G282</f>
        <v>0</v>
      </c>
      <c r="AR266" s="29">
        <f t="shared" si="11"/>
        <v>0</v>
      </c>
      <c r="AS266" s="29">
        <f t="shared" si="12"/>
        <v>0</v>
      </c>
      <c r="AT266" s="25">
        <f t="shared" si="13"/>
        <v>0</v>
      </c>
      <c r="AU266" s="30">
        <v>5.3520000000000003</v>
      </c>
      <c r="AV266" s="31">
        <v>5.3520000000000003</v>
      </c>
    </row>
    <row r="267" spans="1:48" ht="14.25" customHeight="1" x14ac:dyDescent="0.35">
      <c r="A267" s="2" t="s">
        <v>317</v>
      </c>
      <c r="B267" s="13" t="s">
        <v>48</v>
      </c>
      <c r="C267" s="13">
        <v>13002</v>
      </c>
      <c r="D267" s="14">
        <v>2997</v>
      </c>
      <c r="E267" s="14">
        <v>3012</v>
      </c>
      <c r="F267" s="14">
        <v>3001</v>
      </c>
      <c r="G267" s="14">
        <v>3083</v>
      </c>
      <c r="H267" s="15">
        <v>0</v>
      </c>
      <c r="I267" s="13">
        <v>0</v>
      </c>
      <c r="J267" s="16">
        <v>0</v>
      </c>
      <c r="K267" s="15">
        <v>0</v>
      </c>
      <c r="L267" s="13">
        <v>0</v>
      </c>
      <c r="M267" s="16">
        <v>0</v>
      </c>
      <c r="N267" s="15">
        <v>0</v>
      </c>
      <c r="O267" s="13">
        <v>0</v>
      </c>
      <c r="P267" s="16">
        <v>0</v>
      </c>
      <c r="Q267" s="16">
        <v>0</v>
      </c>
      <c r="R267" s="18">
        <v>0</v>
      </c>
      <c r="S267" s="16">
        <v>0</v>
      </c>
      <c r="T267" s="18">
        <v>0</v>
      </c>
      <c r="U267" s="16">
        <v>0</v>
      </c>
      <c r="V267" s="18">
        <v>0</v>
      </c>
      <c r="W267" s="16">
        <v>0</v>
      </c>
      <c r="X267" s="15">
        <v>0</v>
      </c>
      <c r="Y267" s="13">
        <v>0</v>
      </c>
      <c r="Z267" s="16">
        <v>0</v>
      </c>
      <c r="AA267" s="16">
        <v>0</v>
      </c>
      <c r="AB267" s="15">
        <v>0</v>
      </c>
      <c r="AC267" s="13">
        <v>0</v>
      </c>
      <c r="AD267" s="16">
        <v>0</v>
      </c>
      <c r="AE267" s="16">
        <v>0</v>
      </c>
      <c r="AF267" s="19">
        <v>0</v>
      </c>
      <c r="AG267" s="20">
        <v>0</v>
      </c>
      <c r="AH267" s="16">
        <v>0</v>
      </c>
      <c r="AI267" s="21">
        <v>0</v>
      </c>
      <c r="AJ267" s="22">
        <f>BattMobility!D17+cambio!D17+Claus2you!D17+CoopStroom!D17+Cozywheels!D17+Dégage!D17+Flexigo!D17+Klimaan!D17+Moovee!D17+Poppy!D17+'Mobilize Share'!D17+Stapp.in!D17</f>
        <v>0</v>
      </c>
      <c r="AK267" s="23">
        <f>BattMobility!E17+cambio!E17+Claus2you!E17+CoopStroom!E17+Cozywheels!E17+Dégage!E17+Flexigo!E17+Klimaan!E17+Moovee!E17+Poppy!E17+'Mobilize Share'!E17+Stapp.in!E17</f>
        <v>0</v>
      </c>
      <c r="AL267" s="21">
        <f t="shared" si="7"/>
        <v>0</v>
      </c>
      <c r="AM267" s="21">
        <f t="shared" si="8"/>
        <v>0</v>
      </c>
      <c r="AN267" s="25">
        <f t="shared" si="9"/>
        <v>0</v>
      </c>
      <c r="AO267" s="26" t="e">
        <f t="shared" si="10"/>
        <v>#DIV/0!</v>
      </c>
      <c r="AP267" s="27">
        <f>BattMobility!F17+cambio!F17+Claus2you!F17+CoopStroom!F17+Cozywheels!F17+Dégage!F17+Flexigo!F17+Klimaan!F17+Moovee!F17+Poppy!F17+'Mobilize Share'!F17+Stapp.in!F17</f>
        <v>0</v>
      </c>
      <c r="AQ267" s="25">
        <f>BattMobility!G17+cambio!G17+Claus2you!G17+CoopStroom!G17+Cozywheels!G17+Dégage!G17+Flexigo!G17+Klimaan!G17+Moovee!G17+Poppy!G17+'Mobilize Share'!G17+Stapp.in!G17</f>
        <v>0</v>
      </c>
      <c r="AR267" s="29">
        <f t="shared" si="11"/>
        <v>0</v>
      </c>
      <c r="AS267" s="29">
        <f t="shared" si="12"/>
        <v>0</v>
      </c>
      <c r="AT267" s="25">
        <f t="shared" si="13"/>
        <v>0</v>
      </c>
      <c r="AU267" s="30">
        <v>6.0019999999999998</v>
      </c>
      <c r="AV267" s="31">
        <v>6.0019999999999998</v>
      </c>
    </row>
    <row r="268" spans="1:48" ht="14.25" customHeight="1" x14ac:dyDescent="0.35">
      <c r="A268" s="2" t="s">
        <v>318</v>
      </c>
      <c r="B268" s="13" t="s">
        <v>59</v>
      </c>
      <c r="C268" s="13">
        <v>73109</v>
      </c>
      <c r="D268" s="14">
        <v>4287</v>
      </c>
      <c r="E268" s="14">
        <v>4387</v>
      </c>
      <c r="F268" s="14">
        <v>4406</v>
      </c>
      <c r="G268" s="14">
        <v>4412</v>
      </c>
      <c r="H268" s="15">
        <v>0</v>
      </c>
      <c r="I268" s="13">
        <v>0</v>
      </c>
      <c r="J268" s="16">
        <v>0</v>
      </c>
      <c r="K268" s="15">
        <v>0</v>
      </c>
      <c r="L268" s="13">
        <v>0</v>
      </c>
      <c r="M268" s="16">
        <v>0</v>
      </c>
      <c r="N268" s="15">
        <v>0</v>
      </c>
      <c r="O268" s="13">
        <v>0</v>
      </c>
      <c r="P268" s="16">
        <v>0</v>
      </c>
      <c r="Q268" s="16">
        <v>0</v>
      </c>
      <c r="R268" s="18">
        <v>0</v>
      </c>
      <c r="S268" s="16">
        <v>0</v>
      </c>
      <c r="T268" s="18">
        <v>0</v>
      </c>
      <c r="U268" s="16">
        <v>0</v>
      </c>
      <c r="V268" s="18">
        <v>0</v>
      </c>
      <c r="W268" s="16">
        <v>0</v>
      </c>
      <c r="X268" s="15">
        <v>0</v>
      </c>
      <c r="Y268" s="13">
        <v>0</v>
      </c>
      <c r="Z268" s="16">
        <v>0</v>
      </c>
      <c r="AA268" s="16">
        <v>0</v>
      </c>
      <c r="AB268" s="15">
        <v>0</v>
      </c>
      <c r="AC268" s="13">
        <v>0</v>
      </c>
      <c r="AD268" s="16">
        <v>0</v>
      </c>
      <c r="AE268" s="16">
        <v>0</v>
      </c>
      <c r="AF268" s="19">
        <v>0</v>
      </c>
      <c r="AG268" s="20">
        <v>0</v>
      </c>
      <c r="AH268" s="16">
        <v>0</v>
      </c>
      <c r="AI268" s="21">
        <v>0</v>
      </c>
      <c r="AJ268" s="22">
        <f>BattMobility!D251+cambio!D251+Claus2you!D251+CoopStroom!D251+Cozywheels!D251+Dégage!D251+Flexigo!D251+Klimaan!D251+Moovee!D251+Poppy!D251+'Mobilize Share'!D251+Stapp.in!D251</f>
        <v>0</v>
      </c>
      <c r="AK268" s="23">
        <f>BattMobility!E251+cambio!E251+Claus2you!E251+CoopStroom!E251+Cozywheels!E251+Dégage!E251+Flexigo!E251+Klimaan!E251+Moovee!E251+Poppy!E251+'Mobilize Share'!E251+Stapp.in!E251</f>
        <v>0</v>
      </c>
      <c r="AL268" s="21">
        <f t="shared" si="7"/>
        <v>0</v>
      </c>
      <c r="AM268" s="21">
        <f t="shared" si="8"/>
        <v>0</v>
      </c>
      <c r="AN268" s="25">
        <f t="shared" si="9"/>
        <v>0</v>
      </c>
      <c r="AO268" s="26" t="e">
        <f t="shared" si="10"/>
        <v>#DIV/0!</v>
      </c>
      <c r="AP268" s="27">
        <f>BattMobility!F251+cambio!F251+Claus2you!F251+CoopStroom!F251+Cozywheels!F251+Dégage!F251+Flexigo!F251+Klimaan!F251+Moovee!F251+Poppy!F251+'Mobilize Share'!F251+Stapp.in!F251</f>
        <v>0</v>
      </c>
      <c r="AQ268" s="25">
        <f>BattMobility!G251+cambio!G251+Claus2you!G251+CoopStroom!G251+Cozywheels!G251+Dégage!G251+Flexigo!G251+Klimaan!G251+Moovee!G251+Poppy!G251+'Mobilize Share'!G251+Stapp.in!G251</f>
        <v>0</v>
      </c>
      <c r="AR268" s="29">
        <f t="shared" si="11"/>
        <v>0</v>
      </c>
      <c r="AS268" s="29">
        <f t="shared" si="12"/>
        <v>0</v>
      </c>
      <c r="AT268" s="25">
        <f t="shared" si="13"/>
        <v>0</v>
      </c>
      <c r="AU268" s="30">
        <v>8.8119999999999994</v>
      </c>
      <c r="AV268" s="31">
        <v>8.8119999999999994</v>
      </c>
    </row>
    <row r="269" spans="1:48" ht="14.25" customHeight="1" x14ac:dyDescent="0.35">
      <c r="A269" s="2" t="s">
        <v>319</v>
      </c>
      <c r="B269" s="13" t="s">
        <v>52</v>
      </c>
      <c r="C269" s="13">
        <v>23100</v>
      </c>
      <c r="D269" s="14">
        <v>4709</v>
      </c>
      <c r="E269" s="14">
        <v>4640</v>
      </c>
      <c r="F269" s="14">
        <v>4674</v>
      </c>
      <c r="G269" s="14">
        <v>4646</v>
      </c>
      <c r="H269" s="15">
        <v>0</v>
      </c>
      <c r="I269" s="13">
        <v>0</v>
      </c>
      <c r="J269" s="16">
        <v>0</v>
      </c>
      <c r="K269" s="15">
        <v>0</v>
      </c>
      <c r="L269" s="13">
        <v>0</v>
      </c>
      <c r="M269" s="16">
        <v>0</v>
      </c>
      <c r="N269" s="15">
        <v>0</v>
      </c>
      <c r="O269" s="13">
        <v>0</v>
      </c>
      <c r="P269" s="16">
        <v>0</v>
      </c>
      <c r="Q269" s="16">
        <v>0</v>
      </c>
      <c r="R269" s="18">
        <v>0</v>
      </c>
      <c r="S269" s="16">
        <v>0</v>
      </c>
      <c r="T269" s="18">
        <v>0</v>
      </c>
      <c r="U269" s="16">
        <v>0</v>
      </c>
      <c r="V269" s="18">
        <v>0</v>
      </c>
      <c r="W269" s="16">
        <v>0</v>
      </c>
      <c r="X269" s="15">
        <v>0</v>
      </c>
      <c r="Y269" s="13">
        <v>0</v>
      </c>
      <c r="Z269" s="16">
        <v>0</v>
      </c>
      <c r="AA269" s="16">
        <v>0</v>
      </c>
      <c r="AB269" s="15">
        <v>0</v>
      </c>
      <c r="AC269" s="13">
        <v>0</v>
      </c>
      <c r="AD269" s="16">
        <v>0</v>
      </c>
      <c r="AE269" s="16">
        <v>0</v>
      </c>
      <c r="AF269" s="19">
        <v>0</v>
      </c>
      <c r="AG269" s="20">
        <v>0</v>
      </c>
      <c r="AH269" s="16">
        <v>0</v>
      </c>
      <c r="AI269" s="21">
        <v>0</v>
      </c>
      <c r="AJ269" s="22">
        <f>BattMobility!D155+cambio!D155+Claus2you!D155+CoopStroom!D155+Cozywheels!D155+Dégage!D155+Flexigo!D155+Klimaan!D155+Moovee!D155+Poppy!D155+'Mobilize Share'!D155+Stapp.in!D155</f>
        <v>0</v>
      </c>
      <c r="AK269" s="23">
        <f>BattMobility!E155+cambio!E155+Claus2you!E155+CoopStroom!E155+Cozywheels!E155+Dégage!E155+Flexigo!E155+Klimaan!E155+Moovee!E155+Poppy!E155+'Mobilize Share'!E155+Stapp.in!E155</f>
        <v>0</v>
      </c>
      <c r="AL269" s="21">
        <f t="shared" si="7"/>
        <v>0</v>
      </c>
      <c r="AM269" s="21">
        <f t="shared" si="8"/>
        <v>0</v>
      </c>
      <c r="AN269" s="25">
        <f t="shared" si="9"/>
        <v>0</v>
      </c>
      <c r="AO269" s="26" t="e">
        <f t="shared" si="10"/>
        <v>#DIV/0!</v>
      </c>
      <c r="AP269" s="27">
        <f>BattMobility!F155+cambio!F155+Claus2you!F155+CoopStroom!F155+Cozywheels!F155+Dégage!F155+Flexigo!F155+Klimaan!F155+Moovee!F155+Poppy!F155+'Mobilize Share'!F155+Stapp.in!F155</f>
        <v>0</v>
      </c>
      <c r="AQ269" s="25">
        <f>BattMobility!G155+cambio!G155+Claus2you!G155+CoopStroom!G155+Cozywheels!G155+Dégage!G155+Flexigo!G155+Klimaan!G155+Moovee!G155+Poppy!G155+'Mobilize Share'!G155+Stapp.in!G155</f>
        <v>0</v>
      </c>
      <c r="AR269" s="29">
        <f t="shared" si="11"/>
        <v>0</v>
      </c>
      <c r="AS269" s="29">
        <f t="shared" si="12"/>
        <v>0</v>
      </c>
      <c r="AT269" s="25">
        <f t="shared" si="13"/>
        <v>0</v>
      </c>
      <c r="AU269" s="30">
        <v>9.3480000000000008</v>
      </c>
      <c r="AV269" s="31">
        <v>9.3480000000000008</v>
      </c>
    </row>
    <row r="270" spans="1:48" ht="14.25" customHeight="1" x14ac:dyDescent="0.35">
      <c r="A270" s="2" t="s">
        <v>320</v>
      </c>
      <c r="B270" s="13" t="s">
        <v>55</v>
      </c>
      <c r="C270" s="13">
        <v>34025</v>
      </c>
      <c r="D270" s="14">
        <v>5803</v>
      </c>
      <c r="E270" s="14">
        <v>5863</v>
      </c>
      <c r="F270" s="14">
        <v>5881</v>
      </c>
      <c r="G270" s="14">
        <v>5849</v>
      </c>
      <c r="H270" s="15">
        <v>0</v>
      </c>
      <c r="I270" s="13">
        <v>0</v>
      </c>
      <c r="J270" s="16">
        <v>0</v>
      </c>
      <c r="K270" s="15">
        <v>0</v>
      </c>
      <c r="L270" s="13">
        <v>0</v>
      </c>
      <c r="M270" s="16">
        <v>0</v>
      </c>
      <c r="N270" s="15">
        <v>0</v>
      </c>
      <c r="O270" s="13">
        <v>0</v>
      </c>
      <c r="P270" s="16">
        <v>0</v>
      </c>
      <c r="Q270" s="16">
        <v>0</v>
      </c>
      <c r="R270" s="18">
        <v>0</v>
      </c>
      <c r="S270" s="16">
        <v>0</v>
      </c>
      <c r="T270" s="18">
        <v>0</v>
      </c>
      <c r="U270" s="16">
        <v>0</v>
      </c>
      <c r="V270" s="18">
        <v>0</v>
      </c>
      <c r="W270" s="16">
        <v>0</v>
      </c>
      <c r="X270" s="15">
        <v>0</v>
      </c>
      <c r="Y270" s="13">
        <v>0</v>
      </c>
      <c r="Z270" s="16">
        <v>0</v>
      </c>
      <c r="AA270" s="16">
        <v>0</v>
      </c>
      <c r="AB270" s="15">
        <v>0</v>
      </c>
      <c r="AC270" s="13">
        <v>0</v>
      </c>
      <c r="AD270" s="16">
        <v>0</v>
      </c>
      <c r="AE270" s="16">
        <v>0</v>
      </c>
      <c r="AF270" s="19">
        <v>0</v>
      </c>
      <c r="AG270" s="20">
        <v>0</v>
      </c>
      <c r="AH270" s="16">
        <v>0</v>
      </c>
      <c r="AI270" s="21">
        <v>0</v>
      </c>
      <c r="AJ270" s="22">
        <f>BattMobility!D145+cambio!D145+Claus2you!D145+CoopStroom!D145+Cozywheels!D145+Dégage!D145+Flexigo!D145+Klimaan!D145+Moovee!D145+Poppy!D145+'Mobilize Share'!D145+Stapp.in!D145</f>
        <v>0</v>
      </c>
      <c r="AK270" s="23">
        <f>BattMobility!E145+cambio!E145+Claus2you!E145+CoopStroom!E145+Cozywheels!E145+Dégage!E145+Flexigo!E145+Klimaan!E145+Moovee!E145+Poppy!E145+'Mobilize Share'!E145+Stapp.in!E145</f>
        <v>0</v>
      </c>
      <c r="AL270" s="21">
        <f t="shared" si="7"/>
        <v>0</v>
      </c>
      <c r="AM270" s="21">
        <f t="shared" si="8"/>
        <v>0</v>
      </c>
      <c r="AN270" s="25">
        <f t="shared" si="9"/>
        <v>0</v>
      </c>
      <c r="AO270" s="26" t="e">
        <f t="shared" si="10"/>
        <v>#DIV/0!</v>
      </c>
      <c r="AP270" s="27">
        <f>BattMobility!F145+cambio!F145+Claus2you!F145+CoopStroom!F145+Cozywheels!F145+Dégage!F145+Flexigo!F145+Klimaan!F145+Moovee!F145+Poppy!F145+'Mobilize Share'!F145+Stapp.in!F145</f>
        <v>0</v>
      </c>
      <c r="AQ270" s="25">
        <f>BattMobility!G145+cambio!G145+Claus2you!G145+CoopStroom!G145+Cozywheels!G145+Dégage!G145+Flexigo!G145+Klimaan!G145+Moovee!G145+Poppy!G145+'Mobilize Share'!G145+Stapp.in!G145</f>
        <v>0</v>
      </c>
      <c r="AR270" s="29">
        <f t="shared" si="11"/>
        <v>0</v>
      </c>
      <c r="AS270" s="29">
        <f t="shared" si="12"/>
        <v>0</v>
      </c>
      <c r="AT270" s="25">
        <f t="shared" si="13"/>
        <v>0</v>
      </c>
      <c r="AU270" s="30">
        <v>11.762</v>
      </c>
      <c r="AV270" s="31">
        <v>11.762</v>
      </c>
    </row>
    <row r="271" spans="1:48" ht="14.25" customHeight="1" x14ac:dyDescent="0.35">
      <c r="A271" s="2" t="s">
        <v>321</v>
      </c>
      <c r="B271" s="13" t="s">
        <v>59</v>
      </c>
      <c r="C271" s="13">
        <v>71067</v>
      </c>
      <c r="D271" s="14">
        <v>7307</v>
      </c>
      <c r="E271" s="14">
        <v>7345</v>
      </c>
      <c r="F271" s="14">
        <v>7384</v>
      </c>
      <c r="G271" s="14">
        <v>7404</v>
      </c>
      <c r="H271" s="15">
        <v>0</v>
      </c>
      <c r="I271" s="13">
        <v>0</v>
      </c>
      <c r="J271" s="16">
        <v>0</v>
      </c>
      <c r="K271" s="15">
        <v>0</v>
      </c>
      <c r="L271" s="13">
        <v>0</v>
      </c>
      <c r="M271" s="16">
        <v>0</v>
      </c>
      <c r="N271" s="15">
        <v>0</v>
      </c>
      <c r="O271" s="13">
        <v>0</v>
      </c>
      <c r="P271" s="16">
        <v>0</v>
      </c>
      <c r="Q271" s="16">
        <v>0</v>
      </c>
      <c r="R271" s="18">
        <v>0</v>
      </c>
      <c r="S271" s="16">
        <v>0</v>
      </c>
      <c r="T271" s="18">
        <v>0</v>
      </c>
      <c r="U271" s="16">
        <v>0</v>
      </c>
      <c r="V271" s="18">
        <v>0</v>
      </c>
      <c r="W271" s="16">
        <v>0</v>
      </c>
      <c r="X271" s="15">
        <v>0</v>
      </c>
      <c r="Y271" s="13">
        <v>0</v>
      </c>
      <c r="Z271" s="16">
        <v>0</v>
      </c>
      <c r="AA271" s="16">
        <v>0</v>
      </c>
      <c r="AB271" s="15">
        <v>0</v>
      </c>
      <c r="AC271" s="13">
        <v>0</v>
      </c>
      <c r="AD271" s="16">
        <v>0</v>
      </c>
      <c r="AE271" s="16">
        <v>0</v>
      </c>
      <c r="AF271" s="19">
        <v>0</v>
      </c>
      <c r="AG271" s="20">
        <v>0</v>
      </c>
      <c r="AH271" s="16">
        <v>0</v>
      </c>
      <c r="AI271" s="21">
        <v>0</v>
      </c>
      <c r="AJ271" s="22">
        <f>BattMobility!D284+cambio!D284+Claus2you!D284+CoopStroom!D284+Cozywheels!D284+Dégage!D284+Flexigo!D284+Klimaan!D284+Moovee!D284+Poppy!D284+'Mobilize Share'!D284+Stapp.in!D284</f>
        <v>0</v>
      </c>
      <c r="AK271" s="23">
        <f>BattMobility!E284+cambio!E284+Claus2you!E284+CoopStroom!E284+Cozywheels!E284+Dégage!E284+Flexigo!E284+Klimaan!E284+Moovee!E284+Poppy!E284+'Mobilize Share'!E284+Stapp.in!E284</f>
        <v>0</v>
      </c>
      <c r="AL271" s="21">
        <f t="shared" si="7"/>
        <v>0</v>
      </c>
      <c r="AM271" s="21">
        <f t="shared" si="8"/>
        <v>0</v>
      </c>
      <c r="AN271" s="25">
        <f t="shared" si="9"/>
        <v>0</v>
      </c>
      <c r="AO271" s="26" t="e">
        <f t="shared" si="10"/>
        <v>#DIV/0!</v>
      </c>
      <c r="AP271" s="27">
        <f>BattMobility!F284+cambio!F284+Claus2you!F284+CoopStroom!F284+Cozywheels!F284+Dégage!F284+Flexigo!F284+Klimaan!F284+Moovee!F284+Poppy!F284+'Mobilize Share'!F284+Stapp.in!F284</f>
        <v>0</v>
      </c>
      <c r="AQ271" s="25">
        <f>BattMobility!G284+cambio!G284+Claus2you!G284+CoopStroom!G284+Cozywheels!G284+Dégage!G284+Flexigo!G284+Klimaan!G284+Moovee!G284+Poppy!G284+'Mobilize Share'!G284+Stapp.in!G284</f>
        <v>0</v>
      </c>
      <c r="AR271" s="29">
        <f t="shared" si="11"/>
        <v>0</v>
      </c>
      <c r="AS271" s="29">
        <f t="shared" si="12"/>
        <v>0</v>
      </c>
      <c r="AT271" s="25">
        <f t="shared" si="13"/>
        <v>0</v>
      </c>
      <c r="AU271" s="30">
        <v>14.768000000000001</v>
      </c>
      <c r="AV271" s="31">
        <v>14.768000000000001</v>
      </c>
    </row>
    <row r="272" spans="1:48" ht="14.25" customHeight="1" x14ac:dyDescent="0.35">
      <c r="A272" s="2" t="s">
        <v>322</v>
      </c>
      <c r="B272" s="13" t="s">
        <v>59</v>
      </c>
      <c r="C272" s="13">
        <v>73098</v>
      </c>
      <c r="D272" s="14">
        <v>7459</v>
      </c>
      <c r="E272" s="14">
        <v>7473</v>
      </c>
      <c r="F272" s="14">
        <v>7490</v>
      </c>
      <c r="G272" s="14">
        <v>7479</v>
      </c>
      <c r="H272" s="15">
        <v>0</v>
      </c>
      <c r="I272" s="13">
        <v>0</v>
      </c>
      <c r="J272" s="16">
        <v>0</v>
      </c>
      <c r="K272" s="15">
        <v>0</v>
      </c>
      <c r="L272" s="13">
        <v>0</v>
      </c>
      <c r="M272" s="16">
        <v>0</v>
      </c>
      <c r="N272" s="15">
        <v>0</v>
      </c>
      <c r="O272" s="13">
        <v>0</v>
      </c>
      <c r="P272" s="16">
        <v>0</v>
      </c>
      <c r="Q272" s="16">
        <v>0</v>
      </c>
      <c r="R272" s="18">
        <v>0</v>
      </c>
      <c r="S272" s="16">
        <v>0</v>
      </c>
      <c r="T272" s="18">
        <v>0</v>
      </c>
      <c r="U272" s="16">
        <v>0</v>
      </c>
      <c r="V272" s="18">
        <v>0</v>
      </c>
      <c r="W272" s="16">
        <v>0</v>
      </c>
      <c r="X272" s="15">
        <v>0</v>
      </c>
      <c r="Y272" s="13">
        <v>0</v>
      </c>
      <c r="Z272" s="16">
        <v>0</v>
      </c>
      <c r="AA272" s="16">
        <v>0</v>
      </c>
      <c r="AB272" s="15">
        <v>0</v>
      </c>
      <c r="AC272" s="13">
        <v>0</v>
      </c>
      <c r="AD272" s="16">
        <v>0</v>
      </c>
      <c r="AE272" s="16">
        <v>0</v>
      </c>
      <c r="AF272" s="19">
        <v>0</v>
      </c>
      <c r="AG272" s="20">
        <v>0</v>
      </c>
      <c r="AH272" s="16">
        <v>0</v>
      </c>
      <c r="AI272" s="21">
        <v>0</v>
      </c>
      <c r="AJ272" s="22">
        <f>BattMobility!D256+cambio!D256+Claus2you!D256+CoopStroom!D256+Cozywheels!D256+Dégage!D256+Flexigo!D256+Klimaan!D256+Moovee!D256+Poppy!D256+'Mobilize Share'!D256+Stapp.in!D256</f>
        <v>0</v>
      </c>
      <c r="AK272" s="23">
        <f>BattMobility!E256+cambio!E256+Claus2you!E256+CoopStroom!E256+Cozywheels!E256+Dégage!E256+Flexigo!E256+Klimaan!E256+Moovee!E256+Poppy!E256+'Mobilize Share'!E256+Stapp.in!E256</f>
        <v>0</v>
      </c>
      <c r="AL272" s="21">
        <f t="shared" si="7"/>
        <v>0</v>
      </c>
      <c r="AM272" s="21">
        <f t="shared" si="8"/>
        <v>0</v>
      </c>
      <c r="AN272" s="25">
        <f t="shared" si="9"/>
        <v>0</v>
      </c>
      <c r="AO272" s="26" t="e">
        <f t="shared" si="10"/>
        <v>#DIV/0!</v>
      </c>
      <c r="AP272" s="27">
        <f>BattMobility!F256+cambio!F256+Claus2you!F256+CoopStroom!F256+Cozywheels!F256+Dégage!F256+Flexigo!F256+Klimaan!F256+Moovee!F256+Poppy!F256+'Mobilize Share'!F256+Stapp.in!F256</f>
        <v>0</v>
      </c>
      <c r="AQ272" s="25">
        <f>BattMobility!G256+cambio!G256+Claus2you!G256+CoopStroom!G256+Cozywheels!G256+Dégage!G256+Flexigo!G256+Klimaan!G256+Moovee!G256+Poppy!G256+'Mobilize Share'!G256+Stapp.in!G256</f>
        <v>0</v>
      </c>
      <c r="AR272" s="29">
        <f t="shared" si="11"/>
        <v>0</v>
      </c>
      <c r="AS272" s="29">
        <f t="shared" si="12"/>
        <v>0</v>
      </c>
      <c r="AT272" s="25">
        <f t="shared" si="13"/>
        <v>0</v>
      </c>
      <c r="AU272" s="30">
        <v>14.98</v>
      </c>
      <c r="AV272" s="31">
        <v>14.98</v>
      </c>
    </row>
    <row r="273" spans="1:48" ht="14.25" customHeight="1" x14ac:dyDescent="0.35">
      <c r="A273" s="2" t="s">
        <v>323</v>
      </c>
      <c r="B273" s="13" t="s">
        <v>59</v>
      </c>
      <c r="C273" s="13">
        <v>71017</v>
      </c>
      <c r="D273" s="14">
        <v>8483</v>
      </c>
      <c r="E273" s="14">
        <v>8670</v>
      </c>
      <c r="F273" s="14">
        <v>8732</v>
      </c>
      <c r="G273" s="14">
        <v>8788</v>
      </c>
      <c r="H273" s="15">
        <v>0</v>
      </c>
      <c r="I273" s="13">
        <v>0</v>
      </c>
      <c r="J273" s="16">
        <v>0</v>
      </c>
      <c r="K273" s="15">
        <v>0</v>
      </c>
      <c r="L273" s="13">
        <v>0</v>
      </c>
      <c r="M273" s="16">
        <v>0</v>
      </c>
      <c r="N273" s="15">
        <v>0</v>
      </c>
      <c r="O273" s="13">
        <v>0</v>
      </c>
      <c r="P273" s="16">
        <v>0</v>
      </c>
      <c r="Q273" s="16">
        <v>0</v>
      </c>
      <c r="R273" s="18">
        <v>0</v>
      </c>
      <c r="S273" s="16">
        <v>0</v>
      </c>
      <c r="T273" s="18">
        <v>0</v>
      </c>
      <c r="U273" s="16">
        <v>0</v>
      </c>
      <c r="V273" s="18">
        <v>0</v>
      </c>
      <c r="W273" s="16">
        <v>0</v>
      </c>
      <c r="X273" s="15">
        <v>0</v>
      </c>
      <c r="Y273" s="13">
        <v>0</v>
      </c>
      <c r="Z273" s="16">
        <v>0</v>
      </c>
      <c r="AA273" s="16">
        <v>0</v>
      </c>
      <c r="AB273" s="15">
        <v>0</v>
      </c>
      <c r="AC273" s="13">
        <v>0</v>
      </c>
      <c r="AD273" s="16">
        <v>0</v>
      </c>
      <c r="AE273" s="16">
        <v>0</v>
      </c>
      <c r="AF273" s="19">
        <v>0</v>
      </c>
      <c r="AG273" s="20">
        <v>0</v>
      </c>
      <c r="AH273" s="16">
        <v>0</v>
      </c>
      <c r="AI273" s="21">
        <v>0</v>
      </c>
      <c r="AJ273" s="22">
        <f>BattMobility!D75+cambio!D75+Claus2you!D75+CoopStroom!D75+Cozywheels!D75+Dégage!D75+Flexigo!D75+Klimaan!D75+Moovee!D75+Poppy!D75+'Mobilize Share'!D75+Stapp.in!D75</f>
        <v>0</v>
      </c>
      <c r="AK273" s="23">
        <f>BattMobility!E75+cambio!E75+Claus2you!E75+CoopStroom!E75+Cozywheels!E75+Dégage!E75+Flexigo!E75+Klimaan!E75+Moovee!E75+Poppy!E75+'Mobilize Share'!E75+Stapp.in!E75</f>
        <v>0</v>
      </c>
      <c r="AL273" s="21">
        <f t="shared" si="7"/>
        <v>0</v>
      </c>
      <c r="AM273" s="21">
        <f t="shared" si="8"/>
        <v>0</v>
      </c>
      <c r="AN273" s="25">
        <f t="shared" si="9"/>
        <v>0</v>
      </c>
      <c r="AO273" s="26" t="e">
        <f t="shared" si="10"/>
        <v>#DIV/0!</v>
      </c>
      <c r="AP273" s="27">
        <f>BattMobility!F75+cambio!F75+Claus2you!F75+CoopStroom!F75+Cozywheels!F75+Dégage!F75+Flexigo!F75+Klimaan!F75+Moovee!F75+Poppy!F75+'Mobilize Share'!F75+Stapp.in!F75</f>
        <v>0</v>
      </c>
      <c r="AQ273" s="25">
        <f>BattMobility!G75+cambio!G75+Claus2you!G75+CoopStroom!G75+Cozywheels!G75+Dégage!G75+Flexigo!G75+Klimaan!G75+Moovee!G75+Poppy!G75+'Mobilize Share'!G75+Stapp.in!G75</f>
        <v>0</v>
      </c>
      <c r="AR273" s="29">
        <f t="shared" si="11"/>
        <v>0</v>
      </c>
      <c r="AS273" s="29">
        <f t="shared" si="12"/>
        <v>0</v>
      </c>
      <c r="AT273" s="25">
        <f t="shared" si="13"/>
        <v>0</v>
      </c>
      <c r="AU273" s="30">
        <v>17.463999999999999</v>
      </c>
      <c r="AV273" s="31">
        <v>17.463999999999999</v>
      </c>
    </row>
    <row r="274" spans="1:48" ht="14.25" customHeight="1" x14ac:dyDescent="0.35">
      <c r="A274" s="2" t="s">
        <v>324</v>
      </c>
      <c r="B274" s="13" t="s">
        <v>59</v>
      </c>
      <c r="C274" s="13">
        <v>71020</v>
      </c>
      <c r="D274" s="14">
        <v>9475</v>
      </c>
      <c r="E274" s="14">
        <v>9557</v>
      </c>
      <c r="F274" s="14">
        <v>9545</v>
      </c>
      <c r="G274" s="14">
        <v>9490</v>
      </c>
      <c r="H274" s="15">
        <v>0</v>
      </c>
      <c r="I274" s="13">
        <v>0</v>
      </c>
      <c r="J274" s="16">
        <v>0</v>
      </c>
      <c r="K274" s="15">
        <v>0</v>
      </c>
      <c r="L274" s="13">
        <v>0</v>
      </c>
      <c r="M274" s="16">
        <v>0</v>
      </c>
      <c r="N274" s="15">
        <v>0</v>
      </c>
      <c r="O274" s="13">
        <v>0</v>
      </c>
      <c r="P274" s="16">
        <v>0</v>
      </c>
      <c r="Q274" s="16">
        <v>0</v>
      </c>
      <c r="R274" s="18">
        <v>0</v>
      </c>
      <c r="S274" s="16">
        <v>0</v>
      </c>
      <c r="T274" s="18">
        <v>0</v>
      </c>
      <c r="U274" s="16">
        <v>0</v>
      </c>
      <c r="V274" s="18">
        <v>0</v>
      </c>
      <c r="W274" s="16">
        <v>0</v>
      </c>
      <c r="X274" s="15">
        <v>0</v>
      </c>
      <c r="Y274" s="13">
        <v>0</v>
      </c>
      <c r="Z274" s="16">
        <v>0</v>
      </c>
      <c r="AA274" s="16">
        <v>0</v>
      </c>
      <c r="AB274" s="15">
        <v>0</v>
      </c>
      <c r="AC274" s="13">
        <v>0</v>
      </c>
      <c r="AD274" s="16">
        <v>0</v>
      </c>
      <c r="AE274" s="16">
        <v>0</v>
      </c>
      <c r="AF274" s="19">
        <v>0</v>
      </c>
      <c r="AG274" s="20">
        <v>0</v>
      </c>
      <c r="AH274" s="16">
        <v>0</v>
      </c>
      <c r="AI274" s="21">
        <v>0</v>
      </c>
      <c r="AJ274" s="22">
        <f>BattMobility!D82+cambio!D82+Claus2you!D82+CoopStroom!D82+Cozywheels!D82+Dégage!D82+Flexigo!D82+Klimaan!D82+Moovee!D82+Poppy!D82+'Mobilize Share'!D82+Stapp.in!D82</f>
        <v>0</v>
      </c>
      <c r="AK274" s="23">
        <f>BattMobility!E82+cambio!E82+Claus2you!E82+CoopStroom!E82+Cozywheels!E82+Dégage!E82+Flexigo!E82+Klimaan!E82+Moovee!E82+Poppy!E82+'Mobilize Share'!E82+Stapp.in!E82</f>
        <v>0</v>
      </c>
      <c r="AL274" s="21">
        <f t="shared" si="7"/>
        <v>0</v>
      </c>
      <c r="AM274" s="21">
        <f t="shared" si="8"/>
        <v>0</v>
      </c>
      <c r="AN274" s="25">
        <f t="shared" si="9"/>
        <v>0</v>
      </c>
      <c r="AO274" s="26" t="e">
        <f t="shared" si="10"/>
        <v>#DIV/0!</v>
      </c>
      <c r="AP274" s="27">
        <f>BattMobility!F82+cambio!F82+Claus2you!F82+CoopStroom!F82+Cozywheels!F82+Dégage!F82+Flexigo!F82+Klimaan!F82+Moovee!F82+Poppy!F82+'Mobilize Share'!F82+Stapp.in!F82</f>
        <v>0</v>
      </c>
      <c r="AQ274" s="25">
        <f>BattMobility!G82+cambio!G82+Claus2you!G82+CoopStroom!G82+Cozywheels!G82+Dégage!G82+Flexigo!G82+Klimaan!G82+Moovee!G82+Poppy!G82+'Mobilize Share'!G82+Stapp.in!G82</f>
        <v>0</v>
      </c>
      <c r="AR274" s="29">
        <f t="shared" si="11"/>
        <v>0</v>
      </c>
      <c r="AS274" s="29">
        <f t="shared" si="12"/>
        <v>0</v>
      </c>
      <c r="AT274" s="25">
        <f t="shared" si="13"/>
        <v>0</v>
      </c>
      <c r="AU274" s="30">
        <v>19.09</v>
      </c>
      <c r="AV274" s="31">
        <v>19.09</v>
      </c>
    </row>
    <row r="275" spans="1:48" ht="14.25" customHeight="1" x14ac:dyDescent="0.35">
      <c r="A275" s="2" t="s">
        <v>325</v>
      </c>
      <c r="B275" s="13" t="s">
        <v>59</v>
      </c>
      <c r="C275" s="13">
        <v>72018</v>
      </c>
      <c r="D275" s="14">
        <v>12258</v>
      </c>
      <c r="E275" s="14">
        <v>12330</v>
      </c>
      <c r="F275" s="14">
        <v>12406</v>
      </c>
      <c r="G275" s="14">
        <v>12527</v>
      </c>
      <c r="H275" s="15">
        <v>0</v>
      </c>
      <c r="I275" s="13">
        <v>0</v>
      </c>
      <c r="J275" s="16">
        <v>0</v>
      </c>
      <c r="K275" s="15">
        <v>0</v>
      </c>
      <c r="L275" s="13">
        <v>0</v>
      </c>
      <c r="M275" s="16">
        <v>0</v>
      </c>
      <c r="N275" s="15">
        <v>0</v>
      </c>
      <c r="O275" s="13">
        <v>0</v>
      </c>
      <c r="P275" s="16">
        <v>0</v>
      </c>
      <c r="Q275" s="16">
        <v>0</v>
      </c>
      <c r="R275" s="18">
        <v>0</v>
      </c>
      <c r="S275" s="16">
        <v>0</v>
      </c>
      <c r="T275" s="18">
        <v>0</v>
      </c>
      <c r="U275" s="16">
        <v>0</v>
      </c>
      <c r="V275" s="18">
        <v>0</v>
      </c>
      <c r="W275" s="16">
        <v>0</v>
      </c>
      <c r="X275" s="15">
        <v>0</v>
      </c>
      <c r="Y275" s="13">
        <v>0</v>
      </c>
      <c r="Z275" s="16">
        <v>0</v>
      </c>
      <c r="AA275" s="16">
        <v>0</v>
      </c>
      <c r="AB275" s="15">
        <v>0</v>
      </c>
      <c r="AC275" s="13">
        <v>0</v>
      </c>
      <c r="AD275" s="16">
        <v>0</v>
      </c>
      <c r="AE275" s="16">
        <v>0</v>
      </c>
      <c r="AF275" s="19">
        <v>0</v>
      </c>
      <c r="AG275" s="20">
        <v>0</v>
      </c>
      <c r="AH275" s="16">
        <v>0</v>
      </c>
      <c r="AI275" s="21">
        <v>0</v>
      </c>
      <c r="AJ275" s="22">
        <f>BattMobility!D124+cambio!D124+Claus2you!D124+CoopStroom!D124+Cozywheels!D124+Dégage!D124+Flexigo!D124+Klimaan!D124+Moovee!D124+Poppy!D124+'Mobilize Share'!D124+Stapp.in!D124</f>
        <v>0</v>
      </c>
      <c r="AK275" s="23">
        <f>BattMobility!E124+cambio!E124+Claus2you!E124+CoopStroom!E124+Cozywheels!E124+Dégage!E124+Flexigo!E124+Klimaan!E124+Moovee!E124+Poppy!E124+'Mobilize Share'!E124+Stapp.in!E124</f>
        <v>0</v>
      </c>
      <c r="AL275" s="21">
        <f t="shared" si="7"/>
        <v>0</v>
      </c>
      <c r="AM275" s="21">
        <f t="shared" si="8"/>
        <v>0</v>
      </c>
      <c r="AN275" s="25">
        <f t="shared" si="9"/>
        <v>0</v>
      </c>
      <c r="AO275" s="26" t="e">
        <f t="shared" si="10"/>
        <v>#DIV/0!</v>
      </c>
      <c r="AP275" s="27">
        <f>BattMobility!F124+cambio!F124+Claus2you!F124+CoopStroom!F124+Cozywheels!F124+Dégage!F124+Flexigo!F124+Klimaan!F124+Moovee!F124+Poppy!F124+'Mobilize Share'!F124+Stapp.in!F124</f>
        <v>0</v>
      </c>
      <c r="AQ275" s="25">
        <f>BattMobility!G124+cambio!G124+Claus2you!G124+CoopStroom!G124+Cozywheels!G124+Dégage!G124+Flexigo!G124+Klimaan!G124+Moovee!G124+Poppy!G124+'Mobilize Share'!G124+Stapp.in!G124</f>
        <v>0</v>
      </c>
      <c r="AR275" s="29">
        <f t="shared" si="11"/>
        <v>0</v>
      </c>
      <c r="AS275" s="29">
        <f t="shared" si="12"/>
        <v>0</v>
      </c>
      <c r="AT275" s="25">
        <f t="shared" si="13"/>
        <v>0</v>
      </c>
      <c r="AU275" s="30">
        <v>24.812000000000001</v>
      </c>
      <c r="AV275" s="31">
        <v>24.812000000000001</v>
      </c>
    </row>
    <row r="276" spans="1:48" ht="14.25" customHeight="1" x14ac:dyDescent="0.35">
      <c r="A276" s="2" t="s">
        <v>326</v>
      </c>
      <c r="B276" s="13" t="s">
        <v>48</v>
      </c>
      <c r="C276" s="13">
        <v>13012</v>
      </c>
      <c r="D276" s="14">
        <v>9287</v>
      </c>
      <c r="E276" s="14">
        <v>9417</v>
      </c>
      <c r="F276" s="14">
        <v>9454</v>
      </c>
      <c r="G276" s="14">
        <v>9504</v>
      </c>
      <c r="H276" s="15">
        <v>1</v>
      </c>
      <c r="I276" s="13">
        <v>0</v>
      </c>
      <c r="J276" s="16">
        <v>0.10767739851405189</v>
      </c>
      <c r="K276" s="15">
        <v>0</v>
      </c>
      <c r="L276" s="13">
        <v>0</v>
      </c>
      <c r="M276" s="16">
        <v>0</v>
      </c>
      <c r="N276" s="15">
        <v>0</v>
      </c>
      <c r="O276" s="13">
        <v>0</v>
      </c>
      <c r="P276" s="16">
        <v>0</v>
      </c>
      <c r="Q276" s="16">
        <v>0</v>
      </c>
      <c r="R276" s="18">
        <v>-1</v>
      </c>
      <c r="S276" s="16">
        <v>-0.10767739851405189</v>
      </c>
      <c r="T276" s="18">
        <v>0</v>
      </c>
      <c r="U276" s="16">
        <v>0</v>
      </c>
      <c r="V276" s="18">
        <v>0</v>
      </c>
      <c r="W276" s="16">
        <v>0</v>
      </c>
      <c r="X276" s="15">
        <v>0</v>
      </c>
      <c r="Y276" s="13">
        <v>0</v>
      </c>
      <c r="Z276" s="16">
        <v>0</v>
      </c>
      <c r="AA276" s="16">
        <v>0</v>
      </c>
      <c r="AB276" s="15">
        <v>0</v>
      </c>
      <c r="AC276" s="13">
        <v>0</v>
      </c>
      <c r="AD276" s="16">
        <v>0</v>
      </c>
      <c r="AE276" s="16">
        <v>0</v>
      </c>
      <c r="AF276" s="19">
        <v>0</v>
      </c>
      <c r="AG276" s="20">
        <v>0</v>
      </c>
      <c r="AH276" s="16">
        <v>0</v>
      </c>
      <c r="AI276" s="21">
        <v>0</v>
      </c>
      <c r="AJ276" s="22">
        <f>BattMobility!D94+cambio!D94+Claus2you!D94+CoopStroom!D94+Cozywheels!D94+Dégage!D94+Flexigo!D94+Klimaan!D94+Moovee!D94+Poppy!D94+'Mobilize Share'!D94+Stapp.in!D94</f>
        <v>0</v>
      </c>
      <c r="AK276" s="23">
        <f>BattMobility!E94+cambio!E94+Claus2you!E94+CoopStroom!E94+Cozywheels!E94+Dégage!E94+Flexigo!E94+Klimaan!E94+Moovee!E94+Poppy!E94+'Mobilize Share'!E94+Stapp.in!E94</f>
        <v>0</v>
      </c>
      <c r="AL276" s="21">
        <f t="shared" si="7"/>
        <v>0</v>
      </c>
      <c r="AM276" s="21">
        <f t="shared" si="8"/>
        <v>0</v>
      </c>
      <c r="AN276" s="25">
        <f t="shared" si="9"/>
        <v>0</v>
      </c>
      <c r="AO276" s="26" t="e">
        <f t="shared" si="10"/>
        <v>#DIV/0!</v>
      </c>
      <c r="AP276" s="27">
        <f>BattMobility!F94+cambio!F94+Claus2you!F94+CoopStroom!F94+Cozywheels!F94+Dégage!F94+Flexigo!F94+Klimaan!F94+Moovee!F94+Poppy!F94+'Mobilize Share'!F94+Stapp.in!F94</f>
        <v>0</v>
      </c>
      <c r="AQ276" s="25">
        <f>BattMobility!G94+cambio!G94+Claus2you!G94+CoopStroom!G94+Cozywheels!G94+Dégage!G94+Flexigo!G94+Klimaan!G94+Moovee!G94+Poppy!G94+'Mobilize Share'!G94+Stapp.in!G94</f>
        <v>0</v>
      </c>
      <c r="AR276" s="29">
        <f t="shared" si="11"/>
        <v>0</v>
      </c>
      <c r="AS276" s="29">
        <f t="shared" si="12"/>
        <v>0</v>
      </c>
      <c r="AT276" s="25">
        <f t="shared" si="13"/>
        <v>0</v>
      </c>
      <c r="AU276" s="30">
        <v>18.908000000000001</v>
      </c>
      <c r="AV276" s="31">
        <v>18.908000000000001</v>
      </c>
    </row>
    <row r="277" spans="1:48" ht="14.25" customHeight="1" x14ac:dyDescent="0.35">
      <c r="A277" s="2" t="s">
        <v>327</v>
      </c>
      <c r="B277" s="13" t="s">
        <v>52</v>
      </c>
      <c r="C277" s="13">
        <v>24007</v>
      </c>
      <c r="D277" s="14">
        <v>10390</v>
      </c>
      <c r="E277" s="14">
        <v>10487</v>
      </c>
      <c r="F277" s="14">
        <v>10615</v>
      </c>
      <c r="G277" s="14">
        <v>10642</v>
      </c>
      <c r="H277" s="15">
        <v>2</v>
      </c>
      <c r="I277" s="13">
        <v>0</v>
      </c>
      <c r="J277" s="16">
        <v>0.19249278152069296</v>
      </c>
      <c r="K277" s="15">
        <v>2</v>
      </c>
      <c r="L277" s="13">
        <v>0</v>
      </c>
      <c r="M277" s="16">
        <v>0.19249278152069296</v>
      </c>
      <c r="N277" s="15">
        <v>2</v>
      </c>
      <c r="O277" s="13">
        <v>1</v>
      </c>
      <c r="P277" s="16">
        <v>0.19071231047964146</v>
      </c>
      <c r="Q277" s="16">
        <v>9.5356155239820731E-2</v>
      </c>
      <c r="R277" s="18">
        <v>0</v>
      </c>
      <c r="S277" s="16">
        <v>-1.7804710410515012E-3</v>
      </c>
      <c r="T277" s="18">
        <v>0</v>
      </c>
      <c r="U277" s="16">
        <v>-1.7804710410515012E-3</v>
      </c>
      <c r="V277" s="18">
        <v>2</v>
      </c>
      <c r="W277" s="16">
        <v>0.19071231047964146</v>
      </c>
      <c r="X277" s="15">
        <v>2</v>
      </c>
      <c r="Y277" s="13">
        <v>0</v>
      </c>
      <c r="Z277" s="16">
        <v>0.19071231047964146</v>
      </c>
      <c r="AA277" s="16">
        <v>0</v>
      </c>
      <c r="AB277" s="15">
        <v>2</v>
      </c>
      <c r="AC277" s="13">
        <v>1</v>
      </c>
      <c r="AD277" s="16">
        <v>0.18841262364578426</v>
      </c>
      <c r="AE277" s="16">
        <v>9.420631182289213E-2</v>
      </c>
      <c r="AF277" s="19">
        <v>2</v>
      </c>
      <c r="AG277" s="20">
        <v>1</v>
      </c>
      <c r="AH277" s="16">
        <v>0.18841262364578426</v>
      </c>
      <c r="AI277" s="21">
        <v>9.420631182289213E-2</v>
      </c>
      <c r="AJ277" s="22">
        <f>BattMobility!D22+cambio!D22+Claus2you!D22+CoopStroom!D22+Cozywheels!D22+Dégage!D22+Flexigo!D22+Klimaan!D22+Moovee!D22+Poppy!D22+'Mobilize Share'!D22+Stapp.in!D22</f>
        <v>1</v>
      </c>
      <c r="AK277" s="23">
        <f>BattMobility!E22+cambio!E22+Claus2you!E22+CoopStroom!E22+Cozywheels!E22+Dégage!E22+Flexigo!E22+Klimaan!E22+Moovee!E22+Poppy!E22+'Mobilize Share'!E22+Stapp.in!E22</f>
        <v>0</v>
      </c>
      <c r="AL277" s="21">
        <f t="shared" si="7"/>
        <v>9.3967299379815822E-2</v>
      </c>
      <c r="AM277" s="21">
        <f t="shared" si="8"/>
        <v>0</v>
      </c>
      <c r="AN277" s="25">
        <f t="shared" si="9"/>
        <v>-1</v>
      </c>
      <c r="AO277" s="26">
        <f t="shared" si="10"/>
        <v>-0.5</v>
      </c>
      <c r="AP277" s="27">
        <f>BattMobility!F22+cambio!F22+Claus2you!F22+CoopStroom!F22+Cozywheels!F22+Dégage!F22+Flexigo!F22+Klimaan!F22+Moovee!F22+Poppy!F22+'Mobilize Share'!F22+Stapp.in!F22</f>
        <v>0</v>
      </c>
      <c r="AQ277" s="25">
        <f>BattMobility!G22+cambio!G22+Claus2you!G22+CoopStroom!G22+Cozywheels!G22+Dégage!G22+Flexigo!G22+Klimaan!G22+Moovee!G22+Poppy!G22+'Mobilize Share'!G22+Stapp.in!G22</f>
        <v>0</v>
      </c>
      <c r="AR277" s="29">
        <f t="shared" si="11"/>
        <v>0</v>
      </c>
      <c r="AS277" s="29">
        <f t="shared" si="12"/>
        <v>0</v>
      </c>
      <c r="AT277" s="25">
        <f t="shared" si="13"/>
        <v>-2</v>
      </c>
      <c r="AU277" s="30">
        <v>21.23</v>
      </c>
      <c r="AV277" s="31">
        <v>19.23</v>
      </c>
    </row>
    <row r="278" spans="1:48" ht="14.25" customHeight="1" x14ac:dyDescent="0.35">
      <c r="A278" s="2" t="s">
        <v>328</v>
      </c>
      <c r="B278" s="13" t="s">
        <v>52</v>
      </c>
      <c r="C278" s="13">
        <v>23097</v>
      </c>
      <c r="D278" s="14">
        <v>11735</v>
      </c>
      <c r="E278" s="14">
        <v>11866</v>
      </c>
      <c r="F278" s="14">
        <v>11958</v>
      </c>
      <c r="G278" s="14">
        <v>12021</v>
      </c>
      <c r="H278" s="15">
        <v>0</v>
      </c>
      <c r="I278" s="13">
        <v>0</v>
      </c>
      <c r="J278" s="16">
        <v>0</v>
      </c>
      <c r="K278" s="15">
        <v>0</v>
      </c>
      <c r="L278" s="13">
        <v>0</v>
      </c>
      <c r="M278" s="16">
        <v>0</v>
      </c>
      <c r="N278" s="15">
        <v>0</v>
      </c>
      <c r="O278" s="13">
        <v>0</v>
      </c>
      <c r="P278" s="16">
        <v>0</v>
      </c>
      <c r="Q278" s="16">
        <v>0</v>
      </c>
      <c r="R278" s="18">
        <v>0</v>
      </c>
      <c r="S278" s="16">
        <v>0</v>
      </c>
      <c r="T278" s="18">
        <v>0</v>
      </c>
      <c r="U278" s="16">
        <v>0</v>
      </c>
      <c r="V278" s="18">
        <v>0</v>
      </c>
      <c r="W278" s="16">
        <v>0</v>
      </c>
      <c r="X278" s="15">
        <v>0</v>
      </c>
      <c r="Y278" s="13">
        <v>0</v>
      </c>
      <c r="Z278" s="16">
        <v>0</v>
      </c>
      <c r="AA278" s="16">
        <v>0</v>
      </c>
      <c r="AB278" s="15">
        <v>0</v>
      </c>
      <c r="AC278" s="13">
        <v>0</v>
      </c>
      <c r="AD278" s="16">
        <v>0</v>
      </c>
      <c r="AE278" s="16">
        <v>0</v>
      </c>
      <c r="AF278" s="19">
        <v>0</v>
      </c>
      <c r="AG278" s="20">
        <v>0</v>
      </c>
      <c r="AH278" s="16">
        <v>0</v>
      </c>
      <c r="AI278" s="21">
        <v>0</v>
      </c>
      <c r="AJ278" s="22">
        <f>BattMobility!D216+cambio!D216+Claus2you!D216+CoopStroom!D216+Cozywheels!D216+Dégage!D216+Flexigo!D216+Klimaan!D216+Moovee!D216+Poppy!D216+'Mobilize Share'!D216+Stapp.in!D216</f>
        <v>0</v>
      </c>
      <c r="AK278" s="23">
        <f>BattMobility!E216+cambio!E216+Claus2you!E216+CoopStroom!E216+Cozywheels!E216+Dégage!E216+Flexigo!E216+Klimaan!E216+Moovee!E216+Poppy!E216+'Mobilize Share'!E216+Stapp.in!E216</f>
        <v>0</v>
      </c>
      <c r="AL278" s="21">
        <f t="shared" si="7"/>
        <v>0</v>
      </c>
      <c r="AM278" s="21">
        <f t="shared" si="8"/>
        <v>0</v>
      </c>
      <c r="AN278" s="25">
        <f t="shared" si="9"/>
        <v>0</v>
      </c>
      <c r="AO278" s="26" t="e">
        <f t="shared" si="10"/>
        <v>#DIV/0!</v>
      </c>
      <c r="AP278" s="27">
        <f>BattMobility!F216+cambio!F216+Claus2you!F216+CoopStroom!F216+Cozywheels!F216+Dégage!F216+Flexigo!F216+Klimaan!F216+Moovee!F216+Poppy!F216+'Mobilize Share'!F216+Stapp.in!F216</f>
        <v>0</v>
      </c>
      <c r="AQ278" s="25">
        <f>BattMobility!G216+cambio!G216+Claus2you!G216+CoopStroom!G216+Cozywheels!G216+Dégage!G216+Flexigo!G216+Klimaan!G216+Moovee!G216+Poppy!G216+'Mobilize Share'!G216+Stapp.in!G216</f>
        <v>0</v>
      </c>
      <c r="AR278" s="29">
        <f t="shared" si="11"/>
        <v>0</v>
      </c>
      <c r="AS278" s="29">
        <f t="shared" si="12"/>
        <v>0</v>
      </c>
      <c r="AT278" s="25">
        <f t="shared" si="13"/>
        <v>0</v>
      </c>
      <c r="AU278" s="30">
        <v>23.916</v>
      </c>
      <c r="AV278" s="31">
        <v>23.916</v>
      </c>
    </row>
    <row r="279" spans="1:48" ht="14.25" customHeight="1" x14ac:dyDescent="0.35">
      <c r="A279" s="2" t="s">
        <v>329</v>
      </c>
      <c r="B279" s="13" t="s">
        <v>59</v>
      </c>
      <c r="C279" s="13">
        <v>72003</v>
      </c>
      <c r="D279" s="14">
        <v>13508</v>
      </c>
      <c r="E279" s="14">
        <v>13743</v>
      </c>
      <c r="F279" s="14">
        <v>13753</v>
      </c>
      <c r="G279" s="14">
        <v>13875</v>
      </c>
      <c r="H279" s="15">
        <v>0</v>
      </c>
      <c r="I279" s="13">
        <v>0</v>
      </c>
      <c r="J279" s="16">
        <v>0</v>
      </c>
      <c r="K279" s="15">
        <v>0</v>
      </c>
      <c r="L279" s="13">
        <v>0</v>
      </c>
      <c r="M279" s="16">
        <v>0</v>
      </c>
      <c r="N279" s="15">
        <v>0</v>
      </c>
      <c r="O279" s="13">
        <v>0</v>
      </c>
      <c r="P279" s="16">
        <v>0</v>
      </c>
      <c r="Q279" s="16">
        <v>0</v>
      </c>
      <c r="R279" s="18">
        <v>0</v>
      </c>
      <c r="S279" s="16">
        <v>0</v>
      </c>
      <c r="T279" s="18">
        <v>0</v>
      </c>
      <c r="U279" s="16">
        <v>0</v>
      </c>
      <c r="V279" s="18">
        <v>0</v>
      </c>
      <c r="W279" s="16">
        <v>0</v>
      </c>
      <c r="X279" s="15">
        <v>0</v>
      </c>
      <c r="Y279" s="13">
        <v>0</v>
      </c>
      <c r="Z279" s="16">
        <v>0</v>
      </c>
      <c r="AA279" s="16">
        <v>0</v>
      </c>
      <c r="AB279" s="15">
        <v>0</v>
      </c>
      <c r="AC279" s="13">
        <v>0</v>
      </c>
      <c r="AD279" s="16">
        <v>0</v>
      </c>
      <c r="AE279" s="16">
        <v>0</v>
      </c>
      <c r="AF279" s="19">
        <v>0</v>
      </c>
      <c r="AG279" s="20">
        <v>0</v>
      </c>
      <c r="AH279" s="16">
        <v>0</v>
      </c>
      <c r="AI279" s="21">
        <v>0</v>
      </c>
      <c r="AJ279" s="22">
        <f>BattMobility!D33+cambio!D33+Claus2you!D33+CoopStroom!D33+Cozywheels!D33+Dégage!D33+Flexigo!D33+Klimaan!D33+Moovee!D33+Poppy!D33+'Mobilize Share'!D33+Stapp.in!D33</f>
        <v>0</v>
      </c>
      <c r="AK279" s="23">
        <f>BattMobility!E33+cambio!E33+Claus2you!E33+CoopStroom!E33+Cozywheels!E33+Dégage!E33+Flexigo!E33+Klimaan!E33+Moovee!E33+Poppy!E33+'Mobilize Share'!E33+Stapp.in!E33</f>
        <v>0</v>
      </c>
      <c r="AL279" s="21">
        <f t="shared" si="7"/>
        <v>0</v>
      </c>
      <c r="AM279" s="21">
        <f t="shared" si="8"/>
        <v>0</v>
      </c>
      <c r="AN279" s="25">
        <f t="shared" si="9"/>
        <v>0</v>
      </c>
      <c r="AO279" s="26" t="e">
        <f t="shared" si="10"/>
        <v>#DIV/0!</v>
      </c>
      <c r="AP279" s="27">
        <f>BattMobility!F33+cambio!F33+Claus2you!F33+CoopStroom!F33+Cozywheels!F33+Dégage!F33+Flexigo!F33+Klimaan!F33+Moovee!F33+Poppy!F33+'Mobilize Share'!F33+Stapp.in!F33</f>
        <v>0</v>
      </c>
      <c r="AQ279" s="25">
        <f>BattMobility!G33+cambio!G33+Claus2you!G33+CoopStroom!G33+Cozywheels!G33+Dégage!G33+Flexigo!G33+Klimaan!G33+Moovee!G33+Poppy!G33+'Mobilize Share'!G33+Stapp.in!G33</f>
        <v>0</v>
      </c>
      <c r="AR279" s="29">
        <f t="shared" si="11"/>
        <v>0</v>
      </c>
      <c r="AS279" s="29">
        <f t="shared" si="12"/>
        <v>0</v>
      </c>
      <c r="AT279" s="25">
        <f t="shared" si="13"/>
        <v>0</v>
      </c>
      <c r="AU279" s="30">
        <v>27.506</v>
      </c>
      <c r="AV279" s="31">
        <v>27.506</v>
      </c>
    </row>
    <row r="280" spans="1:48" ht="14.25" customHeight="1" x14ac:dyDescent="0.35">
      <c r="A280" s="2" t="s">
        <v>330</v>
      </c>
      <c r="B280" s="13" t="s">
        <v>48</v>
      </c>
      <c r="C280" s="13">
        <v>13029</v>
      </c>
      <c r="D280" s="14">
        <v>12582</v>
      </c>
      <c r="E280" s="14">
        <v>12689</v>
      </c>
      <c r="F280" s="14">
        <v>12824</v>
      </c>
      <c r="G280" s="14">
        <v>12915</v>
      </c>
      <c r="H280" s="15">
        <v>0</v>
      </c>
      <c r="I280" s="13">
        <v>0</v>
      </c>
      <c r="J280" s="16">
        <v>0</v>
      </c>
      <c r="K280" s="15">
        <v>0</v>
      </c>
      <c r="L280" s="13">
        <v>0</v>
      </c>
      <c r="M280" s="16">
        <v>0</v>
      </c>
      <c r="N280" s="15">
        <v>0</v>
      </c>
      <c r="O280" s="13">
        <v>0</v>
      </c>
      <c r="P280" s="16">
        <v>0</v>
      </c>
      <c r="Q280" s="16">
        <v>0</v>
      </c>
      <c r="R280" s="18">
        <v>0</v>
      </c>
      <c r="S280" s="16">
        <v>0</v>
      </c>
      <c r="T280" s="18">
        <v>0</v>
      </c>
      <c r="U280" s="16">
        <v>0</v>
      </c>
      <c r="V280" s="18">
        <v>0</v>
      </c>
      <c r="W280" s="16">
        <v>0</v>
      </c>
      <c r="X280" s="15">
        <v>0</v>
      </c>
      <c r="Y280" s="13">
        <v>0</v>
      </c>
      <c r="Z280" s="16">
        <v>0</v>
      </c>
      <c r="AA280" s="16">
        <v>0</v>
      </c>
      <c r="AB280" s="15">
        <v>0</v>
      </c>
      <c r="AC280" s="13">
        <v>0</v>
      </c>
      <c r="AD280" s="16">
        <v>0</v>
      </c>
      <c r="AE280" s="16">
        <v>0</v>
      </c>
      <c r="AF280" s="19">
        <v>0</v>
      </c>
      <c r="AG280" s="20">
        <v>0</v>
      </c>
      <c r="AH280" s="16">
        <v>0</v>
      </c>
      <c r="AI280" s="21">
        <v>0</v>
      </c>
      <c r="AJ280" s="22">
        <f>BattMobility!D189+cambio!D189+Claus2you!D189+CoopStroom!D189+Cozywheels!D189+Dégage!D189+Flexigo!D189+Klimaan!D189+Moovee!D189+Poppy!D189+'Mobilize Share'!D189+Stapp.in!D189</f>
        <v>0</v>
      </c>
      <c r="AK280" s="23">
        <f>BattMobility!E189+cambio!E189+Claus2you!E189+CoopStroom!E189+Cozywheels!E189+Dégage!E189+Flexigo!E189+Klimaan!E189+Moovee!E189+Poppy!E189+'Mobilize Share'!E189+Stapp.in!E189</f>
        <v>0</v>
      </c>
      <c r="AL280" s="21">
        <f t="shared" si="7"/>
        <v>0</v>
      </c>
      <c r="AM280" s="21">
        <f t="shared" si="8"/>
        <v>0</v>
      </c>
      <c r="AN280" s="25">
        <f t="shared" si="9"/>
        <v>0</v>
      </c>
      <c r="AO280" s="26" t="e">
        <f t="shared" si="10"/>
        <v>#DIV/0!</v>
      </c>
      <c r="AP280" s="27">
        <f>BattMobility!F189+cambio!F189+Claus2you!F189+CoopStroom!F189+Cozywheels!F189+Dégage!F189+Flexigo!F189+Klimaan!F189+Moovee!F189+Poppy!F189+'Mobilize Share'!F189+Stapp.in!F189</f>
        <v>0</v>
      </c>
      <c r="AQ280" s="25">
        <f>BattMobility!G189+cambio!G189+Claus2you!G189+CoopStroom!G189+Cozywheels!G189+Dégage!G189+Flexigo!G189+Klimaan!G189+Moovee!G189+Poppy!G189+'Mobilize Share'!G189+Stapp.in!G189</f>
        <v>0</v>
      </c>
      <c r="AR280" s="29">
        <f t="shared" si="11"/>
        <v>0</v>
      </c>
      <c r="AS280" s="29">
        <f t="shared" si="12"/>
        <v>0</v>
      </c>
      <c r="AT280" s="25">
        <f t="shared" si="13"/>
        <v>0</v>
      </c>
      <c r="AU280" s="30">
        <v>25.648</v>
      </c>
      <c r="AV280" s="31">
        <v>25.648</v>
      </c>
    </row>
    <row r="281" spans="1:48" ht="14.25" customHeight="1" x14ac:dyDescent="0.35">
      <c r="A281" s="2" t="s">
        <v>331</v>
      </c>
      <c r="B281" s="13" t="s">
        <v>59</v>
      </c>
      <c r="C281" s="13">
        <v>72037</v>
      </c>
      <c r="D281" s="14">
        <v>14375</v>
      </c>
      <c r="E281" s="14">
        <v>14458</v>
      </c>
      <c r="F281" s="14">
        <v>14507</v>
      </c>
      <c r="G281" s="14">
        <v>14568</v>
      </c>
      <c r="H281" s="15">
        <v>0</v>
      </c>
      <c r="I281" s="13">
        <v>0</v>
      </c>
      <c r="J281" s="16">
        <v>0</v>
      </c>
      <c r="K281" s="15">
        <v>0</v>
      </c>
      <c r="L281" s="13">
        <v>0</v>
      </c>
      <c r="M281" s="16">
        <v>0</v>
      </c>
      <c r="N281" s="15">
        <v>1</v>
      </c>
      <c r="O281" s="13">
        <v>0</v>
      </c>
      <c r="P281" s="16">
        <v>6.9165859731636456E-2</v>
      </c>
      <c r="Q281" s="16">
        <v>0</v>
      </c>
      <c r="R281" s="18">
        <v>1</v>
      </c>
      <c r="S281" s="16">
        <v>6.9165859731636456E-2</v>
      </c>
      <c r="T281" s="18">
        <v>1</v>
      </c>
      <c r="U281" s="16">
        <v>6.9165859731636456E-2</v>
      </c>
      <c r="V281" s="18">
        <v>1</v>
      </c>
      <c r="W281" s="16">
        <v>6.9165859731636456E-2</v>
      </c>
      <c r="X281" s="15">
        <v>1</v>
      </c>
      <c r="Y281" s="13">
        <v>0</v>
      </c>
      <c r="Z281" s="16">
        <v>6.9165859731636456E-2</v>
      </c>
      <c r="AA281" s="16">
        <v>0</v>
      </c>
      <c r="AB281" s="15">
        <v>1</v>
      </c>
      <c r="AC281" s="13">
        <v>0</v>
      </c>
      <c r="AD281" s="16">
        <v>6.8932239608464868E-2</v>
      </c>
      <c r="AE281" s="16">
        <v>0</v>
      </c>
      <c r="AF281" s="19">
        <v>0</v>
      </c>
      <c r="AG281" s="20">
        <v>0</v>
      </c>
      <c r="AH281" s="16">
        <v>0</v>
      </c>
      <c r="AI281" s="21">
        <v>0</v>
      </c>
      <c r="AJ281" s="22">
        <f>BattMobility!D85+cambio!D85+Claus2you!D85+CoopStroom!D85+Cozywheels!D85+Dégage!D85+Flexigo!D85+Klimaan!D85+Moovee!D85+Poppy!D85+'Mobilize Share'!D85+Stapp.in!D85</f>
        <v>0</v>
      </c>
      <c r="AK281" s="23">
        <f>BattMobility!E85+cambio!E85+Claus2you!E85+CoopStroom!E85+Cozywheels!E85+Dégage!E85+Flexigo!E85+Klimaan!E85+Moovee!E85+Poppy!E85+'Mobilize Share'!E85+Stapp.in!E85</f>
        <v>0</v>
      </c>
      <c r="AL281" s="21">
        <f t="shared" si="7"/>
        <v>0</v>
      </c>
      <c r="AM281" s="21">
        <f t="shared" si="8"/>
        <v>0</v>
      </c>
      <c r="AN281" s="25">
        <f t="shared" si="9"/>
        <v>-1</v>
      </c>
      <c r="AO281" s="26">
        <f t="shared" si="10"/>
        <v>-1</v>
      </c>
      <c r="AP281" s="27">
        <f>BattMobility!F85+cambio!F85+Claus2you!F85+CoopStroom!F85+Cozywheels!F85+Dégage!F85+Flexigo!F85+Klimaan!F85+Moovee!F85+Poppy!F85+'Mobilize Share'!F85+Stapp.in!F85</f>
        <v>0</v>
      </c>
      <c r="AQ281" s="25">
        <f>BattMobility!G85+cambio!G85+Claus2you!G85+CoopStroom!G85+Cozywheels!G85+Dégage!G85+Flexigo!G85+Klimaan!G85+Moovee!G85+Poppy!G85+'Mobilize Share'!G85+Stapp.in!G85</f>
        <v>0</v>
      </c>
      <c r="AR281" s="29">
        <f t="shared" si="11"/>
        <v>0</v>
      </c>
      <c r="AS281" s="29">
        <f t="shared" si="12"/>
        <v>0</v>
      </c>
      <c r="AT281" s="25">
        <f t="shared" si="13"/>
        <v>0</v>
      </c>
      <c r="AU281" s="30">
        <v>29.013999999999999</v>
      </c>
      <c r="AV281" s="31">
        <v>29.013999999999999</v>
      </c>
    </row>
    <row r="282" spans="1:48" ht="14.25" customHeight="1" x14ac:dyDescent="0.35">
      <c r="A282" s="2" t="s">
        <v>332</v>
      </c>
      <c r="B282" s="13" t="s">
        <v>59</v>
      </c>
      <c r="C282" s="13">
        <v>73066</v>
      </c>
      <c r="D282" s="14">
        <v>16779</v>
      </c>
      <c r="E282" s="14">
        <v>16850</v>
      </c>
      <c r="F282" s="14">
        <v>16896</v>
      </c>
      <c r="G282" s="14">
        <v>16938</v>
      </c>
      <c r="H282" s="15">
        <v>0</v>
      </c>
      <c r="I282" s="13">
        <v>0</v>
      </c>
      <c r="J282" s="16">
        <v>0</v>
      </c>
      <c r="K282" s="15">
        <v>0</v>
      </c>
      <c r="L282" s="13">
        <v>0</v>
      </c>
      <c r="M282" s="16">
        <v>0</v>
      </c>
      <c r="N282" s="15">
        <v>0</v>
      </c>
      <c r="O282" s="13">
        <v>0</v>
      </c>
      <c r="P282" s="16">
        <v>0</v>
      </c>
      <c r="Q282" s="16">
        <v>0</v>
      </c>
      <c r="R282" s="18">
        <v>0</v>
      </c>
      <c r="S282" s="16">
        <v>0</v>
      </c>
      <c r="T282" s="18">
        <v>0</v>
      </c>
      <c r="U282" s="16">
        <v>0</v>
      </c>
      <c r="V282" s="18">
        <v>0</v>
      </c>
      <c r="W282" s="16">
        <v>0</v>
      </c>
      <c r="X282" s="15">
        <v>0</v>
      </c>
      <c r="Y282" s="13">
        <v>0</v>
      </c>
      <c r="Z282" s="16">
        <v>0</v>
      </c>
      <c r="AA282" s="16">
        <v>0</v>
      </c>
      <c r="AB282" s="15">
        <v>0</v>
      </c>
      <c r="AC282" s="13">
        <v>0</v>
      </c>
      <c r="AD282" s="16">
        <v>0</v>
      </c>
      <c r="AE282" s="16">
        <v>0</v>
      </c>
      <c r="AF282" s="19">
        <v>0</v>
      </c>
      <c r="AG282" s="20">
        <v>0</v>
      </c>
      <c r="AH282" s="16">
        <v>0</v>
      </c>
      <c r="AI282" s="21">
        <v>0</v>
      </c>
      <c r="AJ282" s="22">
        <f>BattMobility!D212+cambio!D212+Claus2you!D212+CoopStroom!D212+Cozywheels!D212+Dégage!D212+Flexigo!D212+Klimaan!D212+Moovee!D212+Poppy!D212+'Mobilize Share'!D212+Stapp.in!D212</f>
        <v>0</v>
      </c>
      <c r="AK282" s="23">
        <f>BattMobility!E212+cambio!E212+Claus2you!E212+CoopStroom!E212+Cozywheels!E212+Dégage!E212+Flexigo!E212+Klimaan!E212+Moovee!E212+Poppy!E212+'Mobilize Share'!E212+Stapp.in!E212</f>
        <v>0</v>
      </c>
      <c r="AL282" s="21">
        <f t="shared" si="7"/>
        <v>0</v>
      </c>
      <c r="AM282" s="21">
        <f t="shared" si="8"/>
        <v>0</v>
      </c>
      <c r="AN282" s="25">
        <f t="shared" si="9"/>
        <v>0</v>
      </c>
      <c r="AO282" s="26" t="e">
        <f t="shared" si="10"/>
        <v>#DIV/0!</v>
      </c>
      <c r="AP282" s="27">
        <f>BattMobility!F212+cambio!F212+Claus2you!F212+CoopStroom!F212+Cozywheels!F212+Dégage!F212+Flexigo!F212+Klimaan!F212+Moovee!F212+Poppy!F212+'Mobilize Share'!F212+Stapp.in!F212</f>
        <v>0</v>
      </c>
      <c r="AQ282" s="25">
        <f>BattMobility!G212+cambio!G212+Claus2you!G212+CoopStroom!G212+Cozywheels!G212+Dégage!G212+Flexigo!G212+Klimaan!G212+Moovee!G212+Poppy!G212+'Mobilize Share'!G212+Stapp.in!G212</f>
        <v>0</v>
      </c>
      <c r="AR282" s="29">
        <f t="shared" si="11"/>
        <v>0</v>
      </c>
      <c r="AS282" s="29">
        <f t="shared" si="12"/>
        <v>0</v>
      </c>
      <c r="AT282" s="25">
        <f t="shared" si="13"/>
        <v>0</v>
      </c>
      <c r="AU282" s="30">
        <v>33.792000000000002</v>
      </c>
      <c r="AV282" s="31">
        <v>33.792000000000002</v>
      </c>
    </row>
    <row r="283" spans="1:48" ht="14.25" customHeight="1" x14ac:dyDescent="0.35">
      <c r="A283" s="2" t="s">
        <v>333</v>
      </c>
      <c r="B283" s="13" t="s">
        <v>59</v>
      </c>
      <c r="C283" s="13">
        <v>72041</v>
      </c>
      <c r="D283" s="14">
        <v>20995</v>
      </c>
      <c r="E283" s="14">
        <v>21305</v>
      </c>
      <c r="F283" s="14">
        <v>21346</v>
      </c>
      <c r="G283" s="14">
        <v>21486</v>
      </c>
      <c r="H283" s="15">
        <v>0</v>
      </c>
      <c r="I283" s="13">
        <v>0</v>
      </c>
      <c r="J283" s="16">
        <v>0</v>
      </c>
      <c r="K283" s="15">
        <v>0</v>
      </c>
      <c r="L283" s="13">
        <v>0</v>
      </c>
      <c r="M283" s="16">
        <v>0</v>
      </c>
      <c r="N283" s="15">
        <v>0</v>
      </c>
      <c r="O283" s="13">
        <v>0</v>
      </c>
      <c r="P283" s="16">
        <v>0</v>
      </c>
      <c r="Q283" s="16">
        <v>0</v>
      </c>
      <c r="R283" s="18">
        <v>0</v>
      </c>
      <c r="S283" s="16">
        <v>0</v>
      </c>
      <c r="T283" s="18">
        <v>0</v>
      </c>
      <c r="U283" s="16">
        <v>0</v>
      </c>
      <c r="V283" s="18">
        <v>0</v>
      </c>
      <c r="W283" s="16">
        <v>0</v>
      </c>
      <c r="X283" s="15">
        <v>0</v>
      </c>
      <c r="Y283" s="13">
        <v>0</v>
      </c>
      <c r="Z283" s="16">
        <v>0</v>
      </c>
      <c r="AA283" s="16">
        <v>0</v>
      </c>
      <c r="AB283" s="15">
        <v>0</v>
      </c>
      <c r="AC283" s="13">
        <v>0</v>
      </c>
      <c r="AD283" s="16">
        <v>0</v>
      </c>
      <c r="AE283" s="16">
        <v>0</v>
      </c>
      <c r="AF283" s="19">
        <v>0</v>
      </c>
      <c r="AG283" s="20">
        <v>0</v>
      </c>
      <c r="AH283" s="16">
        <v>0</v>
      </c>
      <c r="AI283" s="21">
        <v>0</v>
      </c>
      <c r="AJ283" s="22">
        <f>BattMobility!D61+cambio!D61+Claus2you!D61+CoopStroom!D61+Cozywheels!D61+Dégage!D61+Flexigo!D61+Klimaan!D61+Moovee!D61+Poppy!D61+'Mobilize Share'!D61+Stapp.in!D61</f>
        <v>0</v>
      </c>
      <c r="AK283" s="23">
        <f>BattMobility!E61+cambio!E61+Claus2you!E61+CoopStroom!E61+Cozywheels!E61+Dégage!E61+Flexigo!E61+Klimaan!E61+Moovee!E61+Poppy!E61+'Mobilize Share'!E61+Stapp.in!E61</f>
        <v>0</v>
      </c>
      <c r="AL283" s="21">
        <f t="shared" si="7"/>
        <v>0</v>
      </c>
      <c r="AM283" s="21">
        <f t="shared" si="8"/>
        <v>0</v>
      </c>
      <c r="AN283" s="25">
        <f t="shared" si="9"/>
        <v>0</v>
      </c>
      <c r="AO283" s="26" t="e">
        <f t="shared" si="10"/>
        <v>#DIV/0!</v>
      </c>
      <c r="AP283" s="27">
        <f>BattMobility!F61+cambio!F61+Claus2you!F61+CoopStroom!F61+Cozywheels!F61+Dégage!F61+Flexigo!F61+Klimaan!F61+Moovee!F61+Poppy!F61+'Mobilize Share'!F61+Stapp.in!F61</f>
        <v>0</v>
      </c>
      <c r="AQ283" s="25">
        <f>BattMobility!G61+cambio!G61+Claus2you!G61+CoopStroom!G61+Cozywheels!G61+Dégage!G61+Flexigo!G61+Klimaan!G61+Moovee!G61+Poppy!G61+'Mobilize Share'!G61+Stapp.in!G61</f>
        <v>0</v>
      </c>
      <c r="AR283" s="29">
        <f t="shared" si="11"/>
        <v>0</v>
      </c>
      <c r="AS283" s="29">
        <f t="shared" si="12"/>
        <v>0</v>
      </c>
      <c r="AT283" s="25">
        <f t="shared" si="13"/>
        <v>0</v>
      </c>
      <c r="AU283" s="30">
        <v>42.692</v>
      </c>
      <c r="AV283" s="31">
        <v>42.692</v>
      </c>
    </row>
    <row r="284" spans="1:48" ht="14.25" customHeight="1" x14ac:dyDescent="0.35">
      <c r="A284" s="2" t="s">
        <v>334</v>
      </c>
      <c r="B284" s="13" t="s">
        <v>52</v>
      </c>
      <c r="C284" s="13">
        <v>23044</v>
      </c>
      <c r="D284" s="14">
        <v>13651</v>
      </c>
      <c r="E284" s="14">
        <v>13877</v>
      </c>
      <c r="F284" s="14">
        <v>14013</v>
      </c>
      <c r="G284" s="14">
        <v>14155</v>
      </c>
      <c r="H284" s="15">
        <v>2</v>
      </c>
      <c r="I284" s="13">
        <v>0</v>
      </c>
      <c r="J284" s="16">
        <v>0.14650941322980002</v>
      </c>
      <c r="K284" s="15">
        <v>0</v>
      </c>
      <c r="L284" s="13">
        <v>0</v>
      </c>
      <c r="M284" s="16">
        <v>0</v>
      </c>
      <c r="N284" s="15">
        <v>1</v>
      </c>
      <c r="O284" s="13">
        <v>0</v>
      </c>
      <c r="P284" s="16">
        <v>7.2061684802190676E-2</v>
      </c>
      <c r="Q284" s="16">
        <v>0</v>
      </c>
      <c r="R284" s="18">
        <v>-1</v>
      </c>
      <c r="S284" s="16">
        <v>-7.4447728427609342E-2</v>
      </c>
      <c r="T284" s="18">
        <v>1</v>
      </c>
      <c r="U284" s="16">
        <v>7.2061684802190676E-2</v>
      </c>
      <c r="V284" s="18">
        <v>1</v>
      </c>
      <c r="W284" s="16">
        <v>7.2061684802190676E-2</v>
      </c>
      <c r="X284" s="15">
        <v>1</v>
      </c>
      <c r="Y284" s="13">
        <v>0</v>
      </c>
      <c r="Z284" s="16">
        <v>7.2061684802190676E-2</v>
      </c>
      <c r="AA284" s="16">
        <v>0</v>
      </c>
      <c r="AB284" s="15">
        <v>0</v>
      </c>
      <c r="AC284" s="13">
        <v>0</v>
      </c>
      <c r="AD284" s="16">
        <v>0</v>
      </c>
      <c r="AE284" s="16">
        <v>0</v>
      </c>
      <c r="AF284" s="19">
        <v>0</v>
      </c>
      <c r="AG284" s="20">
        <v>0</v>
      </c>
      <c r="AH284" s="16">
        <v>0</v>
      </c>
      <c r="AI284" s="21">
        <v>0</v>
      </c>
      <c r="AJ284" s="22">
        <f>BattMobility!D150+cambio!D150+Claus2you!D150+CoopStroom!D150+Cozywheels!D150+Dégage!D150+Flexigo!D150+Klimaan!D150+Moovee!D150+Poppy!D150+'Mobilize Share'!D150+Stapp.in!D150</f>
        <v>0</v>
      </c>
      <c r="AK284" s="23">
        <f>BattMobility!E150+cambio!E150+Claus2you!E150+CoopStroom!E150+Cozywheels!E150+Dégage!E150+Flexigo!E150+Klimaan!E150+Moovee!E150+Poppy!E150+'Mobilize Share'!E150+Stapp.in!E150</f>
        <v>0</v>
      </c>
      <c r="AL284" s="21">
        <f t="shared" si="7"/>
        <v>0</v>
      </c>
      <c r="AM284" s="21">
        <f t="shared" si="8"/>
        <v>0</v>
      </c>
      <c r="AN284" s="25">
        <f t="shared" si="9"/>
        <v>0</v>
      </c>
      <c r="AO284" s="26" t="e">
        <f t="shared" si="10"/>
        <v>#DIV/0!</v>
      </c>
      <c r="AP284" s="27">
        <f>BattMobility!F150+cambio!F150+Claus2you!F150+CoopStroom!F150+Cozywheels!F150+Dégage!F150+Flexigo!F150+Klimaan!F150+Moovee!F150+Poppy!F150+'Mobilize Share'!F150+Stapp.in!F150</f>
        <v>0</v>
      </c>
      <c r="AQ284" s="25">
        <f>BattMobility!G150+cambio!G150+Claus2you!G150+CoopStroom!G150+Cozywheels!G150+Dégage!G150+Flexigo!G150+Klimaan!G150+Moovee!G150+Poppy!G150+'Mobilize Share'!G150+Stapp.in!G150</f>
        <v>0</v>
      </c>
      <c r="AR284" s="29">
        <f t="shared" si="11"/>
        <v>0</v>
      </c>
      <c r="AS284" s="29">
        <f t="shared" si="12"/>
        <v>0</v>
      </c>
      <c r="AT284" s="25">
        <f t="shared" si="13"/>
        <v>0</v>
      </c>
      <c r="AU284" s="30">
        <v>28.026</v>
      </c>
      <c r="AV284" s="31">
        <v>28.026</v>
      </c>
    </row>
    <row r="285" spans="1:48" ht="14.25" customHeight="1" x14ac:dyDescent="0.35">
      <c r="A285" s="2" t="s">
        <v>335</v>
      </c>
      <c r="B285" s="13" t="s">
        <v>48</v>
      </c>
      <c r="C285" s="13">
        <v>11001</v>
      </c>
      <c r="D285" s="14">
        <v>14610</v>
      </c>
      <c r="E285" s="14">
        <v>14752</v>
      </c>
      <c r="F285" s="14">
        <v>14890</v>
      </c>
      <c r="G285" s="14">
        <v>15093</v>
      </c>
      <c r="H285" s="15">
        <v>0</v>
      </c>
      <c r="I285" s="13">
        <v>0</v>
      </c>
      <c r="J285" s="16">
        <v>0</v>
      </c>
      <c r="K285" s="15">
        <v>0</v>
      </c>
      <c r="L285" s="13">
        <v>0</v>
      </c>
      <c r="M285" s="16">
        <v>0</v>
      </c>
      <c r="N285" s="15">
        <v>0</v>
      </c>
      <c r="O285" s="13">
        <v>0</v>
      </c>
      <c r="P285" s="16">
        <v>0</v>
      </c>
      <c r="Q285" s="16">
        <v>0</v>
      </c>
      <c r="R285" s="18">
        <v>0</v>
      </c>
      <c r="S285" s="16">
        <v>0</v>
      </c>
      <c r="T285" s="18">
        <v>0</v>
      </c>
      <c r="U285" s="16">
        <v>0</v>
      </c>
      <c r="V285" s="18">
        <v>0</v>
      </c>
      <c r="W285" s="16">
        <v>0</v>
      </c>
      <c r="X285" s="15">
        <v>0</v>
      </c>
      <c r="Y285" s="13">
        <v>0</v>
      </c>
      <c r="Z285" s="16">
        <v>0</v>
      </c>
      <c r="AA285" s="16">
        <v>0</v>
      </c>
      <c r="AB285" s="15">
        <v>0</v>
      </c>
      <c r="AC285" s="13">
        <v>0</v>
      </c>
      <c r="AD285" s="16">
        <v>0</v>
      </c>
      <c r="AE285" s="16">
        <v>0</v>
      </c>
      <c r="AF285" s="19">
        <v>0</v>
      </c>
      <c r="AG285" s="20">
        <v>0</v>
      </c>
      <c r="AH285" s="16">
        <v>0</v>
      </c>
      <c r="AI285" s="21">
        <v>0</v>
      </c>
      <c r="AJ285" s="22">
        <f>BattMobility!D5+cambio!D5+Claus2you!D5+CoopStroom!D5+Cozywheels!D5+Dégage!D5+Flexigo!D5+Klimaan!D5+Moovee!D5+Poppy!D5+'Mobilize Share'!D5+Stapp.in!D5</f>
        <v>0</v>
      </c>
      <c r="AK285" s="23">
        <f>BattMobility!E5+cambio!E5+Claus2you!E5+CoopStroom!E5+Cozywheels!E5+Dégage!E5+Flexigo!E5+Klimaan!E5+Moovee!E5+Poppy!E5+'Mobilize Share'!E5+Stapp.in!E5</f>
        <v>0</v>
      </c>
      <c r="AL285" s="21">
        <f t="shared" si="7"/>
        <v>0</v>
      </c>
      <c r="AM285" s="21">
        <f t="shared" si="8"/>
        <v>0</v>
      </c>
      <c r="AN285" s="25">
        <f t="shared" si="9"/>
        <v>0</v>
      </c>
      <c r="AO285" s="26" t="e">
        <f t="shared" si="10"/>
        <v>#DIV/0!</v>
      </c>
      <c r="AP285" s="27">
        <f>BattMobility!F5+cambio!F5+Claus2you!F5+CoopStroom!F5+Cozywheels!F5+Dégage!F5+Flexigo!F5+Klimaan!F5+Moovee!F5+Poppy!F5+'Mobilize Share'!F5+Stapp.in!F5</f>
        <v>0</v>
      </c>
      <c r="AQ285" s="25">
        <f>BattMobility!G5+cambio!G5+Claus2you!G5+CoopStroom!G5+Cozywheels!G5+Dégage!G5+Flexigo!G5+Klimaan!G5+Moovee!G5+Poppy!G5+'Mobilize Share'!G5+Stapp.in!G5</f>
        <v>0</v>
      </c>
      <c r="AR285" s="29">
        <f t="shared" si="11"/>
        <v>0</v>
      </c>
      <c r="AS285" s="29">
        <f t="shared" si="12"/>
        <v>0</v>
      </c>
      <c r="AT285" s="25">
        <f t="shared" si="13"/>
        <v>0</v>
      </c>
      <c r="AU285" s="30">
        <v>29.78</v>
      </c>
      <c r="AV285" s="31">
        <v>29.78</v>
      </c>
    </row>
    <row r="286" spans="1:48" ht="14.25" customHeight="1" x14ac:dyDescent="0.35">
      <c r="A286" s="2" t="s">
        <v>336</v>
      </c>
      <c r="B286" s="13" t="s">
        <v>48</v>
      </c>
      <c r="C286" s="13">
        <v>11044</v>
      </c>
      <c r="D286" s="14">
        <v>18782</v>
      </c>
      <c r="E286" s="14">
        <v>18837</v>
      </c>
      <c r="F286" s="14">
        <v>18826</v>
      </c>
      <c r="G286" s="14">
        <v>18970</v>
      </c>
      <c r="H286" s="15">
        <v>0</v>
      </c>
      <c r="I286" s="13">
        <v>0</v>
      </c>
      <c r="J286" s="16">
        <v>0</v>
      </c>
      <c r="K286" s="15">
        <v>0</v>
      </c>
      <c r="L286" s="13">
        <v>0</v>
      </c>
      <c r="M286" s="16">
        <v>0</v>
      </c>
      <c r="N286" s="15">
        <v>0</v>
      </c>
      <c r="O286" s="13">
        <v>0</v>
      </c>
      <c r="P286" s="16">
        <v>0</v>
      </c>
      <c r="Q286" s="16">
        <v>0</v>
      </c>
      <c r="R286" s="18">
        <v>0</v>
      </c>
      <c r="S286" s="16">
        <v>0</v>
      </c>
      <c r="T286" s="18">
        <v>0</v>
      </c>
      <c r="U286" s="16">
        <v>0</v>
      </c>
      <c r="V286" s="18">
        <v>0</v>
      </c>
      <c r="W286" s="16">
        <v>0</v>
      </c>
      <c r="X286" s="15">
        <v>0</v>
      </c>
      <c r="Y286" s="13">
        <v>0</v>
      </c>
      <c r="Z286" s="16">
        <v>0</v>
      </c>
      <c r="AA286" s="16">
        <v>0</v>
      </c>
      <c r="AB286" s="15">
        <v>0</v>
      </c>
      <c r="AC286" s="13">
        <v>0</v>
      </c>
      <c r="AD286" s="16">
        <v>0</v>
      </c>
      <c r="AE286" s="16">
        <v>0</v>
      </c>
      <c r="AF286" s="19">
        <v>0</v>
      </c>
      <c r="AG286" s="20">
        <v>0</v>
      </c>
      <c r="AH286" s="16">
        <v>0</v>
      </c>
      <c r="AI286" s="21">
        <v>0</v>
      </c>
      <c r="AJ286" s="22">
        <f>BattMobility!D233+cambio!D233+Claus2you!D233+CoopStroom!D233+Cozywheels!D233+Dégage!D233+Flexigo!D233+Klimaan!D233+Moovee!D233+Poppy!D233+'Mobilize Share'!D233+Stapp.in!D233</f>
        <v>0</v>
      </c>
      <c r="AK286" s="23">
        <f>BattMobility!E233+cambio!E233+Claus2you!E233+CoopStroom!E233+Cozywheels!E233+Dégage!E233+Flexigo!E233+Klimaan!E233+Moovee!E233+Poppy!E233+'Mobilize Share'!E233+Stapp.in!E233</f>
        <v>0</v>
      </c>
      <c r="AL286" s="21">
        <f t="shared" si="7"/>
        <v>0</v>
      </c>
      <c r="AM286" s="21">
        <f t="shared" si="8"/>
        <v>0</v>
      </c>
      <c r="AN286" s="25">
        <f t="shared" si="9"/>
        <v>0</v>
      </c>
      <c r="AO286" s="26" t="e">
        <f t="shared" si="10"/>
        <v>#DIV/0!</v>
      </c>
      <c r="AP286" s="27">
        <f>BattMobility!F233+cambio!F233+Claus2you!F233+CoopStroom!F233+Cozywheels!F233+Dégage!F233+Flexigo!F233+Klimaan!F233+Moovee!F233+Poppy!F233+'Mobilize Share'!F233+Stapp.in!F233</f>
        <v>0</v>
      </c>
      <c r="AQ286" s="25">
        <f>BattMobility!G233+cambio!G233+Claus2you!G233+CoopStroom!G233+Cozywheels!G233+Dégage!G233+Flexigo!G233+Klimaan!G233+Moovee!G233+Poppy!G233+'Mobilize Share'!G233+Stapp.in!G233</f>
        <v>0</v>
      </c>
      <c r="AR286" s="29">
        <f t="shared" si="11"/>
        <v>0</v>
      </c>
      <c r="AS286" s="29">
        <f t="shared" si="12"/>
        <v>0</v>
      </c>
      <c r="AT286" s="25">
        <f t="shared" si="13"/>
        <v>0</v>
      </c>
      <c r="AU286" s="30">
        <v>37.652000000000001</v>
      </c>
      <c r="AV286" s="31">
        <v>37.652000000000001</v>
      </c>
    </row>
    <row r="287" spans="1:48" ht="14.25" customHeight="1" x14ac:dyDescent="0.35">
      <c r="H287" s="15"/>
      <c r="K287" s="15"/>
      <c r="N287" s="15"/>
      <c r="Q287" s="13"/>
      <c r="R287" s="18"/>
      <c r="S287" s="16"/>
      <c r="T287" s="18"/>
      <c r="U287" s="16"/>
      <c r="V287" s="18"/>
      <c r="W287" s="16"/>
      <c r="X287" s="15"/>
      <c r="AF287" s="19"/>
      <c r="AJ287" s="35"/>
      <c r="AK287" s="36"/>
      <c r="AN287" s="25"/>
      <c r="AO287" s="26"/>
      <c r="AP287" s="27"/>
      <c r="AQ287" s="25"/>
      <c r="AR287" s="26"/>
      <c r="AS287" s="26"/>
      <c r="AT287" s="25"/>
      <c r="AU287" s="30"/>
      <c r="AV287" s="31"/>
    </row>
    <row r="288" spans="1:48" ht="14.25" customHeight="1" x14ac:dyDescent="0.35">
      <c r="E288" s="14"/>
      <c r="G288" s="37">
        <f>SUM(G2:G286)</f>
        <v>6864766</v>
      </c>
      <c r="H288" s="15"/>
      <c r="K288" s="15"/>
      <c r="N288" s="15"/>
      <c r="Q288" s="13"/>
      <c r="R288" s="13"/>
      <c r="S288" s="13"/>
      <c r="T288" s="13"/>
      <c r="U288" s="13"/>
      <c r="X288" s="15"/>
      <c r="Z288" s="16"/>
      <c r="AE288" s="38"/>
      <c r="AF288" s="19"/>
      <c r="AJ288" s="35"/>
      <c r="AK288" s="36"/>
      <c r="AN288" s="25"/>
      <c r="AO288" s="26"/>
      <c r="AP288" s="27">
        <f>SUM(AP2:AP286)</f>
        <v>4596</v>
      </c>
      <c r="AQ288" s="29">
        <f>AP288/G288*1000</f>
        <v>0.66950570492861661</v>
      </c>
      <c r="AR288" s="26"/>
      <c r="AS288" s="26"/>
      <c r="AT288" s="25"/>
      <c r="AU288" s="30"/>
      <c r="AV288" s="31"/>
    </row>
    <row r="289" spans="8:48" ht="14.25" customHeight="1" x14ac:dyDescent="0.35">
      <c r="H289" s="15"/>
      <c r="K289" s="15"/>
      <c r="N289" s="15"/>
      <c r="O289" s="38"/>
      <c r="Q289" s="13"/>
      <c r="R289" s="13"/>
      <c r="S289" s="13"/>
      <c r="T289" s="13"/>
      <c r="U289" s="13"/>
      <c r="X289" s="15"/>
      <c r="AB289" s="39"/>
      <c r="AF289" s="19"/>
      <c r="AJ289" s="35"/>
      <c r="AK289" s="36"/>
      <c r="AN289" s="25"/>
      <c r="AO289" s="26"/>
      <c r="AP289" s="40"/>
      <c r="AQ289" s="26"/>
      <c r="AR289" s="26"/>
      <c r="AS289" s="26"/>
      <c r="AT289" s="25"/>
      <c r="AU289" s="30"/>
      <c r="AV289" s="31"/>
    </row>
    <row r="290" spans="8:48" ht="14.25" customHeight="1" x14ac:dyDescent="0.35">
      <c r="H290" s="15"/>
      <c r="K290" s="15"/>
      <c r="N290" s="15"/>
      <c r="Q290" s="13"/>
      <c r="R290" s="13"/>
      <c r="S290" s="13"/>
      <c r="T290" s="13"/>
      <c r="U290" s="13"/>
      <c r="X290" s="15"/>
      <c r="AF290" s="19"/>
      <c r="AJ290" s="35"/>
      <c r="AK290" s="36"/>
      <c r="AN290" s="25"/>
      <c r="AO290" s="26"/>
      <c r="AP290" s="40"/>
      <c r="AQ290" s="26"/>
      <c r="AR290" s="26"/>
      <c r="AS290" s="26"/>
      <c r="AT290" s="25"/>
      <c r="AU290" s="30"/>
      <c r="AV290" s="31"/>
    </row>
    <row r="291" spans="8:48" ht="14.25" customHeight="1" x14ac:dyDescent="0.35">
      <c r="H291" s="15"/>
      <c r="K291" s="15"/>
      <c r="N291" s="15"/>
      <c r="Q291" s="13"/>
      <c r="R291" s="13"/>
      <c r="S291" s="13"/>
      <c r="T291" s="13"/>
      <c r="U291" s="13"/>
      <c r="X291" s="15"/>
      <c r="AF291" s="19"/>
      <c r="AJ291" s="35"/>
      <c r="AK291" s="36"/>
      <c r="AN291" s="25"/>
      <c r="AO291" s="26"/>
      <c r="AP291" s="40"/>
      <c r="AQ291" s="26"/>
      <c r="AR291" s="26"/>
      <c r="AS291" s="26"/>
      <c r="AT291" s="25"/>
      <c r="AU291" s="30"/>
      <c r="AV291" s="31"/>
    </row>
    <row r="292" spans="8:48" ht="14.25" customHeight="1" x14ac:dyDescent="0.35">
      <c r="H292" s="15"/>
      <c r="K292" s="15"/>
      <c r="N292" s="15"/>
      <c r="Q292" s="13"/>
      <c r="R292" s="13"/>
      <c r="S292" s="13"/>
      <c r="T292" s="13"/>
      <c r="U292" s="13"/>
      <c r="X292" s="15"/>
      <c r="AF292" s="19"/>
      <c r="AJ292" s="35"/>
      <c r="AK292" s="36"/>
      <c r="AN292" s="25"/>
      <c r="AO292" s="26"/>
      <c r="AP292" s="40"/>
      <c r="AQ292" s="26"/>
      <c r="AR292" s="26"/>
      <c r="AS292" s="26"/>
      <c r="AT292" s="25"/>
      <c r="AU292" s="30"/>
      <c r="AV292" s="31"/>
    </row>
    <row r="293" spans="8:48" ht="14.25" customHeight="1" x14ac:dyDescent="0.35">
      <c r="H293" s="15"/>
      <c r="K293" s="15"/>
      <c r="N293" s="15"/>
      <c r="Q293" s="13"/>
      <c r="R293" s="13"/>
      <c r="S293" s="13"/>
      <c r="T293" s="13"/>
      <c r="U293" s="13"/>
      <c r="X293" s="15"/>
      <c r="AF293" s="19"/>
      <c r="AJ293" s="35"/>
      <c r="AK293" s="36"/>
      <c r="AN293" s="25"/>
      <c r="AO293" s="26"/>
      <c r="AP293" s="40"/>
      <c r="AQ293" s="26"/>
      <c r="AR293" s="26"/>
      <c r="AS293" s="26"/>
      <c r="AT293" s="25"/>
      <c r="AU293" s="30"/>
      <c r="AV293" s="31"/>
    </row>
    <row r="294" spans="8:48" ht="14.25" customHeight="1" x14ac:dyDescent="0.35">
      <c r="H294" s="15"/>
      <c r="K294" s="15"/>
      <c r="N294" s="15"/>
      <c r="Q294" s="13"/>
      <c r="R294" s="13"/>
      <c r="S294" s="13"/>
      <c r="T294" s="13"/>
      <c r="U294" s="13"/>
      <c r="X294" s="15"/>
      <c r="AF294" s="19"/>
      <c r="AJ294" s="35"/>
      <c r="AK294" s="36"/>
      <c r="AN294" s="25"/>
      <c r="AO294" s="26"/>
      <c r="AP294" s="40"/>
      <c r="AQ294" s="26"/>
      <c r="AR294" s="26"/>
      <c r="AS294" s="26"/>
      <c r="AT294" s="25"/>
      <c r="AU294" s="30"/>
      <c r="AV294" s="31"/>
    </row>
    <row r="295" spans="8:48" ht="14.25" customHeight="1" x14ac:dyDescent="0.35">
      <c r="H295" s="15"/>
      <c r="K295" s="15"/>
      <c r="N295" s="15"/>
      <c r="Q295" s="13"/>
      <c r="R295" s="13"/>
      <c r="S295" s="13"/>
      <c r="T295" s="13"/>
      <c r="U295" s="13"/>
      <c r="X295" s="41"/>
      <c r="AB295" s="39"/>
      <c r="AF295" s="19"/>
      <c r="AJ295" s="35"/>
      <c r="AK295" s="36"/>
      <c r="AN295" s="25"/>
      <c r="AO295" s="26"/>
      <c r="AP295" s="40"/>
      <c r="AQ295" s="26"/>
      <c r="AR295" s="26"/>
      <c r="AS295" s="26"/>
      <c r="AT295" s="25"/>
      <c r="AU295" s="30"/>
      <c r="AV295" s="31"/>
    </row>
    <row r="296" spans="8:48" ht="14.25" customHeight="1" x14ac:dyDescent="0.35">
      <c r="H296" s="15"/>
      <c r="K296" s="15"/>
      <c r="N296" s="15"/>
      <c r="Q296" s="13"/>
      <c r="R296" s="13"/>
      <c r="S296" s="13"/>
      <c r="T296" s="13"/>
      <c r="U296" s="13"/>
      <c r="X296" s="15"/>
      <c r="AF296" s="19"/>
      <c r="AJ296" s="35"/>
      <c r="AK296" s="36"/>
      <c r="AN296" s="25"/>
      <c r="AO296" s="26"/>
      <c r="AP296" s="40"/>
      <c r="AQ296" s="26"/>
      <c r="AR296" s="26"/>
      <c r="AS296" s="26"/>
      <c r="AT296" s="25"/>
      <c r="AU296" s="30"/>
      <c r="AV296" s="31"/>
    </row>
    <row r="297" spans="8:48" ht="14.25" customHeight="1" x14ac:dyDescent="0.35">
      <c r="H297" s="15"/>
      <c r="K297" s="15"/>
      <c r="N297" s="15"/>
      <c r="Q297" s="13"/>
      <c r="R297" s="13"/>
      <c r="S297" s="13"/>
      <c r="T297" s="13"/>
      <c r="U297" s="13"/>
      <c r="X297" s="15"/>
      <c r="AF297" s="19"/>
      <c r="AJ297" s="35"/>
      <c r="AK297" s="36"/>
      <c r="AN297" s="25"/>
      <c r="AO297" s="26"/>
      <c r="AP297" s="40"/>
      <c r="AQ297" s="26"/>
      <c r="AR297" s="26"/>
      <c r="AS297" s="26"/>
      <c r="AT297" s="25"/>
      <c r="AU297" s="30"/>
      <c r="AV297" s="31"/>
    </row>
    <row r="298" spans="8:48" ht="14.25" customHeight="1" x14ac:dyDescent="0.35">
      <c r="H298" s="15"/>
      <c r="K298" s="15"/>
      <c r="N298" s="15"/>
      <c r="Q298" s="13"/>
      <c r="R298" s="13"/>
      <c r="S298" s="13"/>
      <c r="T298" s="13"/>
      <c r="U298" s="13"/>
      <c r="X298" s="15"/>
      <c r="AF298" s="19"/>
      <c r="AJ298" s="35"/>
      <c r="AK298" s="36"/>
      <c r="AN298" s="25"/>
      <c r="AO298" s="26"/>
      <c r="AP298" s="40"/>
      <c r="AQ298" s="26"/>
      <c r="AR298" s="26"/>
      <c r="AS298" s="26"/>
      <c r="AT298" s="25"/>
      <c r="AU298" s="30"/>
      <c r="AV298" s="31"/>
    </row>
    <row r="299" spans="8:48" ht="14.25" customHeight="1" x14ac:dyDescent="0.35">
      <c r="H299" s="15"/>
      <c r="K299" s="15"/>
      <c r="N299" s="15"/>
      <c r="Q299" s="13"/>
      <c r="R299" s="13"/>
      <c r="S299" s="13"/>
      <c r="T299" s="13"/>
      <c r="U299" s="13"/>
      <c r="X299" s="15"/>
      <c r="AF299" s="19"/>
      <c r="AJ299" s="35"/>
      <c r="AK299" s="36"/>
      <c r="AN299" s="25"/>
      <c r="AO299" s="26"/>
      <c r="AP299" s="40"/>
      <c r="AQ299" s="26"/>
      <c r="AR299" s="26"/>
      <c r="AS299" s="26"/>
      <c r="AT299" s="25"/>
      <c r="AU299" s="30"/>
      <c r="AV299" s="31"/>
    </row>
    <row r="300" spans="8:48" ht="14.25" customHeight="1" x14ac:dyDescent="0.35">
      <c r="H300" s="15"/>
      <c r="K300" s="15"/>
      <c r="N300" s="15"/>
      <c r="Q300" s="13"/>
      <c r="R300" s="13"/>
      <c r="S300" s="13"/>
      <c r="T300" s="13"/>
      <c r="U300" s="13"/>
      <c r="X300" s="15"/>
      <c r="AF300" s="19"/>
      <c r="AJ300" s="35"/>
      <c r="AK300" s="36"/>
      <c r="AN300" s="25"/>
      <c r="AO300" s="26"/>
      <c r="AP300" s="40"/>
      <c r="AQ300" s="26"/>
      <c r="AR300" s="26"/>
      <c r="AS300" s="26"/>
      <c r="AT300" s="25"/>
      <c r="AU300" s="30"/>
      <c r="AV300" s="31"/>
    </row>
    <row r="301" spans="8:48" ht="14.25" customHeight="1" x14ac:dyDescent="0.35">
      <c r="H301" s="15"/>
      <c r="K301" s="15"/>
      <c r="N301" s="15"/>
      <c r="Q301" s="13"/>
      <c r="R301" s="13"/>
      <c r="S301" s="13"/>
      <c r="T301" s="13"/>
      <c r="U301" s="13"/>
      <c r="X301" s="15"/>
      <c r="AF301" s="19"/>
      <c r="AJ301" s="35"/>
      <c r="AK301" s="36"/>
      <c r="AN301" s="25"/>
      <c r="AO301" s="26"/>
      <c r="AP301" s="40"/>
      <c r="AQ301" s="26"/>
      <c r="AR301" s="26"/>
      <c r="AS301" s="26"/>
      <c r="AT301" s="25"/>
      <c r="AU301" s="30"/>
      <c r="AV301" s="31"/>
    </row>
    <row r="302" spans="8:48" ht="14.25" customHeight="1" x14ac:dyDescent="0.35">
      <c r="H302" s="15"/>
      <c r="K302" s="15"/>
      <c r="N302" s="15"/>
      <c r="Q302" s="13"/>
      <c r="R302" s="13"/>
      <c r="S302" s="13"/>
      <c r="T302" s="13"/>
      <c r="U302" s="13"/>
      <c r="X302" s="15"/>
      <c r="AF302" s="19"/>
      <c r="AJ302" s="35"/>
      <c r="AK302" s="36"/>
      <c r="AN302" s="25"/>
      <c r="AO302" s="26"/>
      <c r="AP302" s="40"/>
      <c r="AQ302" s="26"/>
      <c r="AR302" s="26"/>
      <c r="AS302" s="26"/>
      <c r="AT302" s="25"/>
      <c r="AU302" s="30"/>
      <c r="AV302" s="31"/>
    </row>
    <row r="303" spans="8:48" ht="14.25" customHeight="1" x14ac:dyDescent="0.35">
      <c r="H303" s="15"/>
      <c r="K303" s="15"/>
      <c r="N303" s="15"/>
      <c r="Q303" s="13"/>
      <c r="R303" s="13"/>
      <c r="S303" s="13"/>
      <c r="T303" s="13"/>
      <c r="U303" s="13"/>
      <c r="X303" s="15"/>
      <c r="AF303" s="19"/>
      <c r="AJ303" s="35"/>
      <c r="AK303" s="36"/>
      <c r="AN303" s="25"/>
      <c r="AO303" s="26"/>
      <c r="AP303" s="40"/>
      <c r="AQ303" s="26"/>
      <c r="AR303" s="26"/>
      <c r="AS303" s="26"/>
      <c r="AT303" s="25"/>
      <c r="AU303" s="30"/>
      <c r="AV303" s="31"/>
    </row>
    <row r="304" spans="8:48" ht="14.25" customHeight="1" x14ac:dyDescent="0.35">
      <c r="H304" s="15"/>
      <c r="K304" s="15"/>
      <c r="N304" s="15"/>
      <c r="Q304" s="13"/>
      <c r="R304" s="13"/>
      <c r="S304" s="13"/>
      <c r="T304" s="13"/>
      <c r="U304" s="13"/>
      <c r="X304" s="15"/>
      <c r="AF304" s="19"/>
      <c r="AJ304" s="35"/>
      <c r="AK304" s="36"/>
      <c r="AN304" s="25"/>
      <c r="AO304" s="26"/>
      <c r="AP304" s="40"/>
      <c r="AQ304" s="26"/>
      <c r="AR304" s="26"/>
      <c r="AS304" s="26"/>
      <c r="AT304" s="25"/>
      <c r="AU304" s="30"/>
      <c r="AV304" s="31"/>
    </row>
    <row r="305" spans="8:48" ht="14.25" customHeight="1" x14ac:dyDescent="0.35">
      <c r="H305" s="15"/>
      <c r="K305" s="15"/>
      <c r="N305" s="15"/>
      <c r="Q305" s="13"/>
      <c r="R305" s="13"/>
      <c r="S305" s="13"/>
      <c r="T305" s="13"/>
      <c r="U305" s="13"/>
      <c r="X305" s="15"/>
      <c r="AF305" s="19"/>
      <c r="AJ305" s="35"/>
      <c r="AK305" s="36"/>
      <c r="AN305" s="25"/>
      <c r="AO305" s="26"/>
      <c r="AP305" s="40"/>
      <c r="AQ305" s="26"/>
      <c r="AR305" s="26"/>
      <c r="AS305" s="26"/>
      <c r="AT305" s="25"/>
      <c r="AU305" s="30"/>
      <c r="AV305" s="31"/>
    </row>
    <row r="306" spans="8:48" ht="14.25" customHeight="1" x14ac:dyDescent="0.35">
      <c r="H306" s="15"/>
      <c r="K306" s="15"/>
      <c r="N306" s="15"/>
      <c r="Q306" s="13"/>
      <c r="R306" s="13"/>
      <c r="S306" s="13"/>
      <c r="T306" s="13"/>
      <c r="U306" s="13"/>
      <c r="X306" s="15"/>
      <c r="AF306" s="19"/>
      <c r="AJ306" s="35"/>
      <c r="AK306" s="36"/>
      <c r="AN306" s="25"/>
      <c r="AO306" s="26"/>
      <c r="AP306" s="40"/>
      <c r="AQ306" s="26"/>
      <c r="AR306" s="26"/>
      <c r="AS306" s="26"/>
      <c r="AT306" s="25"/>
      <c r="AU306" s="30"/>
      <c r="AV306" s="31"/>
    </row>
    <row r="307" spans="8:48" ht="14.25" customHeight="1" x14ac:dyDescent="0.35">
      <c r="H307" s="15"/>
      <c r="K307" s="15"/>
      <c r="N307" s="15"/>
      <c r="Q307" s="13"/>
      <c r="R307" s="13"/>
      <c r="S307" s="13"/>
      <c r="T307" s="13"/>
      <c r="U307" s="13"/>
      <c r="X307" s="15"/>
      <c r="AF307" s="19"/>
      <c r="AJ307" s="35"/>
      <c r="AK307" s="36"/>
      <c r="AN307" s="25"/>
      <c r="AO307" s="26"/>
      <c r="AP307" s="40"/>
      <c r="AQ307" s="26"/>
      <c r="AR307" s="26"/>
      <c r="AS307" s="26"/>
      <c r="AT307" s="25"/>
      <c r="AU307" s="30"/>
      <c r="AV307" s="31"/>
    </row>
    <row r="308" spans="8:48" ht="14.25" customHeight="1" x14ac:dyDescent="0.35">
      <c r="H308" s="15"/>
      <c r="K308" s="15"/>
      <c r="N308" s="15"/>
      <c r="Q308" s="13"/>
      <c r="R308" s="13"/>
      <c r="S308" s="13"/>
      <c r="T308" s="13"/>
      <c r="U308" s="13"/>
      <c r="X308" s="15"/>
      <c r="AF308" s="19"/>
      <c r="AJ308" s="35"/>
      <c r="AK308" s="36"/>
      <c r="AN308" s="25"/>
      <c r="AO308" s="26"/>
      <c r="AP308" s="40"/>
      <c r="AQ308" s="26"/>
      <c r="AR308" s="26"/>
      <c r="AS308" s="26"/>
      <c r="AT308" s="25"/>
      <c r="AU308" s="30"/>
      <c r="AV308" s="31"/>
    </row>
    <row r="309" spans="8:48" ht="14.25" customHeight="1" x14ac:dyDescent="0.35">
      <c r="H309" s="15"/>
      <c r="K309" s="15"/>
      <c r="N309" s="15"/>
      <c r="Q309" s="13"/>
      <c r="R309" s="13"/>
      <c r="S309" s="13"/>
      <c r="T309" s="13"/>
      <c r="U309" s="13"/>
      <c r="X309" s="15"/>
      <c r="AF309" s="19"/>
      <c r="AJ309" s="35"/>
      <c r="AK309" s="36"/>
      <c r="AN309" s="25"/>
      <c r="AO309" s="26"/>
      <c r="AP309" s="40"/>
      <c r="AQ309" s="26"/>
      <c r="AR309" s="26"/>
      <c r="AS309" s="26"/>
      <c r="AT309" s="25"/>
      <c r="AU309" s="30"/>
      <c r="AV309" s="31"/>
    </row>
    <row r="310" spans="8:48" ht="14.25" customHeight="1" x14ac:dyDescent="0.35">
      <c r="H310" s="15"/>
      <c r="K310" s="15"/>
      <c r="N310" s="15"/>
      <c r="Q310" s="13"/>
      <c r="R310" s="13"/>
      <c r="S310" s="13"/>
      <c r="T310" s="13"/>
      <c r="U310" s="13"/>
      <c r="X310" s="15"/>
      <c r="AF310" s="19"/>
      <c r="AJ310" s="35"/>
      <c r="AK310" s="36"/>
      <c r="AN310" s="25"/>
      <c r="AO310" s="26"/>
      <c r="AP310" s="40"/>
      <c r="AQ310" s="26"/>
      <c r="AR310" s="26"/>
      <c r="AS310" s="26"/>
      <c r="AT310" s="25"/>
      <c r="AU310" s="30"/>
      <c r="AV310" s="31"/>
    </row>
    <row r="311" spans="8:48" ht="14.25" customHeight="1" x14ac:dyDescent="0.35">
      <c r="H311" s="15"/>
      <c r="K311" s="15"/>
      <c r="N311" s="15"/>
      <c r="Q311" s="13"/>
      <c r="R311" s="13"/>
      <c r="S311" s="13"/>
      <c r="T311" s="13"/>
      <c r="U311" s="13"/>
      <c r="X311" s="15"/>
      <c r="AF311" s="19"/>
      <c r="AJ311" s="35"/>
      <c r="AK311" s="36"/>
      <c r="AN311" s="25"/>
      <c r="AO311" s="26"/>
      <c r="AP311" s="40"/>
      <c r="AQ311" s="26"/>
      <c r="AR311" s="26"/>
      <c r="AS311" s="26"/>
      <c r="AT311" s="25"/>
      <c r="AU311" s="30"/>
      <c r="AV311" s="31"/>
    </row>
    <row r="312" spans="8:48" ht="14.25" customHeight="1" x14ac:dyDescent="0.35">
      <c r="H312" s="15"/>
      <c r="K312" s="15"/>
      <c r="N312" s="15"/>
      <c r="Q312" s="13"/>
      <c r="R312" s="13"/>
      <c r="S312" s="13"/>
      <c r="T312" s="13"/>
      <c r="U312" s="13"/>
      <c r="X312" s="15"/>
      <c r="AF312" s="19"/>
      <c r="AJ312" s="35"/>
      <c r="AK312" s="36"/>
      <c r="AN312" s="25"/>
      <c r="AO312" s="26"/>
      <c r="AP312" s="40"/>
      <c r="AQ312" s="26"/>
      <c r="AR312" s="26"/>
      <c r="AS312" s="26"/>
      <c r="AT312" s="25"/>
      <c r="AU312" s="30"/>
      <c r="AV312" s="31"/>
    </row>
    <row r="313" spans="8:48" ht="14.25" customHeight="1" x14ac:dyDescent="0.35">
      <c r="H313" s="15"/>
      <c r="K313" s="15"/>
      <c r="N313" s="15"/>
      <c r="Q313" s="13"/>
      <c r="R313" s="13"/>
      <c r="S313" s="13"/>
      <c r="T313" s="13"/>
      <c r="U313" s="13"/>
      <c r="X313" s="15"/>
      <c r="AF313" s="19"/>
      <c r="AJ313" s="35"/>
      <c r="AK313" s="36"/>
      <c r="AN313" s="25"/>
      <c r="AO313" s="26"/>
      <c r="AP313" s="40"/>
      <c r="AQ313" s="26"/>
      <c r="AR313" s="26"/>
      <c r="AS313" s="26"/>
      <c r="AT313" s="25"/>
      <c r="AU313" s="30"/>
      <c r="AV313" s="31"/>
    </row>
    <row r="314" spans="8:48" ht="14.25" customHeight="1" x14ac:dyDescent="0.35">
      <c r="H314" s="15"/>
      <c r="K314" s="15"/>
      <c r="N314" s="15"/>
      <c r="Q314" s="13"/>
      <c r="R314" s="13"/>
      <c r="S314" s="13"/>
      <c r="T314" s="13"/>
      <c r="U314" s="13"/>
      <c r="X314" s="15"/>
      <c r="AF314" s="19"/>
      <c r="AJ314" s="35"/>
      <c r="AK314" s="36"/>
      <c r="AN314" s="25"/>
      <c r="AO314" s="26"/>
      <c r="AP314" s="40"/>
      <c r="AQ314" s="26"/>
      <c r="AR314" s="26"/>
      <c r="AS314" s="26"/>
      <c r="AT314" s="25"/>
      <c r="AU314" s="30"/>
      <c r="AV314" s="31"/>
    </row>
    <row r="315" spans="8:48" ht="14.25" customHeight="1" x14ac:dyDescent="0.35">
      <c r="H315" s="15"/>
      <c r="K315" s="15"/>
      <c r="N315" s="15"/>
      <c r="Q315" s="13"/>
      <c r="R315" s="13"/>
      <c r="S315" s="13"/>
      <c r="T315" s="13"/>
      <c r="U315" s="13"/>
      <c r="X315" s="15"/>
      <c r="AF315" s="19"/>
      <c r="AJ315" s="35"/>
      <c r="AK315" s="36"/>
      <c r="AN315" s="25"/>
      <c r="AO315" s="26"/>
      <c r="AP315" s="40"/>
      <c r="AQ315" s="26"/>
      <c r="AR315" s="26"/>
      <c r="AS315" s="26"/>
      <c r="AT315" s="25"/>
      <c r="AU315" s="30"/>
      <c r="AV315" s="31"/>
    </row>
    <row r="316" spans="8:48" ht="14.25" customHeight="1" x14ac:dyDescent="0.35">
      <c r="H316" s="15"/>
      <c r="K316" s="15"/>
      <c r="N316" s="15"/>
      <c r="Q316" s="13"/>
      <c r="R316" s="13"/>
      <c r="S316" s="13"/>
      <c r="T316" s="13"/>
      <c r="U316" s="13"/>
      <c r="X316" s="15"/>
      <c r="AF316" s="19"/>
      <c r="AJ316" s="35"/>
      <c r="AK316" s="36"/>
      <c r="AN316" s="25"/>
      <c r="AO316" s="26"/>
      <c r="AP316" s="40"/>
      <c r="AQ316" s="26"/>
      <c r="AR316" s="26"/>
      <c r="AS316" s="26"/>
      <c r="AT316" s="25"/>
      <c r="AU316" s="30"/>
      <c r="AV316" s="31"/>
    </row>
    <row r="317" spans="8:48" ht="14.25" customHeight="1" x14ac:dyDescent="0.35">
      <c r="H317" s="15"/>
      <c r="K317" s="15"/>
      <c r="N317" s="15"/>
      <c r="Q317" s="13"/>
      <c r="R317" s="13"/>
      <c r="S317" s="13"/>
      <c r="T317" s="13"/>
      <c r="U317" s="13"/>
      <c r="X317" s="15"/>
      <c r="AF317" s="19"/>
      <c r="AJ317" s="35"/>
      <c r="AK317" s="36"/>
      <c r="AN317" s="25"/>
      <c r="AO317" s="26"/>
      <c r="AP317" s="40"/>
      <c r="AQ317" s="26"/>
      <c r="AR317" s="26"/>
      <c r="AS317" s="26"/>
      <c r="AT317" s="25"/>
      <c r="AU317" s="30"/>
      <c r="AV317" s="31"/>
    </row>
    <row r="318" spans="8:48" ht="14.25" customHeight="1" x14ac:dyDescent="0.35">
      <c r="H318" s="15"/>
      <c r="K318" s="15"/>
      <c r="N318" s="15"/>
      <c r="Q318" s="13"/>
      <c r="R318" s="13"/>
      <c r="S318" s="13"/>
      <c r="T318" s="13"/>
      <c r="U318" s="13"/>
      <c r="X318" s="15"/>
      <c r="AF318" s="19"/>
      <c r="AJ318" s="35"/>
      <c r="AK318" s="36"/>
      <c r="AN318" s="25"/>
      <c r="AO318" s="26"/>
      <c r="AP318" s="40"/>
      <c r="AQ318" s="26"/>
      <c r="AR318" s="26"/>
      <c r="AS318" s="26"/>
      <c r="AT318" s="25"/>
      <c r="AU318" s="30"/>
      <c r="AV318" s="31"/>
    </row>
    <row r="319" spans="8:48" ht="14.25" customHeight="1" x14ac:dyDescent="0.35">
      <c r="H319" s="15"/>
      <c r="K319" s="15"/>
      <c r="N319" s="15"/>
      <c r="Q319" s="13"/>
      <c r="R319" s="13"/>
      <c r="S319" s="13"/>
      <c r="T319" s="13"/>
      <c r="U319" s="13"/>
      <c r="X319" s="15"/>
      <c r="AF319" s="19"/>
      <c r="AJ319" s="35"/>
      <c r="AK319" s="36"/>
      <c r="AN319" s="25"/>
      <c r="AO319" s="26"/>
      <c r="AP319" s="40"/>
      <c r="AQ319" s="26"/>
      <c r="AR319" s="26"/>
      <c r="AS319" s="26"/>
      <c r="AT319" s="25"/>
      <c r="AU319" s="30"/>
      <c r="AV319" s="31"/>
    </row>
    <row r="320" spans="8:48" ht="14.25" customHeight="1" x14ac:dyDescent="0.35">
      <c r="H320" s="15"/>
      <c r="K320" s="15"/>
      <c r="N320" s="15"/>
      <c r="Q320" s="13"/>
      <c r="R320" s="13"/>
      <c r="S320" s="13"/>
      <c r="T320" s="13"/>
      <c r="U320" s="13"/>
      <c r="X320" s="15"/>
      <c r="AF320" s="19"/>
      <c r="AJ320" s="35"/>
      <c r="AK320" s="36"/>
      <c r="AN320" s="25"/>
      <c r="AO320" s="26"/>
      <c r="AP320" s="40"/>
      <c r="AQ320" s="26"/>
      <c r="AR320" s="26"/>
      <c r="AS320" s="26"/>
      <c r="AT320" s="25"/>
      <c r="AU320" s="30"/>
      <c r="AV320" s="31"/>
    </row>
    <row r="321" spans="8:48" ht="14.25" customHeight="1" x14ac:dyDescent="0.35">
      <c r="H321" s="15"/>
      <c r="K321" s="15"/>
      <c r="N321" s="15"/>
      <c r="Q321" s="13"/>
      <c r="R321" s="13"/>
      <c r="S321" s="13"/>
      <c r="T321" s="13"/>
      <c r="U321" s="13"/>
      <c r="X321" s="15"/>
      <c r="AF321" s="19"/>
      <c r="AJ321" s="35"/>
      <c r="AK321" s="36"/>
      <c r="AN321" s="25"/>
      <c r="AO321" s="26"/>
      <c r="AP321" s="40"/>
      <c r="AQ321" s="26"/>
      <c r="AR321" s="26"/>
      <c r="AS321" s="26"/>
      <c r="AT321" s="25"/>
      <c r="AU321" s="30"/>
      <c r="AV321" s="31"/>
    </row>
    <row r="322" spans="8:48" ht="14.25" customHeight="1" x14ac:dyDescent="0.35">
      <c r="H322" s="15"/>
      <c r="K322" s="15"/>
      <c r="N322" s="15"/>
      <c r="Q322" s="13"/>
      <c r="R322" s="13"/>
      <c r="S322" s="13"/>
      <c r="T322" s="13"/>
      <c r="U322" s="13"/>
      <c r="X322" s="15"/>
      <c r="AF322" s="19"/>
      <c r="AJ322" s="35"/>
      <c r="AK322" s="36"/>
      <c r="AN322" s="25"/>
      <c r="AO322" s="26"/>
      <c r="AP322" s="40"/>
      <c r="AQ322" s="26"/>
      <c r="AR322" s="26"/>
      <c r="AS322" s="26"/>
      <c r="AT322" s="25"/>
      <c r="AU322" s="30"/>
      <c r="AV322" s="31"/>
    </row>
    <row r="323" spans="8:48" ht="14.25" customHeight="1" x14ac:dyDescent="0.35">
      <c r="H323" s="15"/>
      <c r="K323" s="15"/>
      <c r="N323" s="15"/>
      <c r="Q323" s="13"/>
      <c r="R323" s="13"/>
      <c r="S323" s="13"/>
      <c r="T323" s="13"/>
      <c r="U323" s="13"/>
      <c r="X323" s="15"/>
      <c r="AF323" s="19"/>
      <c r="AJ323" s="35"/>
      <c r="AK323" s="36"/>
      <c r="AN323" s="25"/>
      <c r="AO323" s="26"/>
      <c r="AP323" s="40"/>
      <c r="AQ323" s="26"/>
      <c r="AR323" s="26"/>
      <c r="AS323" s="26"/>
      <c r="AT323" s="25"/>
      <c r="AU323" s="30"/>
      <c r="AV323" s="31"/>
    </row>
    <row r="324" spans="8:48" ht="14.25" customHeight="1" x14ac:dyDescent="0.35">
      <c r="H324" s="15"/>
      <c r="K324" s="15"/>
      <c r="N324" s="15"/>
      <c r="Q324" s="13"/>
      <c r="R324" s="13"/>
      <c r="S324" s="13"/>
      <c r="T324" s="13"/>
      <c r="U324" s="13"/>
      <c r="X324" s="15"/>
      <c r="AF324" s="19"/>
      <c r="AJ324" s="35"/>
      <c r="AK324" s="36"/>
      <c r="AN324" s="25"/>
      <c r="AO324" s="26"/>
      <c r="AP324" s="40"/>
      <c r="AQ324" s="26"/>
      <c r="AR324" s="26"/>
      <c r="AS324" s="26"/>
      <c r="AT324" s="25"/>
      <c r="AU324" s="30"/>
      <c r="AV324" s="31"/>
    </row>
    <row r="325" spans="8:48" ht="14.25" customHeight="1" x14ac:dyDescent="0.35">
      <c r="H325" s="15"/>
      <c r="K325" s="15"/>
      <c r="N325" s="15"/>
      <c r="Q325" s="13"/>
      <c r="R325" s="13"/>
      <c r="S325" s="13"/>
      <c r="T325" s="13"/>
      <c r="U325" s="13"/>
      <c r="X325" s="15"/>
      <c r="AF325" s="19"/>
      <c r="AJ325" s="35"/>
      <c r="AK325" s="36"/>
      <c r="AN325" s="25"/>
      <c r="AO325" s="26"/>
      <c r="AP325" s="40"/>
      <c r="AQ325" s="26"/>
      <c r="AR325" s="26"/>
      <c r="AS325" s="26"/>
      <c r="AT325" s="25"/>
      <c r="AU325" s="30"/>
      <c r="AV325" s="31"/>
    </row>
    <row r="326" spans="8:48" ht="14.25" customHeight="1" x14ac:dyDescent="0.35">
      <c r="H326" s="15"/>
      <c r="K326" s="15"/>
      <c r="N326" s="15"/>
      <c r="Q326" s="13"/>
      <c r="R326" s="13"/>
      <c r="S326" s="13"/>
      <c r="T326" s="13"/>
      <c r="U326" s="13"/>
      <c r="X326" s="15"/>
      <c r="AF326" s="19"/>
      <c r="AJ326" s="35"/>
      <c r="AK326" s="36"/>
      <c r="AN326" s="25"/>
      <c r="AO326" s="26"/>
      <c r="AP326" s="40"/>
      <c r="AQ326" s="26"/>
      <c r="AR326" s="26"/>
      <c r="AS326" s="26"/>
      <c r="AT326" s="25"/>
      <c r="AU326" s="30"/>
      <c r="AV326" s="31"/>
    </row>
    <row r="327" spans="8:48" ht="14.25" customHeight="1" x14ac:dyDescent="0.35">
      <c r="H327" s="15"/>
      <c r="K327" s="15"/>
      <c r="N327" s="15"/>
      <c r="Q327" s="13"/>
      <c r="R327" s="13"/>
      <c r="S327" s="13"/>
      <c r="T327" s="13"/>
      <c r="U327" s="13"/>
      <c r="X327" s="15"/>
      <c r="AF327" s="19"/>
      <c r="AJ327" s="35"/>
      <c r="AK327" s="36"/>
      <c r="AN327" s="25"/>
      <c r="AO327" s="26"/>
      <c r="AP327" s="40"/>
      <c r="AQ327" s="26"/>
      <c r="AR327" s="26"/>
      <c r="AS327" s="26"/>
      <c r="AT327" s="25"/>
      <c r="AU327" s="30"/>
      <c r="AV327" s="31"/>
    </row>
    <row r="328" spans="8:48" ht="14.25" customHeight="1" x14ac:dyDescent="0.35">
      <c r="H328" s="15"/>
      <c r="K328" s="15"/>
      <c r="N328" s="15"/>
      <c r="Q328" s="13"/>
      <c r="R328" s="13"/>
      <c r="S328" s="13"/>
      <c r="T328" s="13"/>
      <c r="U328" s="13"/>
      <c r="X328" s="15"/>
      <c r="AF328" s="19"/>
      <c r="AJ328" s="35"/>
      <c r="AK328" s="36"/>
      <c r="AN328" s="25"/>
      <c r="AO328" s="26"/>
      <c r="AP328" s="40"/>
      <c r="AQ328" s="26"/>
      <c r="AR328" s="26"/>
      <c r="AS328" s="26"/>
      <c r="AT328" s="25"/>
      <c r="AU328" s="30"/>
      <c r="AV328" s="31"/>
    </row>
    <row r="329" spans="8:48" ht="14.25" customHeight="1" x14ac:dyDescent="0.35">
      <c r="H329" s="15"/>
      <c r="K329" s="15"/>
      <c r="N329" s="15"/>
      <c r="Q329" s="13"/>
      <c r="R329" s="13"/>
      <c r="S329" s="13"/>
      <c r="T329" s="13"/>
      <c r="U329" s="13"/>
      <c r="X329" s="15"/>
      <c r="AF329" s="19"/>
      <c r="AJ329" s="35"/>
      <c r="AK329" s="36"/>
      <c r="AN329" s="25"/>
      <c r="AO329" s="26"/>
      <c r="AP329" s="40"/>
      <c r="AQ329" s="26"/>
      <c r="AR329" s="26"/>
      <c r="AS329" s="26"/>
      <c r="AT329" s="25"/>
      <c r="AU329" s="30"/>
      <c r="AV329" s="31"/>
    </row>
    <row r="330" spans="8:48" ht="14.25" customHeight="1" x14ac:dyDescent="0.35">
      <c r="H330" s="15"/>
      <c r="K330" s="15"/>
      <c r="N330" s="15"/>
      <c r="Q330" s="13"/>
      <c r="R330" s="13"/>
      <c r="S330" s="13"/>
      <c r="T330" s="13"/>
      <c r="U330" s="13"/>
      <c r="X330" s="15"/>
      <c r="AF330" s="19"/>
      <c r="AJ330" s="35"/>
      <c r="AK330" s="36"/>
      <c r="AN330" s="25"/>
      <c r="AO330" s="26"/>
      <c r="AP330" s="40"/>
      <c r="AQ330" s="26"/>
      <c r="AR330" s="26"/>
      <c r="AS330" s="26"/>
      <c r="AT330" s="25"/>
      <c r="AU330" s="30"/>
      <c r="AV330" s="31"/>
    </row>
    <row r="331" spans="8:48" ht="14.25" customHeight="1" x14ac:dyDescent="0.35">
      <c r="H331" s="15"/>
      <c r="K331" s="15"/>
      <c r="N331" s="15"/>
      <c r="Q331" s="13"/>
      <c r="R331" s="13"/>
      <c r="S331" s="13"/>
      <c r="T331" s="13"/>
      <c r="U331" s="13"/>
      <c r="X331" s="15"/>
      <c r="AF331" s="19"/>
      <c r="AJ331" s="35"/>
      <c r="AK331" s="36"/>
      <c r="AN331" s="25"/>
      <c r="AO331" s="26"/>
      <c r="AP331" s="40"/>
      <c r="AQ331" s="26"/>
      <c r="AR331" s="26"/>
      <c r="AS331" s="26"/>
      <c r="AT331" s="25"/>
      <c r="AU331" s="30"/>
      <c r="AV331" s="31"/>
    </row>
    <row r="332" spans="8:48" ht="14.25" customHeight="1" x14ac:dyDescent="0.35">
      <c r="H332" s="15"/>
      <c r="K332" s="15"/>
      <c r="N332" s="15"/>
      <c r="Q332" s="13"/>
      <c r="R332" s="13"/>
      <c r="S332" s="13"/>
      <c r="T332" s="13"/>
      <c r="U332" s="13"/>
      <c r="X332" s="15"/>
      <c r="AF332" s="19"/>
      <c r="AJ332" s="35"/>
      <c r="AK332" s="36"/>
      <c r="AN332" s="25"/>
      <c r="AO332" s="26"/>
      <c r="AP332" s="40"/>
      <c r="AQ332" s="26"/>
      <c r="AR332" s="26"/>
      <c r="AS332" s="26"/>
      <c r="AT332" s="25"/>
      <c r="AU332" s="30"/>
      <c r="AV332" s="31"/>
    </row>
    <row r="333" spans="8:48" ht="14.25" customHeight="1" x14ac:dyDescent="0.35">
      <c r="H333" s="15"/>
      <c r="K333" s="15"/>
      <c r="N333" s="15"/>
      <c r="Q333" s="13"/>
      <c r="R333" s="13"/>
      <c r="S333" s="13"/>
      <c r="T333" s="13"/>
      <c r="U333" s="13"/>
      <c r="X333" s="15"/>
      <c r="AF333" s="19"/>
      <c r="AJ333" s="35"/>
      <c r="AK333" s="36"/>
      <c r="AN333" s="25"/>
      <c r="AO333" s="26"/>
      <c r="AP333" s="40"/>
      <c r="AQ333" s="26"/>
      <c r="AR333" s="26"/>
      <c r="AS333" s="26"/>
      <c r="AT333" s="25"/>
      <c r="AU333" s="30"/>
      <c r="AV333" s="31"/>
    </row>
    <row r="334" spans="8:48" ht="14.25" customHeight="1" x14ac:dyDescent="0.35">
      <c r="H334" s="15"/>
      <c r="K334" s="15"/>
      <c r="N334" s="15"/>
      <c r="Q334" s="13"/>
      <c r="R334" s="13"/>
      <c r="S334" s="13"/>
      <c r="T334" s="13"/>
      <c r="U334" s="13"/>
      <c r="X334" s="15"/>
      <c r="AF334" s="19"/>
      <c r="AJ334" s="35"/>
      <c r="AK334" s="36"/>
      <c r="AN334" s="25"/>
      <c r="AO334" s="26"/>
      <c r="AP334" s="40"/>
      <c r="AQ334" s="26"/>
      <c r="AR334" s="26"/>
      <c r="AS334" s="26"/>
      <c r="AT334" s="25"/>
      <c r="AU334" s="30"/>
      <c r="AV334" s="31"/>
    </row>
    <row r="335" spans="8:48" ht="14.25" customHeight="1" x14ac:dyDescent="0.35">
      <c r="H335" s="15"/>
      <c r="K335" s="15"/>
      <c r="N335" s="15"/>
      <c r="Q335" s="13"/>
      <c r="R335" s="13"/>
      <c r="S335" s="13"/>
      <c r="T335" s="13"/>
      <c r="U335" s="13"/>
      <c r="X335" s="15"/>
      <c r="AF335" s="19"/>
      <c r="AJ335" s="35"/>
      <c r="AK335" s="36"/>
      <c r="AN335" s="25"/>
      <c r="AO335" s="26"/>
      <c r="AP335" s="40"/>
      <c r="AQ335" s="26"/>
      <c r="AR335" s="26"/>
      <c r="AS335" s="26"/>
      <c r="AT335" s="25"/>
      <c r="AU335" s="30"/>
      <c r="AV335" s="31"/>
    </row>
    <row r="336" spans="8:48" ht="14.25" customHeight="1" x14ac:dyDescent="0.35">
      <c r="H336" s="15"/>
      <c r="K336" s="15"/>
      <c r="N336" s="15"/>
      <c r="Q336" s="13"/>
      <c r="R336" s="13"/>
      <c r="S336" s="13"/>
      <c r="T336" s="13"/>
      <c r="U336" s="13"/>
      <c r="X336" s="15"/>
      <c r="AF336" s="19"/>
      <c r="AJ336" s="35"/>
      <c r="AK336" s="36"/>
      <c r="AN336" s="25"/>
      <c r="AO336" s="26"/>
      <c r="AP336" s="40"/>
      <c r="AQ336" s="26"/>
      <c r="AR336" s="26"/>
      <c r="AS336" s="26"/>
      <c r="AT336" s="25"/>
      <c r="AU336" s="30"/>
      <c r="AV336" s="31"/>
    </row>
    <row r="337" spans="8:48" ht="14.25" customHeight="1" x14ac:dyDescent="0.35">
      <c r="H337" s="15"/>
      <c r="K337" s="15"/>
      <c r="N337" s="15"/>
      <c r="Q337" s="13"/>
      <c r="R337" s="13"/>
      <c r="S337" s="13"/>
      <c r="T337" s="13"/>
      <c r="U337" s="13"/>
      <c r="X337" s="15"/>
      <c r="AF337" s="19"/>
      <c r="AJ337" s="35"/>
      <c r="AK337" s="36"/>
      <c r="AN337" s="25"/>
      <c r="AO337" s="26"/>
      <c r="AP337" s="40"/>
      <c r="AQ337" s="26"/>
      <c r="AR337" s="26"/>
      <c r="AS337" s="26"/>
      <c r="AT337" s="25"/>
      <c r="AU337" s="30"/>
      <c r="AV337" s="31"/>
    </row>
    <row r="338" spans="8:48" ht="14.25" customHeight="1" x14ac:dyDescent="0.35">
      <c r="H338" s="15"/>
      <c r="K338" s="15"/>
      <c r="N338" s="15"/>
      <c r="Q338" s="13"/>
      <c r="R338" s="13"/>
      <c r="S338" s="13"/>
      <c r="T338" s="13"/>
      <c r="U338" s="13"/>
      <c r="X338" s="15"/>
      <c r="AF338" s="19"/>
      <c r="AJ338" s="35"/>
      <c r="AK338" s="36"/>
      <c r="AN338" s="25"/>
      <c r="AO338" s="26"/>
      <c r="AP338" s="40"/>
      <c r="AQ338" s="26"/>
      <c r="AR338" s="26"/>
      <c r="AS338" s="26"/>
      <c r="AT338" s="25"/>
      <c r="AU338" s="30"/>
      <c r="AV338" s="31"/>
    </row>
    <row r="339" spans="8:48" ht="14.25" customHeight="1" x14ac:dyDescent="0.35">
      <c r="H339" s="15"/>
      <c r="K339" s="15"/>
      <c r="N339" s="15"/>
      <c r="Q339" s="13"/>
      <c r="R339" s="13"/>
      <c r="S339" s="13"/>
      <c r="T339" s="13"/>
      <c r="U339" s="13"/>
      <c r="X339" s="15"/>
      <c r="AF339" s="19"/>
      <c r="AJ339" s="35"/>
      <c r="AK339" s="36"/>
      <c r="AN339" s="25"/>
      <c r="AO339" s="26"/>
      <c r="AP339" s="40"/>
      <c r="AQ339" s="26"/>
      <c r="AR339" s="26"/>
      <c r="AS339" s="26"/>
      <c r="AT339" s="25"/>
      <c r="AU339" s="30"/>
      <c r="AV339" s="31"/>
    </row>
    <row r="340" spans="8:48" ht="14.25" customHeight="1" x14ac:dyDescent="0.35">
      <c r="H340" s="15"/>
      <c r="K340" s="15"/>
      <c r="N340" s="15"/>
      <c r="Q340" s="13"/>
      <c r="R340" s="13"/>
      <c r="S340" s="13"/>
      <c r="T340" s="13"/>
      <c r="U340" s="13"/>
      <c r="X340" s="15"/>
      <c r="AF340" s="19"/>
      <c r="AJ340" s="35"/>
      <c r="AK340" s="36"/>
      <c r="AN340" s="25"/>
      <c r="AO340" s="26"/>
      <c r="AP340" s="40"/>
      <c r="AQ340" s="26"/>
      <c r="AR340" s="26"/>
      <c r="AS340" s="26"/>
      <c r="AT340" s="25"/>
      <c r="AU340" s="30"/>
      <c r="AV340" s="31"/>
    </row>
    <row r="341" spans="8:48" ht="14.25" customHeight="1" x14ac:dyDescent="0.35">
      <c r="H341" s="15"/>
      <c r="K341" s="15"/>
      <c r="N341" s="15"/>
      <c r="Q341" s="13"/>
      <c r="R341" s="13"/>
      <c r="S341" s="13"/>
      <c r="T341" s="13"/>
      <c r="U341" s="13"/>
      <c r="X341" s="15"/>
      <c r="AF341" s="19"/>
      <c r="AJ341" s="35"/>
      <c r="AK341" s="36"/>
      <c r="AN341" s="25"/>
      <c r="AO341" s="26"/>
      <c r="AP341" s="40"/>
      <c r="AQ341" s="26"/>
      <c r="AR341" s="26"/>
      <c r="AS341" s="26"/>
      <c r="AT341" s="25"/>
      <c r="AU341" s="30"/>
      <c r="AV341" s="31"/>
    </row>
    <row r="342" spans="8:48" ht="14.25" customHeight="1" x14ac:dyDescent="0.35">
      <c r="H342" s="15"/>
      <c r="K342" s="15"/>
      <c r="N342" s="15"/>
      <c r="Q342" s="13"/>
      <c r="R342" s="13"/>
      <c r="S342" s="13"/>
      <c r="T342" s="13"/>
      <c r="U342" s="13"/>
      <c r="X342" s="15"/>
      <c r="AF342" s="19"/>
      <c r="AJ342" s="35"/>
      <c r="AK342" s="36"/>
      <c r="AN342" s="25"/>
      <c r="AO342" s="26"/>
      <c r="AP342" s="40"/>
      <c r="AQ342" s="26"/>
      <c r="AR342" s="26"/>
      <c r="AS342" s="26"/>
      <c r="AT342" s="25"/>
      <c r="AU342" s="30"/>
      <c r="AV342" s="31"/>
    </row>
    <row r="343" spans="8:48" ht="14.25" customHeight="1" x14ac:dyDescent="0.35">
      <c r="H343" s="15"/>
      <c r="K343" s="15"/>
      <c r="N343" s="15"/>
      <c r="Q343" s="13"/>
      <c r="R343" s="13"/>
      <c r="S343" s="13"/>
      <c r="T343" s="13"/>
      <c r="U343" s="13"/>
      <c r="X343" s="15"/>
      <c r="AF343" s="19"/>
      <c r="AJ343" s="35"/>
      <c r="AK343" s="36"/>
      <c r="AN343" s="25"/>
      <c r="AO343" s="26"/>
      <c r="AP343" s="40"/>
      <c r="AQ343" s="26"/>
      <c r="AR343" s="26"/>
      <c r="AS343" s="26"/>
      <c r="AT343" s="25"/>
      <c r="AU343" s="30"/>
      <c r="AV343" s="31"/>
    </row>
    <row r="344" spans="8:48" ht="14.25" customHeight="1" x14ac:dyDescent="0.35">
      <c r="H344" s="15"/>
      <c r="K344" s="15"/>
      <c r="N344" s="15"/>
      <c r="Q344" s="13"/>
      <c r="R344" s="13"/>
      <c r="S344" s="13"/>
      <c r="T344" s="13"/>
      <c r="U344" s="13"/>
      <c r="X344" s="15"/>
      <c r="AF344" s="19"/>
      <c r="AJ344" s="35"/>
      <c r="AK344" s="36"/>
      <c r="AN344" s="25"/>
      <c r="AO344" s="26"/>
      <c r="AP344" s="40"/>
      <c r="AQ344" s="26"/>
      <c r="AR344" s="26"/>
      <c r="AS344" s="26"/>
      <c r="AT344" s="25"/>
      <c r="AU344" s="30"/>
      <c r="AV344" s="31"/>
    </row>
    <row r="345" spans="8:48" ht="14.25" customHeight="1" x14ac:dyDescent="0.35">
      <c r="H345" s="15"/>
      <c r="K345" s="15"/>
      <c r="N345" s="15"/>
      <c r="Q345" s="13"/>
      <c r="R345" s="13"/>
      <c r="S345" s="13"/>
      <c r="T345" s="13"/>
      <c r="U345" s="13"/>
      <c r="X345" s="15"/>
      <c r="AF345" s="19"/>
      <c r="AJ345" s="35"/>
      <c r="AK345" s="36"/>
      <c r="AN345" s="25"/>
      <c r="AO345" s="26"/>
      <c r="AP345" s="40"/>
      <c r="AQ345" s="26"/>
      <c r="AR345" s="26"/>
      <c r="AS345" s="26"/>
      <c r="AT345" s="25"/>
      <c r="AU345" s="30"/>
      <c r="AV345" s="31"/>
    </row>
    <row r="346" spans="8:48" ht="14.25" customHeight="1" x14ac:dyDescent="0.35">
      <c r="H346" s="15"/>
      <c r="K346" s="15"/>
      <c r="N346" s="15"/>
      <c r="Q346" s="13"/>
      <c r="R346" s="13"/>
      <c r="S346" s="13"/>
      <c r="T346" s="13"/>
      <c r="U346" s="13"/>
      <c r="X346" s="15"/>
      <c r="AF346" s="19"/>
      <c r="AJ346" s="35"/>
      <c r="AK346" s="36"/>
      <c r="AN346" s="25"/>
      <c r="AO346" s="26"/>
      <c r="AP346" s="40"/>
      <c r="AQ346" s="26"/>
      <c r="AR346" s="26"/>
      <c r="AS346" s="26"/>
      <c r="AT346" s="25"/>
      <c r="AU346" s="30"/>
      <c r="AV346" s="31"/>
    </row>
    <row r="347" spans="8:48" ht="14.25" customHeight="1" x14ac:dyDescent="0.35">
      <c r="H347" s="15"/>
      <c r="K347" s="15"/>
      <c r="N347" s="15"/>
      <c r="Q347" s="13"/>
      <c r="R347" s="13"/>
      <c r="S347" s="13"/>
      <c r="T347" s="13"/>
      <c r="U347" s="13"/>
      <c r="X347" s="15"/>
      <c r="AF347" s="19"/>
      <c r="AJ347" s="35"/>
      <c r="AK347" s="36"/>
      <c r="AN347" s="25"/>
      <c r="AO347" s="26"/>
      <c r="AP347" s="40"/>
      <c r="AQ347" s="26"/>
      <c r="AR347" s="26"/>
      <c r="AS347" s="26"/>
      <c r="AT347" s="25"/>
      <c r="AU347" s="30"/>
      <c r="AV347" s="31"/>
    </row>
    <row r="348" spans="8:48" ht="14.25" customHeight="1" x14ac:dyDescent="0.35">
      <c r="H348" s="15"/>
      <c r="K348" s="15"/>
      <c r="N348" s="15"/>
      <c r="Q348" s="13"/>
      <c r="R348" s="13"/>
      <c r="S348" s="13"/>
      <c r="T348" s="13"/>
      <c r="U348" s="13"/>
      <c r="X348" s="15"/>
      <c r="AF348" s="19"/>
      <c r="AJ348" s="35"/>
      <c r="AK348" s="36"/>
      <c r="AN348" s="25"/>
      <c r="AO348" s="26"/>
      <c r="AP348" s="40"/>
      <c r="AQ348" s="26"/>
      <c r="AR348" s="26"/>
      <c r="AS348" s="26"/>
      <c r="AT348" s="25"/>
      <c r="AU348" s="30"/>
      <c r="AV348" s="31"/>
    </row>
    <row r="349" spans="8:48" ht="14.25" customHeight="1" x14ac:dyDescent="0.35">
      <c r="H349" s="15"/>
      <c r="K349" s="15"/>
      <c r="N349" s="15"/>
      <c r="Q349" s="13"/>
      <c r="R349" s="13"/>
      <c r="S349" s="13"/>
      <c r="T349" s="13"/>
      <c r="U349" s="13"/>
      <c r="X349" s="15"/>
      <c r="AF349" s="19"/>
      <c r="AJ349" s="35"/>
      <c r="AK349" s="36"/>
      <c r="AN349" s="25"/>
      <c r="AO349" s="26"/>
      <c r="AP349" s="40"/>
      <c r="AQ349" s="26"/>
      <c r="AR349" s="26"/>
      <c r="AS349" s="26"/>
      <c r="AT349" s="25"/>
      <c r="AU349" s="30"/>
      <c r="AV349" s="31"/>
    </row>
    <row r="350" spans="8:48" ht="14.25" customHeight="1" x14ac:dyDescent="0.35">
      <c r="H350" s="15"/>
      <c r="K350" s="15"/>
      <c r="N350" s="15"/>
      <c r="Q350" s="13"/>
      <c r="R350" s="13"/>
      <c r="S350" s="13"/>
      <c r="T350" s="13"/>
      <c r="U350" s="13"/>
      <c r="X350" s="15"/>
      <c r="AF350" s="19"/>
      <c r="AJ350" s="35"/>
      <c r="AK350" s="36"/>
      <c r="AN350" s="25"/>
      <c r="AO350" s="26"/>
      <c r="AP350" s="40"/>
      <c r="AQ350" s="26"/>
      <c r="AR350" s="26"/>
      <c r="AS350" s="26"/>
      <c r="AT350" s="25"/>
      <c r="AU350" s="30"/>
      <c r="AV350" s="31"/>
    </row>
    <row r="351" spans="8:48" ht="14.25" customHeight="1" x14ac:dyDescent="0.35">
      <c r="H351" s="15"/>
      <c r="K351" s="15"/>
      <c r="N351" s="15"/>
      <c r="Q351" s="13"/>
      <c r="R351" s="13"/>
      <c r="S351" s="13"/>
      <c r="T351" s="13"/>
      <c r="U351" s="13"/>
      <c r="X351" s="15"/>
      <c r="AF351" s="19"/>
      <c r="AJ351" s="35"/>
      <c r="AK351" s="36"/>
      <c r="AN351" s="25"/>
      <c r="AO351" s="26"/>
      <c r="AP351" s="40"/>
      <c r="AQ351" s="26"/>
      <c r="AR351" s="26"/>
      <c r="AS351" s="26"/>
      <c r="AT351" s="25"/>
      <c r="AU351" s="30"/>
      <c r="AV351" s="31"/>
    </row>
    <row r="352" spans="8:48" ht="14.25" customHeight="1" x14ac:dyDescent="0.35">
      <c r="H352" s="15"/>
      <c r="K352" s="15"/>
      <c r="N352" s="15"/>
      <c r="Q352" s="13"/>
      <c r="R352" s="13"/>
      <c r="S352" s="13"/>
      <c r="T352" s="13"/>
      <c r="U352" s="13"/>
      <c r="X352" s="15"/>
      <c r="AF352" s="19"/>
      <c r="AJ352" s="35"/>
      <c r="AK352" s="36"/>
      <c r="AN352" s="25"/>
      <c r="AO352" s="26"/>
      <c r="AP352" s="40"/>
      <c r="AQ352" s="26"/>
      <c r="AR352" s="26"/>
      <c r="AS352" s="26"/>
      <c r="AT352" s="25"/>
      <c r="AU352" s="30"/>
      <c r="AV352" s="31"/>
    </row>
    <row r="353" spans="8:48" ht="14.25" customHeight="1" x14ac:dyDescent="0.35">
      <c r="H353" s="15"/>
      <c r="K353" s="15"/>
      <c r="N353" s="15"/>
      <c r="Q353" s="13"/>
      <c r="R353" s="13"/>
      <c r="S353" s="13"/>
      <c r="T353" s="13"/>
      <c r="U353" s="13"/>
      <c r="X353" s="15"/>
      <c r="AF353" s="19"/>
      <c r="AJ353" s="35"/>
      <c r="AK353" s="36"/>
      <c r="AN353" s="25"/>
      <c r="AO353" s="26"/>
      <c r="AP353" s="40"/>
      <c r="AQ353" s="26"/>
      <c r="AR353" s="26"/>
      <c r="AS353" s="26"/>
      <c r="AT353" s="25"/>
      <c r="AU353" s="30"/>
      <c r="AV353" s="31"/>
    </row>
    <row r="354" spans="8:48" ht="14.25" customHeight="1" x14ac:dyDescent="0.35">
      <c r="H354" s="15"/>
      <c r="K354" s="15"/>
      <c r="N354" s="15"/>
      <c r="Q354" s="13"/>
      <c r="R354" s="13"/>
      <c r="S354" s="13"/>
      <c r="T354" s="13"/>
      <c r="U354" s="13"/>
      <c r="X354" s="15"/>
      <c r="AF354" s="19"/>
      <c r="AJ354" s="35"/>
      <c r="AK354" s="36"/>
      <c r="AN354" s="25"/>
      <c r="AO354" s="26"/>
      <c r="AP354" s="40"/>
      <c r="AQ354" s="26"/>
      <c r="AR354" s="26"/>
      <c r="AS354" s="26"/>
      <c r="AT354" s="25"/>
      <c r="AU354" s="30"/>
      <c r="AV354" s="31"/>
    </row>
    <row r="355" spans="8:48" ht="14.25" customHeight="1" x14ac:dyDescent="0.35">
      <c r="H355" s="15"/>
      <c r="K355" s="15"/>
      <c r="N355" s="15"/>
      <c r="Q355" s="13"/>
      <c r="R355" s="13"/>
      <c r="S355" s="13"/>
      <c r="T355" s="13"/>
      <c r="U355" s="13"/>
      <c r="X355" s="15"/>
      <c r="AF355" s="19"/>
      <c r="AJ355" s="35"/>
      <c r="AK355" s="36"/>
      <c r="AN355" s="25"/>
      <c r="AO355" s="26"/>
      <c r="AP355" s="40"/>
      <c r="AQ355" s="26"/>
      <c r="AR355" s="26"/>
      <c r="AS355" s="26"/>
      <c r="AT355" s="25"/>
      <c r="AU355" s="30"/>
      <c r="AV355" s="31"/>
    </row>
    <row r="356" spans="8:48" ht="14.25" customHeight="1" x14ac:dyDescent="0.35">
      <c r="H356" s="15"/>
      <c r="K356" s="15"/>
      <c r="N356" s="15"/>
      <c r="Q356" s="13"/>
      <c r="R356" s="13"/>
      <c r="S356" s="13"/>
      <c r="T356" s="13"/>
      <c r="U356" s="13"/>
      <c r="X356" s="15"/>
      <c r="AF356" s="19"/>
      <c r="AJ356" s="35"/>
      <c r="AK356" s="36"/>
      <c r="AN356" s="25"/>
      <c r="AO356" s="26"/>
      <c r="AP356" s="40"/>
      <c r="AQ356" s="26"/>
      <c r="AR356" s="26"/>
      <c r="AS356" s="26"/>
      <c r="AT356" s="25"/>
      <c r="AU356" s="30"/>
      <c r="AV356" s="31"/>
    </row>
    <row r="357" spans="8:48" ht="14.25" customHeight="1" x14ac:dyDescent="0.35">
      <c r="H357" s="15"/>
      <c r="K357" s="15"/>
      <c r="N357" s="15"/>
      <c r="Q357" s="13"/>
      <c r="R357" s="13"/>
      <c r="S357" s="13"/>
      <c r="T357" s="13"/>
      <c r="U357" s="13"/>
      <c r="X357" s="15"/>
      <c r="AF357" s="19"/>
      <c r="AJ357" s="35"/>
      <c r="AK357" s="36"/>
      <c r="AN357" s="25"/>
      <c r="AO357" s="26"/>
      <c r="AP357" s="40"/>
      <c r="AQ357" s="26"/>
      <c r="AR357" s="26"/>
      <c r="AS357" s="26"/>
      <c r="AT357" s="25"/>
      <c r="AU357" s="30"/>
      <c r="AV357" s="31"/>
    </row>
    <row r="358" spans="8:48" ht="14.25" customHeight="1" x14ac:dyDescent="0.35">
      <c r="H358" s="15"/>
      <c r="K358" s="15"/>
      <c r="N358" s="15"/>
      <c r="Q358" s="13"/>
      <c r="R358" s="13"/>
      <c r="S358" s="13"/>
      <c r="T358" s="13"/>
      <c r="U358" s="13"/>
      <c r="X358" s="15"/>
      <c r="AF358" s="19"/>
      <c r="AJ358" s="35"/>
      <c r="AK358" s="36"/>
      <c r="AN358" s="25"/>
      <c r="AO358" s="26"/>
      <c r="AP358" s="40"/>
      <c r="AQ358" s="26"/>
      <c r="AR358" s="26"/>
      <c r="AS358" s="26"/>
      <c r="AT358" s="25"/>
      <c r="AU358" s="30"/>
      <c r="AV358" s="31"/>
    </row>
    <row r="359" spans="8:48" ht="14.25" customHeight="1" x14ac:dyDescent="0.35">
      <c r="H359" s="15"/>
      <c r="K359" s="15"/>
      <c r="N359" s="15"/>
      <c r="Q359" s="13"/>
      <c r="R359" s="13"/>
      <c r="S359" s="13"/>
      <c r="T359" s="13"/>
      <c r="U359" s="13"/>
      <c r="X359" s="15"/>
      <c r="AF359" s="19"/>
      <c r="AJ359" s="35"/>
      <c r="AK359" s="36"/>
      <c r="AN359" s="25"/>
      <c r="AO359" s="26"/>
      <c r="AP359" s="40"/>
      <c r="AQ359" s="26"/>
      <c r="AR359" s="26"/>
      <c r="AS359" s="26"/>
      <c r="AT359" s="25"/>
      <c r="AU359" s="30"/>
      <c r="AV359" s="31"/>
    </row>
    <row r="360" spans="8:48" ht="14.25" customHeight="1" x14ac:dyDescent="0.35">
      <c r="H360" s="15"/>
      <c r="K360" s="15"/>
      <c r="N360" s="15"/>
      <c r="Q360" s="13"/>
      <c r="R360" s="13"/>
      <c r="S360" s="13"/>
      <c r="T360" s="13"/>
      <c r="U360" s="13"/>
      <c r="X360" s="15"/>
      <c r="AF360" s="19"/>
      <c r="AJ360" s="35"/>
      <c r="AK360" s="36"/>
      <c r="AN360" s="25"/>
      <c r="AO360" s="26"/>
      <c r="AP360" s="40"/>
      <c r="AQ360" s="26"/>
      <c r="AR360" s="26"/>
      <c r="AS360" s="26"/>
      <c r="AT360" s="25"/>
      <c r="AU360" s="30"/>
      <c r="AV360" s="31"/>
    </row>
    <row r="361" spans="8:48" ht="14.25" customHeight="1" x14ac:dyDescent="0.35">
      <c r="H361" s="15"/>
      <c r="K361" s="15"/>
      <c r="N361" s="15"/>
      <c r="Q361" s="13"/>
      <c r="R361" s="13"/>
      <c r="S361" s="13"/>
      <c r="T361" s="13"/>
      <c r="U361" s="13"/>
      <c r="X361" s="15"/>
      <c r="AF361" s="19"/>
      <c r="AJ361" s="35"/>
      <c r="AK361" s="36"/>
      <c r="AN361" s="25"/>
      <c r="AO361" s="26"/>
      <c r="AP361" s="40"/>
      <c r="AQ361" s="26"/>
      <c r="AR361" s="26"/>
      <c r="AS361" s="26"/>
      <c r="AT361" s="25"/>
      <c r="AU361" s="30"/>
      <c r="AV361" s="31"/>
    </row>
    <row r="362" spans="8:48" ht="14.25" customHeight="1" x14ac:dyDescent="0.35">
      <c r="H362" s="15"/>
      <c r="K362" s="15"/>
      <c r="N362" s="15"/>
      <c r="Q362" s="13"/>
      <c r="R362" s="13"/>
      <c r="S362" s="13"/>
      <c r="T362" s="13"/>
      <c r="U362" s="13"/>
      <c r="X362" s="15"/>
      <c r="AF362" s="19"/>
      <c r="AJ362" s="35"/>
      <c r="AK362" s="36"/>
      <c r="AN362" s="25"/>
      <c r="AO362" s="26"/>
      <c r="AP362" s="40"/>
      <c r="AQ362" s="26"/>
      <c r="AR362" s="26"/>
      <c r="AS362" s="26"/>
      <c r="AT362" s="25"/>
      <c r="AU362" s="30"/>
      <c r="AV362" s="31"/>
    </row>
    <row r="363" spans="8:48" ht="14.25" customHeight="1" x14ac:dyDescent="0.35">
      <c r="H363" s="15"/>
      <c r="K363" s="15"/>
      <c r="N363" s="15"/>
      <c r="Q363" s="13"/>
      <c r="R363" s="13"/>
      <c r="S363" s="13"/>
      <c r="T363" s="13"/>
      <c r="U363" s="13"/>
      <c r="X363" s="15"/>
      <c r="AF363" s="19"/>
      <c r="AJ363" s="35"/>
      <c r="AK363" s="36"/>
      <c r="AN363" s="25"/>
      <c r="AO363" s="26"/>
      <c r="AP363" s="40"/>
      <c r="AQ363" s="26"/>
      <c r="AR363" s="26"/>
      <c r="AS363" s="26"/>
      <c r="AT363" s="25"/>
      <c r="AU363" s="30"/>
      <c r="AV363" s="31"/>
    </row>
    <row r="364" spans="8:48" ht="14.25" customHeight="1" x14ac:dyDescent="0.35">
      <c r="H364" s="15"/>
      <c r="K364" s="15"/>
      <c r="N364" s="15"/>
      <c r="Q364" s="13"/>
      <c r="R364" s="13"/>
      <c r="S364" s="13"/>
      <c r="T364" s="13"/>
      <c r="U364" s="13"/>
      <c r="X364" s="15"/>
      <c r="AF364" s="19"/>
      <c r="AJ364" s="35"/>
      <c r="AK364" s="36"/>
      <c r="AN364" s="25"/>
      <c r="AO364" s="26"/>
      <c r="AP364" s="40"/>
      <c r="AQ364" s="26"/>
      <c r="AR364" s="26"/>
      <c r="AS364" s="26"/>
      <c r="AT364" s="25"/>
      <c r="AU364" s="30"/>
      <c r="AV364" s="31"/>
    </row>
    <row r="365" spans="8:48" ht="14.25" customHeight="1" x14ac:dyDescent="0.35">
      <c r="H365" s="15"/>
      <c r="K365" s="15"/>
      <c r="N365" s="15"/>
      <c r="Q365" s="13"/>
      <c r="R365" s="13"/>
      <c r="S365" s="13"/>
      <c r="T365" s="13"/>
      <c r="U365" s="13"/>
      <c r="X365" s="15"/>
      <c r="AF365" s="19"/>
      <c r="AJ365" s="35"/>
      <c r="AK365" s="36"/>
      <c r="AN365" s="25"/>
      <c r="AO365" s="26"/>
      <c r="AP365" s="40"/>
      <c r="AQ365" s="26"/>
      <c r="AR365" s="26"/>
      <c r="AS365" s="26"/>
      <c r="AT365" s="25"/>
      <c r="AU365" s="30"/>
      <c r="AV365" s="31"/>
    </row>
    <row r="366" spans="8:48" ht="14.25" customHeight="1" x14ac:dyDescent="0.35">
      <c r="H366" s="15"/>
      <c r="K366" s="15"/>
      <c r="N366" s="15"/>
      <c r="Q366" s="13"/>
      <c r="R366" s="13"/>
      <c r="S366" s="13"/>
      <c r="T366" s="13"/>
      <c r="U366" s="13"/>
      <c r="X366" s="15"/>
      <c r="AF366" s="19"/>
      <c r="AJ366" s="35"/>
      <c r="AK366" s="36"/>
      <c r="AN366" s="25"/>
      <c r="AO366" s="26"/>
      <c r="AP366" s="40"/>
      <c r="AQ366" s="26"/>
      <c r="AR366" s="26"/>
      <c r="AS366" s="26"/>
      <c r="AT366" s="25"/>
      <c r="AU366" s="30"/>
      <c r="AV366" s="31"/>
    </row>
    <row r="367" spans="8:48" ht="14.25" customHeight="1" x14ac:dyDescent="0.35">
      <c r="H367" s="15"/>
      <c r="K367" s="15"/>
      <c r="N367" s="15"/>
      <c r="Q367" s="13"/>
      <c r="R367" s="13"/>
      <c r="S367" s="13"/>
      <c r="T367" s="13"/>
      <c r="U367" s="13"/>
      <c r="X367" s="15"/>
      <c r="AF367" s="19"/>
      <c r="AJ367" s="35"/>
      <c r="AK367" s="36"/>
      <c r="AN367" s="25"/>
      <c r="AO367" s="26"/>
      <c r="AP367" s="40"/>
      <c r="AQ367" s="26"/>
      <c r="AR367" s="26"/>
      <c r="AS367" s="26"/>
      <c r="AT367" s="25"/>
      <c r="AU367" s="30"/>
      <c r="AV367" s="31"/>
    </row>
    <row r="368" spans="8:48" ht="14.25" customHeight="1" x14ac:dyDescent="0.35">
      <c r="H368" s="15"/>
      <c r="K368" s="15"/>
      <c r="N368" s="15"/>
      <c r="Q368" s="13"/>
      <c r="R368" s="13"/>
      <c r="S368" s="13"/>
      <c r="T368" s="13"/>
      <c r="U368" s="13"/>
      <c r="X368" s="15"/>
      <c r="AF368" s="19"/>
      <c r="AJ368" s="35"/>
      <c r="AK368" s="36"/>
      <c r="AN368" s="25"/>
      <c r="AO368" s="26"/>
      <c r="AP368" s="40"/>
      <c r="AQ368" s="26"/>
      <c r="AR368" s="26"/>
      <c r="AS368" s="26"/>
      <c r="AT368" s="25"/>
      <c r="AU368" s="30"/>
      <c r="AV368" s="31"/>
    </row>
    <row r="369" spans="8:48" ht="14.25" customHeight="1" x14ac:dyDescent="0.35">
      <c r="H369" s="15"/>
      <c r="K369" s="15"/>
      <c r="N369" s="15"/>
      <c r="Q369" s="13"/>
      <c r="R369" s="13"/>
      <c r="S369" s="13"/>
      <c r="T369" s="13"/>
      <c r="U369" s="13"/>
      <c r="X369" s="15"/>
      <c r="AF369" s="19"/>
      <c r="AJ369" s="35"/>
      <c r="AK369" s="36"/>
      <c r="AN369" s="25"/>
      <c r="AO369" s="26"/>
      <c r="AP369" s="40"/>
      <c r="AQ369" s="26"/>
      <c r="AR369" s="26"/>
      <c r="AS369" s="26"/>
      <c r="AT369" s="25"/>
      <c r="AU369" s="30"/>
      <c r="AV369" s="31"/>
    </row>
    <row r="370" spans="8:48" ht="14.25" customHeight="1" x14ac:dyDescent="0.35">
      <c r="H370" s="15"/>
      <c r="K370" s="15"/>
      <c r="N370" s="15"/>
      <c r="Q370" s="13"/>
      <c r="R370" s="13"/>
      <c r="S370" s="13"/>
      <c r="T370" s="13"/>
      <c r="U370" s="13"/>
      <c r="X370" s="15"/>
      <c r="AF370" s="19"/>
      <c r="AJ370" s="35"/>
      <c r="AK370" s="36"/>
      <c r="AN370" s="25"/>
      <c r="AO370" s="26"/>
      <c r="AP370" s="40"/>
      <c r="AQ370" s="26"/>
      <c r="AR370" s="26"/>
      <c r="AS370" s="26"/>
      <c r="AT370" s="25"/>
      <c r="AU370" s="30"/>
      <c r="AV370" s="31"/>
    </row>
    <row r="371" spans="8:48" ht="14.25" customHeight="1" x14ac:dyDescent="0.35">
      <c r="H371" s="15"/>
      <c r="K371" s="15"/>
      <c r="N371" s="15"/>
      <c r="Q371" s="13"/>
      <c r="R371" s="13"/>
      <c r="S371" s="13"/>
      <c r="T371" s="13"/>
      <c r="U371" s="13"/>
      <c r="X371" s="15"/>
      <c r="AF371" s="19"/>
      <c r="AJ371" s="35"/>
      <c r="AK371" s="36"/>
      <c r="AN371" s="25"/>
      <c r="AO371" s="26"/>
      <c r="AP371" s="40"/>
      <c r="AQ371" s="26"/>
      <c r="AR371" s="26"/>
      <c r="AS371" s="26"/>
      <c r="AT371" s="25"/>
      <c r="AU371" s="30"/>
      <c r="AV371" s="31"/>
    </row>
    <row r="372" spans="8:48" ht="14.25" customHeight="1" x14ac:dyDescent="0.35">
      <c r="H372" s="15"/>
      <c r="K372" s="15"/>
      <c r="N372" s="15"/>
      <c r="Q372" s="13"/>
      <c r="R372" s="13"/>
      <c r="S372" s="13"/>
      <c r="T372" s="13"/>
      <c r="U372" s="13"/>
      <c r="X372" s="15"/>
      <c r="AF372" s="19"/>
      <c r="AJ372" s="35"/>
      <c r="AK372" s="36"/>
      <c r="AN372" s="25"/>
      <c r="AO372" s="26"/>
      <c r="AP372" s="40"/>
      <c r="AQ372" s="26"/>
      <c r="AR372" s="26"/>
      <c r="AS372" s="26"/>
      <c r="AT372" s="25"/>
      <c r="AU372" s="30"/>
      <c r="AV372" s="31"/>
    </row>
    <row r="373" spans="8:48" ht="14.25" customHeight="1" x14ac:dyDescent="0.35">
      <c r="H373" s="15"/>
      <c r="K373" s="15"/>
      <c r="N373" s="15"/>
      <c r="Q373" s="13"/>
      <c r="R373" s="13"/>
      <c r="S373" s="13"/>
      <c r="T373" s="13"/>
      <c r="U373" s="13"/>
      <c r="X373" s="15"/>
      <c r="AF373" s="19"/>
      <c r="AJ373" s="35"/>
      <c r="AK373" s="36"/>
      <c r="AN373" s="25"/>
      <c r="AO373" s="26"/>
      <c r="AP373" s="40"/>
      <c r="AQ373" s="26"/>
      <c r="AR373" s="26"/>
      <c r="AS373" s="26"/>
      <c r="AT373" s="25"/>
      <c r="AU373" s="30"/>
      <c r="AV373" s="31"/>
    </row>
    <row r="374" spans="8:48" ht="14.25" customHeight="1" x14ac:dyDescent="0.35">
      <c r="H374" s="15"/>
      <c r="K374" s="15"/>
      <c r="N374" s="15"/>
      <c r="Q374" s="13"/>
      <c r="R374" s="13"/>
      <c r="S374" s="13"/>
      <c r="T374" s="13"/>
      <c r="U374" s="13"/>
      <c r="X374" s="15"/>
      <c r="AF374" s="19"/>
      <c r="AJ374" s="35"/>
      <c r="AK374" s="36"/>
      <c r="AN374" s="25"/>
      <c r="AO374" s="26"/>
      <c r="AP374" s="40"/>
      <c r="AQ374" s="26"/>
      <c r="AR374" s="26"/>
      <c r="AS374" s="26"/>
      <c r="AT374" s="25"/>
      <c r="AU374" s="30"/>
      <c r="AV374" s="31"/>
    </row>
    <row r="375" spans="8:48" ht="14.25" customHeight="1" x14ac:dyDescent="0.35">
      <c r="H375" s="15"/>
      <c r="K375" s="15"/>
      <c r="N375" s="15"/>
      <c r="Q375" s="13"/>
      <c r="R375" s="13"/>
      <c r="S375" s="13"/>
      <c r="T375" s="13"/>
      <c r="U375" s="13"/>
      <c r="X375" s="15"/>
      <c r="AF375" s="19"/>
      <c r="AJ375" s="35"/>
      <c r="AK375" s="36"/>
      <c r="AN375" s="25"/>
      <c r="AO375" s="26"/>
      <c r="AP375" s="40"/>
      <c r="AQ375" s="26"/>
      <c r="AR375" s="26"/>
      <c r="AS375" s="26"/>
      <c r="AT375" s="25"/>
      <c r="AU375" s="30"/>
      <c r="AV375" s="31"/>
    </row>
    <row r="376" spans="8:48" ht="14.25" customHeight="1" x14ac:dyDescent="0.35">
      <c r="H376" s="15"/>
      <c r="K376" s="15"/>
      <c r="N376" s="15"/>
      <c r="Q376" s="13"/>
      <c r="R376" s="13"/>
      <c r="S376" s="13"/>
      <c r="T376" s="13"/>
      <c r="U376" s="13"/>
      <c r="X376" s="15"/>
      <c r="AF376" s="19"/>
      <c r="AJ376" s="35"/>
      <c r="AK376" s="36"/>
      <c r="AN376" s="25"/>
      <c r="AO376" s="26"/>
      <c r="AP376" s="40"/>
      <c r="AQ376" s="26"/>
      <c r="AR376" s="26"/>
      <c r="AS376" s="26"/>
      <c r="AT376" s="25"/>
      <c r="AU376" s="30"/>
      <c r="AV376" s="31"/>
    </row>
    <row r="377" spans="8:48" ht="14.25" customHeight="1" x14ac:dyDescent="0.35">
      <c r="H377" s="15"/>
      <c r="K377" s="15"/>
      <c r="N377" s="15"/>
      <c r="Q377" s="13"/>
      <c r="R377" s="13"/>
      <c r="S377" s="13"/>
      <c r="T377" s="13"/>
      <c r="U377" s="13"/>
      <c r="X377" s="15"/>
      <c r="AF377" s="19"/>
      <c r="AJ377" s="35"/>
      <c r="AK377" s="36"/>
      <c r="AN377" s="25"/>
      <c r="AO377" s="26"/>
      <c r="AP377" s="40"/>
      <c r="AQ377" s="26"/>
      <c r="AR377" s="26"/>
      <c r="AS377" s="26"/>
      <c r="AT377" s="25"/>
      <c r="AU377" s="30"/>
      <c r="AV377" s="31"/>
    </row>
    <row r="378" spans="8:48" ht="14.25" customHeight="1" x14ac:dyDescent="0.35">
      <c r="H378" s="15"/>
      <c r="K378" s="15"/>
      <c r="N378" s="15"/>
      <c r="Q378" s="13"/>
      <c r="R378" s="13"/>
      <c r="S378" s="13"/>
      <c r="T378" s="13"/>
      <c r="U378" s="13"/>
      <c r="X378" s="15"/>
      <c r="AF378" s="19"/>
      <c r="AJ378" s="35"/>
      <c r="AK378" s="36"/>
      <c r="AN378" s="25"/>
      <c r="AO378" s="26"/>
      <c r="AP378" s="40"/>
      <c r="AQ378" s="26"/>
      <c r="AR378" s="26"/>
      <c r="AS378" s="26"/>
      <c r="AT378" s="25"/>
      <c r="AU378" s="30"/>
      <c r="AV378" s="31"/>
    </row>
    <row r="379" spans="8:48" ht="14.25" customHeight="1" x14ac:dyDescent="0.35">
      <c r="H379" s="15"/>
      <c r="K379" s="15"/>
      <c r="N379" s="15"/>
      <c r="Q379" s="13"/>
      <c r="R379" s="13"/>
      <c r="S379" s="13"/>
      <c r="T379" s="13"/>
      <c r="U379" s="13"/>
      <c r="X379" s="15"/>
      <c r="AF379" s="19"/>
      <c r="AJ379" s="35"/>
      <c r="AK379" s="36"/>
      <c r="AN379" s="25"/>
      <c r="AO379" s="26"/>
      <c r="AP379" s="40"/>
      <c r="AQ379" s="26"/>
      <c r="AR379" s="26"/>
      <c r="AS379" s="26"/>
      <c r="AT379" s="25"/>
      <c r="AU379" s="30"/>
      <c r="AV379" s="31"/>
    </row>
    <row r="380" spans="8:48" ht="14.25" customHeight="1" x14ac:dyDescent="0.35">
      <c r="H380" s="15"/>
      <c r="K380" s="15"/>
      <c r="N380" s="15"/>
      <c r="Q380" s="13"/>
      <c r="R380" s="13"/>
      <c r="S380" s="13"/>
      <c r="T380" s="13"/>
      <c r="U380" s="13"/>
      <c r="X380" s="15"/>
      <c r="AF380" s="19"/>
      <c r="AJ380" s="35"/>
      <c r="AK380" s="36"/>
      <c r="AN380" s="25"/>
      <c r="AO380" s="26"/>
      <c r="AP380" s="40"/>
      <c r="AQ380" s="26"/>
      <c r="AR380" s="26"/>
      <c r="AS380" s="26"/>
      <c r="AT380" s="25"/>
      <c r="AU380" s="30"/>
      <c r="AV380" s="31"/>
    </row>
    <row r="381" spans="8:48" ht="14.25" customHeight="1" x14ac:dyDescent="0.35">
      <c r="H381" s="15"/>
      <c r="K381" s="15"/>
      <c r="N381" s="15"/>
      <c r="Q381" s="13"/>
      <c r="R381" s="13"/>
      <c r="S381" s="13"/>
      <c r="T381" s="13"/>
      <c r="U381" s="13"/>
      <c r="X381" s="15"/>
      <c r="AF381" s="19"/>
      <c r="AJ381" s="35"/>
      <c r="AK381" s="36"/>
      <c r="AN381" s="25"/>
      <c r="AO381" s="26"/>
      <c r="AP381" s="40"/>
      <c r="AQ381" s="26"/>
      <c r="AR381" s="26"/>
      <c r="AS381" s="26"/>
      <c r="AT381" s="25"/>
      <c r="AU381" s="30"/>
      <c r="AV381" s="31"/>
    </row>
    <row r="382" spans="8:48" ht="14.25" customHeight="1" x14ac:dyDescent="0.35">
      <c r="H382" s="15"/>
      <c r="K382" s="15"/>
      <c r="N382" s="15"/>
      <c r="Q382" s="13"/>
      <c r="R382" s="13"/>
      <c r="S382" s="13"/>
      <c r="T382" s="13"/>
      <c r="U382" s="13"/>
      <c r="X382" s="15"/>
      <c r="AF382" s="19"/>
      <c r="AJ382" s="35"/>
      <c r="AK382" s="36"/>
      <c r="AN382" s="25"/>
      <c r="AO382" s="26"/>
      <c r="AP382" s="40"/>
      <c r="AQ382" s="26"/>
      <c r="AR382" s="26"/>
      <c r="AS382" s="26"/>
      <c r="AT382" s="25"/>
      <c r="AU382" s="30"/>
      <c r="AV382" s="31"/>
    </row>
    <row r="383" spans="8:48" ht="14.25" customHeight="1" x14ac:dyDescent="0.35">
      <c r="H383" s="15"/>
      <c r="K383" s="15"/>
      <c r="N383" s="15"/>
      <c r="Q383" s="13"/>
      <c r="R383" s="13"/>
      <c r="S383" s="13"/>
      <c r="T383" s="13"/>
      <c r="U383" s="13"/>
      <c r="X383" s="15"/>
      <c r="AF383" s="19"/>
      <c r="AJ383" s="35"/>
      <c r="AK383" s="36"/>
      <c r="AN383" s="25"/>
      <c r="AO383" s="26"/>
      <c r="AP383" s="40"/>
      <c r="AQ383" s="26"/>
      <c r="AR383" s="26"/>
      <c r="AS383" s="26"/>
      <c r="AT383" s="25"/>
      <c r="AU383" s="30"/>
      <c r="AV383" s="31"/>
    </row>
    <row r="384" spans="8:48" ht="14.25" customHeight="1" x14ac:dyDescent="0.35">
      <c r="H384" s="15"/>
      <c r="K384" s="15"/>
      <c r="N384" s="15"/>
      <c r="Q384" s="13"/>
      <c r="R384" s="13"/>
      <c r="S384" s="13"/>
      <c r="T384" s="13"/>
      <c r="U384" s="13"/>
      <c r="X384" s="15"/>
      <c r="AF384" s="19"/>
      <c r="AJ384" s="35"/>
      <c r="AK384" s="36"/>
      <c r="AN384" s="25"/>
      <c r="AO384" s="26"/>
      <c r="AP384" s="40"/>
      <c r="AQ384" s="26"/>
      <c r="AR384" s="26"/>
      <c r="AS384" s="26"/>
      <c r="AT384" s="25"/>
      <c r="AU384" s="30"/>
      <c r="AV384" s="31"/>
    </row>
    <row r="385" spans="8:48" ht="14.25" customHeight="1" x14ac:dyDescent="0.35">
      <c r="H385" s="15"/>
      <c r="K385" s="15"/>
      <c r="N385" s="15"/>
      <c r="Q385" s="13"/>
      <c r="R385" s="13"/>
      <c r="S385" s="13"/>
      <c r="T385" s="13"/>
      <c r="U385" s="13"/>
      <c r="X385" s="15"/>
      <c r="AF385" s="19"/>
      <c r="AJ385" s="35"/>
      <c r="AK385" s="36"/>
      <c r="AN385" s="25"/>
      <c r="AO385" s="26"/>
      <c r="AP385" s="40"/>
      <c r="AQ385" s="26"/>
      <c r="AR385" s="26"/>
      <c r="AS385" s="26"/>
      <c r="AT385" s="25"/>
      <c r="AU385" s="30"/>
      <c r="AV385" s="31"/>
    </row>
    <row r="386" spans="8:48" ht="14.25" customHeight="1" x14ac:dyDescent="0.35">
      <c r="H386" s="15"/>
      <c r="K386" s="15"/>
      <c r="N386" s="15"/>
      <c r="Q386" s="13"/>
      <c r="R386" s="13"/>
      <c r="S386" s="13"/>
      <c r="T386" s="13"/>
      <c r="U386" s="13"/>
      <c r="X386" s="15"/>
      <c r="AF386" s="19"/>
      <c r="AJ386" s="35"/>
      <c r="AK386" s="36"/>
      <c r="AN386" s="25"/>
      <c r="AO386" s="26"/>
      <c r="AP386" s="40"/>
      <c r="AQ386" s="26"/>
      <c r="AR386" s="26"/>
      <c r="AS386" s="26"/>
      <c r="AT386" s="25"/>
      <c r="AU386" s="30"/>
      <c r="AV386" s="31"/>
    </row>
    <row r="387" spans="8:48" ht="14.25" customHeight="1" x14ac:dyDescent="0.35">
      <c r="H387" s="15"/>
      <c r="K387" s="15"/>
      <c r="N387" s="15"/>
      <c r="Q387" s="13"/>
      <c r="R387" s="13"/>
      <c r="S387" s="13"/>
      <c r="T387" s="13"/>
      <c r="U387" s="13"/>
      <c r="X387" s="15"/>
      <c r="AF387" s="19"/>
      <c r="AJ387" s="35"/>
      <c r="AK387" s="36"/>
      <c r="AN387" s="25"/>
      <c r="AO387" s="26"/>
      <c r="AP387" s="40"/>
      <c r="AQ387" s="26"/>
      <c r="AR387" s="26"/>
      <c r="AS387" s="26"/>
      <c r="AT387" s="25"/>
      <c r="AU387" s="30"/>
      <c r="AV387" s="31"/>
    </row>
    <row r="388" spans="8:48" ht="14.25" customHeight="1" x14ac:dyDescent="0.35">
      <c r="H388" s="15"/>
      <c r="K388" s="15"/>
      <c r="N388" s="15"/>
      <c r="Q388" s="13"/>
      <c r="R388" s="13"/>
      <c r="S388" s="13"/>
      <c r="T388" s="13"/>
      <c r="U388" s="13"/>
      <c r="X388" s="15"/>
      <c r="AF388" s="19"/>
      <c r="AJ388" s="35"/>
      <c r="AK388" s="36"/>
      <c r="AN388" s="25"/>
      <c r="AO388" s="26"/>
      <c r="AP388" s="40"/>
      <c r="AQ388" s="26"/>
      <c r="AR388" s="26"/>
      <c r="AS388" s="26"/>
      <c r="AT388" s="25"/>
      <c r="AU388" s="30"/>
      <c r="AV388" s="31"/>
    </row>
    <row r="389" spans="8:48" ht="14.25" customHeight="1" x14ac:dyDescent="0.35">
      <c r="H389" s="15"/>
      <c r="K389" s="15"/>
      <c r="N389" s="15"/>
      <c r="Q389" s="13"/>
      <c r="R389" s="13"/>
      <c r="S389" s="13"/>
      <c r="T389" s="13"/>
      <c r="U389" s="13"/>
      <c r="X389" s="15"/>
      <c r="AF389" s="19"/>
      <c r="AJ389" s="35"/>
      <c r="AK389" s="36"/>
      <c r="AN389" s="25"/>
      <c r="AO389" s="26"/>
      <c r="AP389" s="40"/>
      <c r="AQ389" s="26"/>
      <c r="AR389" s="26"/>
      <c r="AS389" s="26"/>
      <c r="AT389" s="25"/>
      <c r="AU389" s="30"/>
      <c r="AV389" s="31"/>
    </row>
    <row r="390" spans="8:48" ht="14.25" customHeight="1" x14ac:dyDescent="0.35">
      <c r="H390" s="15"/>
      <c r="K390" s="15"/>
      <c r="N390" s="15"/>
      <c r="Q390" s="13"/>
      <c r="R390" s="13"/>
      <c r="S390" s="13"/>
      <c r="T390" s="13"/>
      <c r="U390" s="13"/>
      <c r="X390" s="15"/>
      <c r="AF390" s="19"/>
      <c r="AJ390" s="35"/>
      <c r="AK390" s="36"/>
      <c r="AN390" s="25"/>
      <c r="AO390" s="26"/>
      <c r="AP390" s="40"/>
      <c r="AQ390" s="26"/>
      <c r="AR390" s="26"/>
      <c r="AS390" s="26"/>
      <c r="AT390" s="25"/>
      <c r="AU390" s="30"/>
      <c r="AV390" s="31"/>
    </row>
    <row r="391" spans="8:48" ht="14.25" customHeight="1" x14ac:dyDescent="0.35">
      <c r="H391" s="15"/>
      <c r="K391" s="15"/>
      <c r="N391" s="15"/>
      <c r="Q391" s="13"/>
      <c r="R391" s="13"/>
      <c r="S391" s="13"/>
      <c r="T391" s="13"/>
      <c r="U391" s="13"/>
      <c r="X391" s="15"/>
      <c r="AF391" s="19"/>
      <c r="AJ391" s="35"/>
      <c r="AK391" s="36"/>
      <c r="AN391" s="25"/>
      <c r="AO391" s="26"/>
      <c r="AP391" s="40"/>
      <c r="AQ391" s="26"/>
      <c r="AR391" s="26"/>
      <c r="AS391" s="26"/>
      <c r="AT391" s="25"/>
      <c r="AU391" s="30"/>
      <c r="AV391" s="31"/>
    </row>
    <row r="392" spans="8:48" ht="14.25" customHeight="1" x14ac:dyDescent="0.35">
      <c r="H392" s="15"/>
      <c r="K392" s="15"/>
      <c r="N392" s="15"/>
      <c r="Q392" s="13"/>
      <c r="R392" s="13"/>
      <c r="S392" s="13"/>
      <c r="T392" s="13"/>
      <c r="U392" s="13"/>
      <c r="X392" s="15"/>
      <c r="AF392" s="19"/>
      <c r="AJ392" s="35"/>
      <c r="AK392" s="36"/>
      <c r="AN392" s="25"/>
      <c r="AO392" s="26"/>
      <c r="AP392" s="40"/>
      <c r="AQ392" s="26"/>
      <c r="AR392" s="26"/>
      <c r="AS392" s="26"/>
      <c r="AT392" s="25"/>
      <c r="AU392" s="30"/>
      <c r="AV392" s="31"/>
    </row>
    <row r="393" spans="8:48" ht="14.25" customHeight="1" x14ac:dyDescent="0.35">
      <c r="H393" s="15"/>
      <c r="K393" s="15"/>
      <c r="N393" s="15"/>
      <c r="Q393" s="13"/>
      <c r="R393" s="13"/>
      <c r="S393" s="13"/>
      <c r="T393" s="13"/>
      <c r="U393" s="13"/>
      <c r="X393" s="15"/>
      <c r="AF393" s="19"/>
      <c r="AJ393" s="35"/>
      <c r="AK393" s="36"/>
      <c r="AN393" s="25"/>
      <c r="AO393" s="26"/>
      <c r="AP393" s="40"/>
      <c r="AQ393" s="26"/>
      <c r="AR393" s="26"/>
      <c r="AS393" s="26"/>
      <c r="AT393" s="25"/>
      <c r="AU393" s="30"/>
      <c r="AV393" s="31"/>
    </row>
    <row r="394" spans="8:48" ht="14.25" customHeight="1" x14ac:dyDescent="0.35">
      <c r="H394" s="15"/>
      <c r="K394" s="15"/>
      <c r="N394" s="15"/>
      <c r="Q394" s="13"/>
      <c r="R394" s="13"/>
      <c r="S394" s="13"/>
      <c r="T394" s="13"/>
      <c r="U394" s="13"/>
      <c r="X394" s="15"/>
      <c r="AF394" s="19"/>
      <c r="AJ394" s="35"/>
      <c r="AK394" s="36"/>
      <c r="AN394" s="25"/>
      <c r="AO394" s="26"/>
      <c r="AP394" s="40"/>
      <c r="AQ394" s="26"/>
      <c r="AR394" s="26"/>
      <c r="AS394" s="26"/>
      <c r="AT394" s="25"/>
      <c r="AU394" s="30"/>
      <c r="AV394" s="31"/>
    </row>
    <row r="395" spans="8:48" ht="14.25" customHeight="1" x14ac:dyDescent="0.35">
      <c r="H395" s="15"/>
      <c r="K395" s="15"/>
      <c r="N395" s="15"/>
      <c r="Q395" s="13"/>
      <c r="R395" s="13"/>
      <c r="S395" s="13"/>
      <c r="T395" s="13"/>
      <c r="U395" s="13"/>
      <c r="X395" s="15"/>
      <c r="AF395" s="19"/>
      <c r="AJ395" s="35"/>
      <c r="AK395" s="36"/>
      <c r="AN395" s="25"/>
      <c r="AO395" s="26"/>
      <c r="AP395" s="40"/>
      <c r="AQ395" s="26"/>
      <c r="AR395" s="26"/>
      <c r="AS395" s="26"/>
      <c r="AT395" s="25"/>
      <c r="AU395" s="30"/>
      <c r="AV395" s="31"/>
    </row>
    <row r="396" spans="8:48" ht="14.25" customHeight="1" x14ac:dyDescent="0.35">
      <c r="H396" s="15"/>
      <c r="K396" s="15"/>
      <c r="N396" s="15"/>
      <c r="Q396" s="13"/>
      <c r="R396" s="13"/>
      <c r="S396" s="13"/>
      <c r="T396" s="13"/>
      <c r="U396" s="13"/>
      <c r="X396" s="15"/>
      <c r="AF396" s="19"/>
      <c r="AJ396" s="35"/>
      <c r="AK396" s="36"/>
      <c r="AN396" s="25"/>
      <c r="AO396" s="26"/>
      <c r="AP396" s="40"/>
      <c r="AQ396" s="26"/>
      <c r="AR396" s="26"/>
      <c r="AS396" s="26"/>
      <c r="AT396" s="25"/>
      <c r="AU396" s="30"/>
      <c r="AV396" s="31"/>
    </row>
    <row r="397" spans="8:48" ht="14.25" customHeight="1" x14ac:dyDescent="0.35">
      <c r="H397" s="15"/>
      <c r="K397" s="15"/>
      <c r="N397" s="15"/>
      <c r="Q397" s="13"/>
      <c r="R397" s="13"/>
      <c r="S397" s="13"/>
      <c r="T397" s="13"/>
      <c r="U397" s="13"/>
      <c r="X397" s="15"/>
      <c r="AF397" s="19"/>
      <c r="AJ397" s="35"/>
      <c r="AK397" s="36"/>
      <c r="AN397" s="25"/>
      <c r="AO397" s="26"/>
      <c r="AP397" s="40"/>
      <c r="AQ397" s="26"/>
      <c r="AR397" s="26"/>
      <c r="AS397" s="26"/>
      <c r="AT397" s="25"/>
      <c r="AU397" s="30"/>
      <c r="AV397" s="31"/>
    </row>
    <row r="398" spans="8:48" ht="14.25" customHeight="1" x14ac:dyDescent="0.35">
      <c r="H398" s="15"/>
      <c r="K398" s="15"/>
      <c r="N398" s="15"/>
      <c r="Q398" s="13"/>
      <c r="R398" s="13"/>
      <c r="S398" s="13"/>
      <c r="T398" s="13"/>
      <c r="U398" s="13"/>
      <c r="X398" s="15"/>
      <c r="AF398" s="19"/>
      <c r="AJ398" s="35"/>
      <c r="AK398" s="36"/>
      <c r="AN398" s="25"/>
      <c r="AO398" s="26"/>
      <c r="AP398" s="40"/>
      <c r="AQ398" s="26"/>
      <c r="AR398" s="26"/>
      <c r="AS398" s="26"/>
      <c r="AT398" s="25"/>
      <c r="AU398" s="30"/>
      <c r="AV398" s="31"/>
    </row>
    <row r="399" spans="8:48" ht="14.25" customHeight="1" x14ac:dyDescent="0.35">
      <c r="H399" s="15"/>
      <c r="K399" s="15"/>
      <c r="N399" s="15"/>
      <c r="Q399" s="13"/>
      <c r="R399" s="13"/>
      <c r="S399" s="13"/>
      <c r="T399" s="13"/>
      <c r="U399" s="13"/>
      <c r="X399" s="15"/>
      <c r="AF399" s="19"/>
      <c r="AJ399" s="35"/>
      <c r="AK399" s="36"/>
      <c r="AN399" s="25"/>
      <c r="AO399" s="26"/>
      <c r="AP399" s="40"/>
      <c r="AQ399" s="26"/>
      <c r="AR399" s="26"/>
      <c r="AS399" s="26"/>
      <c r="AT399" s="25"/>
      <c r="AU399" s="30"/>
      <c r="AV399" s="31"/>
    </row>
    <row r="400" spans="8:48" ht="14.25" customHeight="1" x14ac:dyDescent="0.35">
      <c r="H400" s="15"/>
      <c r="K400" s="15"/>
      <c r="N400" s="15"/>
      <c r="Q400" s="13"/>
      <c r="R400" s="13"/>
      <c r="S400" s="13"/>
      <c r="T400" s="13"/>
      <c r="U400" s="13"/>
      <c r="X400" s="15"/>
      <c r="AF400" s="19"/>
      <c r="AJ400" s="35"/>
      <c r="AK400" s="36"/>
      <c r="AN400" s="25"/>
      <c r="AO400" s="26"/>
      <c r="AP400" s="40"/>
      <c r="AQ400" s="26"/>
      <c r="AR400" s="26"/>
      <c r="AS400" s="26"/>
      <c r="AT400" s="25"/>
      <c r="AU400" s="30"/>
      <c r="AV400" s="31"/>
    </row>
    <row r="401" spans="8:48" ht="14.25" customHeight="1" x14ac:dyDescent="0.35">
      <c r="H401" s="15"/>
      <c r="K401" s="15"/>
      <c r="N401" s="15"/>
      <c r="Q401" s="13"/>
      <c r="R401" s="13"/>
      <c r="S401" s="13"/>
      <c r="T401" s="13"/>
      <c r="U401" s="13"/>
      <c r="X401" s="15"/>
      <c r="AF401" s="19"/>
      <c r="AJ401" s="35"/>
      <c r="AK401" s="36"/>
      <c r="AN401" s="25"/>
      <c r="AO401" s="26"/>
      <c r="AP401" s="40"/>
      <c r="AQ401" s="26"/>
      <c r="AR401" s="26"/>
      <c r="AS401" s="26"/>
      <c r="AT401" s="25"/>
      <c r="AU401" s="30"/>
      <c r="AV401" s="31"/>
    </row>
    <row r="402" spans="8:48" ht="14.25" customHeight="1" x14ac:dyDescent="0.35">
      <c r="H402" s="15"/>
      <c r="K402" s="15"/>
      <c r="N402" s="15"/>
      <c r="Q402" s="13"/>
      <c r="R402" s="13"/>
      <c r="S402" s="13"/>
      <c r="T402" s="13"/>
      <c r="U402" s="13"/>
      <c r="X402" s="15"/>
      <c r="AF402" s="19"/>
      <c r="AJ402" s="35"/>
      <c r="AK402" s="36"/>
      <c r="AN402" s="25"/>
      <c r="AO402" s="26"/>
      <c r="AP402" s="40"/>
      <c r="AQ402" s="26"/>
      <c r="AR402" s="26"/>
      <c r="AS402" s="26"/>
      <c r="AT402" s="25"/>
      <c r="AU402" s="30"/>
      <c r="AV402" s="31"/>
    </row>
    <row r="403" spans="8:48" ht="14.25" customHeight="1" x14ac:dyDescent="0.35">
      <c r="H403" s="15"/>
      <c r="K403" s="15"/>
      <c r="N403" s="15"/>
      <c r="Q403" s="13"/>
      <c r="R403" s="13"/>
      <c r="S403" s="13"/>
      <c r="T403" s="13"/>
      <c r="U403" s="13"/>
      <c r="X403" s="15"/>
      <c r="AF403" s="19"/>
      <c r="AJ403" s="35"/>
      <c r="AK403" s="36"/>
      <c r="AN403" s="25"/>
      <c r="AO403" s="26"/>
      <c r="AP403" s="40"/>
      <c r="AQ403" s="26"/>
      <c r="AR403" s="26"/>
      <c r="AS403" s="26"/>
      <c r="AT403" s="25"/>
      <c r="AU403" s="30"/>
      <c r="AV403" s="31"/>
    </row>
    <row r="404" spans="8:48" ht="14.25" customHeight="1" x14ac:dyDescent="0.35">
      <c r="H404" s="15"/>
      <c r="K404" s="15"/>
      <c r="N404" s="15"/>
      <c r="Q404" s="13"/>
      <c r="R404" s="13"/>
      <c r="S404" s="13"/>
      <c r="T404" s="13"/>
      <c r="U404" s="13"/>
      <c r="X404" s="15"/>
      <c r="AF404" s="19"/>
      <c r="AJ404" s="35"/>
      <c r="AK404" s="36"/>
      <c r="AN404" s="25"/>
      <c r="AO404" s="26"/>
      <c r="AP404" s="40"/>
      <c r="AQ404" s="26"/>
      <c r="AR404" s="26"/>
      <c r="AS404" s="26"/>
      <c r="AT404" s="25"/>
      <c r="AU404" s="30"/>
      <c r="AV404" s="31"/>
    </row>
    <row r="405" spans="8:48" ht="14.25" customHeight="1" x14ac:dyDescent="0.35">
      <c r="H405" s="15"/>
      <c r="K405" s="15"/>
      <c r="N405" s="15"/>
      <c r="Q405" s="13"/>
      <c r="R405" s="13"/>
      <c r="S405" s="13"/>
      <c r="T405" s="13"/>
      <c r="U405" s="13"/>
      <c r="X405" s="15"/>
      <c r="AF405" s="19"/>
      <c r="AJ405" s="35"/>
      <c r="AK405" s="36"/>
      <c r="AN405" s="25"/>
      <c r="AO405" s="26"/>
      <c r="AP405" s="40"/>
      <c r="AQ405" s="26"/>
      <c r="AR405" s="26"/>
      <c r="AS405" s="26"/>
      <c r="AT405" s="25"/>
      <c r="AU405" s="30"/>
      <c r="AV405" s="31"/>
    </row>
    <row r="406" spans="8:48" ht="14.25" customHeight="1" x14ac:dyDescent="0.35">
      <c r="H406" s="15"/>
      <c r="K406" s="15"/>
      <c r="N406" s="15"/>
      <c r="Q406" s="13"/>
      <c r="R406" s="13"/>
      <c r="S406" s="13"/>
      <c r="T406" s="13"/>
      <c r="U406" s="13"/>
      <c r="X406" s="15"/>
      <c r="AF406" s="19"/>
      <c r="AJ406" s="35"/>
      <c r="AK406" s="36"/>
      <c r="AN406" s="25"/>
      <c r="AO406" s="26"/>
      <c r="AP406" s="40"/>
      <c r="AQ406" s="26"/>
      <c r="AR406" s="26"/>
      <c r="AS406" s="26"/>
      <c r="AT406" s="25"/>
      <c r="AU406" s="30"/>
      <c r="AV406" s="31"/>
    </row>
    <row r="407" spans="8:48" ht="14.25" customHeight="1" x14ac:dyDescent="0.35">
      <c r="H407" s="15"/>
      <c r="K407" s="15"/>
      <c r="N407" s="15"/>
      <c r="Q407" s="13"/>
      <c r="R407" s="13"/>
      <c r="S407" s="13"/>
      <c r="T407" s="13"/>
      <c r="U407" s="13"/>
      <c r="X407" s="15"/>
      <c r="AF407" s="19"/>
      <c r="AJ407" s="35"/>
      <c r="AK407" s="36"/>
      <c r="AN407" s="25"/>
      <c r="AO407" s="26"/>
      <c r="AP407" s="40"/>
      <c r="AQ407" s="26"/>
      <c r="AR407" s="26"/>
      <c r="AS407" s="26"/>
      <c r="AT407" s="25"/>
      <c r="AU407" s="30"/>
      <c r="AV407" s="31"/>
    </row>
    <row r="408" spans="8:48" ht="14.25" customHeight="1" x14ac:dyDescent="0.35">
      <c r="H408" s="15"/>
      <c r="K408" s="15"/>
      <c r="N408" s="15"/>
      <c r="Q408" s="13"/>
      <c r="R408" s="13"/>
      <c r="S408" s="13"/>
      <c r="T408" s="13"/>
      <c r="U408" s="13"/>
      <c r="X408" s="15"/>
      <c r="AF408" s="19"/>
      <c r="AJ408" s="35"/>
      <c r="AK408" s="36"/>
      <c r="AN408" s="25"/>
      <c r="AO408" s="26"/>
      <c r="AP408" s="40"/>
      <c r="AQ408" s="26"/>
      <c r="AR408" s="26"/>
      <c r="AS408" s="26"/>
      <c r="AT408" s="25"/>
      <c r="AU408" s="30"/>
      <c r="AV408" s="31"/>
    </row>
    <row r="409" spans="8:48" ht="14.25" customHeight="1" x14ac:dyDescent="0.35">
      <c r="H409" s="15"/>
      <c r="K409" s="15"/>
      <c r="N409" s="15"/>
      <c r="Q409" s="13"/>
      <c r="R409" s="13"/>
      <c r="S409" s="13"/>
      <c r="T409" s="13"/>
      <c r="U409" s="13"/>
      <c r="X409" s="15"/>
      <c r="AF409" s="19"/>
      <c r="AJ409" s="35"/>
      <c r="AK409" s="36"/>
      <c r="AN409" s="25"/>
      <c r="AO409" s="26"/>
      <c r="AP409" s="40"/>
      <c r="AQ409" s="26"/>
      <c r="AR409" s="26"/>
      <c r="AS409" s="26"/>
      <c r="AT409" s="25"/>
      <c r="AU409" s="30"/>
      <c r="AV409" s="31"/>
    </row>
    <row r="410" spans="8:48" ht="14.25" customHeight="1" x14ac:dyDescent="0.35">
      <c r="H410" s="15"/>
      <c r="K410" s="15"/>
      <c r="N410" s="15"/>
      <c r="Q410" s="13"/>
      <c r="R410" s="13"/>
      <c r="S410" s="13"/>
      <c r="T410" s="13"/>
      <c r="U410" s="13"/>
      <c r="X410" s="15"/>
      <c r="AF410" s="19"/>
      <c r="AJ410" s="35"/>
      <c r="AK410" s="36"/>
      <c r="AN410" s="25"/>
      <c r="AO410" s="26"/>
      <c r="AP410" s="40"/>
      <c r="AQ410" s="26"/>
      <c r="AR410" s="26"/>
      <c r="AS410" s="26"/>
      <c r="AT410" s="25"/>
      <c r="AU410" s="30"/>
      <c r="AV410" s="31"/>
    </row>
    <row r="411" spans="8:48" ht="14.25" customHeight="1" x14ac:dyDescent="0.35">
      <c r="H411" s="15"/>
      <c r="K411" s="15"/>
      <c r="N411" s="15"/>
      <c r="Q411" s="13"/>
      <c r="R411" s="13"/>
      <c r="S411" s="13"/>
      <c r="T411" s="13"/>
      <c r="U411" s="13"/>
      <c r="X411" s="15"/>
      <c r="AF411" s="19"/>
      <c r="AJ411" s="35"/>
      <c r="AK411" s="36"/>
      <c r="AN411" s="25"/>
      <c r="AO411" s="26"/>
      <c r="AP411" s="40"/>
      <c r="AQ411" s="26"/>
      <c r="AR411" s="26"/>
      <c r="AS411" s="26"/>
      <c r="AT411" s="25"/>
      <c r="AU411" s="30"/>
      <c r="AV411" s="31"/>
    </row>
    <row r="412" spans="8:48" ht="14.25" customHeight="1" x14ac:dyDescent="0.35">
      <c r="H412" s="15"/>
      <c r="K412" s="15"/>
      <c r="N412" s="15"/>
      <c r="Q412" s="13"/>
      <c r="R412" s="13"/>
      <c r="S412" s="13"/>
      <c r="T412" s="13"/>
      <c r="U412" s="13"/>
      <c r="X412" s="15"/>
      <c r="AF412" s="19"/>
      <c r="AJ412" s="35"/>
      <c r="AK412" s="36"/>
      <c r="AN412" s="25"/>
      <c r="AO412" s="26"/>
      <c r="AP412" s="40"/>
      <c r="AQ412" s="26"/>
      <c r="AR412" s="26"/>
      <c r="AS412" s="26"/>
      <c r="AT412" s="25"/>
      <c r="AU412" s="30"/>
      <c r="AV412" s="31"/>
    </row>
    <row r="413" spans="8:48" ht="14.25" customHeight="1" x14ac:dyDescent="0.35">
      <c r="H413" s="15"/>
      <c r="K413" s="15"/>
      <c r="N413" s="15"/>
      <c r="Q413" s="13"/>
      <c r="R413" s="13"/>
      <c r="S413" s="13"/>
      <c r="T413" s="13"/>
      <c r="U413" s="13"/>
      <c r="X413" s="15"/>
      <c r="AF413" s="19"/>
      <c r="AJ413" s="35"/>
      <c r="AK413" s="36"/>
      <c r="AN413" s="25"/>
      <c r="AO413" s="26"/>
      <c r="AP413" s="40"/>
      <c r="AQ413" s="26"/>
      <c r="AR413" s="26"/>
      <c r="AS413" s="26"/>
      <c r="AT413" s="25"/>
      <c r="AU413" s="30"/>
      <c r="AV413" s="31"/>
    </row>
    <row r="414" spans="8:48" ht="14.25" customHeight="1" x14ac:dyDescent="0.35">
      <c r="H414" s="15"/>
      <c r="K414" s="15"/>
      <c r="N414" s="15"/>
      <c r="Q414" s="13"/>
      <c r="R414" s="13"/>
      <c r="S414" s="13"/>
      <c r="T414" s="13"/>
      <c r="U414" s="13"/>
      <c r="X414" s="15"/>
      <c r="AF414" s="19"/>
      <c r="AJ414" s="35"/>
      <c r="AK414" s="36"/>
      <c r="AN414" s="25"/>
      <c r="AO414" s="26"/>
      <c r="AP414" s="40"/>
      <c r="AQ414" s="26"/>
      <c r="AR414" s="26"/>
      <c r="AS414" s="26"/>
      <c r="AT414" s="25"/>
      <c r="AU414" s="30"/>
      <c r="AV414" s="31"/>
    </row>
    <row r="415" spans="8:48" ht="14.25" customHeight="1" x14ac:dyDescent="0.35">
      <c r="H415" s="15"/>
      <c r="K415" s="15"/>
      <c r="N415" s="15"/>
      <c r="Q415" s="13"/>
      <c r="R415" s="13"/>
      <c r="S415" s="13"/>
      <c r="T415" s="13"/>
      <c r="U415" s="13"/>
      <c r="X415" s="15"/>
      <c r="AF415" s="19"/>
      <c r="AJ415" s="35"/>
      <c r="AK415" s="36"/>
      <c r="AN415" s="25"/>
      <c r="AO415" s="26"/>
      <c r="AP415" s="40"/>
      <c r="AQ415" s="26"/>
      <c r="AR415" s="26"/>
      <c r="AS415" s="26"/>
      <c r="AT415" s="25"/>
      <c r="AU415" s="30"/>
      <c r="AV415" s="31"/>
    </row>
    <row r="416" spans="8:48" ht="14.25" customHeight="1" x14ac:dyDescent="0.35">
      <c r="H416" s="15"/>
      <c r="K416" s="15"/>
      <c r="N416" s="15"/>
      <c r="Q416" s="13"/>
      <c r="R416" s="13"/>
      <c r="S416" s="13"/>
      <c r="T416" s="13"/>
      <c r="U416" s="13"/>
      <c r="X416" s="15"/>
      <c r="AF416" s="19"/>
      <c r="AJ416" s="35"/>
      <c r="AK416" s="36"/>
      <c r="AN416" s="25"/>
      <c r="AO416" s="26"/>
      <c r="AP416" s="40"/>
      <c r="AQ416" s="26"/>
      <c r="AR416" s="26"/>
      <c r="AS416" s="26"/>
      <c r="AT416" s="25"/>
      <c r="AU416" s="30"/>
      <c r="AV416" s="31"/>
    </row>
    <row r="417" spans="8:48" ht="14.25" customHeight="1" x14ac:dyDescent="0.35">
      <c r="H417" s="15"/>
      <c r="K417" s="15"/>
      <c r="N417" s="15"/>
      <c r="Q417" s="13"/>
      <c r="R417" s="13"/>
      <c r="S417" s="13"/>
      <c r="T417" s="13"/>
      <c r="U417" s="13"/>
      <c r="X417" s="15"/>
      <c r="AF417" s="19"/>
      <c r="AJ417" s="35"/>
      <c r="AK417" s="36"/>
      <c r="AN417" s="25"/>
      <c r="AO417" s="26"/>
      <c r="AP417" s="40"/>
      <c r="AQ417" s="26"/>
      <c r="AR417" s="26"/>
      <c r="AS417" s="26"/>
      <c r="AT417" s="25"/>
      <c r="AU417" s="30"/>
      <c r="AV417" s="31"/>
    </row>
    <row r="418" spans="8:48" ht="14.25" customHeight="1" x14ac:dyDescent="0.35">
      <c r="H418" s="15"/>
      <c r="K418" s="15"/>
      <c r="N418" s="15"/>
      <c r="Q418" s="13"/>
      <c r="R418" s="13"/>
      <c r="S418" s="13"/>
      <c r="T418" s="13"/>
      <c r="U418" s="13"/>
      <c r="X418" s="15"/>
      <c r="AF418" s="19"/>
      <c r="AJ418" s="35"/>
      <c r="AK418" s="36"/>
      <c r="AN418" s="25"/>
      <c r="AO418" s="26"/>
      <c r="AP418" s="40"/>
      <c r="AQ418" s="26"/>
      <c r="AR418" s="26"/>
      <c r="AS418" s="26"/>
      <c r="AT418" s="25"/>
      <c r="AU418" s="30"/>
      <c r="AV418" s="31"/>
    </row>
    <row r="419" spans="8:48" ht="14.25" customHeight="1" x14ac:dyDescent="0.35">
      <c r="H419" s="15"/>
      <c r="K419" s="15"/>
      <c r="N419" s="15"/>
      <c r="Q419" s="13"/>
      <c r="R419" s="13"/>
      <c r="S419" s="13"/>
      <c r="T419" s="13"/>
      <c r="U419" s="13"/>
      <c r="X419" s="15"/>
      <c r="AF419" s="19"/>
      <c r="AJ419" s="35"/>
      <c r="AK419" s="36"/>
      <c r="AN419" s="25"/>
      <c r="AO419" s="26"/>
      <c r="AP419" s="40"/>
      <c r="AQ419" s="26"/>
      <c r="AR419" s="26"/>
      <c r="AS419" s="26"/>
      <c r="AT419" s="25"/>
      <c r="AU419" s="30"/>
      <c r="AV419" s="31"/>
    </row>
    <row r="420" spans="8:48" ht="14.25" customHeight="1" x14ac:dyDescent="0.35">
      <c r="H420" s="15"/>
      <c r="K420" s="15"/>
      <c r="N420" s="15"/>
      <c r="Q420" s="13"/>
      <c r="R420" s="13"/>
      <c r="S420" s="13"/>
      <c r="T420" s="13"/>
      <c r="U420" s="13"/>
      <c r="X420" s="15"/>
      <c r="AF420" s="19"/>
      <c r="AJ420" s="35"/>
      <c r="AK420" s="36"/>
      <c r="AN420" s="25"/>
      <c r="AO420" s="26"/>
      <c r="AP420" s="40"/>
      <c r="AQ420" s="26"/>
      <c r="AR420" s="26"/>
      <c r="AS420" s="26"/>
      <c r="AT420" s="25"/>
      <c r="AU420" s="30"/>
      <c r="AV420" s="31"/>
    </row>
    <row r="421" spans="8:48" ht="14.25" customHeight="1" x14ac:dyDescent="0.35">
      <c r="H421" s="15"/>
      <c r="K421" s="15"/>
      <c r="N421" s="15"/>
      <c r="Q421" s="13"/>
      <c r="R421" s="13"/>
      <c r="S421" s="13"/>
      <c r="T421" s="13"/>
      <c r="U421" s="13"/>
      <c r="X421" s="15"/>
      <c r="AF421" s="19"/>
      <c r="AJ421" s="35"/>
      <c r="AK421" s="36"/>
      <c r="AN421" s="25"/>
      <c r="AO421" s="26"/>
      <c r="AP421" s="40"/>
      <c r="AQ421" s="26"/>
      <c r="AR421" s="26"/>
      <c r="AS421" s="26"/>
      <c r="AT421" s="25"/>
      <c r="AU421" s="30"/>
      <c r="AV421" s="31"/>
    </row>
    <row r="422" spans="8:48" ht="14.25" customHeight="1" x14ac:dyDescent="0.35">
      <c r="H422" s="15"/>
      <c r="K422" s="15"/>
      <c r="N422" s="15"/>
      <c r="Q422" s="13"/>
      <c r="R422" s="13"/>
      <c r="S422" s="13"/>
      <c r="T422" s="13"/>
      <c r="U422" s="13"/>
      <c r="X422" s="15"/>
      <c r="AF422" s="19"/>
      <c r="AJ422" s="35"/>
      <c r="AK422" s="36"/>
      <c r="AN422" s="25"/>
      <c r="AO422" s="26"/>
      <c r="AP422" s="40"/>
      <c r="AQ422" s="26"/>
      <c r="AR422" s="26"/>
      <c r="AS422" s="26"/>
      <c r="AT422" s="25"/>
      <c r="AU422" s="30"/>
      <c r="AV422" s="31"/>
    </row>
    <row r="423" spans="8:48" ht="14.25" customHeight="1" x14ac:dyDescent="0.35">
      <c r="H423" s="15"/>
      <c r="K423" s="15"/>
      <c r="N423" s="15"/>
      <c r="Q423" s="13"/>
      <c r="R423" s="13"/>
      <c r="S423" s="13"/>
      <c r="T423" s="13"/>
      <c r="U423" s="13"/>
      <c r="X423" s="15"/>
      <c r="AF423" s="19"/>
      <c r="AJ423" s="35"/>
      <c r="AK423" s="36"/>
      <c r="AN423" s="25"/>
      <c r="AO423" s="26"/>
      <c r="AP423" s="40"/>
      <c r="AQ423" s="26"/>
      <c r="AR423" s="26"/>
      <c r="AS423" s="26"/>
      <c r="AT423" s="25"/>
      <c r="AU423" s="30"/>
      <c r="AV423" s="31"/>
    </row>
    <row r="424" spans="8:48" ht="14.25" customHeight="1" x14ac:dyDescent="0.35">
      <c r="H424" s="15"/>
      <c r="K424" s="15"/>
      <c r="N424" s="15"/>
      <c r="Q424" s="13"/>
      <c r="R424" s="13"/>
      <c r="S424" s="13"/>
      <c r="T424" s="13"/>
      <c r="U424" s="13"/>
      <c r="X424" s="15"/>
      <c r="AF424" s="19"/>
      <c r="AJ424" s="35"/>
      <c r="AK424" s="36"/>
      <c r="AN424" s="25"/>
      <c r="AO424" s="26"/>
      <c r="AP424" s="40"/>
      <c r="AQ424" s="26"/>
      <c r="AR424" s="26"/>
      <c r="AS424" s="26"/>
      <c r="AT424" s="25"/>
      <c r="AU424" s="30"/>
      <c r="AV424" s="31"/>
    </row>
    <row r="425" spans="8:48" ht="14.25" customHeight="1" x14ac:dyDescent="0.35">
      <c r="H425" s="15"/>
      <c r="K425" s="15"/>
      <c r="N425" s="15"/>
      <c r="Q425" s="13"/>
      <c r="R425" s="13"/>
      <c r="S425" s="13"/>
      <c r="T425" s="13"/>
      <c r="U425" s="13"/>
      <c r="X425" s="15"/>
      <c r="AF425" s="19"/>
      <c r="AJ425" s="35"/>
      <c r="AK425" s="36"/>
      <c r="AN425" s="25"/>
      <c r="AO425" s="26"/>
      <c r="AP425" s="40"/>
      <c r="AQ425" s="26"/>
      <c r="AR425" s="26"/>
      <c r="AS425" s="26"/>
      <c r="AT425" s="25"/>
      <c r="AU425" s="30"/>
      <c r="AV425" s="31"/>
    </row>
    <row r="426" spans="8:48" ht="14.25" customHeight="1" x14ac:dyDescent="0.35">
      <c r="H426" s="15"/>
      <c r="K426" s="15"/>
      <c r="N426" s="15"/>
      <c r="Q426" s="13"/>
      <c r="R426" s="13"/>
      <c r="S426" s="13"/>
      <c r="T426" s="13"/>
      <c r="U426" s="13"/>
      <c r="X426" s="15"/>
      <c r="AF426" s="19"/>
      <c r="AJ426" s="35"/>
      <c r="AK426" s="36"/>
      <c r="AN426" s="25"/>
      <c r="AO426" s="26"/>
      <c r="AP426" s="40"/>
      <c r="AQ426" s="26"/>
      <c r="AR426" s="26"/>
      <c r="AS426" s="26"/>
      <c r="AT426" s="25"/>
      <c r="AU426" s="30"/>
      <c r="AV426" s="31"/>
    </row>
    <row r="427" spans="8:48" ht="14.25" customHeight="1" x14ac:dyDescent="0.35">
      <c r="H427" s="15"/>
      <c r="K427" s="15"/>
      <c r="N427" s="15"/>
      <c r="Q427" s="13"/>
      <c r="R427" s="13"/>
      <c r="S427" s="13"/>
      <c r="T427" s="13"/>
      <c r="U427" s="13"/>
      <c r="X427" s="15"/>
      <c r="AF427" s="19"/>
      <c r="AJ427" s="35"/>
      <c r="AK427" s="36"/>
      <c r="AN427" s="25"/>
      <c r="AO427" s="26"/>
      <c r="AP427" s="40"/>
      <c r="AQ427" s="26"/>
      <c r="AR427" s="26"/>
      <c r="AS427" s="26"/>
      <c r="AT427" s="25"/>
      <c r="AU427" s="30"/>
      <c r="AV427" s="31"/>
    </row>
    <row r="428" spans="8:48" ht="14.25" customHeight="1" x14ac:dyDescent="0.35">
      <c r="H428" s="15"/>
      <c r="K428" s="15"/>
      <c r="N428" s="15"/>
      <c r="Q428" s="13"/>
      <c r="R428" s="13"/>
      <c r="S428" s="13"/>
      <c r="T428" s="13"/>
      <c r="U428" s="13"/>
      <c r="X428" s="15"/>
      <c r="AF428" s="19"/>
      <c r="AJ428" s="35"/>
      <c r="AK428" s="36"/>
      <c r="AN428" s="25"/>
      <c r="AO428" s="26"/>
      <c r="AP428" s="40"/>
      <c r="AQ428" s="26"/>
      <c r="AR428" s="26"/>
      <c r="AS428" s="26"/>
      <c r="AT428" s="25"/>
      <c r="AU428" s="30"/>
      <c r="AV428" s="31"/>
    </row>
    <row r="429" spans="8:48" ht="14.25" customHeight="1" x14ac:dyDescent="0.35">
      <c r="H429" s="15"/>
      <c r="K429" s="15"/>
      <c r="N429" s="15"/>
      <c r="Q429" s="13"/>
      <c r="R429" s="13"/>
      <c r="S429" s="13"/>
      <c r="T429" s="13"/>
      <c r="U429" s="13"/>
      <c r="X429" s="15"/>
      <c r="AF429" s="19"/>
      <c r="AJ429" s="35"/>
      <c r="AK429" s="36"/>
      <c r="AN429" s="25"/>
      <c r="AO429" s="26"/>
      <c r="AP429" s="40"/>
      <c r="AQ429" s="26"/>
      <c r="AR429" s="26"/>
      <c r="AS429" s="26"/>
      <c r="AT429" s="25"/>
      <c r="AU429" s="30"/>
      <c r="AV429" s="31"/>
    </row>
    <row r="430" spans="8:48" ht="14.25" customHeight="1" x14ac:dyDescent="0.35">
      <c r="H430" s="15"/>
      <c r="K430" s="15"/>
      <c r="N430" s="15"/>
      <c r="Q430" s="13"/>
      <c r="R430" s="13"/>
      <c r="S430" s="13"/>
      <c r="T430" s="13"/>
      <c r="U430" s="13"/>
      <c r="X430" s="15"/>
      <c r="AF430" s="19"/>
      <c r="AJ430" s="35"/>
      <c r="AK430" s="36"/>
      <c r="AN430" s="25"/>
      <c r="AO430" s="26"/>
      <c r="AP430" s="40"/>
      <c r="AQ430" s="26"/>
      <c r="AR430" s="26"/>
      <c r="AS430" s="26"/>
      <c r="AT430" s="25"/>
      <c r="AU430" s="30"/>
      <c r="AV430" s="31"/>
    </row>
    <row r="431" spans="8:48" ht="14.25" customHeight="1" x14ac:dyDescent="0.35">
      <c r="H431" s="15"/>
      <c r="K431" s="15"/>
      <c r="N431" s="15"/>
      <c r="Q431" s="13"/>
      <c r="R431" s="13"/>
      <c r="S431" s="13"/>
      <c r="T431" s="13"/>
      <c r="U431" s="13"/>
      <c r="X431" s="15"/>
      <c r="AF431" s="19"/>
      <c r="AJ431" s="35"/>
      <c r="AK431" s="36"/>
      <c r="AN431" s="25"/>
      <c r="AO431" s="26"/>
      <c r="AP431" s="40"/>
      <c r="AQ431" s="26"/>
      <c r="AR431" s="26"/>
      <c r="AS431" s="26"/>
      <c r="AT431" s="25"/>
      <c r="AU431" s="30"/>
      <c r="AV431" s="31"/>
    </row>
    <row r="432" spans="8:48" ht="14.25" customHeight="1" x14ac:dyDescent="0.35">
      <c r="H432" s="15"/>
      <c r="K432" s="15"/>
      <c r="N432" s="15"/>
      <c r="Q432" s="13"/>
      <c r="R432" s="13"/>
      <c r="S432" s="13"/>
      <c r="T432" s="13"/>
      <c r="U432" s="13"/>
      <c r="X432" s="15"/>
      <c r="AF432" s="19"/>
      <c r="AJ432" s="35"/>
      <c r="AK432" s="36"/>
      <c r="AN432" s="25"/>
      <c r="AO432" s="26"/>
      <c r="AP432" s="40"/>
      <c r="AQ432" s="26"/>
      <c r="AR432" s="26"/>
      <c r="AS432" s="26"/>
      <c r="AT432" s="25"/>
      <c r="AU432" s="30"/>
      <c r="AV432" s="31"/>
    </row>
    <row r="433" spans="8:48" ht="14.25" customHeight="1" x14ac:dyDescent="0.35">
      <c r="H433" s="15"/>
      <c r="K433" s="15"/>
      <c r="N433" s="15"/>
      <c r="Q433" s="13"/>
      <c r="R433" s="13"/>
      <c r="S433" s="13"/>
      <c r="T433" s="13"/>
      <c r="U433" s="13"/>
      <c r="X433" s="15"/>
      <c r="AF433" s="19"/>
      <c r="AJ433" s="35"/>
      <c r="AK433" s="36"/>
      <c r="AN433" s="25"/>
      <c r="AO433" s="26"/>
      <c r="AP433" s="40"/>
      <c r="AQ433" s="26"/>
      <c r="AR433" s="26"/>
      <c r="AS433" s="26"/>
      <c r="AT433" s="25"/>
      <c r="AU433" s="30"/>
      <c r="AV433" s="31"/>
    </row>
    <row r="434" spans="8:48" ht="14.25" customHeight="1" x14ac:dyDescent="0.35">
      <c r="H434" s="15"/>
      <c r="K434" s="15"/>
      <c r="N434" s="15"/>
      <c r="Q434" s="13"/>
      <c r="R434" s="13"/>
      <c r="S434" s="13"/>
      <c r="T434" s="13"/>
      <c r="U434" s="13"/>
      <c r="X434" s="15"/>
      <c r="AF434" s="19"/>
      <c r="AJ434" s="35"/>
      <c r="AK434" s="36"/>
      <c r="AN434" s="25"/>
      <c r="AO434" s="26"/>
      <c r="AP434" s="40"/>
      <c r="AQ434" s="26"/>
      <c r="AR434" s="26"/>
      <c r="AS434" s="26"/>
      <c r="AT434" s="25"/>
      <c r="AU434" s="30"/>
      <c r="AV434" s="31"/>
    </row>
    <row r="435" spans="8:48" ht="14.25" customHeight="1" x14ac:dyDescent="0.35">
      <c r="H435" s="15"/>
      <c r="K435" s="15"/>
      <c r="N435" s="15"/>
      <c r="Q435" s="13"/>
      <c r="R435" s="13"/>
      <c r="S435" s="13"/>
      <c r="T435" s="13"/>
      <c r="U435" s="13"/>
      <c r="X435" s="15"/>
      <c r="AF435" s="19"/>
      <c r="AJ435" s="35"/>
      <c r="AK435" s="36"/>
      <c r="AN435" s="25"/>
      <c r="AO435" s="26"/>
      <c r="AP435" s="40"/>
      <c r="AQ435" s="26"/>
      <c r="AR435" s="26"/>
      <c r="AS435" s="26"/>
      <c r="AT435" s="25"/>
      <c r="AU435" s="30"/>
      <c r="AV435" s="31"/>
    </row>
    <row r="436" spans="8:48" ht="14.25" customHeight="1" x14ac:dyDescent="0.35">
      <c r="H436" s="15"/>
      <c r="K436" s="15"/>
      <c r="N436" s="15"/>
      <c r="Q436" s="13"/>
      <c r="R436" s="13"/>
      <c r="S436" s="13"/>
      <c r="T436" s="13"/>
      <c r="U436" s="13"/>
      <c r="X436" s="15"/>
      <c r="AF436" s="19"/>
      <c r="AJ436" s="35"/>
      <c r="AK436" s="36"/>
      <c r="AN436" s="25"/>
      <c r="AO436" s="26"/>
      <c r="AP436" s="40"/>
      <c r="AQ436" s="26"/>
      <c r="AR436" s="26"/>
      <c r="AS436" s="26"/>
      <c r="AT436" s="25"/>
      <c r="AU436" s="30"/>
      <c r="AV436" s="31"/>
    </row>
    <row r="437" spans="8:48" ht="14.25" customHeight="1" x14ac:dyDescent="0.35">
      <c r="H437" s="15"/>
      <c r="K437" s="15"/>
      <c r="N437" s="15"/>
      <c r="Q437" s="13"/>
      <c r="R437" s="13"/>
      <c r="S437" s="13"/>
      <c r="T437" s="13"/>
      <c r="U437" s="13"/>
      <c r="X437" s="15"/>
      <c r="AF437" s="19"/>
      <c r="AJ437" s="35"/>
      <c r="AK437" s="36"/>
      <c r="AN437" s="25"/>
      <c r="AO437" s="26"/>
      <c r="AP437" s="40"/>
      <c r="AQ437" s="26"/>
      <c r="AR437" s="26"/>
      <c r="AS437" s="26"/>
      <c r="AT437" s="25"/>
      <c r="AU437" s="30"/>
      <c r="AV437" s="31"/>
    </row>
    <row r="438" spans="8:48" ht="14.25" customHeight="1" x14ac:dyDescent="0.35">
      <c r="H438" s="15"/>
      <c r="K438" s="15"/>
      <c r="N438" s="15"/>
      <c r="Q438" s="13"/>
      <c r="R438" s="13"/>
      <c r="S438" s="13"/>
      <c r="T438" s="13"/>
      <c r="U438" s="13"/>
      <c r="X438" s="15"/>
      <c r="AF438" s="19"/>
      <c r="AJ438" s="35"/>
      <c r="AK438" s="36"/>
      <c r="AN438" s="25"/>
      <c r="AO438" s="26"/>
      <c r="AP438" s="40"/>
      <c r="AQ438" s="26"/>
      <c r="AR438" s="26"/>
      <c r="AS438" s="26"/>
      <c r="AT438" s="25"/>
      <c r="AU438" s="30"/>
      <c r="AV438" s="31"/>
    </row>
    <row r="439" spans="8:48" ht="14.25" customHeight="1" x14ac:dyDescent="0.35">
      <c r="H439" s="15"/>
      <c r="K439" s="15"/>
      <c r="N439" s="15"/>
      <c r="Q439" s="13"/>
      <c r="R439" s="13"/>
      <c r="S439" s="13"/>
      <c r="T439" s="13"/>
      <c r="U439" s="13"/>
      <c r="X439" s="15"/>
      <c r="AF439" s="19"/>
      <c r="AJ439" s="35"/>
      <c r="AK439" s="36"/>
      <c r="AN439" s="25"/>
      <c r="AO439" s="26"/>
      <c r="AP439" s="40"/>
      <c r="AQ439" s="26"/>
      <c r="AR439" s="26"/>
      <c r="AS439" s="26"/>
      <c r="AT439" s="25"/>
      <c r="AU439" s="30"/>
      <c r="AV439" s="31"/>
    </row>
    <row r="440" spans="8:48" ht="14.25" customHeight="1" x14ac:dyDescent="0.35">
      <c r="H440" s="15"/>
      <c r="K440" s="15"/>
      <c r="N440" s="15"/>
      <c r="Q440" s="13"/>
      <c r="R440" s="13"/>
      <c r="S440" s="13"/>
      <c r="T440" s="13"/>
      <c r="U440" s="13"/>
      <c r="X440" s="15"/>
      <c r="AF440" s="19"/>
      <c r="AJ440" s="35"/>
      <c r="AK440" s="36"/>
      <c r="AN440" s="25"/>
      <c r="AO440" s="26"/>
      <c r="AP440" s="40"/>
      <c r="AQ440" s="26"/>
      <c r="AR440" s="26"/>
      <c r="AS440" s="26"/>
      <c r="AT440" s="25"/>
      <c r="AU440" s="30"/>
      <c r="AV440" s="31"/>
    </row>
    <row r="441" spans="8:48" ht="14.25" customHeight="1" x14ac:dyDescent="0.35">
      <c r="H441" s="15"/>
      <c r="K441" s="15"/>
      <c r="N441" s="15"/>
      <c r="Q441" s="13"/>
      <c r="R441" s="13"/>
      <c r="S441" s="13"/>
      <c r="T441" s="13"/>
      <c r="U441" s="13"/>
      <c r="X441" s="15"/>
      <c r="AF441" s="19"/>
      <c r="AJ441" s="35"/>
      <c r="AK441" s="36"/>
      <c r="AN441" s="25"/>
      <c r="AO441" s="26"/>
      <c r="AP441" s="40"/>
      <c r="AQ441" s="26"/>
      <c r="AR441" s="26"/>
      <c r="AS441" s="26"/>
      <c r="AT441" s="25"/>
      <c r="AU441" s="30"/>
      <c r="AV441" s="31"/>
    </row>
    <row r="442" spans="8:48" ht="14.25" customHeight="1" x14ac:dyDescent="0.35">
      <c r="H442" s="15"/>
      <c r="K442" s="15"/>
      <c r="N442" s="15"/>
      <c r="Q442" s="13"/>
      <c r="R442" s="13"/>
      <c r="S442" s="13"/>
      <c r="T442" s="13"/>
      <c r="U442" s="13"/>
      <c r="X442" s="15"/>
      <c r="AF442" s="19"/>
      <c r="AJ442" s="35"/>
      <c r="AK442" s="36"/>
      <c r="AN442" s="25"/>
      <c r="AO442" s="26"/>
      <c r="AP442" s="40"/>
      <c r="AQ442" s="26"/>
      <c r="AR442" s="26"/>
      <c r="AS442" s="26"/>
      <c r="AT442" s="25"/>
      <c r="AU442" s="30"/>
      <c r="AV442" s="31"/>
    </row>
    <row r="443" spans="8:48" ht="14.25" customHeight="1" x14ac:dyDescent="0.35">
      <c r="H443" s="15"/>
      <c r="K443" s="15"/>
      <c r="N443" s="15"/>
      <c r="Q443" s="13"/>
      <c r="R443" s="13"/>
      <c r="S443" s="13"/>
      <c r="T443" s="13"/>
      <c r="U443" s="13"/>
      <c r="X443" s="15"/>
      <c r="AF443" s="19"/>
      <c r="AJ443" s="35"/>
      <c r="AK443" s="36"/>
      <c r="AN443" s="25"/>
      <c r="AO443" s="26"/>
      <c r="AP443" s="40"/>
      <c r="AQ443" s="26"/>
      <c r="AR443" s="26"/>
      <c r="AS443" s="26"/>
      <c r="AT443" s="25"/>
      <c r="AU443" s="30"/>
      <c r="AV443" s="31"/>
    </row>
    <row r="444" spans="8:48" ht="14.25" customHeight="1" x14ac:dyDescent="0.35">
      <c r="H444" s="15"/>
      <c r="K444" s="15"/>
      <c r="N444" s="15"/>
      <c r="Q444" s="13"/>
      <c r="R444" s="13"/>
      <c r="S444" s="13"/>
      <c r="T444" s="13"/>
      <c r="U444" s="13"/>
      <c r="X444" s="15"/>
      <c r="AF444" s="19"/>
      <c r="AJ444" s="35"/>
      <c r="AK444" s="36"/>
      <c r="AN444" s="25"/>
      <c r="AO444" s="26"/>
      <c r="AP444" s="40"/>
      <c r="AQ444" s="26"/>
      <c r="AR444" s="26"/>
      <c r="AS444" s="26"/>
      <c r="AT444" s="25"/>
      <c r="AU444" s="30"/>
      <c r="AV444" s="31"/>
    </row>
    <row r="445" spans="8:48" ht="14.25" customHeight="1" x14ac:dyDescent="0.35">
      <c r="H445" s="15"/>
      <c r="K445" s="15"/>
      <c r="N445" s="15"/>
      <c r="Q445" s="13"/>
      <c r="R445" s="13"/>
      <c r="S445" s="13"/>
      <c r="T445" s="13"/>
      <c r="U445" s="13"/>
      <c r="X445" s="15"/>
      <c r="AF445" s="19"/>
      <c r="AJ445" s="35"/>
      <c r="AK445" s="36"/>
      <c r="AN445" s="25"/>
      <c r="AO445" s="26"/>
      <c r="AP445" s="40"/>
      <c r="AQ445" s="26"/>
      <c r="AR445" s="26"/>
      <c r="AS445" s="26"/>
      <c r="AT445" s="25"/>
      <c r="AU445" s="30"/>
      <c r="AV445" s="31"/>
    </row>
    <row r="446" spans="8:48" ht="14.25" customHeight="1" x14ac:dyDescent="0.35">
      <c r="H446" s="15"/>
      <c r="K446" s="15"/>
      <c r="N446" s="15"/>
      <c r="Q446" s="13"/>
      <c r="R446" s="13"/>
      <c r="S446" s="13"/>
      <c r="T446" s="13"/>
      <c r="U446" s="13"/>
      <c r="X446" s="15"/>
      <c r="AF446" s="19"/>
      <c r="AJ446" s="35"/>
      <c r="AK446" s="36"/>
      <c r="AN446" s="25"/>
      <c r="AO446" s="26"/>
      <c r="AP446" s="40"/>
      <c r="AQ446" s="26"/>
      <c r="AR446" s="26"/>
      <c r="AS446" s="26"/>
      <c r="AT446" s="25"/>
      <c r="AU446" s="30"/>
      <c r="AV446" s="31"/>
    </row>
    <row r="447" spans="8:48" ht="14.25" customHeight="1" x14ac:dyDescent="0.35">
      <c r="H447" s="15"/>
      <c r="K447" s="15"/>
      <c r="N447" s="15"/>
      <c r="Q447" s="13"/>
      <c r="R447" s="13"/>
      <c r="S447" s="13"/>
      <c r="T447" s="13"/>
      <c r="U447" s="13"/>
      <c r="X447" s="15"/>
      <c r="AF447" s="19"/>
      <c r="AJ447" s="35"/>
      <c r="AK447" s="36"/>
      <c r="AN447" s="25"/>
      <c r="AO447" s="26"/>
      <c r="AP447" s="40"/>
      <c r="AQ447" s="26"/>
      <c r="AR447" s="26"/>
      <c r="AS447" s="26"/>
      <c r="AT447" s="25"/>
      <c r="AU447" s="30"/>
      <c r="AV447" s="31"/>
    </row>
    <row r="448" spans="8:48" ht="14.25" customHeight="1" x14ac:dyDescent="0.35">
      <c r="H448" s="15"/>
      <c r="K448" s="15"/>
      <c r="N448" s="15"/>
      <c r="Q448" s="13"/>
      <c r="R448" s="13"/>
      <c r="S448" s="13"/>
      <c r="T448" s="13"/>
      <c r="U448" s="13"/>
      <c r="X448" s="15"/>
      <c r="AF448" s="19"/>
      <c r="AJ448" s="35"/>
      <c r="AK448" s="36"/>
      <c r="AN448" s="25"/>
      <c r="AO448" s="26"/>
      <c r="AP448" s="40"/>
      <c r="AQ448" s="26"/>
      <c r="AR448" s="26"/>
      <c r="AS448" s="26"/>
      <c r="AT448" s="25"/>
      <c r="AU448" s="30"/>
      <c r="AV448" s="31"/>
    </row>
    <row r="449" spans="8:48" ht="14.25" customHeight="1" x14ac:dyDescent="0.35">
      <c r="H449" s="15"/>
      <c r="K449" s="15"/>
      <c r="N449" s="15"/>
      <c r="Q449" s="13"/>
      <c r="R449" s="13"/>
      <c r="S449" s="13"/>
      <c r="T449" s="13"/>
      <c r="U449" s="13"/>
      <c r="X449" s="15"/>
      <c r="AF449" s="19"/>
      <c r="AJ449" s="35"/>
      <c r="AK449" s="36"/>
      <c r="AN449" s="25"/>
      <c r="AO449" s="26"/>
      <c r="AP449" s="40"/>
      <c r="AQ449" s="26"/>
      <c r="AR449" s="26"/>
      <c r="AS449" s="26"/>
      <c r="AT449" s="25"/>
      <c r="AU449" s="30"/>
      <c r="AV449" s="31"/>
    </row>
    <row r="450" spans="8:48" ht="14.25" customHeight="1" x14ac:dyDescent="0.35">
      <c r="H450" s="15"/>
      <c r="K450" s="15"/>
      <c r="N450" s="15"/>
      <c r="Q450" s="13"/>
      <c r="R450" s="13"/>
      <c r="S450" s="13"/>
      <c r="T450" s="13"/>
      <c r="U450" s="13"/>
      <c r="X450" s="15"/>
      <c r="AF450" s="19"/>
      <c r="AJ450" s="35"/>
      <c r="AK450" s="36"/>
      <c r="AN450" s="25"/>
      <c r="AO450" s="26"/>
      <c r="AP450" s="40"/>
      <c r="AQ450" s="26"/>
      <c r="AR450" s="26"/>
      <c r="AS450" s="26"/>
      <c r="AT450" s="25"/>
      <c r="AU450" s="30"/>
      <c r="AV450" s="31"/>
    </row>
    <row r="451" spans="8:48" ht="14.25" customHeight="1" x14ac:dyDescent="0.35">
      <c r="H451" s="15"/>
      <c r="K451" s="15"/>
      <c r="N451" s="15"/>
      <c r="Q451" s="13"/>
      <c r="R451" s="13"/>
      <c r="S451" s="13"/>
      <c r="T451" s="13"/>
      <c r="U451" s="13"/>
      <c r="X451" s="15"/>
      <c r="AF451" s="19"/>
      <c r="AJ451" s="35"/>
      <c r="AK451" s="36"/>
      <c r="AN451" s="25"/>
      <c r="AO451" s="26"/>
      <c r="AP451" s="40"/>
      <c r="AQ451" s="26"/>
      <c r="AR451" s="26"/>
      <c r="AS451" s="26"/>
      <c r="AT451" s="25"/>
      <c r="AU451" s="30"/>
      <c r="AV451" s="31"/>
    </row>
    <row r="452" spans="8:48" ht="14.25" customHeight="1" x14ac:dyDescent="0.35">
      <c r="H452" s="15"/>
      <c r="K452" s="15"/>
      <c r="N452" s="15"/>
      <c r="Q452" s="13"/>
      <c r="R452" s="13"/>
      <c r="S452" s="13"/>
      <c r="T452" s="13"/>
      <c r="U452" s="13"/>
      <c r="X452" s="15"/>
      <c r="AF452" s="19"/>
      <c r="AJ452" s="35"/>
      <c r="AK452" s="36"/>
      <c r="AN452" s="25"/>
      <c r="AO452" s="26"/>
      <c r="AP452" s="40"/>
      <c r="AQ452" s="26"/>
      <c r="AR452" s="26"/>
      <c r="AS452" s="26"/>
      <c r="AT452" s="25"/>
      <c r="AU452" s="30"/>
      <c r="AV452" s="31"/>
    </row>
    <row r="453" spans="8:48" ht="14.25" customHeight="1" x14ac:dyDescent="0.35">
      <c r="H453" s="15"/>
      <c r="K453" s="15"/>
      <c r="N453" s="15"/>
      <c r="Q453" s="13"/>
      <c r="R453" s="13"/>
      <c r="S453" s="13"/>
      <c r="T453" s="13"/>
      <c r="U453" s="13"/>
      <c r="X453" s="15"/>
      <c r="AF453" s="19"/>
      <c r="AJ453" s="35"/>
      <c r="AK453" s="36"/>
      <c r="AN453" s="25"/>
      <c r="AO453" s="26"/>
      <c r="AP453" s="40"/>
      <c r="AQ453" s="26"/>
      <c r="AR453" s="26"/>
      <c r="AS453" s="26"/>
      <c r="AT453" s="25"/>
      <c r="AU453" s="30"/>
      <c r="AV453" s="31"/>
    </row>
    <row r="454" spans="8:48" ht="14.25" customHeight="1" x14ac:dyDescent="0.35">
      <c r="H454" s="15"/>
      <c r="K454" s="15"/>
      <c r="N454" s="15"/>
      <c r="Q454" s="13"/>
      <c r="R454" s="13"/>
      <c r="S454" s="13"/>
      <c r="T454" s="13"/>
      <c r="U454" s="13"/>
      <c r="X454" s="15"/>
      <c r="AF454" s="19"/>
      <c r="AJ454" s="35"/>
      <c r="AK454" s="36"/>
      <c r="AN454" s="25"/>
      <c r="AO454" s="26"/>
      <c r="AP454" s="40"/>
      <c r="AQ454" s="26"/>
      <c r="AR454" s="26"/>
      <c r="AS454" s="26"/>
      <c r="AT454" s="25"/>
      <c r="AU454" s="30"/>
      <c r="AV454" s="31"/>
    </row>
    <row r="455" spans="8:48" ht="14.25" customHeight="1" x14ac:dyDescent="0.35">
      <c r="H455" s="15"/>
      <c r="K455" s="15"/>
      <c r="N455" s="15"/>
      <c r="Q455" s="13"/>
      <c r="R455" s="13"/>
      <c r="S455" s="13"/>
      <c r="T455" s="13"/>
      <c r="U455" s="13"/>
      <c r="X455" s="15"/>
      <c r="AF455" s="19"/>
      <c r="AJ455" s="35"/>
      <c r="AK455" s="36"/>
      <c r="AN455" s="25"/>
      <c r="AO455" s="26"/>
      <c r="AP455" s="40"/>
      <c r="AQ455" s="26"/>
      <c r="AR455" s="26"/>
      <c r="AS455" s="26"/>
      <c r="AT455" s="25"/>
      <c r="AU455" s="30"/>
      <c r="AV455" s="31"/>
    </row>
    <row r="456" spans="8:48" ht="14.25" customHeight="1" x14ac:dyDescent="0.35">
      <c r="H456" s="15"/>
      <c r="K456" s="15"/>
      <c r="N456" s="15"/>
      <c r="Q456" s="13"/>
      <c r="R456" s="13"/>
      <c r="S456" s="13"/>
      <c r="T456" s="13"/>
      <c r="U456" s="13"/>
      <c r="X456" s="15"/>
      <c r="AF456" s="19"/>
      <c r="AJ456" s="35"/>
      <c r="AK456" s="36"/>
      <c r="AN456" s="25"/>
      <c r="AO456" s="26"/>
      <c r="AP456" s="40"/>
      <c r="AQ456" s="26"/>
      <c r="AR456" s="26"/>
      <c r="AS456" s="26"/>
      <c r="AT456" s="25"/>
      <c r="AU456" s="30"/>
      <c r="AV456" s="31"/>
    </row>
    <row r="457" spans="8:48" ht="14.25" customHeight="1" x14ac:dyDescent="0.35">
      <c r="H457" s="15"/>
      <c r="K457" s="15"/>
      <c r="N457" s="15"/>
      <c r="Q457" s="13"/>
      <c r="R457" s="13"/>
      <c r="S457" s="13"/>
      <c r="T457" s="13"/>
      <c r="U457" s="13"/>
      <c r="X457" s="15"/>
      <c r="AF457" s="19"/>
      <c r="AJ457" s="35"/>
      <c r="AK457" s="36"/>
      <c r="AN457" s="25"/>
      <c r="AO457" s="26"/>
      <c r="AP457" s="40"/>
      <c r="AQ457" s="26"/>
      <c r="AR457" s="26"/>
      <c r="AS457" s="26"/>
      <c r="AT457" s="25"/>
      <c r="AU457" s="30"/>
      <c r="AV457" s="31"/>
    </row>
    <row r="458" spans="8:48" ht="14.25" customHeight="1" x14ac:dyDescent="0.35">
      <c r="H458" s="15"/>
      <c r="K458" s="15"/>
      <c r="N458" s="15"/>
      <c r="Q458" s="13"/>
      <c r="R458" s="13"/>
      <c r="S458" s="13"/>
      <c r="T458" s="13"/>
      <c r="U458" s="13"/>
      <c r="X458" s="15"/>
      <c r="AF458" s="19"/>
      <c r="AJ458" s="35"/>
      <c r="AK458" s="36"/>
      <c r="AN458" s="25"/>
      <c r="AO458" s="26"/>
      <c r="AP458" s="40"/>
      <c r="AQ458" s="26"/>
      <c r="AR458" s="26"/>
      <c r="AS458" s="26"/>
      <c r="AT458" s="25"/>
      <c r="AU458" s="30"/>
      <c r="AV458" s="31"/>
    </row>
    <row r="459" spans="8:48" ht="14.25" customHeight="1" x14ac:dyDescent="0.35">
      <c r="H459" s="15"/>
      <c r="K459" s="15"/>
      <c r="N459" s="15"/>
      <c r="Q459" s="13"/>
      <c r="R459" s="13"/>
      <c r="S459" s="13"/>
      <c r="T459" s="13"/>
      <c r="U459" s="13"/>
      <c r="X459" s="15"/>
      <c r="AF459" s="19"/>
      <c r="AJ459" s="35"/>
      <c r="AK459" s="36"/>
      <c r="AN459" s="25"/>
      <c r="AO459" s="26"/>
      <c r="AP459" s="40"/>
      <c r="AQ459" s="26"/>
      <c r="AR459" s="26"/>
      <c r="AS459" s="26"/>
      <c r="AT459" s="25"/>
      <c r="AU459" s="30"/>
      <c r="AV459" s="31"/>
    </row>
    <row r="460" spans="8:48" ht="14.25" customHeight="1" x14ac:dyDescent="0.35">
      <c r="H460" s="15"/>
      <c r="K460" s="15"/>
      <c r="N460" s="15"/>
      <c r="Q460" s="13"/>
      <c r="R460" s="13"/>
      <c r="S460" s="13"/>
      <c r="T460" s="13"/>
      <c r="U460" s="13"/>
      <c r="X460" s="15"/>
      <c r="AF460" s="19"/>
      <c r="AJ460" s="35"/>
      <c r="AK460" s="36"/>
      <c r="AN460" s="25"/>
      <c r="AO460" s="26"/>
      <c r="AP460" s="40"/>
      <c r="AQ460" s="26"/>
      <c r="AR460" s="26"/>
      <c r="AS460" s="26"/>
      <c r="AT460" s="25"/>
      <c r="AU460" s="30"/>
      <c r="AV460" s="31"/>
    </row>
    <row r="461" spans="8:48" ht="14.25" customHeight="1" x14ac:dyDescent="0.35">
      <c r="H461" s="15"/>
      <c r="K461" s="15"/>
      <c r="N461" s="15"/>
      <c r="Q461" s="13"/>
      <c r="R461" s="13"/>
      <c r="S461" s="13"/>
      <c r="T461" s="13"/>
      <c r="U461" s="13"/>
      <c r="X461" s="15"/>
      <c r="AF461" s="19"/>
      <c r="AJ461" s="35"/>
      <c r="AK461" s="36"/>
      <c r="AN461" s="25"/>
      <c r="AO461" s="26"/>
      <c r="AP461" s="40"/>
      <c r="AQ461" s="26"/>
      <c r="AR461" s="26"/>
      <c r="AS461" s="26"/>
      <c r="AT461" s="25"/>
      <c r="AU461" s="30"/>
      <c r="AV461" s="31"/>
    </row>
    <row r="462" spans="8:48" ht="14.25" customHeight="1" x14ac:dyDescent="0.35">
      <c r="H462" s="15"/>
      <c r="K462" s="15"/>
      <c r="N462" s="15"/>
      <c r="Q462" s="13"/>
      <c r="R462" s="13"/>
      <c r="S462" s="13"/>
      <c r="T462" s="13"/>
      <c r="U462" s="13"/>
      <c r="X462" s="15"/>
      <c r="AF462" s="19"/>
      <c r="AJ462" s="35"/>
      <c r="AK462" s="36"/>
      <c r="AN462" s="25"/>
      <c r="AO462" s="26"/>
      <c r="AP462" s="40"/>
      <c r="AQ462" s="26"/>
      <c r="AR462" s="26"/>
      <c r="AS462" s="26"/>
      <c r="AT462" s="25"/>
      <c r="AU462" s="30"/>
      <c r="AV462" s="31"/>
    </row>
    <row r="463" spans="8:48" ht="14.25" customHeight="1" x14ac:dyDescent="0.35">
      <c r="H463" s="15"/>
      <c r="K463" s="15"/>
      <c r="N463" s="15"/>
      <c r="Q463" s="13"/>
      <c r="R463" s="13"/>
      <c r="S463" s="13"/>
      <c r="T463" s="13"/>
      <c r="U463" s="13"/>
      <c r="X463" s="15"/>
      <c r="AF463" s="19"/>
      <c r="AJ463" s="35"/>
      <c r="AK463" s="36"/>
      <c r="AN463" s="25"/>
      <c r="AO463" s="26"/>
      <c r="AP463" s="40"/>
      <c r="AQ463" s="26"/>
      <c r="AR463" s="26"/>
      <c r="AS463" s="26"/>
      <c r="AT463" s="25"/>
      <c r="AU463" s="30"/>
      <c r="AV463" s="31"/>
    </row>
    <row r="464" spans="8:48" ht="14.25" customHeight="1" x14ac:dyDescent="0.35">
      <c r="H464" s="15"/>
      <c r="K464" s="15"/>
      <c r="N464" s="15"/>
      <c r="Q464" s="13"/>
      <c r="R464" s="13"/>
      <c r="S464" s="13"/>
      <c r="T464" s="13"/>
      <c r="U464" s="13"/>
      <c r="X464" s="15"/>
      <c r="AF464" s="19"/>
      <c r="AJ464" s="35"/>
      <c r="AK464" s="36"/>
      <c r="AN464" s="25"/>
      <c r="AO464" s="26"/>
      <c r="AP464" s="40"/>
      <c r="AQ464" s="26"/>
      <c r="AR464" s="26"/>
      <c r="AS464" s="26"/>
      <c r="AT464" s="25"/>
      <c r="AU464" s="30"/>
      <c r="AV464" s="31"/>
    </row>
    <row r="465" spans="8:48" ht="14.25" customHeight="1" x14ac:dyDescent="0.35">
      <c r="H465" s="15"/>
      <c r="K465" s="15"/>
      <c r="N465" s="15"/>
      <c r="Q465" s="13"/>
      <c r="R465" s="13"/>
      <c r="S465" s="13"/>
      <c r="T465" s="13"/>
      <c r="U465" s="13"/>
      <c r="X465" s="15"/>
      <c r="AF465" s="19"/>
      <c r="AJ465" s="35"/>
      <c r="AK465" s="36"/>
      <c r="AN465" s="25"/>
      <c r="AO465" s="26"/>
      <c r="AP465" s="40"/>
      <c r="AQ465" s="26"/>
      <c r="AR465" s="26"/>
      <c r="AS465" s="26"/>
      <c r="AT465" s="25"/>
      <c r="AU465" s="30"/>
      <c r="AV465" s="31"/>
    </row>
    <row r="466" spans="8:48" ht="14.25" customHeight="1" x14ac:dyDescent="0.35">
      <c r="H466" s="15"/>
      <c r="K466" s="15"/>
      <c r="N466" s="15"/>
      <c r="Q466" s="13"/>
      <c r="R466" s="13"/>
      <c r="S466" s="13"/>
      <c r="T466" s="13"/>
      <c r="U466" s="13"/>
      <c r="X466" s="15"/>
      <c r="AF466" s="19"/>
      <c r="AJ466" s="35"/>
      <c r="AK466" s="36"/>
      <c r="AN466" s="25"/>
      <c r="AO466" s="26"/>
      <c r="AP466" s="40"/>
      <c r="AQ466" s="26"/>
      <c r="AR466" s="26"/>
      <c r="AS466" s="26"/>
      <c r="AT466" s="25"/>
      <c r="AU466" s="30"/>
      <c r="AV466" s="31"/>
    </row>
    <row r="467" spans="8:48" ht="14.25" customHeight="1" x14ac:dyDescent="0.35">
      <c r="H467" s="15"/>
      <c r="K467" s="15"/>
      <c r="N467" s="15"/>
      <c r="Q467" s="13"/>
      <c r="R467" s="13"/>
      <c r="S467" s="13"/>
      <c r="T467" s="13"/>
      <c r="U467" s="13"/>
      <c r="X467" s="15"/>
      <c r="AF467" s="19"/>
      <c r="AJ467" s="35"/>
      <c r="AK467" s="36"/>
      <c r="AN467" s="25"/>
      <c r="AO467" s="26"/>
      <c r="AP467" s="40"/>
      <c r="AQ467" s="26"/>
      <c r="AR467" s="26"/>
      <c r="AS467" s="26"/>
      <c r="AT467" s="25"/>
      <c r="AU467" s="30"/>
      <c r="AV467" s="31"/>
    </row>
    <row r="468" spans="8:48" ht="14.25" customHeight="1" x14ac:dyDescent="0.35">
      <c r="H468" s="15"/>
      <c r="K468" s="15"/>
      <c r="N468" s="15"/>
      <c r="Q468" s="13"/>
      <c r="R468" s="13"/>
      <c r="S468" s="13"/>
      <c r="T468" s="13"/>
      <c r="U468" s="13"/>
      <c r="X468" s="15"/>
      <c r="AF468" s="19"/>
      <c r="AJ468" s="35"/>
      <c r="AK468" s="36"/>
      <c r="AN468" s="25"/>
      <c r="AO468" s="26"/>
      <c r="AP468" s="40"/>
      <c r="AQ468" s="26"/>
      <c r="AR468" s="26"/>
      <c r="AS468" s="26"/>
      <c r="AT468" s="25"/>
      <c r="AU468" s="30"/>
      <c r="AV468" s="31"/>
    </row>
    <row r="469" spans="8:48" ht="14.25" customHeight="1" x14ac:dyDescent="0.35">
      <c r="H469" s="15"/>
      <c r="K469" s="15"/>
      <c r="N469" s="15"/>
      <c r="Q469" s="13"/>
      <c r="R469" s="13"/>
      <c r="S469" s="13"/>
      <c r="T469" s="13"/>
      <c r="U469" s="13"/>
      <c r="X469" s="15"/>
      <c r="AF469" s="19"/>
      <c r="AJ469" s="35"/>
      <c r="AK469" s="36"/>
      <c r="AN469" s="25"/>
      <c r="AO469" s="26"/>
      <c r="AP469" s="40"/>
      <c r="AQ469" s="26"/>
      <c r="AR469" s="26"/>
      <c r="AS469" s="26"/>
      <c r="AT469" s="25"/>
      <c r="AU469" s="30"/>
      <c r="AV469" s="31"/>
    </row>
    <row r="470" spans="8:48" ht="14.25" customHeight="1" x14ac:dyDescent="0.35">
      <c r="H470" s="15"/>
      <c r="K470" s="15"/>
      <c r="N470" s="15"/>
      <c r="Q470" s="13"/>
      <c r="R470" s="13"/>
      <c r="S470" s="13"/>
      <c r="T470" s="13"/>
      <c r="U470" s="13"/>
      <c r="X470" s="15"/>
      <c r="AF470" s="19"/>
      <c r="AJ470" s="35"/>
      <c r="AK470" s="36"/>
      <c r="AN470" s="25"/>
      <c r="AO470" s="26"/>
      <c r="AP470" s="40"/>
      <c r="AQ470" s="26"/>
      <c r="AR470" s="26"/>
      <c r="AS470" s="26"/>
      <c r="AT470" s="25"/>
      <c r="AU470" s="30"/>
      <c r="AV470" s="31"/>
    </row>
    <row r="471" spans="8:48" ht="14.25" customHeight="1" x14ac:dyDescent="0.35">
      <c r="H471" s="15"/>
      <c r="K471" s="15"/>
      <c r="N471" s="15"/>
      <c r="Q471" s="13"/>
      <c r="R471" s="13"/>
      <c r="S471" s="13"/>
      <c r="T471" s="13"/>
      <c r="U471" s="13"/>
      <c r="X471" s="15"/>
      <c r="AF471" s="19"/>
      <c r="AJ471" s="35"/>
      <c r="AK471" s="36"/>
      <c r="AN471" s="25"/>
      <c r="AO471" s="26"/>
      <c r="AP471" s="40"/>
      <c r="AQ471" s="26"/>
      <c r="AR471" s="26"/>
      <c r="AS471" s="26"/>
      <c r="AT471" s="25"/>
      <c r="AU471" s="30"/>
      <c r="AV471" s="31"/>
    </row>
    <row r="472" spans="8:48" ht="14.25" customHeight="1" x14ac:dyDescent="0.35">
      <c r="H472" s="15"/>
      <c r="K472" s="15"/>
      <c r="N472" s="15"/>
      <c r="Q472" s="13"/>
      <c r="R472" s="13"/>
      <c r="S472" s="13"/>
      <c r="T472" s="13"/>
      <c r="U472" s="13"/>
      <c r="X472" s="15"/>
      <c r="AF472" s="19"/>
      <c r="AJ472" s="35"/>
      <c r="AK472" s="36"/>
      <c r="AN472" s="25"/>
      <c r="AO472" s="26"/>
      <c r="AP472" s="40"/>
      <c r="AQ472" s="26"/>
      <c r="AR472" s="26"/>
      <c r="AS472" s="26"/>
      <c r="AT472" s="25"/>
      <c r="AU472" s="30"/>
      <c r="AV472" s="31"/>
    </row>
    <row r="473" spans="8:48" ht="14.25" customHeight="1" x14ac:dyDescent="0.35">
      <c r="H473" s="15"/>
      <c r="K473" s="15"/>
      <c r="N473" s="15"/>
      <c r="Q473" s="13"/>
      <c r="R473" s="13"/>
      <c r="S473" s="13"/>
      <c r="T473" s="13"/>
      <c r="U473" s="13"/>
      <c r="X473" s="15"/>
      <c r="AF473" s="19"/>
      <c r="AJ473" s="35"/>
      <c r="AK473" s="36"/>
      <c r="AN473" s="25"/>
      <c r="AO473" s="26"/>
      <c r="AP473" s="40"/>
      <c r="AQ473" s="26"/>
      <c r="AR473" s="26"/>
      <c r="AS473" s="26"/>
      <c r="AT473" s="25"/>
      <c r="AU473" s="30"/>
      <c r="AV473" s="31"/>
    </row>
    <row r="474" spans="8:48" ht="14.25" customHeight="1" x14ac:dyDescent="0.35">
      <c r="H474" s="15"/>
      <c r="K474" s="15"/>
      <c r="N474" s="15"/>
      <c r="Q474" s="13"/>
      <c r="R474" s="13"/>
      <c r="S474" s="13"/>
      <c r="T474" s="13"/>
      <c r="U474" s="13"/>
      <c r="X474" s="15"/>
      <c r="AF474" s="19"/>
      <c r="AJ474" s="35"/>
      <c r="AK474" s="36"/>
      <c r="AN474" s="25"/>
      <c r="AO474" s="26"/>
      <c r="AP474" s="40"/>
      <c r="AQ474" s="26"/>
      <c r="AR474" s="26"/>
      <c r="AS474" s="26"/>
      <c r="AT474" s="25"/>
      <c r="AU474" s="30"/>
      <c r="AV474" s="31"/>
    </row>
    <row r="475" spans="8:48" ht="14.25" customHeight="1" x14ac:dyDescent="0.35">
      <c r="H475" s="15"/>
      <c r="K475" s="15"/>
      <c r="N475" s="15"/>
      <c r="Q475" s="13"/>
      <c r="R475" s="13"/>
      <c r="S475" s="13"/>
      <c r="T475" s="13"/>
      <c r="U475" s="13"/>
      <c r="X475" s="15"/>
      <c r="AF475" s="19"/>
      <c r="AJ475" s="35"/>
      <c r="AK475" s="36"/>
      <c r="AN475" s="25"/>
      <c r="AO475" s="26"/>
      <c r="AP475" s="40"/>
      <c r="AQ475" s="26"/>
      <c r="AR475" s="26"/>
      <c r="AS475" s="26"/>
      <c r="AT475" s="25"/>
      <c r="AU475" s="30"/>
      <c r="AV475" s="31"/>
    </row>
    <row r="476" spans="8:48" ht="14.25" customHeight="1" x14ac:dyDescent="0.35">
      <c r="H476" s="15"/>
      <c r="K476" s="15"/>
      <c r="N476" s="15"/>
      <c r="Q476" s="13"/>
      <c r="R476" s="13"/>
      <c r="S476" s="13"/>
      <c r="T476" s="13"/>
      <c r="U476" s="13"/>
      <c r="X476" s="15"/>
      <c r="AF476" s="19"/>
      <c r="AJ476" s="35"/>
      <c r="AK476" s="36"/>
      <c r="AN476" s="25"/>
      <c r="AO476" s="26"/>
      <c r="AP476" s="40"/>
      <c r="AQ476" s="26"/>
      <c r="AR476" s="26"/>
      <c r="AS476" s="26"/>
      <c r="AT476" s="25"/>
      <c r="AU476" s="30"/>
      <c r="AV476" s="31"/>
    </row>
    <row r="477" spans="8:48" ht="14.25" customHeight="1" x14ac:dyDescent="0.35">
      <c r="H477" s="15"/>
      <c r="K477" s="15"/>
      <c r="N477" s="15"/>
      <c r="Q477" s="13"/>
      <c r="R477" s="13"/>
      <c r="S477" s="13"/>
      <c r="T477" s="13"/>
      <c r="U477" s="13"/>
      <c r="X477" s="15"/>
      <c r="AF477" s="19"/>
      <c r="AJ477" s="35"/>
      <c r="AK477" s="36"/>
      <c r="AN477" s="25"/>
      <c r="AO477" s="26"/>
      <c r="AP477" s="40"/>
      <c r="AQ477" s="26"/>
      <c r="AR477" s="26"/>
      <c r="AS477" s="26"/>
      <c r="AT477" s="25"/>
      <c r="AU477" s="30"/>
      <c r="AV477" s="31"/>
    </row>
    <row r="478" spans="8:48" ht="14.25" customHeight="1" x14ac:dyDescent="0.35">
      <c r="H478" s="15"/>
      <c r="K478" s="15"/>
      <c r="N478" s="15"/>
      <c r="Q478" s="13"/>
      <c r="R478" s="13"/>
      <c r="S478" s="13"/>
      <c r="T478" s="13"/>
      <c r="U478" s="13"/>
      <c r="X478" s="15"/>
      <c r="AF478" s="19"/>
      <c r="AJ478" s="35"/>
      <c r="AK478" s="36"/>
      <c r="AN478" s="25"/>
      <c r="AO478" s="26"/>
      <c r="AP478" s="40"/>
      <c r="AQ478" s="26"/>
      <c r="AR478" s="26"/>
      <c r="AS478" s="26"/>
      <c r="AT478" s="25"/>
      <c r="AU478" s="30"/>
      <c r="AV478" s="31"/>
    </row>
    <row r="479" spans="8:48" ht="14.25" customHeight="1" x14ac:dyDescent="0.35">
      <c r="H479" s="15"/>
      <c r="K479" s="15"/>
      <c r="N479" s="15"/>
      <c r="Q479" s="13"/>
      <c r="R479" s="13"/>
      <c r="S479" s="13"/>
      <c r="T479" s="13"/>
      <c r="U479" s="13"/>
      <c r="X479" s="15"/>
      <c r="AF479" s="19"/>
      <c r="AJ479" s="35"/>
      <c r="AK479" s="36"/>
      <c r="AN479" s="25"/>
      <c r="AO479" s="26"/>
      <c r="AP479" s="40"/>
      <c r="AQ479" s="26"/>
      <c r="AR479" s="26"/>
      <c r="AS479" s="26"/>
      <c r="AT479" s="25"/>
      <c r="AU479" s="30"/>
      <c r="AV479" s="31"/>
    </row>
    <row r="480" spans="8:48" ht="14.25" customHeight="1" x14ac:dyDescent="0.35">
      <c r="H480" s="15"/>
      <c r="K480" s="15"/>
      <c r="N480" s="15"/>
      <c r="Q480" s="13"/>
      <c r="R480" s="13"/>
      <c r="S480" s="13"/>
      <c r="T480" s="13"/>
      <c r="U480" s="13"/>
      <c r="X480" s="15"/>
      <c r="AF480" s="19"/>
      <c r="AJ480" s="35"/>
      <c r="AK480" s="36"/>
      <c r="AN480" s="25"/>
      <c r="AO480" s="26"/>
      <c r="AP480" s="40"/>
      <c r="AQ480" s="26"/>
      <c r="AR480" s="26"/>
      <c r="AS480" s="26"/>
      <c r="AT480" s="25"/>
      <c r="AU480" s="30"/>
      <c r="AV480" s="31"/>
    </row>
    <row r="481" spans="8:48" ht="14.25" customHeight="1" x14ac:dyDescent="0.35">
      <c r="H481" s="15"/>
      <c r="K481" s="15"/>
      <c r="N481" s="15"/>
      <c r="Q481" s="13"/>
      <c r="R481" s="13"/>
      <c r="S481" s="13"/>
      <c r="T481" s="13"/>
      <c r="U481" s="13"/>
      <c r="X481" s="15"/>
      <c r="AF481" s="19"/>
      <c r="AJ481" s="35"/>
      <c r="AK481" s="36"/>
      <c r="AN481" s="25"/>
      <c r="AO481" s="26"/>
      <c r="AP481" s="40"/>
      <c r="AQ481" s="26"/>
      <c r="AR481" s="26"/>
      <c r="AS481" s="26"/>
      <c r="AT481" s="25"/>
      <c r="AU481" s="30"/>
      <c r="AV481" s="31"/>
    </row>
    <row r="482" spans="8:48" ht="14.25" customHeight="1" x14ac:dyDescent="0.35">
      <c r="H482" s="15"/>
      <c r="K482" s="15"/>
      <c r="N482" s="15"/>
      <c r="Q482" s="13"/>
      <c r="R482" s="13"/>
      <c r="S482" s="13"/>
      <c r="T482" s="13"/>
      <c r="U482" s="13"/>
      <c r="X482" s="15"/>
      <c r="AF482" s="19"/>
      <c r="AJ482" s="35"/>
      <c r="AK482" s="36"/>
      <c r="AN482" s="25"/>
      <c r="AO482" s="26"/>
      <c r="AP482" s="40"/>
      <c r="AQ482" s="26"/>
      <c r="AR482" s="26"/>
      <c r="AS482" s="26"/>
      <c r="AT482" s="25"/>
      <c r="AU482" s="30"/>
      <c r="AV482" s="31"/>
    </row>
    <row r="483" spans="8:48" ht="14.25" customHeight="1" x14ac:dyDescent="0.35">
      <c r="H483" s="15"/>
      <c r="K483" s="15"/>
      <c r="N483" s="15"/>
      <c r="Q483" s="13"/>
      <c r="R483" s="13"/>
      <c r="S483" s="13"/>
      <c r="T483" s="13"/>
      <c r="U483" s="13"/>
      <c r="X483" s="15"/>
      <c r="AF483" s="19"/>
      <c r="AJ483" s="35"/>
      <c r="AK483" s="36"/>
      <c r="AN483" s="25"/>
      <c r="AO483" s="26"/>
      <c r="AP483" s="40"/>
      <c r="AQ483" s="26"/>
      <c r="AR483" s="26"/>
      <c r="AS483" s="26"/>
      <c r="AT483" s="25"/>
      <c r="AU483" s="30"/>
      <c r="AV483" s="31"/>
    </row>
    <row r="484" spans="8:48" ht="14.25" customHeight="1" x14ac:dyDescent="0.35">
      <c r="H484" s="15"/>
      <c r="K484" s="15"/>
      <c r="N484" s="15"/>
      <c r="Q484" s="13"/>
      <c r="R484" s="13"/>
      <c r="S484" s="13"/>
      <c r="T484" s="13"/>
      <c r="U484" s="13"/>
      <c r="X484" s="15"/>
      <c r="AF484" s="19"/>
      <c r="AJ484" s="35"/>
      <c r="AK484" s="36"/>
      <c r="AN484" s="25"/>
      <c r="AO484" s="26"/>
      <c r="AP484" s="40"/>
      <c r="AQ484" s="26"/>
      <c r="AR484" s="26"/>
      <c r="AS484" s="26"/>
      <c r="AT484" s="25"/>
      <c r="AU484" s="30"/>
      <c r="AV484" s="31"/>
    </row>
    <row r="485" spans="8:48" ht="14.25" customHeight="1" x14ac:dyDescent="0.35">
      <c r="H485" s="15"/>
      <c r="K485" s="15"/>
      <c r="N485" s="15"/>
      <c r="Q485" s="13"/>
      <c r="R485" s="13"/>
      <c r="S485" s="13"/>
      <c r="T485" s="13"/>
      <c r="U485" s="13"/>
      <c r="X485" s="15"/>
      <c r="AF485" s="19"/>
      <c r="AJ485" s="35"/>
      <c r="AK485" s="36"/>
      <c r="AN485" s="25"/>
      <c r="AO485" s="26"/>
      <c r="AP485" s="40"/>
      <c r="AQ485" s="26"/>
      <c r="AR485" s="26"/>
      <c r="AS485" s="26"/>
      <c r="AT485" s="25"/>
      <c r="AU485" s="30"/>
      <c r="AV485" s="31"/>
    </row>
    <row r="486" spans="8:48" ht="14.25" customHeight="1" x14ac:dyDescent="0.35">
      <c r="H486" s="15"/>
      <c r="K486" s="15"/>
      <c r="N486" s="15"/>
      <c r="Q486" s="13"/>
      <c r="R486" s="13"/>
      <c r="S486" s="13"/>
      <c r="T486" s="13"/>
      <c r="U486" s="13"/>
      <c r="X486" s="15"/>
      <c r="AF486" s="19"/>
      <c r="AJ486" s="35"/>
      <c r="AK486" s="36"/>
      <c r="AN486" s="25"/>
      <c r="AO486" s="26"/>
      <c r="AP486" s="40"/>
      <c r="AQ486" s="26"/>
      <c r="AR486" s="26"/>
      <c r="AS486" s="26"/>
      <c r="AT486" s="25"/>
      <c r="AU486" s="30"/>
      <c r="AV486" s="31"/>
    </row>
    <row r="487" spans="8:48" ht="14.25" customHeight="1" x14ac:dyDescent="0.35">
      <c r="H487" s="15"/>
      <c r="K487" s="15"/>
      <c r="N487" s="15"/>
      <c r="Q487" s="13"/>
      <c r="R487" s="13"/>
      <c r="S487" s="13"/>
      <c r="T487" s="13"/>
      <c r="U487" s="13"/>
      <c r="X487" s="15"/>
      <c r="AF487" s="19"/>
      <c r="AJ487" s="35"/>
      <c r="AK487" s="36"/>
      <c r="AN487" s="25"/>
      <c r="AO487" s="26"/>
      <c r="AP487" s="40"/>
      <c r="AQ487" s="26"/>
      <c r="AR487" s="26"/>
      <c r="AS487" s="26"/>
      <c r="AT487" s="25"/>
      <c r="AU487" s="30"/>
      <c r="AV487" s="31"/>
    </row>
    <row r="488" spans="8:48" ht="14.25" customHeight="1" x14ac:dyDescent="0.35">
      <c r="H488" s="15"/>
      <c r="K488" s="15"/>
      <c r="N488" s="15"/>
      <c r="Q488" s="13"/>
      <c r="R488" s="13"/>
      <c r="S488" s="13"/>
      <c r="T488" s="13"/>
      <c r="U488" s="13"/>
      <c r="X488" s="15"/>
      <c r="AF488" s="19"/>
      <c r="AJ488" s="35"/>
      <c r="AK488" s="36"/>
      <c r="AN488" s="25"/>
      <c r="AO488" s="26"/>
      <c r="AP488" s="40"/>
      <c r="AQ488" s="26"/>
      <c r="AR488" s="26"/>
      <c r="AS488" s="26"/>
      <c r="AT488" s="25"/>
      <c r="AU488" s="30"/>
      <c r="AV488" s="31"/>
    </row>
    <row r="489" spans="8:48" ht="14.25" customHeight="1" x14ac:dyDescent="0.35">
      <c r="H489" s="15"/>
      <c r="K489" s="15"/>
      <c r="N489" s="15"/>
      <c r="Q489" s="13"/>
      <c r="R489" s="13"/>
      <c r="S489" s="13"/>
      <c r="T489" s="13"/>
      <c r="U489" s="13"/>
      <c r="X489" s="15"/>
      <c r="AF489" s="19"/>
      <c r="AJ489" s="35"/>
      <c r="AK489" s="36"/>
      <c r="AN489" s="25"/>
      <c r="AO489" s="26"/>
      <c r="AP489" s="40"/>
      <c r="AQ489" s="26"/>
      <c r="AR489" s="26"/>
      <c r="AS489" s="26"/>
      <c r="AT489" s="25"/>
      <c r="AU489" s="30"/>
      <c r="AV489" s="31"/>
    </row>
    <row r="490" spans="8:48" ht="14.25" customHeight="1" x14ac:dyDescent="0.35">
      <c r="H490" s="15"/>
      <c r="K490" s="15"/>
      <c r="N490" s="15"/>
      <c r="Q490" s="13"/>
      <c r="R490" s="13"/>
      <c r="S490" s="13"/>
      <c r="T490" s="13"/>
      <c r="U490" s="13"/>
      <c r="X490" s="15"/>
      <c r="AF490" s="19"/>
      <c r="AJ490" s="35"/>
      <c r="AK490" s="36"/>
      <c r="AN490" s="25"/>
      <c r="AO490" s="26"/>
      <c r="AP490" s="40"/>
      <c r="AQ490" s="26"/>
      <c r="AR490" s="26"/>
      <c r="AS490" s="26"/>
      <c r="AT490" s="25"/>
      <c r="AU490" s="30"/>
      <c r="AV490" s="31"/>
    </row>
    <row r="491" spans="8:48" ht="14.25" customHeight="1" x14ac:dyDescent="0.35">
      <c r="H491" s="15"/>
      <c r="K491" s="15"/>
      <c r="N491" s="15"/>
      <c r="Q491" s="13"/>
      <c r="R491" s="13"/>
      <c r="S491" s="13"/>
      <c r="T491" s="13"/>
      <c r="U491" s="13"/>
      <c r="X491" s="15"/>
      <c r="AF491" s="19"/>
      <c r="AJ491" s="35"/>
      <c r="AK491" s="36"/>
      <c r="AN491" s="25"/>
      <c r="AO491" s="26"/>
      <c r="AP491" s="40"/>
      <c r="AQ491" s="26"/>
      <c r="AR491" s="26"/>
      <c r="AS491" s="26"/>
      <c r="AT491" s="25"/>
      <c r="AU491" s="30"/>
      <c r="AV491" s="31"/>
    </row>
    <row r="492" spans="8:48" ht="14.25" customHeight="1" x14ac:dyDescent="0.35">
      <c r="H492" s="15"/>
      <c r="K492" s="15"/>
      <c r="N492" s="15"/>
      <c r="Q492" s="13"/>
      <c r="R492" s="13"/>
      <c r="S492" s="13"/>
      <c r="T492" s="13"/>
      <c r="U492" s="13"/>
      <c r="X492" s="15"/>
      <c r="AF492" s="19"/>
      <c r="AJ492" s="35"/>
      <c r="AK492" s="36"/>
      <c r="AN492" s="25"/>
      <c r="AO492" s="26"/>
      <c r="AP492" s="40"/>
      <c r="AQ492" s="26"/>
      <c r="AR492" s="26"/>
      <c r="AS492" s="26"/>
      <c r="AT492" s="25"/>
      <c r="AU492" s="30"/>
      <c r="AV492" s="31"/>
    </row>
    <row r="493" spans="8:48" ht="14.25" customHeight="1" x14ac:dyDescent="0.35">
      <c r="H493" s="15"/>
      <c r="K493" s="15"/>
      <c r="N493" s="15"/>
      <c r="Q493" s="13"/>
      <c r="R493" s="13"/>
      <c r="S493" s="13"/>
      <c r="T493" s="13"/>
      <c r="U493" s="13"/>
      <c r="X493" s="15"/>
      <c r="AF493" s="19"/>
      <c r="AJ493" s="35"/>
      <c r="AK493" s="36"/>
      <c r="AN493" s="25"/>
      <c r="AO493" s="26"/>
      <c r="AP493" s="40"/>
      <c r="AQ493" s="26"/>
      <c r="AR493" s="26"/>
      <c r="AS493" s="26"/>
      <c r="AT493" s="25"/>
      <c r="AU493" s="30"/>
      <c r="AV493" s="31"/>
    </row>
    <row r="494" spans="8:48" ht="14.25" customHeight="1" x14ac:dyDescent="0.35">
      <c r="H494" s="15"/>
      <c r="K494" s="15"/>
      <c r="N494" s="15"/>
      <c r="Q494" s="13"/>
      <c r="R494" s="13"/>
      <c r="S494" s="13"/>
      <c r="T494" s="13"/>
      <c r="U494" s="13"/>
      <c r="X494" s="15"/>
      <c r="AF494" s="19"/>
      <c r="AJ494" s="35"/>
      <c r="AK494" s="36"/>
      <c r="AN494" s="25"/>
      <c r="AO494" s="26"/>
      <c r="AP494" s="40"/>
      <c r="AQ494" s="26"/>
      <c r="AR494" s="26"/>
      <c r="AS494" s="26"/>
      <c r="AT494" s="25"/>
      <c r="AU494" s="30"/>
      <c r="AV494" s="31"/>
    </row>
    <row r="495" spans="8:48" ht="14.25" customHeight="1" x14ac:dyDescent="0.35">
      <c r="H495" s="15"/>
      <c r="K495" s="15"/>
      <c r="N495" s="15"/>
      <c r="Q495" s="13"/>
      <c r="R495" s="13"/>
      <c r="S495" s="13"/>
      <c r="T495" s="13"/>
      <c r="U495" s="13"/>
      <c r="X495" s="15"/>
      <c r="AF495" s="19"/>
      <c r="AJ495" s="35"/>
      <c r="AK495" s="36"/>
      <c r="AN495" s="25"/>
      <c r="AO495" s="26"/>
      <c r="AP495" s="40"/>
      <c r="AQ495" s="26"/>
      <c r="AR495" s="26"/>
      <c r="AS495" s="26"/>
      <c r="AT495" s="25"/>
      <c r="AU495" s="30"/>
      <c r="AV495" s="31"/>
    </row>
    <row r="496" spans="8:48" ht="14.25" customHeight="1" x14ac:dyDescent="0.35">
      <c r="H496" s="15"/>
      <c r="K496" s="15"/>
      <c r="N496" s="15"/>
      <c r="Q496" s="13"/>
      <c r="R496" s="13"/>
      <c r="S496" s="13"/>
      <c r="T496" s="13"/>
      <c r="U496" s="13"/>
      <c r="X496" s="15"/>
      <c r="AF496" s="19"/>
      <c r="AJ496" s="35"/>
      <c r="AK496" s="36"/>
      <c r="AN496" s="25"/>
      <c r="AO496" s="26"/>
      <c r="AP496" s="40"/>
      <c r="AQ496" s="26"/>
      <c r="AR496" s="26"/>
      <c r="AS496" s="26"/>
      <c r="AT496" s="25"/>
      <c r="AU496" s="30"/>
      <c r="AV496" s="31"/>
    </row>
    <row r="497" spans="8:48" ht="14.25" customHeight="1" x14ac:dyDescent="0.35">
      <c r="H497" s="15"/>
      <c r="K497" s="15"/>
      <c r="N497" s="15"/>
      <c r="Q497" s="13"/>
      <c r="R497" s="13"/>
      <c r="S497" s="13"/>
      <c r="T497" s="13"/>
      <c r="U497" s="13"/>
      <c r="X497" s="15"/>
      <c r="AF497" s="19"/>
      <c r="AJ497" s="35"/>
      <c r="AK497" s="36"/>
      <c r="AN497" s="25"/>
      <c r="AO497" s="26"/>
      <c r="AP497" s="40"/>
      <c r="AQ497" s="26"/>
      <c r="AR497" s="26"/>
      <c r="AS497" s="26"/>
      <c r="AT497" s="25"/>
      <c r="AU497" s="30"/>
      <c r="AV497" s="31"/>
    </row>
    <row r="498" spans="8:48" ht="14.25" customHeight="1" x14ac:dyDescent="0.35">
      <c r="H498" s="15"/>
      <c r="K498" s="15"/>
      <c r="N498" s="15"/>
      <c r="Q498" s="13"/>
      <c r="R498" s="13"/>
      <c r="S498" s="13"/>
      <c r="T498" s="13"/>
      <c r="U498" s="13"/>
      <c r="X498" s="15"/>
      <c r="AF498" s="19"/>
      <c r="AJ498" s="35"/>
      <c r="AK498" s="36"/>
      <c r="AN498" s="25"/>
      <c r="AO498" s="26"/>
      <c r="AP498" s="40"/>
      <c r="AQ498" s="26"/>
      <c r="AR498" s="26"/>
      <c r="AS498" s="26"/>
      <c r="AT498" s="25"/>
      <c r="AU498" s="30"/>
      <c r="AV498" s="31"/>
    </row>
    <row r="499" spans="8:48" ht="14.25" customHeight="1" x14ac:dyDescent="0.35">
      <c r="H499" s="15"/>
      <c r="K499" s="15"/>
      <c r="N499" s="15"/>
      <c r="Q499" s="13"/>
      <c r="R499" s="13"/>
      <c r="S499" s="13"/>
      <c r="T499" s="13"/>
      <c r="U499" s="13"/>
      <c r="X499" s="15"/>
      <c r="AF499" s="19"/>
      <c r="AJ499" s="35"/>
      <c r="AK499" s="36"/>
      <c r="AN499" s="25"/>
      <c r="AO499" s="26"/>
      <c r="AP499" s="40"/>
      <c r="AQ499" s="26"/>
      <c r="AR499" s="26"/>
      <c r="AS499" s="26"/>
      <c r="AT499" s="25"/>
      <c r="AU499" s="30"/>
      <c r="AV499" s="31"/>
    </row>
    <row r="500" spans="8:48" ht="14.25" customHeight="1" x14ac:dyDescent="0.35">
      <c r="H500" s="15"/>
      <c r="K500" s="15"/>
      <c r="N500" s="15"/>
      <c r="Q500" s="13"/>
      <c r="R500" s="13"/>
      <c r="S500" s="13"/>
      <c r="T500" s="13"/>
      <c r="U500" s="13"/>
      <c r="X500" s="15"/>
      <c r="AF500" s="19"/>
      <c r="AJ500" s="35"/>
      <c r="AK500" s="36"/>
      <c r="AN500" s="25"/>
      <c r="AO500" s="26"/>
      <c r="AP500" s="40"/>
      <c r="AQ500" s="26"/>
      <c r="AR500" s="26"/>
      <c r="AS500" s="26"/>
      <c r="AT500" s="25"/>
      <c r="AU500" s="30"/>
      <c r="AV500" s="31"/>
    </row>
    <row r="501" spans="8:48" ht="14.25" customHeight="1" x14ac:dyDescent="0.35">
      <c r="H501" s="15"/>
      <c r="K501" s="15"/>
      <c r="N501" s="15"/>
      <c r="Q501" s="13"/>
      <c r="R501" s="13"/>
      <c r="S501" s="13"/>
      <c r="T501" s="13"/>
      <c r="U501" s="13"/>
      <c r="X501" s="15"/>
      <c r="AF501" s="19"/>
      <c r="AJ501" s="35"/>
      <c r="AK501" s="36"/>
      <c r="AN501" s="25"/>
      <c r="AO501" s="26"/>
      <c r="AP501" s="40"/>
      <c r="AQ501" s="26"/>
      <c r="AR501" s="26"/>
      <c r="AS501" s="26"/>
      <c r="AT501" s="25"/>
      <c r="AU501" s="30"/>
      <c r="AV501" s="31"/>
    </row>
    <row r="502" spans="8:48" ht="14.25" customHeight="1" x14ac:dyDescent="0.35">
      <c r="H502" s="15"/>
      <c r="K502" s="15"/>
      <c r="N502" s="15"/>
      <c r="Q502" s="13"/>
      <c r="R502" s="13"/>
      <c r="S502" s="13"/>
      <c r="T502" s="13"/>
      <c r="U502" s="13"/>
      <c r="X502" s="15"/>
      <c r="AF502" s="19"/>
      <c r="AJ502" s="35"/>
      <c r="AK502" s="36"/>
      <c r="AN502" s="25"/>
      <c r="AO502" s="26"/>
      <c r="AP502" s="40"/>
      <c r="AQ502" s="26"/>
      <c r="AR502" s="26"/>
      <c r="AS502" s="26"/>
      <c r="AT502" s="25"/>
      <c r="AU502" s="30"/>
      <c r="AV502" s="31"/>
    </row>
    <row r="503" spans="8:48" ht="14.25" customHeight="1" x14ac:dyDescent="0.35">
      <c r="H503" s="15"/>
      <c r="K503" s="15"/>
      <c r="N503" s="15"/>
      <c r="Q503" s="13"/>
      <c r="R503" s="13"/>
      <c r="S503" s="13"/>
      <c r="T503" s="13"/>
      <c r="U503" s="13"/>
      <c r="X503" s="15"/>
      <c r="AF503" s="19"/>
      <c r="AJ503" s="35"/>
      <c r="AK503" s="36"/>
      <c r="AN503" s="25"/>
      <c r="AO503" s="26"/>
      <c r="AP503" s="40"/>
      <c r="AQ503" s="26"/>
      <c r="AR503" s="26"/>
      <c r="AS503" s="26"/>
      <c r="AT503" s="25"/>
      <c r="AU503" s="30"/>
      <c r="AV503" s="31"/>
    </row>
    <row r="504" spans="8:48" ht="14.25" customHeight="1" x14ac:dyDescent="0.35">
      <c r="H504" s="15"/>
      <c r="K504" s="15"/>
      <c r="N504" s="15"/>
      <c r="Q504" s="13"/>
      <c r="R504" s="13"/>
      <c r="S504" s="13"/>
      <c r="T504" s="13"/>
      <c r="U504" s="13"/>
      <c r="X504" s="15"/>
      <c r="AF504" s="19"/>
      <c r="AJ504" s="35"/>
      <c r="AK504" s="36"/>
      <c r="AN504" s="25"/>
      <c r="AO504" s="26"/>
      <c r="AP504" s="40"/>
      <c r="AQ504" s="26"/>
      <c r="AR504" s="26"/>
      <c r="AS504" s="26"/>
      <c r="AT504" s="25"/>
      <c r="AU504" s="30"/>
      <c r="AV504" s="31"/>
    </row>
    <row r="505" spans="8:48" ht="14.25" customHeight="1" x14ac:dyDescent="0.35">
      <c r="H505" s="15"/>
      <c r="K505" s="15"/>
      <c r="N505" s="15"/>
      <c r="Q505" s="13"/>
      <c r="R505" s="13"/>
      <c r="S505" s="13"/>
      <c r="T505" s="13"/>
      <c r="U505" s="13"/>
      <c r="X505" s="15"/>
      <c r="AF505" s="19"/>
      <c r="AJ505" s="35"/>
      <c r="AK505" s="36"/>
      <c r="AN505" s="25"/>
      <c r="AO505" s="26"/>
      <c r="AP505" s="40"/>
      <c r="AQ505" s="26"/>
      <c r="AR505" s="26"/>
      <c r="AS505" s="26"/>
      <c r="AT505" s="25"/>
      <c r="AU505" s="30"/>
      <c r="AV505" s="31"/>
    </row>
    <row r="506" spans="8:48" ht="14.25" customHeight="1" x14ac:dyDescent="0.35">
      <c r="H506" s="15"/>
      <c r="K506" s="15"/>
      <c r="N506" s="15"/>
      <c r="Q506" s="13"/>
      <c r="R506" s="13"/>
      <c r="S506" s="13"/>
      <c r="T506" s="13"/>
      <c r="U506" s="13"/>
      <c r="X506" s="15"/>
      <c r="AF506" s="19"/>
      <c r="AJ506" s="35"/>
      <c r="AK506" s="36"/>
      <c r="AN506" s="25"/>
      <c r="AO506" s="26"/>
      <c r="AP506" s="40"/>
      <c r="AQ506" s="26"/>
      <c r="AR506" s="26"/>
      <c r="AS506" s="26"/>
      <c r="AT506" s="25"/>
      <c r="AU506" s="30"/>
      <c r="AV506" s="31"/>
    </row>
    <row r="507" spans="8:48" ht="14.25" customHeight="1" x14ac:dyDescent="0.35">
      <c r="H507" s="15"/>
      <c r="K507" s="15"/>
      <c r="N507" s="15"/>
      <c r="Q507" s="13"/>
      <c r="R507" s="13"/>
      <c r="S507" s="13"/>
      <c r="T507" s="13"/>
      <c r="U507" s="13"/>
      <c r="X507" s="15"/>
      <c r="AF507" s="19"/>
      <c r="AJ507" s="35"/>
      <c r="AK507" s="36"/>
      <c r="AN507" s="25"/>
      <c r="AO507" s="26"/>
      <c r="AP507" s="40"/>
      <c r="AQ507" s="26"/>
      <c r="AR507" s="26"/>
      <c r="AS507" s="26"/>
      <c r="AT507" s="25"/>
      <c r="AU507" s="30"/>
      <c r="AV507" s="31"/>
    </row>
    <row r="508" spans="8:48" ht="14.25" customHeight="1" x14ac:dyDescent="0.35">
      <c r="H508" s="15"/>
      <c r="K508" s="15"/>
      <c r="N508" s="15"/>
      <c r="Q508" s="13"/>
      <c r="R508" s="13"/>
      <c r="S508" s="13"/>
      <c r="T508" s="13"/>
      <c r="U508" s="13"/>
      <c r="X508" s="15"/>
      <c r="AF508" s="19"/>
      <c r="AJ508" s="35"/>
      <c r="AK508" s="36"/>
      <c r="AN508" s="25"/>
      <c r="AO508" s="26"/>
      <c r="AP508" s="40"/>
      <c r="AQ508" s="26"/>
      <c r="AR508" s="26"/>
      <c r="AS508" s="26"/>
      <c r="AT508" s="25"/>
      <c r="AU508" s="30"/>
      <c r="AV508" s="31"/>
    </row>
    <row r="509" spans="8:48" ht="14.25" customHeight="1" x14ac:dyDescent="0.35">
      <c r="H509" s="15"/>
      <c r="K509" s="15"/>
      <c r="N509" s="15"/>
      <c r="Q509" s="13"/>
      <c r="R509" s="13"/>
      <c r="S509" s="13"/>
      <c r="T509" s="13"/>
      <c r="U509" s="13"/>
      <c r="X509" s="15"/>
      <c r="AF509" s="19"/>
      <c r="AJ509" s="35"/>
      <c r="AK509" s="36"/>
      <c r="AN509" s="25"/>
      <c r="AO509" s="26"/>
      <c r="AP509" s="40"/>
      <c r="AQ509" s="26"/>
      <c r="AR509" s="26"/>
      <c r="AS509" s="26"/>
      <c r="AT509" s="25"/>
      <c r="AU509" s="30"/>
      <c r="AV509" s="31"/>
    </row>
    <row r="510" spans="8:48" ht="14.25" customHeight="1" x14ac:dyDescent="0.35">
      <c r="H510" s="15"/>
      <c r="K510" s="15"/>
      <c r="N510" s="15"/>
      <c r="Q510" s="13"/>
      <c r="R510" s="13"/>
      <c r="S510" s="13"/>
      <c r="T510" s="13"/>
      <c r="U510" s="13"/>
      <c r="X510" s="15"/>
      <c r="AF510" s="19"/>
      <c r="AJ510" s="35"/>
      <c r="AK510" s="36"/>
      <c r="AN510" s="25"/>
      <c r="AO510" s="26"/>
      <c r="AP510" s="40"/>
      <c r="AQ510" s="26"/>
      <c r="AR510" s="26"/>
      <c r="AS510" s="26"/>
      <c r="AT510" s="25"/>
      <c r="AU510" s="30"/>
      <c r="AV510" s="31"/>
    </row>
    <row r="511" spans="8:48" ht="14.25" customHeight="1" x14ac:dyDescent="0.35">
      <c r="H511" s="15"/>
      <c r="K511" s="15"/>
      <c r="N511" s="15"/>
      <c r="Q511" s="13"/>
      <c r="R511" s="13"/>
      <c r="S511" s="13"/>
      <c r="T511" s="13"/>
      <c r="U511" s="13"/>
      <c r="X511" s="15"/>
      <c r="AF511" s="19"/>
      <c r="AJ511" s="35"/>
      <c r="AK511" s="36"/>
      <c r="AN511" s="25"/>
      <c r="AO511" s="26"/>
      <c r="AP511" s="40"/>
      <c r="AQ511" s="26"/>
      <c r="AR511" s="26"/>
      <c r="AS511" s="26"/>
      <c r="AT511" s="25"/>
      <c r="AU511" s="30"/>
      <c r="AV511" s="31"/>
    </row>
    <row r="512" spans="8:48" ht="14.25" customHeight="1" x14ac:dyDescent="0.35">
      <c r="H512" s="15"/>
      <c r="K512" s="15"/>
      <c r="N512" s="15"/>
      <c r="Q512" s="13"/>
      <c r="R512" s="13"/>
      <c r="S512" s="13"/>
      <c r="T512" s="13"/>
      <c r="U512" s="13"/>
      <c r="X512" s="15"/>
      <c r="AF512" s="19"/>
      <c r="AJ512" s="35"/>
      <c r="AK512" s="36"/>
      <c r="AN512" s="25"/>
      <c r="AO512" s="26"/>
      <c r="AP512" s="40"/>
      <c r="AQ512" s="26"/>
      <c r="AR512" s="26"/>
      <c r="AS512" s="26"/>
      <c r="AT512" s="25"/>
      <c r="AU512" s="30"/>
      <c r="AV512" s="31"/>
    </row>
    <row r="513" spans="8:48" ht="14.25" customHeight="1" x14ac:dyDescent="0.35">
      <c r="H513" s="15"/>
      <c r="K513" s="15"/>
      <c r="N513" s="15"/>
      <c r="Q513" s="13"/>
      <c r="R513" s="13"/>
      <c r="S513" s="13"/>
      <c r="T513" s="13"/>
      <c r="U513" s="13"/>
      <c r="X513" s="15"/>
      <c r="AF513" s="19"/>
      <c r="AJ513" s="35"/>
      <c r="AK513" s="36"/>
      <c r="AN513" s="25"/>
      <c r="AO513" s="26"/>
      <c r="AP513" s="40"/>
      <c r="AQ513" s="26"/>
      <c r="AR513" s="26"/>
      <c r="AS513" s="26"/>
      <c r="AT513" s="25"/>
      <c r="AU513" s="30"/>
      <c r="AV513" s="31"/>
    </row>
    <row r="514" spans="8:48" ht="14.25" customHeight="1" x14ac:dyDescent="0.35">
      <c r="H514" s="15"/>
      <c r="K514" s="15"/>
      <c r="N514" s="15"/>
      <c r="Q514" s="13"/>
      <c r="R514" s="13"/>
      <c r="S514" s="13"/>
      <c r="T514" s="13"/>
      <c r="U514" s="13"/>
      <c r="X514" s="15"/>
      <c r="AF514" s="19"/>
      <c r="AJ514" s="35"/>
      <c r="AK514" s="36"/>
      <c r="AN514" s="25"/>
      <c r="AO514" s="26"/>
      <c r="AP514" s="40"/>
      <c r="AQ514" s="26"/>
      <c r="AR514" s="26"/>
      <c r="AS514" s="26"/>
      <c r="AT514" s="25"/>
      <c r="AU514" s="30"/>
      <c r="AV514" s="31"/>
    </row>
    <row r="515" spans="8:48" ht="14.25" customHeight="1" x14ac:dyDescent="0.35">
      <c r="H515" s="15"/>
      <c r="K515" s="15"/>
      <c r="N515" s="15"/>
      <c r="Q515" s="13"/>
      <c r="R515" s="13"/>
      <c r="S515" s="13"/>
      <c r="T515" s="13"/>
      <c r="U515" s="13"/>
      <c r="X515" s="15"/>
      <c r="AF515" s="19"/>
      <c r="AJ515" s="35"/>
      <c r="AK515" s="36"/>
      <c r="AN515" s="25"/>
      <c r="AO515" s="26"/>
      <c r="AP515" s="40"/>
      <c r="AQ515" s="26"/>
      <c r="AR515" s="26"/>
      <c r="AS515" s="26"/>
      <c r="AT515" s="25"/>
      <c r="AU515" s="30"/>
      <c r="AV515" s="31"/>
    </row>
    <row r="516" spans="8:48" ht="14.25" customHeight="1" x14ac:dyDescent="0.35">
      <c r="H516" s="15"/>
      <c r="K516" s="15"/>
      <c r="N516" s="15"/>
      <c r="Q516" s="13"/>
      <c r="R516" s="13"/>
      <c r="S516" s="13"/>
      <c r="T516" s="13"/>
      <c r="U516" s="13"/>
      <c r="X516" s="15"/>
      <c r="AF516" s="19"/>
      <c r="AJ516" s="35"/>
      <c r="AK516" s="36"/>
      <c r="AN516" s="25"/>
      <c r="AO516" s="26"/>
      <c r="AP516" s="40"/>
      <c r="AQ516" s="26"/>
      <c r="AR516" s="26"/>
      <c r="AS516" s="26"/>
      <c r="AT516" s="25"/>
      <c r="AU516" s="30"/>
      <c r="AV516" s="31"/>
    </row>
    <row r="517" spans="8:48" ht="14.25" customHeight="1" x14ac:dyDescent="0.35">
      <c r="H517" s="15"/>
      <c r="K517" s="15"/>
      <c r="N517" s="15"/>
      <c r="Q517" s="13"/>
      <c r="R517" s="13"/>
      <c r="S517" s="13"/>
      <c r="T517" s="13"/>
      <c r="U517" s="13"/>
      <c r="X517" s="15"/>
      <c r="AF517" s="19"/>
      <c r="AJ517" s="35"/>
      <c r="AK517" s="36"/>
      <c r="AN517" s="25"/>
      <c r="AO517" s="26"/>
      <c r="AP517" s="40"/>
      <c r="AQ517" s="26"/>
      <c r="AR517" s="26"/>
      <c r="AS517" s="26"/>
      <c r="AT517" s="25"/>
      <c r="AU517" s="30"/>
      <c r="AV517" s="31"/>
    </row>
    <row r="518" spans="8:48" ht="14.25" customHeight="1" x14ac:dyDescent="0.35">
      <c r="H518" s="15"/>
      <c r="K518" s="15"/>
      <c r="N518" s="15"/>
      <c r="Q518" s="13"/>
      <c r="R518" s="13"/>
      <c r="S518" s="13"/>
      <c r="T518" s="13"/>
      <c r="U518" s="13"/>
      <c r="X518" s="15"/>
      <c r="AF518" s="19"/>
      <c r="AJ518" s="35"/>
      <c r="AK518" s="36"/>
      <c r="AN518" s="25"/>
      <c r="AO518" s="26"/>
      <c r="AP518" s="40"/>
      <c r="AQ518" s="26"/>
      <c r="AR518" s="26"/>
      <c r="AS518" s="26"/>
      <c r="AT518" s="25"/>
      <c r="AU518" s="30"/>
      <c r="AV518" s="31"/>
    </row>
    <row r="519" spans="8:48" ht="14.25" customHeight="1" x14ac:dyDescent="0.35">
      <c r="H519" s="15"/>
      <c r="K519" s="15"/>
      <c r="N519" s="15"/>
      <c r="Q519" s="13"/>
      <c r="R519" s="13"/>
      <c r="S519" s="13"/>
      <c r="T519" s="13"/>
      <c r="U519" s="13"/>
      <c r="X519" s="15"/>
      <c r="AF519" s="19"/>
      <c r="AJ519" s="35"/>
      <c r="AK519" s="36"/>
      <c r="AN519" s="25"/>
      <c r="AO519" s="26"/>
      <c r="AP519" s="40"/>
      <c r="AQ519" s="26"/>
      <c r="AR519" s="26"/>
      <c r="AS519" s="26"/>
      <c r="AT519" s="25"/>
      <c r="AU519" s="30"/>
      <c r="AV519" s="31"/>
    </row>
    <row r="520" spans="8:48" ht="14.25" customHeight="1" x14ac:dyDescent="0.35">
      <c r="H520" s="15"/>
      <c r="K520" s="15"/>
      <c r="N520" s="15"/>
      <c r="Q520" s="13"/>
      <c r="R520" s="13"/>
      <c r="S520" s="13"/>
      <c r="T520" s="13"/>
      <c r="U520" s="13"/>
      <c r="X520" s="15"/>
      <c r="AF520" s="19"/>
      <c r="AJ520" s="35"/>
      <c r="AK520" s="36"/>
      <c r="AN520" s="25"/>
      <c r="AO520" s="26"/>
      <c r="AP520" s="40"/>
      <c r="AQ520" s="26"/>
      <c r="AR520" s="26"/>
      <c r="AS520" s="26"/>
      <c r="AT520" s="25"/>
      <c r="AU520" s="30"/>
      <c r="AV520" s="31"/>
    </row>
    <row r="521" spans="8:48" ht="14.25" customHeight="1" x14ac:dyDescent="0.35">
      <c r="H521" s="15"/>
      <c r="K521" s="15"/>
      <c r="N521" s="15"/>
      <c r="Q521" s="13"/>
      <c r="R521" s="13"/>
      <c r="S521" s="13"/>
      <c r="T521" s="13"/>
      <c r="U521" s="13"/>
      <c r="X521" s="15"/>
      <c r="AF521" s="19"/>
      <c r="AJ521" s="35"/>
      <c r="AK521" s="36"/>
      <c r="AN521" s="25"/>
      <c r="AO521" s="26"/>
      <c r="AP521" s="40"/>
      <c r="AQ521" s="26"/>
      <c r="AR521" s="26"/>
      <c r="AS521" s="26"/>
      <c r="AT521" s="25"/>
      <c r="AU521" s="30"/>
      <c r="AV521" s="31"/>
    </row>
    <row r="522" spans="8:48" ht="14.25" customHeight="1" x14ac:dyDescent="0.35">
      <c r="H522" s="15"/>
      <c r="K522" s="15"/>
      <c r="N522" s="15"/>
      <c r="Q522" s="13"/>
      <c r="R522" s="13"/>
      <c r="S522" s="13"/>
      <c r="T522" s="13"/>
      <c r="U522" s="13"/>
      <c r="X522" s="15"/>
      <c r="AF522" s="19"/>
      <c r="AJ522" s="35"/>
      <c r="AK522" s="36"/>
      <c r="AN522" s="25"/>
      <c r="AO522" s="26"/>
      <c r="AP522" s="40"/>
      <c r="AQ522" s="26"/>
      <c r="AR522" s="26"/>
      <c r="AS522" s="26"/>
      <c r="AT522" s="25"/>
      <c r="AU522" s="30"/>
      <c r="AV522" s="31"/>
    </row>
    <row r="523" spans="8:48" ht="14.25" customHeight="1" x14ac:dyDescent="0.35">
      <c r="H523" s="15"/>
      <c r="K523" s="15"/>
      <c r="N523" s="15"/>
      <c r="Q523" s="13"/>
      <c r="R523" s="13"/>
      <c r="S523" s="13"/>
      <c r="T523" s="13"/>
      <c r="U523" s="13"/>
      <c r="X523" s="15"/>
      <c r="AF523" s="19"/>
      <c r="AJ523" s="35"/>
      <c r="AK523" s="36"/>
      <c r="AN523" s="25"/>
      <c r="AO523" s="26"/>
      <c r="AP523" s="40"/>
      <c r="AQ523" s="26"/>
      <c r="AR523" s="26"/>
      <c r="AS523" s="26"/>
      <c r="AT523" s="25"/>
      <c r="AU523" s="30"/>
      <c r="AV523" s="31"/>
    </row>
    <row r="524" spans="8:48" ht="14.25" customHeight="1" x14ac:dyDescent="0.35">
      <c r="H524" s="15"/>
      <c r="K524" s="15"/>
      <c r="N524" s="15"/>
      <c r="Q524" s="13"/>
      <c r="R524" s="13"/>
      <c r="S524" s="13"/>
      <c r="T524" s="13"/>
      <c r="U524" s="13"/>
      <c r="X524" s="15"/>
      <c r="AF524" s="19"/>
      <c r="AJ524" s="35"/>
      <c r="AK524" s="36"/>
      <c r="AN524" s="25"/>
      <c r="AO524" s="26"/>
      <c r="AP524" s="40"/>
      <c r="AQ524" s="26"/>
      <c r="AR524" s="26"/>
      <c r="AS524" s="26"/>
      <c r="AT524" s="25"/>
      <c r="AU524" s="30"/>
      <c r="AV524" s="31"/>
    </row>
    <row r="525" spans="8:48" ht="14.25" customHeight="1" x14ac:dyDescent="0.35">
      <c r="H525" s="15"/>
      <c r="K525" s="15"/>
      <c r="N525" s="15"/>
      <c r="Q525" s="13"/>
      <c r="R525" s="13"/>
      <c r="S525" s="13"/>
      <c r="T525" s="13"/>
      <c r="U525" s="13"/>
      <c r="X525" s="15"/>
      <c r="AF525" s="19"/>
      <c r="AJ525" s="35"/>
      <c r="AK525" s="36"/>
      <c r="AN525" s="25"/>
      <c r="AO525" s="26"/>
      <c r="AP525" s="40"/>
      <c r="AQ525" s="26"/>
      <c r="AR525" s="26"/>
      <c r="AS525" s="26"/>
      <c r="AT525" s="25"/>
      <c r="AU525" s="30"/>
      <c r="AV525" s="31"/>
    </row>
    <row r="526" spans="8:48" ht="14.25" customHeight="1" x14ac:dyDescent="0.35">
      <c r="H526" s="15"/>
      <c r="K526" s="15"/>
      <c r="N526" s="15"/>
      <c r="Q526" s="13"/>
      <c r="R526" s="13"/>
      <c r="S526" s="13"/>
      <c r="T526" s="13"/>
      <c r="U526" s="13"/>
      <c r="X526" s="15"/>
      <c r="AF526" s="19"/>
      <c r="AJ526" s="35"/>
      <c r="AK526" s="36"/>
      <c r="AN526" s="25"/>
      <c r="AO526" s="26"/>
      <c r="AP526" s="40"/>
      <c r="AQ526" s="26"/>
      <c r="AR526" s="26"/>
      <c r="AS526" s="26"/>
      <c r="AT526" s="25"/>
      <c r="AU526" s="30"/>
      <c r="AV526" s="31"/>
    </row>
    <row r="527" spans="8:48" ht="14.25" customHeight="1" x14ac:dyDescent="0.35">
      <c r="H527" s="15"/>
      <c r="K527" s="15"/>
      <c r="N527" s="15"/>
      <c r="Q527" s="13"/>
      <c r="R527" s="13"/>
      <c r="S527" s="13"/>
      <c r="T527" s="13"/>
      <c r="U527" s="13"/>
      <c r="X527" s="15"/>
      <c r="AF527" s="19"/>
      <c r="AJ527" s="35"/>
      <c r="AK527" s="36"/>
      <c r="AN527" s="25"/>
      <c r="AO527" s="26"/>
      <c r="AP527" s="40"/>
      <c r="AQ527" s="26"/>
      <c r="AR527" s="26"/>
      <c r="AS527" s="26"/>
      <c r="AT527" s="25"/>
      <c r="AU527" s="30"/>
      <c r="AV527" s="31"/>
    </row>
    <row r="528" spans="8:48" ht="14.25" customHeight="1" x14ac:dyDescent="0.35">
      <c r="H528" s="15"/>
      <c r="K528" s="15"/>
      <c r="N528" s="15"/>
      <c r="Q528" s="13"/>
      <c r="R528" s="13"/>
      <c r="S528" s="13"/>
      <c r="T528" s="13"/>
      <c r="U528" s="13"/>
      <c r="X528" s="15"/>
      <c r="AF528" s="19"/>
      <c r="AJ528" s="35"/>
      <c r="AK528" s="36"/>
      <c r="AN528" s="25"/>
      <c r="AO528" s="26"/>
      <c r="AP528" s="40"/>
      <c r="AQ528" s="26"/>
      <c r="AR528" s="26"/>
      <c r="AS528" s="26"/>
      <c r="AT528" s="25"/>
      <c r="AU528" s="30"/>
      <c r="AV528" s="31"/>
    </row>
    <row r="529" spans="8:48" ht="14.25" customHeight="1" x14ac:dyDescent="0.35">
      <c r="H529" s="15"/>
      <c r="K529" s="15"/>
      <c r="N529" s="15"/>
      <c r="Q529" s="13"/>
      <c r="R529" s="13"/>
      <c r="S529" s="13"/>
      <c r="T529" s="13"/>
      <c r="U529" s="13"/>
      <c r="X529" s="15"/>
      <c r="AF529" s="19"/>
      <c r="AJ529" s="35"/>
      <c r="AK529" s="36"/>
      <c r="AN529" s="25"/>
      <c r="AO529" s="26"/>
      <c r="AP529" s="40"/>
      <c r="AQ529" s="26"/>
      <c r="AR529" s="26"/>
      <c r="AS529" s="26"/>
      <c r="AT529" s="25"/>
      <c r="AU529" s="30"/>
      <c r="AV529" s="31"/>
    </row>
    <row r="530" spans="8:48" ht="14.25" customHeight="1" x14ac:dyDescent="0.35">
      <c r="H530" s="15"/>
      <c r="K530" s="15"/>
      <c r="N530" s="15"/>
      <c r="Q530" s="13"/>
      <c r="R530" s="13"/>
      <c r="S530" s="13"/>
      <c r="T530" s="13"/>
      <c r="U530" s="13"/>
      <c r="X530" s="15"/>
      <c r="AF530" s="19"/>
      <c r="AJ530" s="35"/>
      <c r="AK530" s="36"/>
      <c r="AN530" s="25"/>
      <c r="AO530" s="26"/>
      <c r="AP530" s="40"/>
      <c r="AQ530" s="26"/>
      <c r="AR530" s="26"/>
      <c r="AS530" s="26"/>
      <c r="AT530" s="25"/>
      <c r="AU530" s="30"/>
      <c r="AV530" s="31"/>
    </row>
    <row r="531" spans="8:48" ht="14.25" customHeight="1" x14ac:dyDescent="0.35">
      <c r="H531" s="15"/>
      <c r="K531" s="15"/>
      <c r="N531" s="15"/>
      <c r="Q531" s="13"/>
      <c r="R531" s="13"/>
      <c r="S531" s="13"/>
      <c r="T531" s="13"/>
      <c r="U531" s="13"/>
      <c r="X531" s="15"/>
      <c r="AF531" s="19"/>
      <c r="AJ531" s="35"/>
      <c r="AK531" s="36"/>
      <c r="AN531" s="25"/>
      <c r="AO531" s="26"/>
      <c r="AP531" s="40"/>
      <c r="AQ531" s="26"/>
      <c r="AR531" s="26"/>
      <c r="AS531" s="26"/>
      <c r="AT531" s="25"/>
      <c r="AU531" s="30"/>
      <c r="AV531" s="31"/>
    </row>
    <row r="532" spans="8:48" ht="14.25" customHeight="1" x14ac:dyDescent="0.35">
      <c r="H532" s="15"/>
      <c r="K532" s="15"/>
      <c r="N532" s="15"/>
      <c r="Q532" s="13"/>
      <c r="R532" s="13"/>
      <c r="S532" s="13"/>
      <c r="T532" s="13"/>
      <c r="U532" s="13"/>
      <c r="X532" s="15"/>
      <c r="AF532" s="19"/>
      <c r="AJ532" s="35"/>
      <c r="AK532" s="36"/>
      <c r="AN532" s="25"/>
      <c r="AO532" s="26"/>
      <c r="AP532" s="40"/>
      <c r="AQ532" s="26"/>
      <c r="AR532" s="26"/>
      <c r="AS532" s="26"/>
      <c r="AT532" s="25"/>
      <c r="AU532" s="30"/>
      <c r="AV532" s="31"/>
    </row>
    <row r="533" spans="8:48" ht="14.25" customHeight="1" x14ac:dyDescent="0.35">
      <c r="H533" s="15"/>
      <c r="K533" s="15"/>
      <c r="N533" s="15"/>
      <c r="Q533" s="13"/>
      <c r="R533" s="13"/>
      <c r="S533" s="13"/>
      <c r="T533" s="13"/>
      <c r="U533" s="13"/>
      <c r="X533" s="15"/>
      <c r="AF533" s="19"/>
      <c r="AJ533" s="35"/>
      <c r="AK533" s="36"/>
      <c r="AN533" s="25"/>
      <c r="AO533" s="26"/>
      <c r="AP533" s="40"/>
      <c r="AQ533" s="26"/>
      <c r="AR533" s="26"/>
      <c r="AS533" s="26"/>
      <c r="AT533" s="25"/>
      <c r="AU533" s="30"/>
      <c r="AV533" s="31"/>
    </row>
    <row r="534" spans="8:48" ht="14.25" customHeight="1" x14ac:dyDescent="0.35">
      <c r="H534" s="15"/>
      <c r="K534" s="15"/>
      <c r="N534" s="15"/>
      <c r="Q534" s="13"/>
      <c r="R534" s="13"/>
      <c r="S534" s="13"/>
      <c r="T534" s="13"/>
      <c r="U534" s="13"/>
      <c r="X534" s="15"/>
      <c r="AF534" s="19"/>
      <c r="AJ534" s="35"/>
      <c r="AK534" s="36"/>
      <c r="AN534" s="25"/>
      <c r="AO534" s="26"/>
      <c r="AP534" s="40"/>
      <c r="AQ534" s="26"/>
      <c r="AR534" s="26"/>
      <c r="AS534" s="26"/>
      <c r="AT534" s="25"/>
      <c r="AU534" s="30"/>
      <c r="AV534" s="31"/>
    </row>
    <row r="535" spans="8:48" ht="14.25" customHeight="1" x14ac:dyDescent="0.35">
      <c r="H535" s="15"/>
      <c r="K535" s="15"/>
      <c r="N535" s="15"/>
      <c r="Q535" s="13"/>
      <c r="R535" s="13"/>
      <c r="S535" s="13"/>
      <c r="T535" s="13"/>
      <c r="U535" s="13"/>
      <c r="X535" s="15"/>
      <c r="AF535" s="19"/>
      <c r="AJ535" s="35"/>
      <c r="AK535" s="36"/>
      <c r="AN535" s="25"/>
      <c r="AO535" s="26"/>
      <c r="AP535" s="40"/>
      <c r="AQ535" s="26"/>
      <c r="AR535" s="26"/>
      <c r="AS535" s="26"/>
      <c r="AT535" s="25"/>
      <c r="AU535" s="30"/>
      <c r="AV535" s="31"/>
    </row>
    <row r="536" spans="8:48" ht="14.25" customHeight="1" x14ac:dyDescent="0.35">
      <c r="H536" s="15"/>
      <c r="K536" s="15"/>
      <c r="N536" s="15"/>
      <c r="Q536" s="13"/>
      <c r="R536" s="13"/>
      <c r="S536" s="13"/>
      <c r="T536" s="13"/>
      <c r="U536" s="13"/>
      <c r="X536" s="15"/>
      <c r="AF536" s="19"/>
      <c r="AJ536" s="35"/>
      <c r="AK536" s="36"/>
      <c r="AN536" s="25"/>
      <c r="AO536" s="26"/>
      <c r="AP536" s="40"/>
      <c r="AQ536" s="26"/>
      <c r="AR536" s="26"/>
      <c r="AS536" s="26"/>
      <c r="AT536" s="25"/>
      <c r="AU536" s="30"/>
      <c r="AV536" s="31"/>
    </row>
    <row r="537" spans="8:48" ht="14.25" customHeight="1" x14ac:dyDescent="0.35">
      <c r="H537" s="15"/>
      <c r="K537" s="15"/>
      <c r="N537" s="15"/>
      <c r="Q537" s="13"/>
      <c r="R537" s="13"/>
      <c r="S537" s="13"/>
      <c r="T537" s="13"/>
      <c r="U537" s="13"/>
      <c r="X537" s="15"/>
      <c r="AF537" s="19"/>
      <c r="AJ537" s="35"/>
      <c r="AK537" s="36"/>
      <c r="AN537" s="25"/>
      <c r="AO537" s="26"/>
      <c r="AP537" s="40"/>
      <c r="AQ537" s="26"/>
      <c r="AR537" s="26"/>
      <c r="AS537" s="26"/>
      <c r="AT537" s="25"/>
      <c r="AU537" s="30"/>
      <c r="AV537" s="31"/>
    </row>
    <row r="538" spans="8:48" ht="14.25" customHeight="1" x14ac:dyDescent="0.35">
      <c r="H538" s="15"/>
      <c r="K538" s="15"/>
      <c r="N538" s="15"/>
      <c r="Q538" s="13"/>
      <c r="R538" s="13"/>
      <c r="S538" s="13"/>
      <c r="T538" s="13"/>
      <c r="U538" s="13"/>
      <c r="X538" s="15"/>
      <c r="AF538" s="19"/>
      <c r="AJ538" s="35"/>
      <c r="AK538" s="36"/>
      <c r="AN538" s="25"/>
      <c r="AO538" s="26"/>
      <c r="AP538" s="40"/>
      <c r="AQ538" s="26"/>
      <c r="AR538" s="26"/>
      <c r="AS538" s="26"/>
      <c r="AT538" s="25"/>
      <c r="AU538" s="30"/>
      <c r="AV538" s="31"/>
    </row>
    <row r="539" spans="8:48" ht="14.25" customHeight="1" x14ac:dyDescent="0.35">
      <c r="H539" s="15"/>
      <c r="K539" s="15"/>
      <c r="N539" s="15"/>
      <c r="Q539" s="13"/>
      <c r="R539" s="13"/>
      <c r="S539" s="13"/>
      <c r="T539" s="13"/>
      <c r="U539" s="13"/>
      <c r="X539" s="15"/>
      <c r="AF539" s="19"/>
      <c r="AJ539" s="35"/>
      <c r="AK539" s="36"/>
      <c r="AN539" s="25"/>
      <c r="AO539" s="26"/>
      <c r="AP539" s="40"/>
      <c r="AQ539" s="26"/>
      <c r="AR539" s="26"/>
      <c r="AS539" s="26"/>
      <c r="AT539" s="25"/>
      <c r="AU539" s="30"/>
      <c r="AV539" s="31"/>
    </row>
    <row r="540" spans="8:48" ht="14.25" customHeight="1" x14ac:dyDescent="0.35">
      <c r="H540" s="15"/>
      <c r="K540" s="15"/>
      <c r="N540" s="15"/>
      <c r="Q540" s="13"/>
      <c r="R540" s="13"/>
      <c r="S540" s="13"/>
      <c r="T540" s="13"/>
      <c r="U540" s="13"/>
      <c r="X540" s="15"/>
      <c r="AF540" s="19"/>
      <c r="AJ540" s="35"/>
      <c r="AK540" s="36"/>
      <c r="AN540" s="25"/>
      <c r="AO540" s="26"/>
      <c r="AP540" s="40"/>
      <c r="AQ540" s="26"/>
      <c r="AR540" s="26"/>
      <c r="AS540" s="26"/>
      <c r="AT540" s="25"/>
      <c r="AU540" s="30"/>
      <c r="AV540" s="31"/>
    </row>
    <row r="541" spans="8:48" ht="14.25" customHeight="1" x14ac:dyDescent="0.35">
      <c r="H541" s="15"/>
      <c r="K541" s="15"/>
      <c r="N541" s="15"/>
      <c r="Q541" s="13"/>
      <c r="R541" s="13"/>
      <c r="S541" s="13"/>
      <c r="T541" s="13"/>
      <c r="U541" s="13"/>
      <c r="X541" s="15"/>
      <c r="AF541" s="19"/>
      <c r="AJ541" s="35"/>
      <c r="AK541" s="36"/>
      <c r="AN541" s="25"/>
      <c r="AO541" s="26"/>
      <c r="AP541" s="40"/>
      <c r="AQ541" s="26"/>
      <c r="AR541" s="26"/>
      <c r="AS541" s="26"/>
      <c r="AT541" s="25"/>
      <c r="AU541" s="30"/>
      <c r="AV541" s="31"/>
    </row>
    <row r="542" spans="8:48" ht="14.25" customHeight="1" x14ac:dyDescent="0.35">
      <c r="H542" s="15"/>
      <c r="K542" s="15"/>
      <c r="N542" s="15"/>
      <c r="Q542" s="13"/>
      <c r="R542" s="13"/>
      <c r="S542" s="13"/>
      <c r="T542" s="13"/>
      <c r="U542" s="13"/>
      <c r="X542" s="15"/>
      <c r="AF542" s="19"/>
      <c r="AJ542" s="35"/>
      <c r="AK542" s="36"/>
      <c r="AN542" s="25"/>
      <c r="AO542" s="26"/>
      <c r="AP542" s="40"/>
      <c r="AQ542" s="26"/>
      <c r="AR542" s="26"/>
      <c r="AS542" s="26"/>
      <c r="AT542" s="25"/>
      <c r="AU542" s="30"/>
      <c r="AV542" s="31"/>
    </row>
    <row r="543" spans="8:48" ht="14.25" customHeight="1" x14ac:dyDescent="0.35">
      <c r="H543" s="15"/>
      <c r="K543" s="15"/>
      <c r="N543" s="15"/>
      <c r="Q543" s="13"/>
      <c r="R543" s="13"/>
      <c r="S543" s="13"/>
      <c r="T543" s="13"/>
      <c r="U543" s="13"/>
      <c r="X543" s="15"/>
      <c r="AF543" s="19"/>
      <c r="AJ543" s="35"/>
      <c r="AK543" s="36"/>
      <c r="AN543" s="25"/>
      <c r="AO543" s="26"/>
      <c r="AP543" s="40"/>
      <c r="AQ543" s="26"/>
      <c r="AR543" s="26"/>
      <c r="AS543" s="26"/>
      <c r="AT543" s="25"/>
      <c r="AU543" s="30"/>
      <c r="AV543" s="31"/>
    </row>
    <row r="544" spans="8:48" ht="14.25" customHeight="1" x14ac:dyDescent="0.35">
      <c r="H544" s="15"/>
      <c r="K544" s="15"/>
      <c r="N544" s="15"/>
      <c r="Q544" s="13"/>
      <c r="R544" s="13"/>
      <c r="S544" s="13"/>
      <c r="T544" s="13"/>
      <c r="U544" s="13"/>
      <c r="X544" s="15"/>
      <c r="AF544" s="19"/>
      <c r="AJ544" s="35"/>
      <c r="AK544" s="36"/>
      <c r="AN544" s="25"/>
      <c r="AO544" s="26"/>
      <c r="AP544" s="40"/>
      <c r="AQ544" s="26"/>
      <c r="AR544" s="26"/>
      <c r="AS544" s="26"/>
      <c r="AT544" s="25"/>
      <c r="AU544" s="30"/>
      <c r="AV544" s="31"/>
    </row>
    <row r="545" spans="8:48" ht="14.25" customHeight="1" x14ac:dyDescent="0.35">
      <c r="H545" s="15"/>
      <c r="K545" s="15"/>
      <c r="N545" s="15"/>
      <c r="Q545" s="13"/>
      <c r="R545" s="13"/>
      <c r="S545" s="13"/>
      <c r="T545" s="13"/>
      <c r="U545" s="13"/>
      <c r="X545" s="15"/>
      <c r="AF545" s="19"/>
      <c r="AJ545" s="35"/>
      <c r="AK545" s="36"/>
      <c r="AN545" s="25"/>
      <c r="AO545" s="26"/>
      <c r="AP545" s="40"/>
      <c r="AQ545" s="26"/>
      <c r="AR545" s="26"/>
      <c r="AS545" s="26"/>
      <c r="AT545" s="25"/>
      <c r="AU545" s="30"/>
      <c r="AV545" s="31"/>
    </row>
    <row r="546" spans="8:48" ht="14.25" customHeight="1" x14ac:dyDescent="0.35">
      <c r="H546" s="15"/>
      <c r="K546" s="15"/>
      <c r="N546" s="15"/>
      <c r="Q546" s="13"/>
      <c r="R546" s="13"/>
      <c r="S546" s="13"/>
      <c r="T546" s="13"/>
      <c r="U546" s="13"/>
      <c r="X546" s="15"/>
      <c r="AF546" s="19"/>
      <c r="AJ546" s="35"/>
      <c r="AK546" s="36"/>
      <c r="AN546" s="25"/>
      <c r="AO546" s="26"/>
      <c r="AP546" s="40"/>
      <c r="AQ546" s="26"/>
      <c r="AR546" s="26"/>
      <c r="AS546" s="26"/>
      <c r="AT546" s="25"/>
      <c r="AU546" s="30"/>
      <c r="AV546" s="31"/>
    </row>
    <row r="547" spans="8:48" ht="14.25" customHeight="1" x14ac:dyDescent="0.35">
      <c r="H547" s="15"/>
      <c r="K547" s="15"/>
      <c r="N547" s="15"/>
      <c r="Q547" s="13"/>
      <c r="R547" s="13"/>
      <c r="S547" s="13"/>
      <c r="T547" s="13"/>
      <c r="U547" s="13"/>
      <c r="X547" s="15"/>
      <c r="AF547" s="19"/>
      <c r="AJ547" s="35"/>
      <c r="AK547" s="36"/>
      <c r="AN547" s="25"/>
      <c r="AO547" s="26"/>
      <c r="AP547" s="40"/>
      <c r="AQ547" s="26"/>
      <c r="AR547" s="26"/>
      <c r="AS547" s="26"/>
      <c r="AT547" s="25"/>
      <c r="AU547" s="30"/>
      <c r="AV547" s="31"/>
    </row>
    <row r="548" spans="8:48" ht="14.25" customHeight="1" x14ac:dyDescent="0.35">
      <c r="H548" s="15"/>
      <c r="K548" s="15"/>
      <c r="N548" s="15"/>
      <c r="Q548" s="13"/>
      <c r="R548" s="13"/>
      <c r="S548" s="13"/>
      <c r="T548" s="13"/>
      <c r="U548" s="13"/>
      <c r="X548" s="15"/>
      <c r="AF548" s="19"/>
      <c r="AJ548" s="35"/>
      <c r="AK548" s="36"/>
      <c r="AN548" s="25"/>
      <c r="AO548" s="26"/>
      <c r="AP548" s="40"/>
      <c r="AQ548" s="26"/>
      <c r="AR548" s="26"/>
      <c r="AS548" s="26"/>
      <c r="AT548" s="25"/>
      <c r="AU548" s="30"/>
      <c r="AV548" s="31"/>
    </row>
    <row r="549" spans="8:48" ht="14.25" customHeight="1" x14ac:dyDescent="0.35">
      <c r="H549" s="15"/>
      <c r="K549" s="15"/>
      <c r="N549" s="15"/>
      <c r="Q549" s="13"/>
      <c r="R549" s="13"/>
      <c r="S549" s="13"/>
      <c r="T549" s="13"/>
      <c r="U549" s="13"/>
      <c r="X549" s="15"/>
      <c r="AF549" s="19"/>
      <c r="AJ549" s="35"/>
      <c r="AK549" s="36"/>
      <c r="AN549" s="25"/>
      <c r="AO549" s="26"/>
      <c r="AP549" s="40"/>
      <c r="AQ549" s="26"/>
      <c r="AR549" s="26"/>
      <c r="AS549" s="26"/>
      <c r="AT549" s="25"/>
      <c r="AU549" s="30"/>
      <c r="AV549" s="31"/>
    </row>
    <row r="550" spans="8:48" ht="14.25" customHeight="1" x14ac:dyDescent="0.35">
      <c r="H550" s="15"/>
      <c r="K550" s="15"/>
      <c r="N550" s="15"/>
      <c r="Q550" s="13"/>
      <c r="R550" s="13"/>
      <c r="S550" s="13"/>
      <c r="T550" s="13"/>
      <c r="U550" s="13"/>
      <c r="X550" s="15"/>
      <c r="AF550" s="19"/>
      <c r="AJ550" s="35"/>
      <c r="AK550" s="36"/>
      <c r="AN550" s="25"/>
      <c r="AO550" s="26"/>
      <c r="AP550" s="40"/>
      <c r="AQ550" s="26"/>
      <c r="AR550" s="26"/>
      <c r="AS550" s="26"/>
      <c r="AT550" s="25"/>
      <c r="AU550" s="30"/>
      <c r="AV550" s="31"/>
    </row>
    <row r="551" spans="8:48" ht="14.25" customHeight="1" x14ac:dyDescent="0.35">
      <c r="H551" s="15"/>
      <c r="K551" s="15"/>
      <c r="N551" s="15"/>
      <c r="Q551" s="13"/>
      <c r="R551" s="13"/>
      <c r="S551" s="13"/>
      <c r="T551" s="13"/>
      <c r="U551" s="13"/>
      <c r="X551" s="15"/>
      <c r="AF551" s="19"/>
      <c r="AJ551" s="35"/>
      <c r="AK551" s="36"/>
      <c r="AN551" s="25"/>
      <c r="AO551" s="26"/>
      <c r="AP551" s="40"/>
      <c r="AQ551" s="26"/>
      <c r="AR551" s="26"/>
      <c r="AS551" s="26"/>
      <c r="AT551" s="25"/>
      <c r="AU551" s="30"/>
      <c r="AV551" s="31"/>
    </row>
    <row r="552" spans="8:48" ht="14.25" customHeight="1" x14ac:dyDescent="0.35">
      <c r="H552" s="15"/>
      <c r="K552" s="15"/>
      <c r="N552" s="15"/>
      <c r="Q552" s="13"/>
      <c r="R552" s="13"/>
      <c r="S552" s="13"/>
      <c r="T552" s="13"/>
      <c r="U552" s="13"/>
      <c r="X552" s="15"/>
      <c r="AF552" s="19"/>
      <c r="AJ552" s="35"/>
      <c r="AK552" s="36"/>
      <c r="AN552" s="25"/>
      <c r="AO552" s="26"/>
      <c r="AP552" s="40"/>
      <c r="AQ552" s="26"/>
      <c r="AR552" s="26"/>
      <c r="AS552" s="26"/>
      <c r="AT552" s="25"/>
      <c r="AU552" s="30"/>
      <c r="AV552" s="31"/>
    </row>
    <row r="553" spans="8:48" ht="14.25" customHeight="1" x14ac:dyDescent="0.35">
      <c r="H553" s="15"/>
      <c r="K553" s="15"/>
      <c r="N553" s="15"/>
      <c r="Q553" s="13"/>
      <c r="R553" s="13"/>
      <c r="S553" s="13"/>
      <c r="T553" s="13"/>
      <c r="U553" s="13"/>
      <c r="X553" s="15"/>
      <c r="AF553" s="19"/>
      <c r="AJ553" s="35"/>
      <c r="AK553" s="36"/>
      <c r="AN553" s="25"/>
      <c r="AO553" s="26"/>
      <c r="AP553" s="40"/>
      <c r="AQ553" s="26"/>
      <c r="AR553" s="26"/>
      <c r="AS553" s="26"/>
      <c r="AT553" s="25"/>
      <c r="AU553" s="30"/>
      <c r="AV553" s="31"/>
    </row>
    <row r="554" spans="8:48" ht="14.25" customHeight="1" x14ac:dyDescent="0.35">
      <c r="H554" s="15"/>
      <c r="K554" s="15"/>
      <c r="N554" s="15"/>
      <c r="Q554" s="13"/>
      <c r="R554" s="13"/>
      <c r="S554" s="13"/>
      <c r="T554" s="13"/>
      <c r="U554" s="13"/>
      <c r="X554" s="15"/>
      <c r="AF554" s="19"/>
      <c r="AJ554" s="35"/>
      <c r="AK554" s="36"/>
      <c r="AN554" s="25"/>
      <c r="AO554" s="26"/>
      <c r="AP554" s="40"/>
      <c r="AQ554" s="26"/>
      <c r="AR554" s="26"/>
      <c r="AS554" s="26"/>
      <c r="AT554" s="25"/>
      <c r="AU554" s="30"/>
      <c r="AV554" s="31"/>
    </row>
    <row r="555" spans="8:48" ht="14.25" customHeight="1" x14ac:dyDescent="0.35">
      <c r="H555" s="15"/>
      <c r="K555" s="15"/>
      <c r="N555" s="15"/>
      <c r="Q555" s="13"/>
      <c r="R555" s="13"/>
      <c r="S555" s="13"/>
      <c r="T555" s="13"/>
      <c r="U555" s="13"/>
      <c r="X555" s="15"/>
      <c r="AF555" s="19"/>
      <c r="AJ555" s="35"/>
      <c r="AK555" s="36"/>
      <c r="AN555" s="25"/>
      <c r="AO555" s="26"/>
      <c r="AP555" s="40"/>
      <c r="AQ555" s="26"/>
      <c r="AR555" s="26"/>
      <c r="AS555" s="26"/>
      <c r="AT555" s="25"/>
      <c r="AU555" s="30"/>
      <c r="AV555" s="31"/>
    </row>
    <row r="556" spans="8:48" ht="14.25" customHeight="1" x14ac:dyDescent="0.35">
      <c r="H556" s="15"/>
      <c r="K556" s="15"/>
      <c r="N556" s="15"/>
      <c r="Q556" s="13"/>
      <c r="R556" s="13"/>
      <c r="S556" s="13"/>
      <c r="T556" s="13"/>
      <c r="U556" s="13"/>
      <c r="X556" s="15"/>
      <c r="AF556" s="19"/>
      <c r="AJ556" s="35"/>
      <c r="AK556" s="36"/>
      <c r="AN556" s="25"/>
      <c r="AO556" s="26"/>
      <c r="AP556" s="40"/>
      <c r="AQ556" s="26"/>
      <c r="AR556" s="26"/>
      <c r="AS556" s="26"/>
      <c r="AT556" s="25"/>
      <c r="AU556" s="30"/>
      <c r="AV556" s="31"/>
    </row>
    <row r="557" spans="8:48" ht="14.25" customHeight="1" x14ac:dyDescent="0.35">
      <c r="H557" s="15"/>
      <c r="K557" s="15"/>
      <c r="N557" s="15"/>
      <c r="Q557" s="13"/>
      <c r="R557" s="13"/>
      <c r="S557" s="13"/>
      <c r="T557" s="13"/>
      <c r="U557" s="13"/>
      <c r="X557" s="15"/>
      <c r="AF557" s="19"/>
      <c r="AJ557" s="35"/>
      <c r="AK557" s="36"/>
      <c r="AN557" s="25"/>
      <c r="AO557" s="26"/>
      <c r="AP557" s="40"/>
      <c r="AQ557" s="26"/>
      <c r="AR557" s="26"/>
      <c r="AS557" s="26"/>
      <c r="AT557" s="25"/>
      <c r="AU557" s="30"/>
      <c r="AV557" s="31"/>
    </row>
    <row r="558" spans="8:48" ht="14.25" customHeight="1" x14ac:dyDescent="0.35">
      <c r="H558" s="15"/>
      <c r="K558" s="15"/>
      <c r="N558" s="15"/>
      <c r="Q558" s="13"/>
      <c r="R558" s="13"/>
      <c r="S558" s="13"/>
      <c r="T558" s="13"/>
      <c r="U558" s="13"/>
      <c r="X558" s="15"/>
      <c r="AF558" s="19"/>
      <c r="AJ558" s="35"/>
      <c r="AK558" s="36"/>
      <c r="AN558" s="25"/>
      <c r="AO558" s="26"/>
      <c r="AP558" s="40"/>
      <c r="AQ558" s="26"/>
      <c r="AR558" s="26"/>
      <c r="AS558" s="26"/>
      <c r="AT558" s="25"/>
      <c r="AU558" s="30"/>
      <c r="AV558" s="31"/>
    </row>
    <row r="559" spans="8:48" ht="14.25" customHeight="1" x14ac:dyDescent="0.35">
      <c r="H559" s="15"/>
      <c r="K559" s="15"/>
      <c r="N559" s="15"/>
      <c r="Q559" s="13"/>
      <c r="R559" s="13"/>
      <c r="S559" s="13"/>
      <c r="T559" s="13"/>
      <c r="U559" s="13"/>
      <c r="X559" s="15"/>
      <c r="AF559" s="19"/>
      <c r="AJ559" s="35"/>
      <c r="AK559" s="36"/>
      <c r="AN559" s="25"/>
      <c r="AO559" s="26"/>
      <c r="AP559" s="40"/>
      <c r="AQ559" s="26"/>
      <c r="AR559" s="26"/>
      <c r="AS559" s="26"/>
      <c r="AT559" s="25"/>
      <c r="AU559" s="30"/>
      <c r="AV559" s="31"/>
    </row>
    <row r="560" spans="8:48" ht="14.25" customHeight="1" x14ac:dyDescent="0.35">
      <c r="H560" s="15"/>
      <c r="K560" s="15"/>
      <c r="N560" s="15"/>
      <c r="Q560" s="13"/>
      <c r="R560" s="13"/>
      <c r="S560" s="13"/>
      <c r="T560" s="13"/>
      <c r="U560" s="13"/>
      <c r="X560" s="15"/>
      <c r="AF560" s="19"/>
      <c r="AJ560" s="35"/>
      <c r="AK560" s="36"/>
      <c r="AN560" s="25"/>
      <c r="AO560" s="26"/>
      <c r="AP560" s="40"/>
      <c r="AQ560" s="26"/>
      <c r="AR560" s="26"/>
      <c r="AS560" s="26"/>
      <c r="AT560" s="25"/>
      <c r="AU560" s="30"/>
      <c r="AV560" s="31"/>
    </row>
    <row r="561" spans="8:48" ht="14.25" customHeight="1" x14ac:dyDescent="0.35">
      <c r="H561" s="15"/>
      <c r="K561" s="15"/>
      <c r="N561" s="15"/>
      <c r="Q561" s="13"/>
      <c r="R561" s="13"/>
      <c r="S561" s="13"/>
      <c r="T561" s="13"/>
      <c r="U561" s="13"/>
      <c r="X561" s="15"/>
      <c r="AF561" s="19"/>
      <c r="AJ561" s="35"/>
      <c r="AK561" s="36"/>
      <c r="AN561" s="25"/>
      <c r="AO561" s="26"/>
      <c r="AP561" s="40"/>
      <c r="AQ561" s="26"/>
      <c r="AR561" s="26"/>
      <c r="AS561" s="26"/>
      <c r="AT561" s="25"/>
      <c r="AU561" s="30"/>
      <c r="AV561" s="31"/>
    </row>
    <row r="562" spans="8:48" ht="14.25" customHeight="1" x14ac:dyDescent="0.35">
      <c r="H562" s="15"/>
      <c r="K562" s="15"/>
      <c r="N562" s="15"/>
      <c r="Q562" s="13"/>
      <c r="R562" s="13"/>
      <c r="S562" s="13"/>
      <c r="T562" s="13"/>
      <c r="U562" s="13"/>
      <c r="X562" s="15"/>
      <c r="AF562" s="19"/>
      <c r="AJ562" s="35"/>
      <c r="AK562" s="36"/>
      <c r="AN562" s="25"/>
      <c r="AO562" s="26"/>
      <c r="AP562" s="40"/>
      <c r="AQ562" s="26"/>
      <c r="AR562" s="26"/>
      <c r="AS562" s="26"/>
      <c r="AT562" s="25"/>
      <c r="AU562" s="30"/>
      <c r="AV562" s="31"/>
    </row>
    <row r="563" spans="8:48" ht="14.25" customHeight="1" x14ac:dyDescent="0.35">
      <c r="H563" s="15"/>
      <c r="K563" s="15"/>
      <c r="N563" s="15"/>
      <c r="Q563" s="13"/>
      <c r="R563" s="13"/>
      <c r="S563" s="13"/>
      <c r="T563" s="13"/>
      <c r="U563" s="13"/>
      <c r="X563" s="15"/>
      <c r="AF563" s="19"/>
      <c r="AJ563" s="35"/>
      <c r="AK563" s="36"/>
      <c r="AN563" s="25"/>
      <c r="AO563" s="26"/>
      <c r="AP563" s="40"/>
      <c r="AQ563" s="26"/>
      <c r="AR563" s="26"/>
      <c r="AS563" s="26"/>
      <c r="AT563" s="25"/>
      <c r="AU563" s="30"/>
      <c r="AV563" s="31"/>
    </row>
    <row r="564" spans="8:48" ht="14.25" customHeight="1" x14ac:dyDescent="0.35">
      <c r="H564" s="15"/>
      <c r="K564" s="15"/>
      <c r="N564" s="15"/>
      <c r="Q564" s="13"/>
      <c r="R564" s="13"/>
      <c r="S564" s="13"/>
      <c r="T564" s="13"/>
      <c r="U564" s="13"/>
      <c r="X564" s="15"/>
      <c r="AF564" s="19"/>
      <c r="AJ564" s="35"/>
      <c r="AK564" s="36"/>
      <c r="AN564" s="25"/>
      <c r="AO564" s="26"/>
      <c r="AP564" s="40"/>
      <c r="AQ564" s="26"/>
      <c r="AR564" s="26"/>
      <c r="AS564" s="26"/>
      <c r="AT564" s="25"/>
      <c r="AU564" s="30"/>
      <c r="AV564" s="31"/>
    </row>
    <row r="565" spans="8:48" ht="14.25" customHeight="1" x14ac:dyDescent="0.35">
      <c r="H565" s="15"/>
      <c r="K565" s="15"/>
      <c r="N565" s="15"/>
      <c r="Q565" s="13"/>
      <c r="R565" s="13"/>
      <c r="S565" s="13"/>
      <c r="T565" s="13"/>
      <c r="U565" s="13"/>
      <c r="X565" s="15"/>
      <c r="AF565" s="19"/>
      <c r="AJ565" s="35"/>
      <c r="AK565" s="36"/>
      <c r="AN565" s="25"/>
      <c r="AO565" s="26"/>
      <c r="AP565" s="40"/>
      <c r="AQ565" s="26"/>
      <c r="AR565" s="26"/>
      <c r="AS565" s="26"/>
      <c r="AT565" s="25"/>
      <c r="AU565" s="30"/>
      <c r="AV565" s="31"/>
    </row>
    <row r="566" spans="8:48" ht="14.25" customHeight="1" x14ac:dyDescent="0.35">
      <c r="H566" s="15"/>
      <c r="K566" s="15"/>
      <c r="N566" s="15"/>
      <c r="Q566" s="13"/>
      <c r="R566" s="13"/>
      <c r="S566" s="13"/>
      <c r="T566" s="13"/>
      <c r="U566" s="13"/>
      <c r="X566" s="15"/>
      <c r="AF566" s="19"/>
      <c r="AJ566" s="35"/>
      <c r="AK566" s="36"/>
      <c r="AN566" s="25"/>
      <c r="AO566" s="26"/>
      <c r="AP566" s="40"/>
      <c r="AQ566" s="26"/>
      <c r="AR566" s="26"/>
      <c r="AS566" s="26"/>
      <c r="AT566" s="25"/>
      <c r="AU566" s="30"/>
      <c r="AV566" s="31"/>
    </row>
    <row r="567" spans="8:48" ht="14.25" customHeight="1" x14ac:dyDescent="0.35">
      <c r="H567" s="15"/>
      <c r="K567" s="15"/>
      <c r="N567" s="15"/>
      <c r="Q567" s="13"/>
      <c r="R567" s="13"/>
      <c r="S567" s="13"/>
      <c r="T567" s="13"/>
      <c r="U567" s="13"/>
      <c r="X567" s="15"/>
      <c r="AF567" s="19"/>
      <c r="AJ567" s="35"/>
      <c r="AK567" s="36"/>
      <c r="AN567" s="25"/>
      <c r="AO567" s="26"/>
      <c r="AP567" s="40"/>
      <c r="AQ567" s="26"/>
      <c r="AR567" s="26"/>
      <c r="AS567" s="26"/>
      <c r="AT567" s="25"/>
      <c r="AU567" s="30"/>
      <c r="AV567" s="31"/>
    </row>
    <row r="568" spans="8:48" ht="14.25" customHeight="1" x14ac:dyDescent="0.35">
      <c r="H568" s="15"/>
      <c r="K568" s="15"/>
      <c r="N568" s="15"/>
      <c r="Q568" s="13"/>
      <c r="R568" s="13"/>
      <c r="S568" s="13"/>
      <c r="T568" s="13"/>
      <c r="U568" s="13"/>
      <c r="X568" s="15"/>
      <c r="AF568" s="19"/>
      <c r="AJ568" s="35"/>
      <c r="AK568" s="36"/>
      <c r="AN568" s="25"/>
      <c r="AO568" s="26"/>
      <c r="AP568" s="40"/>
      <c r="AQ568" s="26"/>
      <c r="AR568" s="26"/>
      <c r="AS568" s="26"/>
      <c r="AT568" s="25"/>
      <c r="AU568" s="30"/>
      <c r="AV568" s="31"/>
    </row>
    <row r="569" spans="8:48" ht="14.25" customHeight="1" x14ac:dyDescent="0.35">
      <c r="H569" s="15"/>
      <c r="K569" s="15"/>
      <c r="N569" s="15"/>
      <c r="Q569" s="13"/>
      <c r="R569" s="13"/>
      <c r="S569" s="13"/>
      <c r="T569" s="13"/>
      <c r="U569" s="13"/>
      <c r="X569" s="15"/>
      <c r="AF569" s="19"/>
      <c r="AJ569" s="35"/>
      <c r="AK569" s="36"/>
      <c r="AN569" s="25"/>
      <c r="AO569" s="26"/>
      <c r="AP569" s="40"/>
      <c r="AQ569" s="26"/>
      <c r="AR569" s="26"/>
      <c r="AS569" s="26"/>
      <c r="AT569" s="25"/>
      <c r="AU569" s="30"/>
      <c r="AV569" s="31"/>
    </row>
    <row r="570" spans="8:48" ht="14.25" customHeight="1" x14ac:dyDescent="0.35">
      <c r="H570" s="15"/>
      <c r="K570" s="15"/>
      <c r="N570" s="15"/>
      <c r="Q570" s="13"/>
      <c r="R570" s="13"/>
      <c r="S570" s="13"/>
      <c r="T570" s="13"/>
      <c r="U570" s="13"/>
      <c r="X570" s="15"/>
      <c r="AF570" s="19"/>
      <c r="AJ570" s="35"/>
      <c r="AK570" s="36"/>
      <c r="AN570" s="25"/>
      <c r="AO570" s="26"/>
      <c r="AP570" s="40"/>
      <c r="AQ570" s="26"/>
      <c r="AR570" s="26"/>
      <c r="AS570" s="26"/>
      <c r="AT570" s="25"/>
      <c r="AU570" s="30"/>
      <c r="AV570" s="31"/>
    </row>
    <row r="571" spans="8:48" ht="14.25" customHeight="1" x14ac:dyDescent="0.35">
      <c r="H571" s="15"/>
      <c r="K571" s="15"/>
      <c r="N571" s="15"/>
      <c r="Q571" s="13"/>
      <c r="R571" s="13"/>
      <c r="S571" s="13"/>
      <c r="T571" s="13"/>
      <c r="U571" s="13"/>
      <c r="X571" s="15"/>
      <c r="AF571" s="19"/>
      <c r="AJ571" s="35"/>
      <c r="AK571" s="36"/>
      <c r="AN571" s="25"/>
      <c r="AO571" s="26"/>
      <c r="AP571" s="40"/>
      <c r="AQ571" s="26"/>
      <c r="AR571" s="26"/>
      <c r="AS571" s="26"/>
      <c r="AT571" s="25"/>
      <c r="AU571" s="30"/>
      <c r="AV571" s="31"/>
    </row>
    <row r="572" spans="8:48" ht="14.25" customHeight="1" x14ac:dyDescent="0.35">
      <c r="H572" s="15"/>
      <c r="K572" s="15"/>
      <c r="N572" s="15"/>
      <c r="Q572" s="13"/>
      <c r="R572" s="13"/>
      <c r="S572" s="13"/>
      <c r="T572" s="13"/>
      <c r="U572" s="13"/>
      <c r="X572" s="15"/>
      <c r="AF572" s="19"/>
      <c r="AJ572" s="35"/>
      <c r="AK572" s="36"/>
      <c r="AN572" s="25"/>
      <c r="AO572" s="26"/>
      <c r="AP572" s="40"/>
      <c r="AQ572" s="26"/>
      <c r="AR572" s="26"/>
      <c r="AS572" s="26"/>
      <c r="AT572" s="25"/>
      <c r="AU572" s="30"/>
      <c r="AV572" s="31"/>
    </row>
    <row r="573" spans="8:48" ht="14.25" customHeight="1" x14ac:dyDescent="0.35">
      <c r="H573" s="15"/>
      <c r="K573" s="15"/>
      <c r="N573" s="15"/>
      <c r="Q573" s="13"/>
      <c r="R573" s="13"/>
      <c r="S573" s="13"/>
      <c r="T573" s="13"/>
      <c r="U573" s="13"/>
      <c r="X573" s="15"/>
      <c r="AF573" s="19"/>
      <c r="AJ573" s="35"/>
      <c r="AK573" s="36"/>
      <c r="AN573" s="25"/>
      <c r="AO573" s="26"/>
      <c r="AP573" s="40"/>
      <c r="AQ573" s="26"/>
      <c r="AR573" s="26"/>
      <c r="AS573" s="26"/>
      <c r="AT573" s="25"/>
      <c r="AU573" s="30"/>
      <c r="AV573" s="31"/>
    </row>
    <row r="574" spans="8:48" ht="14.25" customHeight="1" x14ac:dyDescent="0.35">
      <c r="H574" s="15"/>
      <c r="K574" s="15"/>
      <c r="N574" s="15"/>
      <c r="Q574" s="13"/>
      <c r="R574" s="13"/>
      <c r="S574" s="13"/>
      <c r="T574" s="13"/>
      <c r="U574" s="13"/>
      <c r="X574" s="15"/>
      <c r="AF574" s="19"/>
      <c r="AJ574" s="35"/>
      <c r="AK574" s="36"/>
      <c r="AN574" s="25"/>
      <c r="AO574" s="26"/>
      <c r="AP574" s="40"/>
      <c r="AQ574" s="26"/>
      <c r="AR574" s="26"/>
      <c r="AS574" s="26"/>
      <c r="AT574" s="25"/>
      <c r="AU574" s="30"/>
      <c r="AV574" s="31"/>
    </row>
    <row r="575" spans="8:48" ht="14.25" customHeight="1" x14ac:dyDescent="0.35">
      <c r="H575" s="15"/>
      <c r="K575" s="15"/>
      <c r="N575" s="15"/>
      <c r="Q575" s="13"/>
      <c r="R575" s="13"/>
      <c r="S575" s="13"/>
      <c r="T575" s="13"/>
      <c r="U575" s="13"/>
      <c r="X575" s="15"/>
      <c r="AF575" s="19"/>
      <c r="AJ575" s="35"/>
      <c r="AK575" s="36"/>
      <c r="AN575" s="25"/>
      <c r="AO575" s="26"/>
      <c r="AP575" s="40"/>
      <c r="AQ575" s="26"/>
      <c r="AR575" s="26"/>
      <c r="AS575" s="26"/>
      <c r="AT575" s="25"/>
      <c r="AU575" s="30"/>
      <c r="AV575" s="31"/>
    </row>
    <row r="576" spans="8:48" ht="14.25" customHeight="1" x14ac:dyDescent="0.35">
      <c r="H576" s="15"/>
      <c r="K576" s="15"/>
      <c r="N576" s="15"/>
      <c r="Q576" s="13"/>
      <c r="R576" s="13"/>
      <c r="S576" s="13"/>
      <c r="T576" s="13"/>
      <c r="U576" s="13"/>
      <c r="X576" s="15"/>
      <c r="AF576" s="19"/>
      <c r="AJ576" s="35"/>
      <c r="AK576" s="36"/>
      <c r="AN576" s="25"/>
      <c r="AO576" s="26"/>
      <c r="AP576" s="40"/>
      <c r="AQ576" s="26"/>
      <c r="AR576" s="26"/>
      <c r="AS576" s="26"/>
      <c r="AT576" s="25"/>
      <c r="AU576" s="30"/>
      <c r="AV576" s="31"/>
    </row>
    <row r="577" spans="8:48" ht="14.25" customHeight="1" x14ac:dyDescent="0.35">
      <c r="H577" s="15"/>
      <c r="K577" s="15"/>
      <c r="N577" s="15"/>
      <c r="Q577" s="13"/>
      <c r="R577" s="13"/>
      <c r="S577" s="13"/>
      <c r="T577" s="13"/>
      <c r="U577" s="13"/>
      <c r="X577" s="15"/>
      <c r="AF577" s="19"/>
      <c r="AJ577" s="35"/>
      <c r="AK577" s="36"/>
      <c r="AN577" s="25"/>
      <c r="AO577" s="26"/>
      <c r="AP577" s="40"/>
      <c r="AQ577" s="26"/>
      <c r="AR577" s="26"/>
      <c r="AS577" s="26"/>
      <c r="AT577" s="25"/>
      <c r="AU577" s="30"/>
      <c r="AV577" s="31"/>
    </row>
    <row r="578" spans="8:48" ht="14.25" customHeight="1" x14ac:dyDescent="0.35">
      <c r="H578" s="15"/>
      <c r="K578" s="15"/>
      <c r="N578" s="15"/>
      <c r="Q578" s="13"/>
      <c r="R578" s="13"/>
      <c r="S578" s="13"/>
      <c r="T578" s="13"/>
      <c r="U578" s="13"/>
      <c r="X578" s="15"/>
      <c r="AF578" s="19"/>
      <c r="AJ578" s="35"/>
      <c r="AK578" s="36"/>
      <c r="AN578" s="25"/>
      <c r="AO578" s="26"/>
      <c r="AP578" s="40"/>
      <c r="AQ578" s="26"/>
      <c r="AR578" s="26"/>
      <c r="AS578" s="26"/>
      <c r="AT578" s="25"/>
      <c r="AU578" s="30"/>
      <c r="AV578" s="31"/>
    </row>
    <row r="579" spans="8:48" ht="14.25" customHeight="1" x14ac:dyDescent="0.35">
      <c r="H579" s="15"/>
      <c r="K579" s="15"/>
      <c r="N579" s="15"/>
      <c r="Q579" s="13"/>
      <c r="R579" s="13"/>
      <c r="S579" s="13"/>
      <c r="T579" s="13"/>
      <c r="U579" s="13"/>
      <c r="X579" s="15"/>
      <c r="AF579" s="19"/>
      <c r="AJ579" s="35"/>
      <c r="AK579" s="36"/>
      <c r="AN579" s="25"/>
      <c r="AO579" s="26"/>
      <c r="AP579" s="40"/>
      <c r="AQ579" s="26"/>
      <c r="AR579" s="26"/>
      <c r="AS579" s="26"/>
      <c r="AT579" s="25"/>
      <c r="AU579" s="30"/>
      <c r="AV579" s="31"/>
    </row>
    <row r="580" spans="8:48" ht="14.25" customHeight="1" x14ac:dyDescent="0.35">
      <c r="H580" s="15"/>
      <c r="K580" s="15"/>
      <c r="N580" s="15"/>
      <c r="Q580" s="13"/>
      <c r="R580" s="13"/>
      <c r="S580" s="13"/>
      <c r="T580" s="13"/>
      <c r="U580" s="13"/>
      <c r="X580" s="15"/>
      <c r="AF580" s="19"/>
      <c r="AJ580" s="35"/>
      <c r="AK580" s="36"/>
      <c r="AN580" s="25"/>
      <c r="AO580" s="26"/>
      <c r="AP580" s="40"/>
      <c r="AQ580" s="26"/>
      <c r="AR580" s="26"/>
      <c r="AS580" s="26"/>
      <c r="AT580" s="25"/>
      <c r="AU580" s="30"/>
      <c r="AV580" s="31"/>
    </row>
    <row r="581" spans="8:48" ht="14.25" customHeight="1" x14ac:dyDescent="0.35">
      <c r="H581" s="15"/>
      <c r="K581" s="15"/>
      <c r="N581" s="15"/>
      <c r="Q581" s="13"/>
      <c r="R581" s="13"/>
      <c r="S581" s="13"/>
      <c r="T581" s="13"/>
      <c r="U581" s="13"/>
      <c r="X581" s="15"/>
      <c r="AF581" s="19"/>
      <c r="AJ581" s="35"/>
      <c r="AK581" s="36"/>
      <c r="AN581" s="25"/>
      <c r="AO581" s="26"/>
      <c r="AP581" s="40"/>
      <c r="AQ581" s="26"/>
      <c r="AR581" s="26"/>
      <c r="AS581" s="26"/>
      <c r="AT581" s="25"/>
      <c r="AU581" s="30"/>
      <c r="AV581" s="31"/>
    </row>
    <row r="582" spans="8:48" ht="14.25" customHeight="1" x14ac:dyDescent="0.35">
      <c r="H582" s="15"/>
      <c r="K582" s="15"/>
      <c r="N582" s="15"/>
      <c r="Q582" s="13"/>
      <c r="R582" s="13"/>
      <c r="S582" s="13"/>
      <c r="T582" s="13"/>
      <c r="U582" s="13"/>
      <c r="X582" s="15"/>
      <c r="AF582" s="19"/>
      <c r="AJ582" s="35"/>
      <c r="AK582" s="36"/>
      <c r="AN582" s="25"/>
      <c r="AO582" s="26"/>
      <c r="AP582" s="40"/>
      <c r="AQ582" s="26"/>
      <c r="AR582" s="26"/>
      <c r="AS582" s="26"/>
      <c r="AT582" s="25"/>
      <c r="AU582" s="30"/>
      <c r="AV582" s="31"/>
    </row>
    <row r="583" spans="8:48" ht="14.25" customHeight="1" x14ac:dyDescent="0.35">
      <c r="H583" s="15"/>
      <c r="K583" s="15"/>
      <c r="N583" s="15"/>
      <c r="Q583" s="13"/>
      <c r="R583" s="13"/>
      <c r="S583" s="13"/>
      <c r="T583" s="13"/>
      <c r="U583" s="13"/>
      <c r="X583" s="15"/>
      <c r="AF583" s="19"/>
      <c r="AJ583" s="35"/>
      <c r="AK583" s="36"/>
      <c r="AN583" s="25"/>
      <c r="AO583" s="26"/>
      <c r="AP583" s="40"/>
      <c r="AQ583" s="26"/>
      <c r="AR583" s="26"/>
      <c r="AS583" s="26"/>
      <c r="AT583" s="25"/>
      <c r="AU583" s="30"/>
      <c r="AV583" s="31"/>
    </row>
    <row r="584" spans="8:48" ht="14.25" customHeight="1" x14ac:dyDescent="0.35">
      <c r="H584" s="15"/>
      <c r="K584" s="15"/>
      <c r="N584" s="15"/>
      <c r="Q584" s="13"/>
      <c r="R584" s="13"/>
      <c r="S584" s="13"/>
      <c r="T584" s="13"/>
      <c r="U584" s="13"/>
      <c r="X584" s="15"/>
      <c r="AF584" s="19"/>
      <c r="AJ584" s="35"/>
      <c r="AK584" s="36"/>
      <c r="AN584" s="25"/>
      <c r="AO584" s="26"/>
      <c r="AP584" s="40"/>
      <c r="AQ584" s="26"/>
      <c r="AR584" s="26"/>
      <c r="AS584" s="26"/>
      <c r="AT584" s="25"/>
      <c r="AU584" s="30"/>
      <c r="AV584" s="31"/>
    </row>
    <row r="585" spans="8:48" ht="14.25" customHeight="1" x14ac:dyDescent="0.35">
      <c r="H585" s="15"/>
      <c r="K585" s="15"/>
      <c r="N585" s="15"/>
      <c r="Q585" s="13"/>
      <c r="R585" s="13"/>
      <c r="S585" s="13"/>
      <c r="T585" s="13"/>
      <c r="U585" s="13"/>
      <c r="X585" s="15"/>
      <c r="AF585" s="19"/>
      <c r="AJ585" s="35"/>
      <c r="AK585" s="36"/>
      <c r="AN585" s="25"/>
      <c r="AO585" s="26"/>
      <c r="AP585" s="40"/>
      <c r="AQ585" s="26"/>
      <c r="AR585" s="26"/>
      <c r="AS585" s="26"/>
      <c r="AT585" s="25"/>
      <c r="AU585" s="30"/>
      <c r="AV585" s="31"/>
    </row>
    <row r="586" spans="8:48" ht="14.25" customHeight="1" x14ac:dyDescent="0.35">
      <c r="H586" s="15"/>
      <c r="K586" s="15"/>
      <c r="N586" s="15"/>
      <c r="Q586" s="13"/>
      <c r="R586" s="13"/>
      <c r="S586" s="13"/>
      <c r="T586" s="13"/>
      <c r="U586" s="13"/>
      <c r="X586" s="15"/>
      <c r="AF586" s="19"/>
      <c r="AJ586" s="35"/>
      <c r="AK586" s="36"/>
      <c r="AN586" s="25"/>
      <c r="AO586" s="26"/>
      <c r="AP586" s="40"/>
      <c r="AQ586" s="26"/>
      <c r="AR586" s="26"/>
      <c r="AS586" s="26"/>
      <c r="AT586" s="25"/>
      <c r="AU586" s="30"/>
      <c r="AV586" s="31"/>
    </row>
    <row r="587" spans="8:48" ht="14.25" customHeight="1" x14ac:dyDescent="0.35">
      <c r="H587" s="15"/>
      <c r="K587" s="15"/>
      <c r="N587" s="15"/>
      <c r="Q587" s="13"/>
      <c r="R587" s="13"/>
      <c r="S587" s="13"/>
      <c r="T587" s="13"/>
      <c r="U587" s="13"/>
      <c r="X587" s="15"/>
      <c r="AF587" s="19"/>
      <c r="AJ587" s="35"/>
      <c r="AK587" s="36"/>
      <c r="AN587" s="25"/>
      <c r="AO587" s="26"/>
      <c r="AP587" s="40"/>
      <c r="AQ587" s="26"/>
      <c r="AR587" s="26"/>
      <c r="AS587" s="26"/>
      <c r="AT587" s="25"/>
      <c r="AU587" s="30"/>
      <c r="AV587" s="31"/>
    </row>
    <row r="588" spans="8:48" ht="14.25" customHeight="1" x14ac:dyDescent="0.35">
      <c r="H588" s="15"/>
      <c r="K588" s="15"/>
      <c r="N588" s="15"/>
      <c r="Q588" s="13"/>
      <c r="R588" s="13"/>
      <c r="S588" s="13"/>
      <c r="T588" s="13"/>
      <c r="U588" s="13"/>
      <c r="X588" s="15"/>
      <c r="AF588" s="19"/>
      <c r="AJ588" s="35"/>
      <c r="AK588" s="36"/>
      <c r="AN588" s="25"/>
      <c r="AO588" s="26"/>
      <c r="AP588" s="40"/>
      <c r="AQ588" s="26"/>
      <c r="AR588" s="26"/>
      <c r="AS588" s="26"/>
      <c r="AT588" s="25"/>
      <c r="AU588" s="30"/>
      <c r="AV588" s="31"/>
    </row>
    <row r="589" spans="8:48" ht="14.25" customHeight="1" x14ac:dyDescent="0.35">
      <c r="H589" s="15"/>
      <c r="K589" s="15"/>
      <c r="N589" s="15"/>
      <c r="Q589" s="13"/>
      <c r="R589" s="13"/>
      <c r="S589" s="13"/>
      <c r="T589" s="13"/>
      <c r="U589" s="13"/>
      <c r="X589" s="15"/>
      <c r="AF589" s="19"/>
      <c r="AJ589" s="35"/>
      <c r="AK589" s="36"/>
      <c r="AN589" s="25"/>
      <c r="AO589" s="26"/>
      <c r="AP589" s="40"/>
      <c r="AQ589" s="26"/>
      <c r="AR589" s="26"/>
      <c r="AS589" s="26"/>
      <c r="AT589" s="25"/>
      <c r="AU589" s="30"/>
      <c r="AV589" s="31"/>
    </row>
    <row r="590" spans="8:48" ht="14.25" customHeight="1" x14ac:dyDescent="0.35">
      <c r="H590" s="15"/>
      <c r="K590" s="15"/>
      <c r="N590" s="15"/>
      <c r="Q590" s="13"/>
      <c r="R590" s="13"/>
      <c r="S590" s="13"/>
      <c r="T590" s="13"/>
      <c r="U590" s="13"/>
      <c r="X590" s="15"/>
      <c r="AF590" s="19"/>
      <c r="AJ590" s="35"/>
      <c r="AK590" s="36"/>
      <c r="AN590" s="25"/>
      <c r="AO590" s="26"/>
      <c r="AP590" s="40"/>
      <c r="AQ590" s="26"/>
      <c r="AR590" s="26"/>
      <c r="AS590" s="26"/>
      <c r="AT590" s="25"/>
      <c r="AU590" s="30"/>
      <c r="AV590" s="31"/>
    </row>
    <row r="591" spans="8:48" ht="14.25" customHeight="1" x14ac:dyDescent="0.35">
      <c r="H591" s="15"/>
      <c r="K591" s="15"/>
      <c r="N591" s="15"/>
      <c r="Q591" s="13"/>
      <c r="R591" s="13"/>
      <c r="S591" s="13"/>
      <c r="T591" s="13"/>
      <c r="U591" s="13"/>
      <c r="X591" s="15"/>
      <c r="AF591" s="19"/>
      <c r="AJ591" s="35"/>
      <c r="AK591" s="36"/>
      <c r="AN591" s="25"/>
      <c r="AO591" s="26"/>
      <c r="AP591" s="40"/>
      <c r="AQ591" s="26"/>
      <c r="AR591" s="26"/>
      <c r="AS591" s="26"/>
      <c r="AT591" s="25"/>
      <c r="AU591" s="30"/>
      <c r="AV591" s="31"/>
    </row>
    <row r="592" spans="8:48" ht="14.25" customHeight="1" x14ac:dyDescent="0.35">
      <c r="H592" s="15"/>
      <c r="K592" s="15"/>
      <c r="N592" s="15"/>
      <c r="Q592" s="13"/>
      <c r="R592" s="13"/>
      <c r="S592" s="13"/>
      <c r="T592" s="13"/>
      <c r="U592" s="13"/>
      <c r="X592" s="15"/>
      <c r="AF592" s="19"/>
      <c r="AJ592" s="35"/>
      <c r="AK592" s="36"/>
      <c r="AN592" s="25"/>
      <c r="AO592" s="26"/>
      <c r="AP592" s="40"/>
      <c r="AQ592" s="26"/>
      <c r="AR592" s="26"/>
      <c r="AS592" s="26"/>
      <c r="AT592" s="25"/>
      <c r="AU592" s="30"/>
      <c r="AV592" s="31"/>
    </row>
    <row r="593" spans="8:48" ht="14.25" customHeight="1" x14ac:dyDescent="0.35">
      <c r="H593" s="15"/>
      <c r="K593" s="15"/>
      <c r="N593" s="15"/>
      <c r="Q593" s="13"/>
      <c r="R593" s="13"/>
      <c r="S593" s="13"/>
      <c r="T593" s="13"/>
      <c r="U593" s="13"/>
      <c r="X593" s="15"/>
      <c r="AF593" s="19"/>
      <c r="AJ593" s="35"/>
      <c r="AK593" s="36"/>
      <c r="AN593" s="25"/>
      <c r="AO593" s="26"/>
      <c r="AP593" s="40"/>
      <c r="AQ593" s="26"/>
      <c r="AR593" s="26"/>
      <c r="AS593" s="26"/>
      <c r="AT593" s="25"/>
      <c r="AU593" s="30"/>
      <c r="AV593" s="31"/>
    </row>
    <row r="594" spans="8:48" ht="14.25" customHeight="1" x14ac:dyDescent="0.35">
      <c r="H594" s="15"/>
      <c r="K594" s="15"/>
      <c r="N594" s="15"/>
      <c r="Q594" s="13"/>
      <c r="R594" s="13"/>
      <c r="S594" s="13"/>
      <c r="T594" s="13"/>
      <c r="U594" s="13"/>
      <c r="X594" s="15"/>
      <c r="AF594" s="19"/>
      <c r="AJ594" s="35"/>
      <c r="AK594" s="36"/>
      <c r="AN594" s="25"/>
      <c r="AO594" s="26"/>
      <c r="AP594" s="40"/>
      <c r="AQ594" s="26"/>
      <c r="AR594" s="26"/>
      <c r="AS594" s="26"/>
      <c r="AT594" s="25"/>
      <c r="AU594" s="30"/>
      <c r="AV594" s="31"/>
    </row>
    <row r="595" spans="8:48" ht="14.25" customHeight="1" x14ac:dyDescent="0.35">
      <c r="H595" s="15"/>
      <c r="K595" s="15"/>
      <c r="N595" s="15"/>
      <c r="Q595" s="13"/>
      <c r="R595" s="13"/>
      <c r="S595" s="13"/>
      <c r="T595" s="13"/>
      <c r="U595" s="13"/>
      <c r="X595" s="15"/>
      <c r="AF595" s="19"/>
      <c r="AJ595" s="35"/>
      <c r="AK595" s="36"/>
      <c r="AN595" s="25"/>
      <c r="AO595" s="26"/>
      <c r="AP595" s="40"/>
      <c r="AQ595" s="26"/>
      <c r="AR595" s="26"/>
      <c r="AS595" s="26"/>
      <c r="AT595" s="25"/>
      <c r="AU595" s="30"/>
      <c r="AV595" s="31"/>
    </row>
    <row r="596" spans="8:48" ht="14.25" customHeight="1" x14ac:dyDescent="0.35">
      <c r="H596" s="15"/>
      <c r="K596" s="15"/>
      <c r="N596" s="15"/>
      <c r="Q596" s="13"/>
      <c r="R596" s="13"/>
      <c r="S596" s="13"/>
      <c r="T596" s="13"/>
      <c r="U596" s="13"/>
      <c r="X596" s="15"/>
      <c r="AF596" s="19"/>
      <c r="AJ596" s="35"/>
      <c r="AK596" s="36"/>
      <c r="AN596" s="25"/>
      <c r="AO596" s="26"/>
      <c r="AP596" s="40"/>
      <c r="AQ596" s="26"/>
      <c r="AR596" s="26"/>
      <c r="AS596" s="26"/>
      <c r="AT596" s="25"/>
      <c r="AU596" s="30"/>
      <c r="AV596" s="31"/>
    </row>
    <row r="597" spans="8:48" ht="14.25" customHeight="1" x14ac:dyDescent="0.35">
      <c r="H597" s="15"/>
      <c r="K597" s="15"/>
      <c r="N597" s="15"/>
      <c r="Q597" s="13"/>
      <c r="R597" s="13"/>
      <c r="S597" s="13"/>
      <c r="T597" s="13"/>
      <c r="U597" s="13"/>
      <c r="X597" s="15"/>
      <c r="AF597" s="19"/>
      <c r="AJ597" s="35"/>
      <c r="AK597" s="36"/>
      <c r="AN597" s="25"/>
      <c r="AO597" s="26"/>
      <c r="AP597" s="40"/>
      <c r="AQ597" s="26"/>
      <c r="AR597" s="26"/>
      <c r="AS597" s="26"/>
      <c r="AT597" s="25"/>
      <c r="AU597" s="30"/>
      <c r="AV597" s="31"/>
    </row>
    <row r="598" spans="8:48" ht="14.25" customHeight="1" x14ac:dyDescent="0.35">
      <c r="H598" s="15"/>
      <c r="K598" s="15"/>
      <c r="N598" s="15"/>
      <c r="Q598" s="13"/>
      <c r="R598" s="13"/>
      <c r="S598" s="13"/>
      <c r="T598" s="13"/>
      <c r="U598" s="13"/>
      <c r="X598" s="15"/>
      <c r="AF598" s="19"/>
      <c r="AJ598" s="35"/>
      <c r="AK598" s="36"/>
      <c r="AN598" s="25"/>
      <c r="AO598" s="26"/>
      <c r="AP598" s="40"/>
      <c r="AQ598" s="26"/>
      <c r="AR598" s="26"/>
      <c r="AS598" s="26"/>
      <c r="AT598" s="25"/>
      <c r="AU598" s="30"/>
      <c r="AV598" s="31"/>
    </row>
    <row r="599" spans="8:48" ht="14.25" customHeight="1" x14ac:dyDescent="0.35">
      <c r="H599" s="15"/>
      <c r="K599" s="15"/>
      <c r="N599" s="15"/>
      <c r="Q599" s="13"/>
      <c r="R599" s="13"/>
      <c r="S599" s="13"/>
      <c r="T599" s="13"/>
      <c r="U599" s="13"/>
      <c r="X599" s="15"/>
      <c r="AF599" s="19"/>
      <c r="AJ599" s="35"/>
      <c r="AK599" s="36"/>
      <c r="AN599" s="25"/>
      <c r="AO599" s="26"/>
      <c r="AP599" s="40"/>
      <c r="AQ599" s="26"/>
      <c r="AR599" s="26"/>
      <c r="AS599" s="26"/>
      <c r="AT599" s="25"/>
      <c r="AU599" s="30"/>
      <c r="AV599" s="31"/>
    </row>
    <row r="600" spans="8:48" ht="14.25" customHeight="1" x14ac:dyDescent="0.35">
      <c r="H600" s="15"/>
      <c r="K600" s="15"/>
      <c r="N600" s="15"/>
      <c r="Q600" s="13"/>
      <c r="R600" s="13"/>
      <c r="S600" s="13"/>
      <c r="T600" s="13"/>
      <c r="U600" s="13"/>
      <c r="X600" s="15"/>
      <c r="AF600" s="19"/>
      <c r="AJ600" s="35"/>
      <c r="AK600" s="36"/>
      <c r="AN600" s="25"/>
      <c r="AO600" s="26"/>
      <c r="AP600" s="40"/>
      <c r="AQ600" s="26"/>
      <c r="AR600" s="26"/>
      <c r="AS600" s="26"/>
      <c r="AT600" s="25"/>
      <c r="AU600" s="30"/>
      <c r="AV600" s="31"/>
    </row>
    <row r="601" spans="8:48" ht="14.25" customHeight="1" x14ac:dyDescent="0.35">
      <c r="H601" s="15"/>
      <c r="K601" s="15"/>
      <c r="N601" s="15"/>
      <c r="Q601" s="13"/>
      <c r="R601" s="13"/>
      <c r="S601" s="13"/>
      <c r="T601" s="13"/>
      <c r="U601" s="13"/>
      <c r="X601" s="15"/>
      <c r="AF601" s="19"/>
      <c r="AJ601" s="35"/>
      <c r="AK601" s="36"/>
      <c r="AN601" s="25"/>
      <c r="AO601" s="26"/>
      <c r="AP601" s="40"/>
      <c r="AQ601" s="26"/>
      <c r="AR601" s="26"/>
      <c r="AS601" s="26"/>
      <c r="AT601" s="25"/>
      <c r="AU601" s="30"/>
      <c r="AV601" s="31"/>
    </row>
    <row r="602" spans="8:48" ht="14.25" customHeight="1" x14ac:dyDescent="0.35">
      <c r="H602" s="15"/>
      <c r="K602" s="15"/>
      <c r="N602" s="15"/>
      <c r="Q602" s="13"/>
      <c r="R602" s="13"/>
      <c r="S602" s="13"/>
      <c r="T602" s="13"/>
      <c r="U602" s="13"/>
      <c r="X602" s="15"/>
      <c r="AF602" s="19"/>
      <c r="AJ602" s="35"/>
      <c r="AK602" s="36"/>
      <c r="AN602" s="25"/>
      <c r="AO602" s="26"/>
      <c r="AP602" s="40"/>
      <c r="AQ602" s="26"/>
      <c r="AR602" s="26"/>
      <c r="AS602" s="26"/>
      <c r="AT602" s="25"/>
      <c r="AU602" s="30"/>
      <c r="AV602" s="31"/>
    </row>
    <row r="603" spans="8:48" ht="14.25" customHeight="1" x14ac:dyDescent="0.35">
      <c r="H603" s="15"/>
      <c r="K603" s="15"/>
      <c r="N603" s="15"/>
      <c r="Q603" s="13"/>
      <c r="R603" s="13"/>
      <c r="S603" s="13"/>
      <c r="T603" s="13"/>
      <c r="U603" s="13"/>
      <c r="X603" s="15"/>
      <c r="AF603" s="19"/>
      <c r="AJ603" s="35"/>
      <c r="AK603" s="36"/>
      <c r="AN603" s="25"/>
      <c r="AO603" s="26"/>
      <c r="AP603" s="40"/>
      <c r="AQ603" s="26"/>
      <c r="AR603" s="26"/>
      <c r="AS603" s="26"/>
      <c r="AT603" s="25"/>
      <c r="AU603" s="30"/>
      <c r="AV603" s="31"/>
    </row>
    <row r="604" spans="8:48" ht="14.25" customHeight="1" x14ac:dyDescent="0.35">
      <c r="H604" s="15"/>
      <c r="K604" s="15"/>
      <c r="N604" s="15"/>
      <c r="Q604" s="13"/>
      <c r="R604" s="13"/>
      <c r="S604" s="13"/>
      <c r="T604" s="13"/>
      <c r="U604" s="13"/>
      <c r="X604" s="15"/>
      <c r="AF604" s="19"/>
      <c r="AJ604" s="35"/>
      <c r="AK604" s="36"/>
      <c r="AN604" s="25"/>
      <c r="AO604" s="26"/>
      <c r="AP604" s="40"/>
      <c r="AQ604" s="26"/>
      <c r="AR604" s="26"/>
      <c r="AS604" s="26"/>
      <c r="AT604" s="25"/>
      <c r="AU604" s="30"/>
      <c r="AV604" s="31"/>
    </row>
    <row r="605" spans="8:48" ht="14.25" customHeight="1" x14ac:dyDescent="0.35">
      <c r="H605" s="15"/>
      <c r="K605" s="15"/>
      <c r="N605" s="15"/>
      <c r="Q605" s="13"/>
      <c r="R605" s="13"/>
      <c r="S605" s="13"/>
      <c r="T605" s="13"/>
      <c r="U605" s="13"/>
      <c r="X605" s="15"/>
      <c r="AF605" s="19"/>
      <c r="AJ605" s="35"/>
      <c r="AK605" s="36"/>
      <c r="AN605" s="25"/>
      <c r="AO605" s="26"/>
      <c r="AP605" s="40"/>
      <c r="AQ605" s="26"/>
      <c r="AR605" s="26"/>
      <c r="AS605" s="26"/>
      <c r="AT605" s="25"/>
      <c r="AU605" s="30"/>
      <c r="AV605" s="31"/>
    </row>
    <row r="606" spans="8:48" ht="14.25" customHeight="1" x14ac:dyDescent="0.35">
      <c r="H606" s="15"/>
      <c r="K606" s="15"/>
      <c r="N606" s="15"/>
      <c r="Q606" s="13"/>
      <c r="R606" s="13"/>
      <c r="S606" s="13"/>
      <c r="T606" s="13"/>
      <c r="U606" s="13"/>
      <c r="X606" s="15"/>
      <c r="AF606" s="19"/>
      <c r="AJ606" s="35"/>
      <c r="AK606" s="36"/>
      <c r="AN606" s="25"/>
      <c r="AO606" s="26"/>
      <c r="AP606" s="40"/>
      <c r="AQ606" s="26"/>
      <c r="AR606" s="26"/>
      <c r="AS606" s="26"/>
      <c r="AT606" s="25"/>
      <c r="AU606" s="30"/>
      <c r="AV606" s="31"/>
    </row>
    <row r="607" spans="8:48" ht="14.25" customHeight="1" x14ac:dyDescent="0.35">
      <c r="H607" s="15"/>
      <c r="K607" s="15"/>
      <c r="N607" s="15"/>
      <c r="Q607" s="13"/>
      <c r="R607" s="13"/>
      <c r="S607" s="13"/>
      <c r="T607" s="13"/>
      <c r="U607" s="13"/>
      <c r="X607" s="15"/>
      <c r="AF607" s="19"/>
      <c r="AJ607" s="35"/>
      <c r="AK607" s="36"/>
      <c r="AN607" s="25"/>
      <c r="AO607" s="26"/>
      <c r="AP607" s="40"/>
      <c r="AQ607" s="26"/>
      <c r="AR607" s="26"/>
      <c r="AS607" s="26"/>
      <c r="AT607" s="25"/>
      <c r="AU607" s="30"/>
      <c r="AV607" s="31"/>
    </row>
    <row r="608" spans="8:48" ht="14.25" customHeight="1" x14ac:dyDescent="0.35">
      <c r="H608" s="15"/>
      <c r="K608" s="15"/>
      <c r="N608" s="15"/>
      <c r="Q608" s="13"/>
      <c r="R608" s="13"/>
      <c r="S608" s="13"/>
      <c r="T608" s="13"/>
      <c r="U608" s="13"/>
      <c r="X608" s="15"/>
      <c r="AF608" s="19"/>
      <c r="AJ608" s="35"/>
      <c r="AK608" s="36"/>
      <c r="AN608" s="25"/>
      <c r="AO608" s="26"/>
      <c r="AP608" s="40"/>
      <c r="AQ608" s="26"/>
      <c r="AR608" s="26"/>
      <c r="AS608" s="26"/>
      <c r="AT608" s="25"/>
      <c r="AU608" s="30"/>
      <c r="AV608" s="31"/>
    </row>
    <row r="609" spans="8:48" ht="14.25" customHeight="1" x14ac:dyDescent="0.35">
      <c r="H609" s="15"/>
      <c r="K609" s="15"/>
      <c r="N609" s="15"/>
      <c r="Q609" s="13"/>
      <c r="R609" s="13"/>
      <c r="S609" s="13"/>
      <c r="T609" s="13"/>
      <c r="U609" s="13"/>
      <c r="X609" s="15"/>
      <c r="AF609" s="19"/>
      <c r="AJ609" s="35"/>
      <c r="AK609" s="36"/>
      <c r="AN609" s="25"/>
      <c r="AO609" s="26"/>
      <c r="AP609" s="40"/>
      <c r="AQ609" s="26"/>
      <c r="AR609" s="26"/>
      <c r="AS609" s="26"/>
      <c r="AT609" s="25"/>
      <c r="AU609" s="30"/>
      <c r="AV609" s="31"/>
    </row>
    <row r="610" spans="8:48" ht="14.25" customHeight="1" x14ac:dyDescent="0.35">
      <c r="H610" s="15"/>
      <c r="K610" s="15"/>
      <c r="N610" s="15"/>
      <c r="Q610" s="13"/>
      <c r="R610" s="13"/>
      <c r="S610" s="13"/>
      <c r="T610" s="13"/>
      <c r="U610" s="13"/>
      <c r="X610" s="15"/>
      <c r="AF610" s="19"/>
      <c r="AJ610" s="35"/>
      <c r="AK610" s="36"/>
      <c r="AN610" s="25"/>
      <c r="AO610" s="26"/>
      <c r="AP610" s="40"/>
      <c r="AQ610" s="26"/>
      <c r="AR610" s="26"/>
      <c r="AS610" s="26"/>
      <c r="AT610" s="25"/>
      <c r="AU610" s="30"/>
      <c r="AV610" s="31"/>
    </row>
    <row r="611" spans="8:48" ht="14.25" customHeight="1" x14ac:dyDescent="0.35">
      <c r="H611" s="15"/>
      <c r="K611" s="15"/>
      <c r="N611" s="15"/>
      <c r="Q611" s="13"/>
      <c r="R611" s="13"/>
      <c r="S611" s="13"/>
      <c r="T611" s="13"/>
      <c r="U611" s="13"/>
      <c r="X611" s="15"/>
      <c r="AF611" s="19"/>
      <c r="AJ611" s="35"/>
      <c r="AK611" s="36"/>
      <c r="AN611" s="25"/>
      <c r="AO611" s="26"/>
      <c r="AP611" s="40"/>
      <c r="AQ611" s="26"/>
      <c r="AR611" s="26"/>
      <c r="AS611" s="26"/>
      <c r="AT611" s="25"/>
      <c r="AU611" s="30"/>
      <c r="AV611" s="31"/>
    </row>
    <row r="612" spans="8:48" ht="14.25" customHeight="1" x14ac:dyDescent="0.35">
      <c r="H612" s="15"/>
      <c r="K612" s="15"/>
      <c r="N612" s="15"/>
      <c r="Q612" s="13"/>
      <c r="R612" s="13"/>
      <c r="S612" s="13"/>
      <c r="T612" s="13"/>
      <c r="U612" s="13"/>
      <c r="X612" s="15"/>
      <c r="AF612" s="19"/>
      <c r="AJ612" s="35"/>
      <c r="AK612" s="36"/>
      <c r="AN612" s="25"/>
      <c r="AO612" s="26"/>
      <c r="AP612" s="40"/>
      <c r="AQ612" s="26"/>
      <c r="AR612" s="26"/>
      <c r="AS612" s="26"/>
      <c r="AT612" s="25"/>
      <c r="AU612" s="30"/>
      <c r="AV612" s="31"/>
    </row>
    <row r="613" spans="8:48" ht="14.25" customHeight="1" x14ac:dyDescent="0.35">
      <c r="H613" s="15"/>
      <c r="K613" s="15"/>
      <c r="N613" s="15"/>
      <c r="Q613" s="13"/>
      <c r="R613" s="13"/>
      <c r="S613" s="13"/>
      <c r="T613" s="13"/>
      <c r="U613" s="13"/>
      <c r="X613" s="15"/>
      <c r="AF613" s="19"/>
      <c r="AJ613" s="35"/>
      <c r="AK613" s="36"/>
      <c r="AN613" s="25"/>
      <c r="AO613" s="26"/>
      <c r="AP613" s="40"/>
      <c r="AQ613" s="26"/>
      <c r="AR613" s="26"/>
      <c r="AS613" s="26"/>
      <c r="AT613" s="25"/>
      <c r="AU613" s="30"/>
      <c r="AV613" s="31"/>
    </row>
    <row r="614" spans="8:48" ht="14.25" customHeight="1" x14ac:dyDescent="0.35">
      <c r="H614" s="15"/>
      <c r="K614" s="15"/>
      <c r="N614" s="15"/>
      <c r="Q614" s="13"/>
      <c r="R614" s="13"/>
      <c r="S614" s="13"/>
      <c r="T614" s="13"/>
      <c r="U614" s="13"/>
      <c r="X614" s="15"/>
      <c r="AF614" s="19"/>
      <c r="AJ614" s="35"/>
      <c r="AK614" s="36"/>
      <c r="AN614" s="25"/>
      <c r="AO614" s="26"/>
      <c r="AP614" s="40"/>
      <c r="AQ614" s="26"/>
      <c r="AR614" s="26"/>
      <c r="AS614" s="26"/>
      <c r="AT614" s="25"/>
      <c r="AU614" s="30"/>
      <c r="AV614" s="31"/>
    </row>
    <row r="615" spans="8:48" ht="14.25" customHeight="1" x14ac:dyDescent="0.35">
      <c r="H615" s="15"/>
      <c r="K615" s="15"/>
      <c r="N615" s="15"/>
      <c r="Q615" s="13"/>
      <c r="R615" s="13"/>
      <c r="S615" s="13"/>
      <c r="T615" s="13"/>
      <c r="U615" s="13"/>
      <c r="X615" s="15"/>
      <c r="AF615" s="19"/>
      <c r="AJ615" s="35"/>
      <c r="AK615" s="36"/>
      <c r="AN615" s="25"/>
      <c r="AO615" s="26"/>
      <c r="AP615" s="40"/>
      <c r="AQ615" s="26"/>
      <c r="AR615" s="26"/>
      <c r="AS615" s="26"/>
      <c r="AT615" s="25"/>
      <c r="AU615" s="30"/>
      <c r="AV615" s="31"/>
    </row>
    <row r="616" spans="8:48" ht="14.25" customHeight="1" x14ac:dyDescent="0.35">
      <c r="H616" s="15"/>
      <c r="K616" s="15"/>
      <c r="N616" s="15"/>
      <c r="Q616" s="13"/>
      <c r="R616" s="13"/>
      <c r="S616" s="13"/>
      <c r="T616" s="13"/>
      <c r="U616" s="13"/>
      <c r="X616" s="15"/>
      <c r="AF616" s="19"/>
      <c r="AJ616" s="35"/>
      <c r="AK616" s="36"/>
      <c r="AN616" s="25"/>
      <c r="AO616" s="26"/>
      <c r="AP616" s="40"/>
      <c r="AQ616" s="26"/>
      <c r="AR616" s="26"/>
      <c r="AS616" s="26"/>
      <c r="AT616" s="25"/>
      <c r="AU616" s="30"/>
      <c r="AV616" s="31"/>
    </row>
    <row r="617" spans="8:48" ht="14.25" customHeight="1" x14ac:dyDescent="0.35">
      <c r="H617" s="15"/>
      <c r="K617" s="15"/>
      <c r="N617" s="15"/>
      <c r="Q617" s="13"/>
      <c r="R617" s="13"/>
      <c r="S617" s="13"/>
      <c r="T617" s="13"/>
      <c r="U617" s="13"/>
      <c r="X617" s="15"/>
      <c r="AF617" s="19"/>
      <c r="AJ617" s="35"/>
      <c r="AK617" s="36"/>
      <c r="AN617" s="25"/>
      <c r="AO617" s="26"/>
      <c r="AP617" s="40"/>
      <c r="AQ617" s="26"/>
      <c r="AR617" s="26"/>
      <c r="AS617" s="26"/>
      <c r="AT617" s="25"/>
      <c r="AU617" s="30"/>
      <c r="AV617" s="31"/>
    </row>
    <row r="618" spans="8:48" ht="14.25" customHeight="1" x14ac:dyDescent="0.35">
      <c r="H618" s="15"/>
      <c r="K618" s="15"/>
      <c r="N618" s="15"/>
      <c r="Q618" s="13"/>
      <c r="R618" s="13"/>
      <c r="S618" s="13"/>
      <c r="T618" s="13"/>
      <c r="U618" s="13"/>
      <c r="X618" s="15"/>
      <c r="AF618" s="19"/>
      <c r="AJ618" s="35"/>
      <c r="AK618" s="36"/>
      <c r="AN618" s="25"/>
      <c r="AO618" s="26"/>
      <c r="AP618" s="40"/>
      <c r="AQ618" s="26"/>
      <c r="AR618" s="26"/>
      <c r="AS618" s="26"/>
      <c r="AT618" s="25"/>
      <c r="AU618" s="30"/>
      <c r="AV618" s="31"/>
    </row>
    <row r="619" spans="8:48" ht="14.25" customHeight="1" x14ac:dyDescent="0.35">
      <c r="H619" s="15"/>
      <c r="K619" s="15"/>
      <c r="N619" s="15"/>
      <c r="Q619" s="13"/>
      <c r="R619" s="13"/>
      <c r="S619" s="13"/>
      <c r="T619" s="13"/>
      <c r="U619" s="13"/>
      <c r="X619" s="15"/>
      <c r="AF619" s="19"/>
      <c r="AJ619" s="35"/>
      <c r="AK619" s="36"/>
      <c r="AN619" s="25"/>
      <c r="AO619" s="26"/>
      <c r="AP619" s="40"/>
      <c r="AQ619" s="26"/>
      <c r="AR619" s="26"/>
      <c r="AS619" s="26"/>
      <c r="AT619" s="25"/>
      <c r="AU619" s="30"/>
      <c r="AV619" s="31"/>
    </row>
    <row r="620" spans="8:48" ht="14.25" customHeight="1" x14ac:dyDescent="0.35">
      <c r="H620" s="15"/>
      <c r="K620" s="15"/>
      <c r="N620" s="15"/>
      <c r="Q620" s="13"/>
      <c r="R620" s="13"/>
      <c r="S620" s="13"/>
      <c r="T620" s="13"/>
      <c r="U620" s="13"/>
      <c r="X620" s="15"/>
      <c r="AF620" s="19"/>
      <c r="AJ620" s="35"/>
      <c r="AK620" s="36"/>
      <c r="AN620" s="25"/>
      <c r="AO620" s="26"/>
      <c r="AP620" s="40"/>
      <c r="AQ620" s="26"/>
      <c r="AR620" s="26"/>
      <c r="AS620" s="26"/>
      <c r="AT620" s="25"/>
      <c r="AU620" s="30"/>
      <c r="AV620" s="31"/>
    </row>
    <row r="621" spans="8:48" ht="14.25" customHeight="1" x14ac:dyDescent="0.35">
      <c r="H621" s="15"/>
      <c r="K621" s="15"/>
      <c r="N621" s="15"/>
      <c r="Q621" s="13"/>
      <c r="R621" s="13"/>
      <c r="S621" s="13"/>
      <c r="T621" s="13"/>
      <c r="U621" s="13"/>
      <c r="X621" s="15"/>
      <c r="AF621" s="19"/>
      <c r="AJ621" s="35"/>
      <c r="AK621" s="36"/>
      <c r="AN621" s="25"/>
      <c r="AO621" s="26"/>
      <c r="AP621" s="40"/>
      <c r="AQ621" s="26"/>
      <c r="AR621" s="26"/>
      <c r="AS621" s="26"/>
      <c r="AT621" s="25"/>
      <c r="AU621" s="30"/>
      <c r="AV621" s="31"/>
    </row>
    <row r="622" spans="8:48" ht="14.25" customHeight="1" x14ac:dyDescent="0.35">
      <c r="H622" s="15"/>
      <c r="K622" s="15"/>
      <c r="N622" s="15"/>
      <c r="Q622" s="13"/>
      <c r="R622" s="13"/>
      <c r="S622" s="13"/>
      <c r="T622" s="13"/>
      <c r="U622" s="13"/>
      <c r="X622" s="15"/>
      <c r="AF622" s="19"/>
      <c r="AJ622" s="35"/>
      <c r="AK622" s="36"/>
      <c r="AN622" s="25"/>
      <c r="AO622" s="26"/>
      <c r="AP622" s="40"/>
      <c r="AQ622" s="26"/>
      <c r="AR622" s="26"/>
      <c r="AS622" s="26"/>
      <c r="AT622" s="25"/>
      <c r="AU622" s="30"/>
      <c r="AV622" s="31"/>
    </row>
    <row r="623" spans="8:48" ht="14.25" customHeight="1" x14ac:dyDescent="0.35">
      <c r="H623" s="15"/>
      <c r="K623" s="15"/>
      <c r="N623" s="15"/>
      <c r="Q623" s="13"/>
      <c r="R623" s="13"/>
      <c r="S623" s="13"/>
      <c r="T623" s="13"/>
      <c r="U623" s="13"/>
      <c r="X623" s="15"/>
      <c r="AF623" s="19"/>
      <c r="AJ623" s="35"/>
      <c r="AK623" s="36"/>
      <c r="AN623" s="25"/>
      <c r="AO623" s="26"/>
      <c r="AP623" s="40"/>
      <c r="AQ623" s="26"/>
      <c r="AR623" s="26"/>
      <c r="AS623" s="26"/>
      <c r="AT623" s="25"/>
      <c r="AU623" s="30"/>
      <c r="AV623" s="31"/>
    </row>
    <row r="624" spans="8:48" ht="14.25" customHeight="1" x14ac:dyDescent="0.35">
      <c r="H624" s="15"/>
      <c r="K624" s="15"/>
      <c r="N624" s="15"/>
      <c r="Q624" s="13"/>
      <c r="R624" s="13"/>
      <c r="S624" s="13"/>
      <c r="T624" s="13"/>
      <c r="U624" s="13"/>
      <c r="X624" s="15"/>
      <c r="AF624" s="19"/>
      <c r="AJ624" s="35"/>
      <c r="AK624" s="36"/>
      <c r="AN624" s="25"/>
      <c r="AO624" s="26"/>
      <c r="AP624" s="40"/>
      <c r="AQ624" s="26"/>
      <c r="AR624" s="26"/>
      <c r="AS624" s="26"/>
      <c r="AT624" s="25"/>
      <c r="AU624" s="30"/>
      <c r="AV624" s="31"/>
    </row>
    <row r="625" spans="8:48" ht="14.25" customHeight="1" x14ac:dyDescent="0.35">
      <c r="H625" s="15"/>
      <c r="K625" s="15"/>
      <c r="N625" s="15"/>
      <c r="Q625" s="13"/>
      <c r="R625" s="13"/>
      <c r="S625" s="13"/>
      <c r="T625" s="13"/>
      <c r="U625" s="13"/>
      <c r="X625" s="15"/>
      <c r="AF625" s="19"/>
      <c r="AJ625" s="35"/>
      <c r="AK625" s="36"/>
      <c r="AN625" s="25"/>
      <c r="AO625" s="26"/>
      <c r="AP625" s="40"/>
      <c r="AQ625" s="26"/>
      <c r="AR625" s="26"/>
      <c r="AS625" s="26"/>
      <c r="AT625" s="25"/>
      <c r="AU625" s="30"/>
      <c r="AV625" s="31"/>
    </row>
    <row r="626" spans="8:48" ht="14.25" customHeight="1" x14ac:dyDescent="0.35">
      <c r="H626" s="15"/>
      <c r="K626" s="15"/>
      <c r="N626" s="15"/>
      <c r="Q626" s="13"/>
      <c r="R626" s="13"/>
      <c r="S626" s="13"/>
      <c r="T626" s="13"/>
      <c r="U626" s="13"/>
      <c r="X626" s="15"/>
      <c r="AF626" s="19"/>
      <c r="AJ626" s="35"/>
      <c r="AK626" s="36"/>
      <c r="AN626" s="25"/>
      <c r="AO626" s="26"/>
      <c r="AP626" s="40"/>
      <c r="AQ626" s="26"/>
      <c r="AR626" s="26"/>
      <c r="AS626" s="26"/>
      <c r="AT626" s="25"/>
      <c r="AU626" s="30"/>
      <c r="AV626" s="31"/>
    </row>
    <row r="627" spans="8:48" ht="14.25" customHeight="1" x14ac:dyDescent="0.35">
      <c r="H627" s="15"/>
      <c r="K627" s="15"/>
      <c r="N627" s="15"/>
      <c r="Q627" s="13"/>
      <c r="R627" s="13"/>
      <c r="S627" s="13"/>
      <c r="T627" s="13"/>
      <c r="U627" s="13"/>
      <c r="X627" s="15"/>
      <c r="AF627" s="19"/>
      <c r="AJ627" s="35"/>
      <c r="AK627" s="36"/>
      <c r="AN627" s="25"/>
      <c r="AO627" s="26"/>
      <c r="AP627" s="40"/>
      <c r="AQ627" s="26"/>
      <c r="AR627" s="26"/>
      <c r="AS627" s="26"/>
      <c r="AT627" s="25"/>
      <c r="AU627" s="30"/>
      <c r="AV627" s="31"/>
    </row>
    <row r="628" spans="8:48" ht="14.25" customHeight="1" x14ac:dyDescent="0.35">
      <c r="H628" s="15"/>
      <c r="K628" s="15"/>
      <c r="N628" s="15"/>
      <c r="Q628" s="13"/>
      <c r="R628" s="13"/>
      <c r="S628" s="13"/>
      <c r="T628" s="13"/>
      <c r="U628" s="13"/>
      <c r="X628" s="15"/>
      <c r="AF628" s="19"/>
      <c r="AJ628" s="35"/>
      <c r="AK628" s="36"/>
      <c r="AN628" s="25"/>
      <c r="AO628" s="26"/>
      <c r="AP628" s="40"/>
      <c r="AQ628" s="26"/>
      <c r="AR628" s="26"/>
      <c r="AS628" s="26"/>
      <c r="AT628" s="25"/>
      <c r="AU628" s="30"/>
      <c r="AV628" s="31"/>
    </row>
    <row r="629" spans="8:48" ht="14.25" customHeight="1" x14ac:dyDescent="0.35">
      <c r="H629" s="15"/>
      <c r="K629" s="15"/>
      <c r="N629" s="15"/>
      <c r="Q629" s="13"/>
      <c r="R629" s="13"/>
      <c r="S629" s="13"/>
      <c r="T629" s="13"/>
      <c r="U629" s="13"/>
      <c r="X629" s="15"/>
      <c r="AF629" s="19"/>
      <c r="AJ629" s="35"/>
      <c r="AK629" s="36"/>
      <c r="AN629" s="25"/>
      <c r="AO629" s="26"/>
      <c r="AP629" s="40"/>
      <c r="AQ629" s="26"/>
      <c r="AR629" s="26"/>
      <c r="AS629" s="26"/>
      <c r="AT629" s="25"/>
      <c r="AU629" s="30"/>
      <c r="AV629" s="31"/>
    </row>
    <row r="630" spans="8:48" ht="14.25" customHeight="1" x14ac:dyDescent="0.35">
      <c r="H630" s="15"/>
      <c r="K630" s="15"/>
      <c r="N630" s="15"/>
      <c r="Q630" s="13"/>
      <c r="R630" s="13"/>
      <c r="S630" s="13"/>
      <c r="T630" s="13"/>
      <c r="U630" s="13"/>
      <c r="X630" s="15"/>
      <c r="AF630" s="19"/>
      <c r="AJ630" s="35"/>
      <c r="AK630" s="36"/>
      <c r="AN630" s="25"/>
      <c r="AO630" s="26"/>
      <c r="AP630" s="40"/>
      <c r="AQ630" s="26"/>
      <c r="AR630" s="26"/>
      <c r="AS630" s="26"/>
      <c r="AT630" s="25"/>
      <c r="AU630" s="30"/>
      <c r="AV630" s="31"/>
    </row>
    <row r="631" spans="8:48" ht="14.25" customHeight="1" x14ac:dyDescent="0.35">
      <c r="H631" s="15"/>
      <c r="K631" s="15"/>
      <c r="N631" s="15"/>
      <c r="Q631" s="13"/>
      <c r="R631" s="13"/>
      <c r="S631" s="13"/>
      <c r="T631" s="13"/>
      <c r="U631" s="13"/>
      <c r="X631" s="15"/>
      <c r="AF631" s="19"/>
      <c r="AJ631" s="35"/>
      <c r="AK631" s="36"/>
      <c r="AN631" s="25"/>
      <c r="AO631" s="26"/>
      <c r="AP631" s="40"/>
      <c r="AQ631" s="26"/>
      <c r="AR631" s="26"/>
      <c r="AS631" s="26"/>
      <c r="AT631" s="25"/>
      <c r="AU631" s="30"/>
      <c r="AV631" s="31"/>
    </row>
    <row r="632" spans="8:48" ht="14.25" customHeight="1" x14ac:dyDescent="0.35">
      <c r="H632" s="15"/>
      <c r="K632" s="15"/>
      <c r="N632" s="15"/>
      <c r="Q632" s="13"/>
      <c r="R632" s="13"/>
      <c r="S632" s="13"/>
      <c r="T632" s="13"/>
      <c r="U632" s="13"/>
      <c r="X632" s="15"/>
      <c r="AF632" s="19"/>
      <c r="AJ632" s="35"/>
      <c r="AK632" s="36"/>
      <c r="AN632" s="25"/>
      <c r="AO632" s="26"/>
      <c r="AP632" s="40"/>
      <c r="AQ632" s="26"/>
      <c r="AR632" s="26"/>
      <c r="AS632" s="26"/>
      <c r="AT632" s="25"/>
      <c r="AU632" s="30"/>
      <c r="AV632" s="31"/>
    </row>
    <row r="633" spans="8:48" ht="14.25" customHeight="1" x14ac:dyDescent="0.35">
      <c r="H633" s="15"/>
      <c r="K633" s="15"/>
      <c r="N633" s="15"/>
      <c r="Q633" s="13"/>
      <c r="R633" s="13"/>
      <c r="S633" s="13"/>
      <c r="T633" s="13"/>
      <c r="U633" s="13"/>
      <c r="X633" s="15"/>
      <c r="AF633" s="19"/>
      <c r="AJ633" s="35"/>
      <c r="AK633" s="36"/>
      <c r="AN633" s="25"/>
      <c r="AO633" s="26"/>
      <c r="AP633" s="40"/>
      <c r="AQ633" s="26"/>
      <c r="AR633" s="26"/>
      <c r="AS633" s="26"/>
      <c r="AT633" s="25"/>
      <c r="AU633" s="30"/>
      <c r="AV633" s="31"/>
    </row>
    <row r="634" spans="8:48" ht="14.25" customHeight="1" x14ac:dyDescent="0.35">
      <c r="H634" s="15"/>
      <c r="K634" s="15"/>
      <c r="N634" s="15"/>
      <c r="Q634" s="13"/>
      <c r="R634" s="13"/>
      <c r="S634" s="13"/>
      <c r="T634" s="13"/>
      <c r="U634" s="13"/>
      <c r="X634" s="15"/>
      <c r="AF634" s="19"/>
      <c r="AJ634" s="35"/>
      <c r="AK634" s="36"/>
      <c r="AN634" s="25"/>
      <c r="AO634" s="26"/>
      <c r="AP634" s="40"/>
      <c r="AQ634" s="26"/>
      <c r="AR634" s="26"/>
      <c r="AS634" s="26"/>
      <c r="AT634" s="25"/>
      <c r="AU634" s="30"/>
      <c r="AV634" s="31"/>
    </row>
    <row r="635" spans="8:48" ht="14.25" customHeight="1" x14ac:dyDescent="0.35">
      <c r="H635" s="15"/>
      <c r="K635" s="15"/>
      <c r="N635" s="15"/>
      <c r="Q635" s="13"/>
      <c r="R635" s="13"/>
      <c r="S635" s="13"/>
      <c r="T635" s="13"/>
      <c r="U635" s="13"/>
      <c r="X635" s="15"/>
      <c r="AF635" s="19"/>
      <c r="AJ635" s="35"/>
      <c r="AK635" s="36"/>
      <c r="AN635" s="25"/>
      <c r="AO635" s="26"/>
      <c r="AP635" s="40"/>
      <c r="AQ635" s="26"/>
      <c r="AR635" s="26"/>
      <c r="AS635" s="26"/>
      <c r="AT635" s="25"/>
      <c r="AU635" s="30"/>
      <c r="AV635" s="31"/>
    </row>
    <row r="636" spans="8:48" ht="14.25" customHeight="1" x14ac:dyDescent="0.35">
      <c r="H636" s="15"/>
      <c r="K636" s="15"/>
      <c r="N636" s="15"/>
      <c r="Q636" s="13"/>
      <c r="R636" s="13"/>
      <c r="S636" s="13"/>
      <c r="T636" s="13"/>
      <c r="U636" s="13"/>
      <c r="X636" s="15"/>
      <c r="AF636" s="19"/>
      <c r="AJ636" s="35"/>
      <c r="AK636" s="36"/>
      <c r="AN636" s="25"/>
      <c r="AO636" s="26"/>
      <c r="AP636" s="40"/>
      <c r="AQ636" s="26"/>
      <c r="AR636" s="26"/>
      <c r="AS636" s="26"/>
      <c r="AT636" s="25"/>
      <c r="AU636" s="30"/>
      <c r="AV636" s="31"/>
    </row>
    <row r="637" spans="8:48" ht="14.25" customHeight="1" x14ac:dyDescent="0.35">
      <c r="H637" s="15"/>
      <c r="K637" s="15"/>
      <c r="N637" s="15"/>
      <c r="Q637" s="13"/>
      <c r="R637" s="13"/>
      <c r="S637" s="13"/>
      <c r="T637" s="13"/>
      <c r="U637" s="13"/>
      <c r="X637" s="15"/>
      <c r="AF637" s="19"/>
      <c r="AJ637" s="35"/>
      <c r="AK637" s="36"/>
      <c r="AN637" s="25"/>
      <c r="AO637" s="26"/>
      <c r="AP637" s="40"/>
      <c r="AQ637" s="26"/>
      <c r="AR637" s="26"/>
      <c r="AS637" s="26"/>
      <c r="AT637" s="25"/>
      <c r="AU637" s="30"/>
      <c r="AV637" s="31"/>
    </row>
    <row r="638" spans="8:48" ht="14.25" customHeight="1" x14ac:dyDescent="0.35">
      <c r="H638" s="15"/>
      <c r="K638" s="15"/>
      <c r="N638" s="15"/>
      <c r="Q638" s="13"/>
      <c r="R638" s="13"/>
      <c r="S638" s="13"/>
      <c r="T638" s="13"/>
      <c r="U638" s="13"/>
      <c r="X638" s="15"/>
      <c r="AF638" s="19"/>
      <c r="AJ638" s="35"/>
      <c r="AK638" s="36"/>
      <c r="AN638" s="25"/>
      <c r="AO638" s="26"/>
      <c r="AP638" s="40"/>
      <c r="AQ638" s="26"/>
      <c r="AR638" s="26"/>
      <c r="AS638" s="26"/>
      <c r="AT638" s="25"/>
      <c r="AU638" s="30"/>
      <c r="AV638" s="31"/>
    </row>
    <row r="639" spans="8:48" ht="14.25" customHeight="1" x14ac:dyDescent="0.35">
      <c r="H639" s="15"/>
      <c r="K639" s="15"/>
      <c r="N639" s="15"/>
      <c r="Q639" s="13"/>
      <c r="R639" s="13"/>
      <c r="S639" s="13"/>
      <c r="T639" s="13"/>
      <c r="U639" s="13"/>
      <c r="X639" s="15"/>
      <c r="AF639" s="19"/>
      <c r="AJ639" s="35"/>
      <c r="AK639" s="36"/>
      <c r="AN639" s="25"/>
      <c r="AO639" s="26"/>
      <c r="AP639" s="40"/>
      <c r="AQ639" s="26"/>
      <c r="AR639" s="26"/>
      <c r="AS639" s="26"/>
      <c r="AT639" s="25"/>
      <c r="AU639" s="30"/>
      <c r="AV639" s="31"/>
    </row>
    <row r="640" spans="8:48" ht="14.25" customHeight="1" x14ac:dyDescent="0.35">
      <c r="H640" s="15"/>
      <c r="K640" s="15"/>
      <c r="N640" s="15"/>
      <c r="Q640" s="13"/>
      <c r="R640" s="13"/>
      <c r="S640" s="13"/>
      <c r="T640" s="13"/>
      <c r="U640" s="13"/>
      <c r="X640" s="15"/>
      <c r="AF640" s="19"/>
      <c r="AJ640" s="35"/>
      <c r="AK640" s="36"/>
      <c r="AN640" s="25"/>
      <c r="AO640" s="26"/>
      <c r="AP640" s="40"/>
      <c r="AQ640" s="26"/>
      <c r="AR640" s="26"/>
      <c r="AS640" s="26"/>
      <c r="AT640" s="25"/>
      <c r="AU640" s="30"/>
      <c r="AV640" s="31"/>
    </row>
    <row r="641" spans="8:48" ht="14.25" customHeight="1" x14ac:dyDescent="0.35">
      <c r="H641" s="15"/>
      <c r="K641" s="15"/>
      <c r="N641" s="15"/>
      <c r="Q641" s="13"/>
      <c r="R641" s="13"/>
      <c r="S641" s="13"/>
      <c r="T641" s="13"/>
      <c r="U641" s="13"/>
      <c r="X641" s="15"/>
      <c r="AF641" s="19"/>
      <c r="AJ641" s="35"/>
      <c r="AK641" s="36"/>
      <c r="AN641" s="25"/>
      <c r="AO641" s="26"/>
      <c r="AP641" s="40"/>
      <c r="AQ641" s="26"/>
      <c r="AR641" s="26"/>
      <c r="AS641" s="26"/>
      <c r="AT641" s="25"/>
      <c r="AU641" s="30"/>
      <c r="AV641" s="31"/>
    </row>
    <row r="642" spans="8:48" ht="14.25" customHeight="1" x14ac:dyDescent="0.35">
      <c r="H642" s="15"/>
      <c r="K642" s="15"/>
      <c r="N642" s="15"/>
      <c r="Q642" s="13"/>
      <c r="R642" s="13"/>
      <c r="S642" s="13"/>
      <c r="T642" s="13"/>
      <c r="U642" s="13"/>
      <c r="X642" s="15"/>
      <c r="AF642" s="19"/>
      <c r="AJ642" s="35"/>
      <c r="AK642" s="36"/>
      <c r="AN642" s="25"/>
      <c r="AO642" s="26"/>
      <c r="AP642" s="40"/>
      <c r="AQ642" s="26"/>
      <c r="AR642" s="26"/>
      <c r="AS642" s="26"/>
      <c r="AT642" s="25"/>
      <c r="AU642" s="30"/>
      <c r="AV642" s="31"/>
    </row>
    <row r="643" spans="8:48" ht="14.25" customHeight="1" x14ac:dyDescent="0.35">
      <c r="H643" s="15"/>
      <c r="K643" s="15"/>
      <c r="N643" s="15"/>
      <c r="Q643" s="13"/>
      <c r="R643" s="13"/>
      <c r="S643" s="13"/>
      <c r="T643" s="13"/>
      <c r="U643" s="13"/>
      <c r="X643" s="15"/>
      <c r="AF643" s="19"/>
      <c r="AJ643" s="35"/>
      <c r="AK643" s="36"/>
      <c r="AN643" s="25"/>
      <c r="AO643" s="26"/>
      <c r="AP643" s="40"/>
      <c r="AQ643" s="26"/>
      <c r="AR643" s="26"/>
      <c r="AS643" s="26"/>
      <c r="AT643" s="25"/>
      <c r="AU643" s="30"/>
      <c r="AV643" s="31"/>
    </row>
    <row r="644" spans="8:48" ht="14.25" customHeight="1" x14ac:dyDescent="0.35">
      <c r="H644" s="15"/>
      <c r="K644" s="15"/>
      <c r="N644" s="15"/>
      <c r="Q644" s="13"/>
      <c r="R644" s="13"/>
      <c r="S644" s="13"/>
      <c r="T644" s="13"/>
      <c r="U644" s="13"/>
      <c r="X644" s="15"/>
      <c r="AF644" s="19"/>
      <c r="AJ644" s="35"/>
      <c r="AK644" s="36"/>
      <c r="AN644" s="25"/>
      <c r="AO644" s="26"/>
      <c r="AP644" s="40"/>
      <c r="AQ644" s="26"/>
      <c r="AR644" s="26"/>
      <c r="AS644" s="26"/>
      <c r="AT644" s="25"/>
      <c r="AU644" s="30"/>
      <c r="AV644" s="31"/>
    </row>
    <row r="645" spans="8:48" ht="14.25" customHeight="1" x14ac:dyDescent="0.35">
      <c r="H645" s="15"/>
      <c r="K645" s="15"/>
      <c r="N645" s="15"/>
      <c r="Q645" s="13"/>
      <c r="R645" s="13"/>
      <c r="S645" s="13"/>
      <c r="T645" s="13"/>
      <c r="U645" s="13"/>
      <c r="X645" s="15"/>
      <c r="AF645" s="19"/>
      <c r="AJ645" s="35"/>
      <c r="AK645" s="36"/>
      <c r="AN645" s="25"/>
      <c r="AO645" s="26"/>
      <c r="AP645" s="40"/>
      <c r="AQ645" s="26"/>
      <c r="AR645" s="26"/>
      <c r="AS645" s="26"/>
      <c r="AT645" s="25"/>
      <c r="AU645" s="30"/>
      <c r="AV645" s="31"/>
    </row>
    <row r="646" spans="8:48" ht="14.25" customHeight="1" x14ac:dyDescent="0.35">
      <c r="H646" s="15"/>
      <c r="K646" s="15"/>
      <c r="N646" s="15"/>
      <c r="Q646" s="13"/>
      <c r="R646" s="13"/>
      <c r="S646" s="13"/>
      <c r="T646" s="13"/>
      <c r="U646" s="13"/>
      <c r="X646" s="15"/>
      <c r="AF646" s="19"/>
      <c r="AJ646" s="35"/>
      <c r="AK646" s="36"/>
      <c r="AN646" s="25"/>
      <c r="AO646" s="26"/>
      <c r="AP646" s="40"/>
      <c r="AQ646" s="26"/>
      <c r="AR646" s="26"/>
      <c r="AS646" s="26"/>
      <c r="AT646" s="25"/>
      <c r="AU646" s="30"/>
      <c r="AV646" s="31"/>
    </row>
    <row r="647" spans="8:48" ht="14.25" customHeight="1" x14ac:dyDescent="0.35">
      <c r="H647" s="15"/>
      <c r="K647" s="15"/>
      <c r="N647" s="15"/>
      <c r="Q647" s="13"/>
      <c r="R647" s="13"/>
      <c r="S647" s="13"/>
      <c r="T647" s="13"/>
      <c r="U647" s="13"/>
      <c r="X647" s="15"/>
      <c r="AF647" s="19"/>
      <c r="AJ647" s="35"/>
      <c r="AK647" s="36"/>
      <c r="AN647" s="25"/>
      <c r="AO647" s="26"/>
      <c r="AP647" s="40"/>
      <c r="AQ647" s="26"/>
      <c r="AR647" s="26"/>
      <c r="AS647" s="26"/>
      <c r="AT647" s="25"/>
      <c r="AU647" s="30"/>
      <c r="AV647" s="31"/>
    </row>
    <row r="648" spans="8:48" ht="14.25" customHeight="1" x14ac:dyDescent="0.35">
      <c r="H648" s="15"/>
      <c r="K648" s="15"/>
      <c r="N648" s="15"/>
      <c r="Q648" s="13"/>
      <c r="R648" s="13"/>
      <c r="S648" s="13"/>
      <c r="T648" s="13"/>
      <c r="U648" s="13"/>
      <c r="X648" s="15"/>
      <c r="AF648" s="19"/>
      <c r="AJ648" s="35"/>
      <c r="AK648" s="36"/>
      <c r="AN648" s="25"/>
      <c r="AO648" s="26"/>
      <c r="AP648" s="40"/>
      <c r="AQ648" s="26"/>
      <c r="AR648" s="26"/>
      <c r="AS648" s="26"/>
      <c r="AT648" s="25"/>
      <c r="AU648" s="30"/>
      <c r="AV648" s="31"/>
    </row>
    <row r="649" spans="8:48" ht="14.25" customHeight="1" x14ac:dyDescent="0.35">
      <c r="H649" s="15"/>
      <c r="K649" s="15"/>
      <c r="N649" s="15"/>
      <c r="Q649" s="13"/>
      <c r="R649" s="13"/>
      <c r="S649" s="13"/>
      <c r="T649" s="13"/>
      <c r="U649" s="13"/>
      <c r="X649" s="15"/>
      <c r="AF649" s="19"/>
      <c r="AJ649" s="35"/>
      <c r="AK649" s="36"/>
      <c r="AN649" s="25"/>
      <c r="AO649" s="26"/>
      <c r="AP649" s="40"/>
      <c r="AQ649" s="26"/>
      <c r="AR649" s="26"/>
      <c r="AS649" s="26"/>
      <c r="AT649" s="25"/>
      <c r="AU649" s="30"/>
      <c r="AV649" s="31"/>
    </row>
    <row r="650" spans="8:48" ht="14.25" customHeight="1" x14ac:dyDescent="0.35">
      <c r="H650" s="15"/>
      <c r="K650" s="15"/>
      <c r="N650" s="15"/>
      <c r="Q650" s="13"/>
      <c r="R650" s="13"/>
      <c r="S650" s="13"/>
      <c r="T650" s="13"/>
      <c r="U650" s="13"/>
      <c r="X650" s="15"/>
      <c r="AF650" s="19"/>
      <c r="AJ650" s="35"/>
      <c r="AK650" s="36"/>
      <c r="AN650" s="25"/>
      <c r="AO650" s="26"/>
      <c r="AP650" s="40"/>
      <c r="AQ650" s="26"/>
      <c r="AR650" s="26"/>
      <c r="AS650" s="26"/>
      <c r="AT650" s="25"/>
      <c r="AU650" s="30"/>
      <c r="AV650" s="31"/>
    </row>
    <row r="651" spans="8:48" ht="14.25" customHeight="1" x14ac:dyDescent="0.35">
      <c r="H651" s="15"/>
      <c r="K651" s="15"/>
      <c r="N651" s="15"/>
      <c r="Q651" s="13"/>
      <c r="R651" s="13"/>
      <c r="S651" s="13"/>
      <c r="T651" s="13"/>
      <c r="U651" s="13"/>
      <c r="X651" s="15"/>
      <c r="AF651" s="19"/>
      <c r="AJ651" s="35"/>
      <c r="AK651" s="36"/>
      <c r="AN651" s="25"/>
      <c r="AO651" s="26"/>
      <c r="AP651" s="40"/>
      <c r="AQ651" s="26"/>
      <c r="AR651" s="26"/>
      <c r="AS651" s="26"/>
      <c r="AT651" s="25"/>
      <c r="AU651" s="30"/>
      <c r="AV651" s="31"/>
    </row>
    <row r="652" spans="8:48" ht="14.25" customHeight="1" x14ac:dyDescent="0.35">
      <c r="H652" s="15"/>
      <c r="K652" s="15"/>
      <c r="N652" s="15"/>
      <c r="Q652" s="13"/>
      <c r="R652" s="13"/>
      <c r="S652" s="13"/>
      <c r="T652" s="13"/>
      <c r="U652" s="13"/>
      <c r="X652" s="15"/>
      <c r="AF652" s="19"/>
      <c r="AJ652" s="35"/>
      <c r="AK652" s="36"/>
      <c r="AN652" s="25"/>
      <c r="AO652" s="26"/>
      <c r="AP652" s="40"/>
      <c r="AQ652" s="26"/>
      <c r="AR652" s="26"/>
      <c r="AS652" s="26"/>
      <c r="AT652" s="25"/>
      <c r="AU652" s="30"/>
      <c r="AV652" s="31"/>
    </row>
    <row r="653" spans="8:48" ht="14.25" customHeight="1" x14ac:dyDescent="0.35">
      <c r="H653" s="15"/>
      <c r="K653" s="15"/>
      <c r="N653" s="15"/>
      <c r="Q653" s="13"/>
      <c r="R653" s="13"/>
      <c r="S653" s="13"/>
      <c r="T653" s="13"/>
      <c r="U653" s="13"/>
      <c r="X653" s="15"/>
      <c r="AF653" s="19"/>
      <c r="AJ653" s="35"/>
      <c r="AK653" s="36"/>
      <c r="AN653" s="25"/>
      <c r="AO653" s="26"/>
      <c r="AP653" s="40"/>
      <c r="AQ653" s="26"/>
      <c r="AR653" s="26"/>
      <c r="AS653" s="26"/>
      <c r="AT653" s="25"/>
      <c r="AU653" s="30"/>
      <c r="AV653" s="31"/>
    </row>
    <row r="654" spans="8:48" ht="14.25" customHeight="1" x14ac:dyDescent="0.35">
      <c r="H654" s="15"/>
      <c r="K654" s="15"/>
      <c r="N654" s="15"/>
      <c r="Q654" s="13"/>
      <c r="R654" s="13"/>
      <c r="S654" s="13"/>
      <c r="T654" s="13"/>
      <c r="U654" s="13"/>
      <c r="X654" s="15"/>
      <c r="AF654" s="19"/>
      <c r="AJ654" s="35"/>
      <c r="AK654" s="36"/>
      <c r="AN654" s="25"/>
      <c r="AO654" s="26"/>
      <c r="AP654" s="40"/>
      <c r="AQ654" s="26"/>
      <c r="AR654" s="26"/>
      <c r="AS654" s="26"/>
      <c r="AT654" s="25"/>
      <c r="AU654" s="30"/>
      <c r="AV654" s="31"/>
    </row>
    <row r="655" spans="8:48" ht="14.25" customHeight="1" x14ac:dyDescent="0.35">
      <c r="H655" s="15"/>
      <c r="K655" s="15"/>
      <c r="N655" s="15"/>
      <c r="Q655" s="13"/>
      <c r="R655" s="13"/>
      <c r="S655" s="13"/>
      <c r="T655" s="13"/>
      <c r="U655" s="13"/>
      <c r="X655" s="15"/>
      <c r="AF655" s="19"/>
      <c r="AJ655" s="35"/>
      <c r="AK655" s="36"/>
      <c r="AN655" s="25"/>
      <c r="AO655" s="26"/>
      <c r="AP655" s="40"/>
      <c r="AQ655" s="26"/>
      <c r="AR655" s="26"/>
      <c r="AS655" s="26"/>
      <c r="AT655" s="25"/>
      <c r="AU655" s="30"/>
      <c r="AV655" s="31"/>
    </row>
    <row r="656" spans="8:48" ht="14.25" customHeight="1" x14ac:dyDescent="0.35">
      <c r="H656" s="15"/>
      <c r="K656" s="15"/>
      <c r="N656" s="15"/>
      <c r="Q656" s="13"/>
      <c r="R656" s="13"/>
      <c r="S656" s="13"/>
      <c r="T656" s="13"/>
      <c r="U656" s="13"/>
      <c r="X656" s="15"/>
      <c r="AF656" s="19"/>
      <c r="AJ656" s="35"/>
      <c r="AK656" s="36"/>
      <c r="AN656" s="25"/>
      <c r="AO656" s="26"/>
      <c r="AP656" s="40"/>
      <c r="AQ656" s="26"/>
      <c r="AR656" s="26"/>
      <c r="AS656" s="26"/>
      <c r="AT656" s="25"/>
      <c r="AU656" s="30"/>
      <c r="AV656" s="31"/>
    </row>
    <row r="657" spans="8:48" ht="14.25" customHeight="1" x14ac:dyDescent="0.35">
      <c r="H657" s="15"/>
      <c r="K657" s="15"/>
      <c r="N657" s="15"/>
      <c r="Q657" s="13"/>
      <c r="R657" s="13"/>
      <c r="S657" s="13"/>
      <c r="T657" s="13"/>
      <c r="U657" s="13"/>
      <c r="X657" s="15"/>
      <c r="AF657" s="19"/>
      <c r="AJ657" s="35"/>
      <c r="AK657" s="36"/>
      <c r="AN657" s="25"/>
      <c r="AO657" s="26"/>
      <c r="AP657" s="40"/>
      <c r="AQ657" s="26"/>
      <c r="AR657" s="26"/>
      <c r="AS657" s="26"/>
      <c r="AT657" s="25"/>
      <c r="AU657" s="30"/>
      <c r="AV657" s="31"/>
    </row>
    <row r="658" spans="8:48" ht="14.25" customHeight="1" x14ac:dyDescent="0.35">
      <c r="H658" s="15"/>
      <c r="K658" s="15"/>
      <c r="N658" s="15"/>
      <c r="Q658" s="13"/>
      <c r="R658" s="13"/>
      <c r="S658" s="13"/>
      <c r="T658" s="13"/>
      <c r="U658" s="13"/>
      <c r="X658" s="15"/>
      <c r="AF658" s="19"/>
      <c r="AJ658" s="35"/>
      <c r="AK658" s="36"/>
      <c r="AN658" s="25"/>
      <c r="AO658" s="26"/>
      <c r="AP658" s="40"/>
      <c r="AQ658" s="26"/>
      <c r="AR658" s="26"/>
      <c r="AS658" s="26"/>
      <c r="AT658" s="25"/>
      <c r="AU658" s="30"/>
      <c r="AV658" s="31"/>
    </row>
    <row r="659" spans="8:48" ht="14.25" customHeight="1" x14ac:dyDescent="0.35">
      <c r="H659" s="15"/>
      <c r="K659" s="15"/>
      <c r="N659" s="15"/>
      <c r="Q659" s="13"/>
      <c r="R659" s="13"/>
      <c r="S659" s="13"/>
      <c r="T659" s="13"/>
      <c r="U659" s="13"/>
      <c r="X659" s="15"/>
      <c r="AF659" s="19"/>
      <c r="AJ659" s="35"/>
      <c r="AK659" s="36"/>
      <c r="AN659" s="25"/>
      <c r="AO659" s="26"/>
      <c r="AP659" s="40"/>
      <c r="AQ659" s="26"/>
      <c r="AR659" s="26"/>
      <c r="AS659" s="26"/>
      <c r="AT659" s="25"/>
      <c r="AU659" s="30"/>
      <c r="AV659" s="31"/>
    </row>
    <row r="660" spans="8:48" ht="14.25" customHeight="1" x14ac:dyDescent="0.35">
      <c r="H660" s="15"/>
      <c r="K660" s="15"/>
      <c r="N660" s="15"/>
      <c r="Q660" s="13"/>
      <c r="R660" s="13"/>
      <c r="S660" s="13"/>
      <c r="T660" s="13"/>
      <c r="U660" s="13"/>
      <c r="X660" s="15"/>
      <c r="AF660" s="19"/>
      <c r="AJ660" s="35"/>
      <c r="AK660" s="36"/>
      <c r="AN660" s="25"/>
      <c r="AO660" s="26"/>
      <c r="AP660" s="40"/>
      <c r="AQ660" s="26"/>
      <c r="AR660" s="26"/>
      <c r="AS660" s="26"/>
      <c r="AT660" s="25"/>
      <c r="AU660" s="30"/>
      <c r="AV660" s="31"/>
    </row>
    <row r="661" spans="8:48" ht="14.25" customHeight="1" x14ac:dyDescent="0.35">
      <c r="H661" s="15"/>
      <c r="K661" s="15"/>
      <c r="N661" s="15"/>
      <c r="Q661" s="13"/>
      <c r="R661" s="13"/>
      <c r="S661" s="13"/>
      <c r="T661" s="13"/>
      <c r="U661" s="13"/>
      <c r="X661" s="15"/>
      <c r="AF661" s="19"/>
      <c r="AJ661" s="35"/>
      <c r="AK661" s="36"/>
      <c r="AN661" s="25"/>
      <c r="AO661" s="26"/>
      <c r="AP661" s="40"/>
      <c r="AQ661" s="26"/>
      <c r="AR661" s="26"/>
      <c r="AS661" s="26"/>
      <c r="AT661" s="25"/>
      <c r="AU661" s="30"/>
      <c r="AV661" s="31"/>
    </row>
    <row r="662" spans="8:48" ht="14.25" customHeight="1" x14ac:dyDescent="0.35">
      <c r="H662" s="15"/>
      <c r="K662" s="15"/>
      <c r="N662" s="15"/>
      <c r="Q662" s="13"/>
      <c r="R662" s="13"/>
      <c r="S662" s="13"/>
      <c r="T662" s="13"/>
      <c r="U662" s="13"/>
      <c r="X662" s="15"/>
      <c r="AF662" s="19"/>
      <c r="AJ662" s="35"/>
      <c r="AK662" s="36"/>
      <c r="AN662" s="25"/>
      <c r="AO662" s="26"/>
      <c r="AP662" s="40"/>
      <c r="AQ662" s="26"/>
      <c r="AR662" s="26"/>
      <c r="AS662" s="26"/>
      <c r="AT662" s="25"/>
      <c r="AU662" s="30"/>
      <c r="AV662" s="31"/>
    </row>
    <row r="663" spans="8:48" ht="14.25" customHeight="1" x14ac:dyDescent="0.35">
      <c r="H663" s="15"/>
      <c r="K663" s="15"/>
      <c r="N663" s="15"/>
      <c r="Q663" s="13"/>
      <c r="R663" s="13"/>
      <c r="S663" s="13"/>
      <c r="T663" s="13"/>
      <c r="U663" s="13"/>
      <c r="X663" s="15"/>
      <c r="AF663" s="19"/>
      <c r="AJ663" s="35"/>
      <c r="AK663" s="36"/>
      <c r="AN663" s="25"/>
      <c r="AO663" s="26"/>
      <c r="AP663" s="40"/>
      <c r="AQ663" s="26"/>
      <c r="AR663" s="26"/>
      <c r="AS663" s="26"/>
      <c r="AT663" s="25"/>
      <c r="AU663" s="30"/>
      <c r="AV663" s="31"/>
    </row>
    <row r="664" spans="8:48" ht="14.25" customHeight="1" x14ac:dyDescent="0.35">
      <c r="H664" s="15"/>
      <c r="K664" s="15"/>
      <c r="N664" s="15"/>
      <c r="Q664" s="13"/>
      <c r="R664" s="13"/>
      <c r="S664" s="13"/>
      <c r="T664" s="13"/>
      <c r="U664" s="13"/>
      <c r="X664" s="15"/>
      <c r="AF664" s="19"/>
      <c r="AJ664" s="35"/>
      <c r="AK664" s="36"/>
      <c r="AN664" s="25"/>
      <c r="AO664" s="26"/>
      <c r="AP664" s="40"/>
      <c r="AQ664" s="26"/>
      <c r="AR664" s="26"/>
      <c r="AS664" s="26"/>
      <c r="AT664" s="25"/>
      <c r="AU664" s="30"/>
      <c r="AV664" s="31"/>
    </row>
    <row r="665" spans="8:48" ht="14.25" customHeight="1" x14ac:dyDescent="0.35">
      <c r="H665" s="15"/>
      <c r="K665" s="15"/>
      <c r="N665" s="15"/>
      <c r="Q665" s="13"/>
      <c r="R665" s="13"/>
      <c r="S665" s="13"/>
      <c r="T665" s="13"/>
      <c r="U665" s="13"/>
      <c r="X665" s="15"/>
      <c r="AF665" s="19"/>
      <c r="AJ665" s="35"/>
      <c r="AK665" s="36"/>
      <c r="AN665" s="25"/>
      <c r="AO665" s="26"/>
      <c r="AP665" s="40"/>
      <c r="AQ665" s="26"/>
      <c r="AR665" s="26"/>
      <c r="AS665" s="26"/>
      <c r="AT665" s="25"/>
      <c r="AU665" s="30"/>
      <c r="AV665" s="31"/>
    </row>
    <row r="666" spans="8:48" ht="14.25" customHeight="1" x14ac:dyDescent="0.35">
      <c r="H666" s="15"/>
      <c r="K666" s="15"/>
      <c r="N666" s="15"/>
      <c r="Q666" s="13"/>
      <c r="R666" s="13"/>
      <c r="S666" s="13"/>
      <c r="T666" s="13"/>
      <c r="U666" s="13"/>
      <c r="X666" s="15"/>
      <c r="AF666" s="19"/>
      <c r="AJ666" s="35"/>
      <c r="AK666" s="36"/>
      <c r="AN666" s="25"/>
      <c r="AO666" s="26"/>
      <c r="AP666" s="40"/>
      <c r="AQ666" s="26"/>
      <c r="AR666" s="26"/>
      <c r="AS666" s="26"/>
      <c r="AT666" s="25"/>
      <c r="AU666" s="30"/>
      <c r="AV666" s="31"/>
    </row>
    <row r="667" spans="8:48" ht="14.25" customHeight="1" x14ac:dyDescent="0.35">
      <c r="H667" s="15"/>
      <c r="K667" s="15"/>
      <c r="N667" s="15"/>
      <c r="Q667" s="13"/>
      <c r="R667" s="13"/>
      <c r="S667" s="13"/>
      <c r="T667" s="13"/>
      <c r="U667" s="13"/>
      <c r="X667" s="15"/>
      <c r="AF667" s="19"/>
      <c r="AJ667" s="35"/>
      <c r="AK667" s="36"/>
      <c r="AN667" s="25"/>
      <c r="AO667" s="26"/>
      <c r="AP667" s="40"/>
      <c r="AQ667" s="26"/>
      <c r="AR667" s="26"/>
      <c r="AS667" s="26"/>
      <c r="AT667" s="25"/>
      <c r="AU667" s="30"/>
      <c r="AV667" s="31"/>
    </row>
    <row r="668" spans="8:48" ht="14.25" customHeight="1" x14ac:dyDescent="0.35">
      <c r="H668" s="15"/>
      <c r="K668" s="15"/>
      <c r="N668" s="15"/>
      <c r="Q668" s="13"/>
      <c r="R668" s="13"/>
      <c r="S668" s="13"/>
      <c r="T668" s="13"/>
      <c r="U668" s="13"/>
      <c r="X668" s="15"/>
      <c r="AF668" s="19"/>
      <c r="AJ668" s="35"/>
      <c r="AK668" s="36"/>
      <c r="AN668" s="25"/>
      <c r="AO668" s="26"/>
      <c r="AP668" s="40"/>
      <c r="AQ668" s="26"/>
      <c r="AR668" s="26"/>
      <c r="AS668" s="26"/>
      <c r="AT668" s="25"/>
      <c r="AU668" s="30"/>
      <c r="AV668" s="31"/>
    </row>
    <row r="669" spans="8:48" ht="14.25" customHeight="1" x14ac:dyDescent="0.35">
      <c r="H669" s="15"/>
      <c r="K669" s="15"/>
      <c r="N669" s="15"/>
      <c r="Q669" s="13"/>
      <c r="R669" s="13"/>
      <c r="S669" s="13"/>
      <c r="T669" s="13"/>
      <c r="U669" s="13"/>
      <c r="X669" s="15"/>
      <c r="AF669" s="19"/>
      <c r="AJ669" s="35"/>
      <c r="AK669" s="36"/>
      <c r="AN669" s="25"/>
      <c r="AO669" s="26"/>
      <c r="AP669" s="40"/>
      <c r="AQ669" s="26"/>
      <c r="AR669" s="26"/>
      <c r="AS669" s="26"/>
      <c r="AT669" s="25"/>
      <c r="AU669" s="30"/>
      <c r="AV669" s="31"/>
    </row>
    <row r="670" spans="8:48" ht="14.25" customHeight="1" x14ac:dyDescent="0.35">
      <c r="H670" s="15"/>
      <c r="K670" s="15"/>
      <c r="N670" s="15"/>
      <c r="Q670" s="13"/>
      <c r="R670" s="13"/>
      <c r="S670" s="13"/>
      <c r="T670" s="13"/>
      <c r="U670" s="13"/>
      <c r="X670" s="15"/>
      <c r="AF670" s="19"/>
      <c r="AJ670" s="35"/>
      <c r="AK670" s="36"/>
      <c r="AN670" s="25"/>
      <c r="AO670" s="26"/>
      <c r="AP670" s="40"/>
      <c r="AQ670" s="26"/>
      <c r="AR670" s="26"/>
      <c r="AS670" s="26"/>
      <c r="AT670" s="25"/>
      <c r="AU670" s="30"/>
      <c r="AV670" s="31"/>
    </row>
    <row r="671" spans="8:48" ht="14.25" customHeight="1" x14ac:dyDescent="0.35">
      <c r="H671" s="15"/>
      <c r="K671" s="15"/>
      <c r="N671" s="15"/>
      <c r="Q671" s="13"/>
      <c r="R671" s="13"/>
      <c r="S671" s="13"/>
      <c r="T671" s="13"/>
      <c r="U671" s="13"/>
      <c r="X671" s="15"/>
      <c r="AF671" s="19"/>
      <c r="AJ671" s="35"/>
      <c r="AK671" s="36"/>
      <c r="AN671" s="25"/>
      <c r="AO671" s="26"/>
      <c r="AP671" s="40"/>
      <c r="AQ671" s="26"/>
      <c r="AR671" s="26"/>
      <c r="AS671" s="26"/>
      <c r="AT671" s="25"/>
      <c r="AU671" s="30"/>
      <c r="AV671" s="31"/>
    </row>
    <row r="672" spans="8:48" ht="14.25" customHeight="1" x14ac:dyDescent="0.35">
      <c r="H672" s="15"/>
      <c r="K672" s="15"/>
      <c r="N672" s="15"/>
      <c r="Q672" s="13"/>
      <c r="R672" s="13"/>
      <c r="S672" s="13"/>
      <c r="T672" s="13"/>
      <c r="U672" s="13"/>
      <c r="X672" s="15"/>
      <c r="AF672" s="19"/>
      <c r="AJ672" s="35"/>
      <c r="AK672" s="36"/>
      <c r="AN672" s="25"/>
      <c r="AO672" s="26"/>
      <c r="AP672" s="40"/>
      <c r="AQ672" s="26"/>
      <c r="AR672" s="26"/>
      <c r="AS672" s="26"/>
      <c r="AT672" s="25"/>
      <c r="AU672" s="30"/>
      <c r="AV672" s="31"/>
    </row>
    <row r="673" spans="8:48" ht="14.25" customHeight="1" x14ac:dyDescent="0.35">
      <c r="H673" s="15"/>
      <c r="K673" s="15"/>
      <c r="N673" s="15"/>
      <c r="Q673" s="13"/>
      <c r="R673" s="13"/>
      <c r="S673" s="13"/>
      <c r="T673" s="13"/>
      <c r="U673" s="13"/>
      <c r="X673" s="15"/>
      <c r="AF673" s="19"/>
      <c r="AJ673" s="35"/>
      <c r="AK673" s="36"/>
      <c r="AN673" s="25"/>
      <c r="AO673" s="26"/>
      <c r="AP673" s="40"/>
      <c r="AQ673" s="26"/>
      <c r="AR673" s="26"/>
      <c r="AS673" s="26"/>
      <c r="AT673" s="25"/>
      <c r="AU673" s="30"/>
      <c r="AV673" s="31"/>
    </row>
    <row r="674" spans="8:48" ht="14.25" customHeight="1" x14ac:dyDescent="0.35">
      <c r="H674" s="15"/>
      <c r="K674" s="15"/>
      <c r="N674" s="15"/>
      <c r="Q674" s="13"/>
      <c r="R674" s="13"/>
      <c r="S674" s="13"/>
      <c r="T674" s="13"/>
      <c r="U674" s="13"/>
      <c r="X674" s="15"/>
      <c r="AF674" s="19"/>
      <c r="AJ674" s="35"/>
      <c r="AK674" s="36"/>
      <c r="AN674" s="25"/>
      <c r="AO674" s="26"/>
      <c r="AP674" s="40"/>
      <c r="AQ674" s="26"/>
      <c r="AR674" s="26"/>
      <c r="AS674" s="26"/>
      <c r="AT674" s="25"/>
      <c r="AU674" s="30"/>
      <c r="AV674" s="31"/>
    </row>
    <row r="675" spans="8:48" ht="14.25" customHeight="1" x14ac:dyDescent="0.35">
      <c r="H675" s="15"/>
      <c r="K675" s="15"/>
      <c r="N675" s="15"/>
      <c r="Q675" s="13"/>
      <c r="R675" s="13"/>
      <c r="S675" s="13"/>
      <c r="T675" s="13"/>
      <c r="U675" s="13"/>
      <c r="X675" s="15"/>
      <c r="AF675" s="19"/>
      <c r="AJ675" s="35"/>
      <c r="AK675" s="36"/>
      <c r="AN675" s="25"/>
      <c r="AO675" s="26"/>
      <c r="AP675" s="40"/>
      <c r="AQ675" s="26"/>
      <c r="AR675" s="26"/>
      <c r="AS675" s="26"/>
      <c r="AT675" s="25"/>
      <c r="AU675" s="30"/>
      <c r="AV675" s="31"/>
    </row>
    <row r="676" spans="8:48" ht="14.25" customHeight="1" x14ac:dyDescent="0.35">
      <c r="H676" s="15"/>
      <c r="K676" s="15"/>
      <c r="N676" s="15"/>
      <c r="Q676" s="13"/>
      <c r="R676" s="13"/>
      <c r="S676" s="13"/>
      <c r="T676" s="13"/>
      <c r="U676" s="13"/>
      <c r="X676" s="15"/>
      <c r="AF676" s="19"/>
      <c r="AJ676" s="35"/>
      <c r="AK676" s="36"/>
      <c r="AN676" s="25"/>
      <c r="AO676" s="26"/>
      <c r="AP676" s="40"/>
      <c r="AQ676" s="26"/>
      <c r="AR676" s="26"/>
      <c r="AS676" s="26"/>
      <c r="AT676" s="25"/>
      <c r="AU676" s="30"/>
      <c r="AV676" s="31"/>
    </row>
    <row r="677" spans="8:48" ht="14.25" customHeight="1" x14ac:dyDescent="0.35">
      <c r="H677" s="15"/>
      <c r="K677" s="15"/>
      <c r="N677" s="15"/>
      <c r="Q677" s="13"/>
      <c r="R677" s="13"/>
      <c r="S677" s="13"/>
      <c r="T677" s="13"/>
      <c r="U677" s="13"/>
      <c r="X677" s="15"/>
      <c r="AF677" s="19"/>
      <c r="AJ677" s="35"/>
      <c r="AK677" s="36"/>
      <c r="AN677" s="25"/>
      <c r="AO677" s="26"/>
      <c r="AP677" s="40"/>
      <c r="AQ677" s="26"/>
      <c r="AR677" s="26"/>
      <c r="AS677" s="26"/>
      <c r="AT677" s="25"/>
      <c r="AU677" s="30"/>
      <c r="AV677" s="31"/>
    </row>
    <row r="678" spans="8:48" ht="14.25" customHeight="1" x14ac:dyDescent="0.35">
      <c r="H678" s="15"/>
      <c r="K678" s="15"/>
      <c r="N678" s="15"/>
      <c r="Q678" s="13"/>
      <c r="R678" s="13"/>
      <c r="S678" s="13"/>
      <c r="T678" s="13"/>
      <c r="U678" s="13"/>
      <c r="X678" s="15"/>
      <c r="AF678" s="19"/>
      <c r="AJ678" s="35"/>
      <c r="AK678" s="36"/>
      <c r="AN678" s="25"/>
      <c r="AO678" s="26"/>
      <c r="AP678" s="40"/>
      <c r="AQ678" s="26"/>
      <c r="AR678" s="26"/>
      <c r="AS678" s="26"/>
      <c r="AT678" s="25"/>
      <c r="AU678" s="30"/>
      <c r="AV678" s="31"/>
    </row>
    <row r="679" spans="8:48" ht="14.25" customHeight="1" x14ac:dyDescent="0.35">
      <c r="H679" s="15"/>
      <c r="K679" s="15"/>
      <c r="N679" s="15"/>
      <c r="Q679" s="13"/>
      <c r="R679" s="13"/>
      <c r="S679" s="13"/>
      <c r="T679" s="13"/>
      <c r="U679" s="13"/>
      <c r="X679" s="15"/>
      <c r="AF679" s="19"/>
      <c r="AJ679" s="35"/>
      <c r="AK679" s="36"/>
      <c r="AN679" s="25"/>
      <c r="AO679" s="26"/>
      <c r="AP679" s="40"/>
      <c r="AQ679" s="26"/>
      <c r="AR679" s="26"/>
      <c r="AS679" s="26"/>
      <c r="AT679" s="25"/>
      <c r="AU679" s="30"/>
      <c r="AV679" s="31"/>
    </row>
    <row r="680" spans="8:48" ht="14.25" customHeight="1" x14ac:dyDescent="0.35">
      <c r="H680" s="15"/>
      <c r="K680" s="15"/>
      <c r="N680" s="15"/>
      <c r="Q680" s="13"/>
      <c r="R680" s="13"/>
      <c r="S680" s="13"/>
      <c r="T680" s="13"/>
      <c r="U680" s="13"/>
      <c r="X680" s="15"/>
      <c r="AF680" s="19"/>
      <c r="AJ680" s="35"/>
      <c r="AK680" s="36"/>
      <c r="AN680" s="25"/>
      <c r="AO680" s="26"/>
      <c r="AP680" s="40"/>
      <c r="AQ680" s="26"/>
      <c r="AR680" s="26"/>
      <c r="AS680" s="26"/>
      <c r="AT680" s="25"/>
      <c r="AU680" s="30"/>
      <c r="AV680" s="31"/>
    </row>
    <row r="681" spans="8:48" ht="14.25" customHeight="1" x14ac:dyDescent="0.35">
      <c r="H681" s="15"/>
      <c r="K681" s="15"/>
      <c r="N681" s="15"/>
      <c r="Q681" s="13"/>
      <c r="R681" s="13"/>
      <c r="S681" s="13"/>
      <c r="T681" s="13"/>
      <c r="U681" s="13"/>
      <c r="X681" s="15"/>
      <c r="AF681" s="19"/>
      <c r="AJ681" s="35"/>
      <c r="AK681" s="36"/>
      <c r="AN681" s="25"/>
      <c r="AO681" s="26"/>
      <c r="AP681" s="40"/>
      <c r="AQ681" s="26"/>
      <c r="AR681" s="26"/>
      <c r="AS681" s="26"/>
      <c r="AT681" s="25"/>
      <c r="AU681" s="30"/>
      <c r="AV681" s="31"/>
    </row>
    <row r="682" spans="8:48" ht="14.25" customHeight="1" x14ac:dyDescent="0.35">
      <c r="H682" s="15"/>
      <c r="K682" s="15"/>
      <c r="N682" s="15"/>
      <c r="Q682" s="13"/>
      <c r="R682" s="13"/>
      <c r="S682" s="13"/>
      <c r="T682" s="13"/>
      <c r="U682" s="13"/>
      <c r="X682" s="15"/>
      <c r="AF682" s="19"/>
      <c r="AJ682" s="35"/>
      <c r="AK682" s="36"/>
      <c r="AN682" s="25"/>
      <c r="AO682" s="26"/>
      <c r="AP682" s="40"/>
      <c r="AQ682" s="26"/>
      <c r="AR682" s="26"/>
      <c r="AS682" s="26"/>
      <c r="AT682" s="25"/>
      <c r="AU682" s="30"/>
      <c r="AV682" s="31"/>
    </row>
    <row r="683" spans="8:48" ht="14.25" customHeight="1" x14ac:dyDescent="0.35">
      <c r="H683" s="15"/>
      <c r="K683" s="15"/>
      <c r="N683" s="15"/>
      <c r="Q683" s="13"/>
      <c r="R683" s="13"/>
      <c r="S683" s="13"/>
      <c r="T683" s="13"/>
      <c r="U683" s="13"/>
      <c r="X683" s="15"/>
      <c r="AF683" s="19"/>
      <c r="AJ683" s="35"/>
      <c r="AK683" s="36"/>
      <c r="AN683" s="25"/>
      <c r="AO683" s="26"/>
      <c r="AP683" s="40"/>
      <c r="AQ683" s="26"/>
      <c r="AR683" s="26"/>
      <c r="AS683" s="26"/>
      <c r="AT683" s="25"/>
      <c r="AU683" s="30"/>
      <c r="AV683" s="31"/>
    </row>
    <row r="684" spans="8:48" ht="14.25" customHeight="1" x14ac:dyDescent="0.35">
      <c r="H684" s="15"/>
      <c r="K684" s="15"/>
      <c r="N684" s="15"/>
      <c r="Q684" s="13"/>
      <c r="R684" s="13"/>
      <c r="S684" s="13"/>
      <c r="T684" s="13"/>
      <c r="U684" s="13"/>
      <c r="X684" s="15"/>
      <c r="AF684" s="19"/>
      <c r="AJ684" s="35"/>
      <c r="AK684" s="36"/>
      <c r="AN684" s="25"/>
      <c r="AO684" s="26"/>
      <c r="AP684" s="40"/>
      <c r="AQ684" s="26"/>
      <c r="AR684" s="26"/>
      <c r="AS684" s="26"/>
      <c r="AT684" s="25"/>
      <c r="AU684" s="30"/>
      <c r="AV684" s="31"/>
    </row>
    <row r="685" spans="8:48" ht="14.25" customHeight="1" x14ac:dyDescent="0.35">
      <c r="H685" s="15"/>
      <c r="K685" s="15"/>
      <c r="N685" s="15"/>
      <c r="Q685" s="13"/>
      <c r="R685" s="13"/>
      <c r="S685" s="13"/>
      <c r="T685" s="13"/>
      <c r="U685" s="13"/>
      <c r="X685" s="15"/>
      <c r="AF685" s="19"/>
      <c r="AJ685" s="35"/>
      <c r="AK685" s="36"/>
      <c r="AN685" s="25"/>
      <c r="AO685" s="26"/>
      <c r="AP685" s="40"/>
      <c r="AQ685" s="26"/>
      <c r="AR685" s="26"/>
      <c r="AS685" s="26"/>
      <c r="AT685" s="25"/>
      <c r="AU685" s="30"/>
      <c r="AV685" s="31"/>
    </row>
    <row r="686" spans="8:48" ht="14.25" customHeight="1" x14ac:dyDescent="0.35">
      <c r="H686" s="15"/>
      <c r="K686" s="15"/>
      <c r="N686" s="15"/>
      <c r="Q686" s="13"/>
      <c r="R686" s="13"/>
      <c r="S686" s="13"/>
      <c r="T686" s="13"/>
      <c r="U686" s="13"/>
      <c r="X686" s="15"/>
      <c r="AF686" s="19"/>
      <c r="AJ686" s="35"/>
      <c r="AK686" s="36"/>
      <c r="AN686" s="25"/>
      <c r="AO686" s="26"/>
      <c r="AP686" s="40"/>
      <c r="AQ686" s="26"/>
      <c r="AR686" s="26"/>
      <c r="AS686" s="26"/>
      <c r="AT686" s="25"/>
      <c r="AU686" s="30"/>
      <c r="AV686" s="31"/>
    </row>
    <row r="687" spans="8:48" ht="14.25" customHeight="1" x14ac:dyDescent="0.35">
      <c r="H687" s="15"/>
      <c r="K687" s="15"/>
      <c r="N687" s="15"/>
      <c r="Q687" s="13"/>
      <c r="R687" s="13"/>
      <c r="S687" s="13"/>
      <c r="T687" s="13"/>
      <c r="U687" s="13"/>
      <c r="X687" s="15"/>
      <c r="AF687" s="19"/>
      <c r="AJ687" s="35"/>
      <c r="AK687" s="36"/>
      <c r="AN687" s="25"/>
      <c r="AO687" s="26"/>
      <c r="AP687" s="40"/>
      <c r="AQ687" s="26"/>
      <c r="AR687" s="26"/>
      <c r="AS687" s="26"/>
      <c r="AT687" s="25"/>
      <c r="AU687" s="30"/>
      <c r="AV687" s="31"/>
    </row>
    <row r="688" spans="8:48" ht="14.25" customHeight="1" x14ac:dyDescent="0.35">
      <c r="H688" s="15"/>
      <c r="K688" s="15"/>
      <c r="N688" s="15"/>
      <c r="Q688" s="13"/>
      <c r="R688" s="13"/>
      <c r="S688" s="13"/>
      <c r="T688" s="13"/>
      <c r="U688" s="13"/>
      <c r="X688" s="15"/>
      <c r="AF688" s="19"/>
      <c r="AJ688" s="35"/>
      <c r="AK688" s="36"/>
      <c r="AN688" s="25"/>
      <c r="AO688" s="26"/>
      <c r="AP688" s="40"/>
      <c r="AQ688" s="26"/>
      <c r="AR688" s="26"/>
      <c r="AS688" s="26"/>
      <c r="AT688" s="25"/>
      <c r="AU688" s="30"/>
      <c r="AV688" s="31"/>
    </row>
    <row r="689" spans="8:48" ht="14.25" customHeight="1" x14ac:dyDescent="0.35">
      <c r="H689" s="15"/>
      <c r="K689" s="15"/>
      <c r="N689" s="15"/>
      <c r="Q689" s="13"/>
      <c r="R689" s="13"/>
      <c r="S689" s="13"/>
      <c r="T689" s="13"/>
      <c r="U689" s="13"/>
      <c r="X689" s="15"/>
      <c r="AF689" s="19"/>
      <c r="AJ689" s="35"/>
      <c r="AK689" s="36"/>
      <c r="AN689" s="25"/>
      <c r="AO689" s="26"/>
      <c r="AP689" s="40"/>
      <c r="AQ689" s="26"/>
      <c r="AR689" s="26"/>
      <c r="AS689" s="26"/>
      <c r="AT689" s="25"/>
      <c r="AU689" s="30"/>
      <c r="AV689" s="31"/>
    </row>
    <row r="690" spans="8:48" ht="14.25" customHeight="1" x14ac:dyDescent="0.35">
      <c r="H690" s="15"/>
      <c r="K690" s="15"/>
      <c r="N690" s="15"/>
      <c r="Q690" s="13"/>
      <c r="R690" s="13"/>
      <c r="S690" s="13"/>
      <c r="T690" s="13"/>
      <c r="U690" s="13"/>
      <c r="X690" s="15"/>
      <c r="AF690" s="19"/>
      <c r="AJ690" s="35"/>
      <c r="AK690" s="36"/>
      <c r="AN690" s="25"/>
      <c r="AO690" s="26"/>
      <c r="AP690" s="40"/>
      <c r="AQ690" s="26"/>
      <c r="AR690" s="26"/>
      <c r="AS690" s="26"/>
      <c r="AT690" s="25"/>
      <c r="AU690" s="30"/>
      <c r="AV690" s="31"/>
    </row>
    <row r="691" spans="8:48" ht="14.25" customHeight="1" x14ac:dyDescent="0.35">
      <c r="H691" s="15"/>
      <c r="K691" s="15"/>
      <c r="N691" s="15"/>
      <c r="Q691" s="13"/>
      <c r="R691" s="13"/>
      <c r="S691" s="13"/>
      <c r="T691" s="13"/>
      <c r="U691" s="13"/>
      <c r="X691" s="15"/>
      <c r="AF691" s="19"/>
      <c r="AJ691" s="35"/>
      <c r="AK691" s="36"/>
      <c r="AN691" s="25"/>
      <c r="AO691" s="26"/>
      <c r="AP691" s="40"/>
      <c r="AQ691" s="26"/>
      <c r="AR691" s="26"/>
      <c r="AS691" s="26"/>
      <c r="AT691" s="25"/>
      <c r="AU691" s="30"/>
      <c r="AV691" s="31"/>
    </row>
    <row r="692" spans="8:48" ht="14.25" customHeight="1" x14ac:dyDescent="0.35">
      <c r="H692" s="15"/>
      <c r="K692" s="15"/>
      <c r="N692" s="15"/>
      <c r="Q692" s="13"/>
      <c r="R692" s="13"/>
      <c r="S692" s="13"/>
      <c r="T692" s="13"/>
      <c r="U692" s="13"/>
      <c r="X692" s="15"/>
      <c r="AF692" s="19"/>
      <c r="AJ692" s="35"/>
      <c r="AK692" s="36"/>
      <c r="AN692" s="25"/>
      <c r="AO692" s="26"/>
      <c r="AP692" s="40"/>
      <c r="AQ692" s="26"/>
      <c r="AR692" s="26"/>
      <c r="AS692" s="26"/>
      <c r="AT692" s="25"/>
      <c r="AU692" s="30"/>
      <c r="AV692" s="31"/>
    </row>
    <row r="693" spans="8:48" ht="14.25" customHeight="1" x14ac:dyDescent="0.35">
      <c r="H693" s="15"/>
      <c r="K693" s="15"/>
      <c r="N693" s="15"/>
      <c r="Q693" s="13"/>
      <c r="R693" s="13"/>
      <c r="S693" s="13"/>
      <c r="T693" s="13"/>
      <c r="U693" s="13"/>
      <c r="X693" s="15"/>
      <c r="AF693" s="19"/>
      <c r="AJ693" s="35"/>
      <c r="AK693" s="36"/>
      <c r="AN693" s="25"/>
      <c r="AO693" s="26"/>
      <c r="AP693" s="40"/>
      <c r="AQ693" s="26"/>
      <c r="AR693" s="26"/>
      <c r="AS693" s="26"/>
      <c r="AT693" s="25"/>
      <c r="AU693" s="30"/>
      <c r="AV693" s="31"/>
    </row>
    <row r="694" spans="8:48" ht="14.25" customHeight="1" x14ac:dyDescent="0.35">
      <c r="H694" s="15"/>
      <c r="K694" s="15"/>
      <c r="N694" s="15"/>
      <c r="Q694" s="13"/>
      <c r="R694" s="13"/>
      <c r="S694" s="13"/>
      <c r="T694" s="13"/>
      <c r="U694" s="13"/>
      <c r="X694" s="15"/>
      <c r="AF694" s="19"/>
      <c r="AJ694" s="35"/>
      <c r="AK694" s="36"/>
      <c r="AN694" s="25"/>
      <c r="AO694" s="26"/>
      <c r="AP694" s="40"/>
      <c r="AQ694" s="26"/>
      <c r="AR694" s="26"/>
      <c r="AS694" s="26"/>
      <c r="AT694" s="25"/>
      <c r="AU694" s="30"/>
      <c r="AV694" s="31"/>
    </row>
    <row r="695" spans="8:48" ht="14.25" customHeight="1" x14ac:dyDescent="0.35">
      <c r="H695" s="15"/>
      <c r="K695" s="15"/>
      <c r="N695" s="15"/>
      <c r="Q695" s="13"/>
      <c r="R695" s="13"/>
      <c r="S695" s="13"/>
      <c r="T695" s="13"/>
      <c r="U695" s="13"/>
      <c r="X695" s="15"/>
      <c r="AF695" s="19"/>
      <c r="AJ695" s="35"/>
      <c r="AK695" s="36"/>
      <c r="AN695" s="25"/>
      <c r="AO695" s="26"/>
      <c r="AP695" s="40"/>
      <c r="AQ695" s="26"/>
      <c r="AR695" s="26"/>
      <c r="AS695" s="26"/>
      <c r="AT695" s="25"/>
      <c r="AU695" s="30"/>
      <c r="AV695" s="31"/>
    </row>
    <row r="696" spans="8:48" ht="14.25" customHeight="1" x14ac:dyDescent="0.35">
      <c r="H696" s="15"/>
      <c r="K696" s="15"/>
      <c r="N696" s="15"/>
      <c r="Q696" s="13"/>
      <c r="R696" s="13"/>
      <c r="S696" s="13"/>
      <c r="T696" s="13"/>
      <c r="U696" s="13"/>
      <c r="X696" s="15"/>
      <c r="AF696" s="19"/>
      <c r="AJ696" s="35"/>
      <c r="AK696" s="36"/>
      <c r="AN696" s="25"/>
      <c r="AO696" s="26"/>
      <c r="AP696" s="40"/>
      <c r="AQ696" s="26"/>
      <c r="AR696" s="26"/>
      <c r="AS696" s="26"/>
      <c r="AT696" s="25"/>
      <c r="AU696" s="30"/>
      <c r="AV696" s="31"/>
    </row>
    <row r="697" spans="8:48" ht="14.25" customHeight="1" x14ac:dyDescent="0.35">
      <c r="H697" s="15"/>
      <c r="K697" s="15"/>
      <c r="N697" s="15"/>
      <c r="Q697" s="13"/>
      <c r="R697" s="13"/>
      <c r="S697" s="13"/>
      <c r="T697" s="13"/>
      <c r="U697" s="13"/>
      <c r="X697" s="15"/>
      <c r="AF697" s="19"/>
      <c r="AJ697" s="35"/>
      <c r="AK697" s="36"/>
      <c r="AN697" s="25"/>
      <c r="AO697" s="26"/>
      <c r="AP697" s="40"/>
      <c r="AQ697" s="26"/>
      <c r="AR697" s="26"/>
      <c r="AS697" s="26"/>
      <c r="AT697" s="25"/>
      <c r="AU697" s="30"/>
      <c r="AV697" s="31"/>
    </row>
    <row r="698" spans="8:48" ht="14.25" customHeight="1" x14ac:dyDescent="0.35">
      <c r="H698" s="15"/>
      <c r="K698" s="15"/>
      <c r="N698" s="15"/>
      <c r="Q698" s="13"/>
      <c r="R698" s="13"/>
      <c r="S698" s="13"/>
      <c r="T698" s="13"/>
      <c r="U698" s="13"/>
      <c r="X698" s="15"/>
      <c r="AF698" s="19"/>
      <c r="AJ698" s="35"/>
      <c r="AK698" s="36"/>
      <c r="AN698" s="25"/>
      <c r="AO698" s="26"/>
      <c r="AP698" s="40"/>
      <c r="AQ698" s="26"/>
      <c r="AR698" s="26"/>
      <c r="AS698" s="26"/>
      <c r="AT698" s="25"/>
      <c r="AU698" s="30"/>
      <c r="AV698" s="31"/>
    </row>
    <row r="699" spans="8:48" ht="14.25" customHeight="1" x14ac:dyDescent="0.35">
      <c r="H699" s="15"/>
      <c r="K699" s="15"/>
      <c r="N699" s="15"/>
      <c r="Q699" s="13"/>
      <c r="R699" s="13"/>
      <c r="S699" s="13"/>
      <c r="T699" s="13"/>
      <c r="U699" s="13"/>
      <c r="X699" s="15"/>
      <c r="AF699" s="19"/>
      <c r="AJ699" s="35"/>
      <c r="AK699" s="36"/>
      <c r="AN699" s="25"/>
      <c r="AO699" s="26"/>
      <c r="AP699" s="40"/>
      <c r="AQ699" s="26"/>
      <c r="AR699" s="26"/>
      <c r="AS699" s="26"/>
      <c r="AT699" s="25"/>
      <c r="AU699" s="30"/>
      <c r="AV699" s="31"/>
    </row>
    <row r="700" spans="8:48" ht="14.25" customHeight="1" x14ac:dyDescent="0.35">
      <c r="H700" s="15"/>
      <c r="K700" s="15"/>
      <c r="N700" s="15"/>
      <c r="Q700" s="13"/>
      <c r="R700" s="13"/>
      <c r="S700" s="13"/>
      <c r="T700" s="13"/>
      <c r="U700" s="13"/>
      <c r="X700" s="15"/>
      <c r="AF700" s="19"/>
      <c r="AJ700" s="35"/>
      <c r="AK700" s="36"/>
      <c r="AN700" s="25"/>
      <c r="AO700" s="26"/>
      <c r="AP700" s="40"/>
      <c r="AQ700" s="26"/>
      <c r="AR700" s="26"/>
      <c r="AS700" s="26"/>
      <c r="AT700" s="25"/>
      <c r="AU700" s="30"/>
      <c r="AV700" s="31"/>
    </row>
    <row r="701" spans="8:48" ht="14.25" customHeight="1" x14ac:dyDescent="0.35">
      <c r="H701" s="15"/>
      <c r="K701" s="15"/>
      <c r="N701" s="15"/>
      <c r="Q701" s="13"/>
      <c r="R701" s="13"/>
      <c r="S701" s="13"/>
      <c r="T701" s="13"/>
      <c r="U701" s="13"/>
      <c r="X701" s="15"/>
      <c r="AF701" s="19"/>
      <c r="AJ701" s="35"/>
      <c r="AK701" s="36"/>
      <c r="AN701" s="25"/>
      <c r="AO701" s="26"/>
      <c r="AP701" s="40"/>
      <c r="AQ701" s="26"/>
      <c r="AR701" s="26"/>
      <c r="AS701" s="26"/>
      <c r="AT701" s="25"/>
      <c r="AU701" s="30"/>
      <c r="AV701" s="31"/>
    </row>
    <row r="702" spans="8:48" ht="14.25" customHeight="1" x14ac:dyDescent="0.35">
      <c r="H702" s="15"/>
      <c r="K702" s="15"/>
      <c r="N702" s="15"/>
      <c r="Q702" s="13"/>
      <c r="R702" s="13"/>
      <c r="S702" s="13"/>
      <c r="T702" s="13"/>
      <c r="U702" s="13"/>
      <c r="X702" s="15"/>
      <c r="AF702" s="19"/>
      <c r="AJ702" s="35"/>
      <c r="AK702" s="36"/>
      <c r="AN702" s="25"/>
      <c r="AO702" s="26"/>
      <c r="AP702" s="40"/>
      <c r="AQ702" s="26"/>
      <c r="AR702" s="26"/>
      <c r="AS702" s="26"/>
      <c r="AT702" s="25"/>
      <c r="AU702" s="30"/>
      <c r="AV702" s="31"/>
    </row>
    <row r="703" spans="8:48" ht="14.25" customHeight="1" x14ac:dyDescent="0.35">
      <c r="H703" s="15"/>
      <c r="K703" s="15"/>
      <c r="N703" s="15"/>
      <c r="Q703" s="13"/>
      <c r="R703" s="13"/>
      <c r="S703" s="13"/>
      <c r="T703" s="13"/>
      <c r="U703" s="13"/>
      <c r="X703" s="15"/>
      <c r="AF703" s="19"/>
      <c r="AJ703" s="35"/>
      <c r="AK703" s="36"/>
      <c r="AN703" s="25"/>
      <c r="AO703" s="26"/>
      <c r="AP703" s="40"/>
      <c r="AQ703" s="26"/>
      <c r="AR703" s="26"/>
      <c r="AS703" s="26"/>
      <c r="AT703" s="25"/>
      <c r="AU703" s="30"/>
      <c r="AV703" s="31"/>
    </row>
    <row r="704" spans="8:48" ht="14.25" customHeight="1" x14ac:dyDescent="0.35">
      <c r="H704" s="15"/>
      <c r="K704" s="15"/>
      <c r="N704" s="15"/>
      <c r="Q704" s="13"/>
      <c r="R704" s="13"/>
      <c r="S704" s="13"/>
      <c r="T704" s="13"/>
      <c r="U704" s="13"/>
      <c r="X704" s="15"/>
      <c r="AF704" s="19"/>
      <c r="AJ704" s="35"/>
      <c r="AK704" s="36"/>
      <c r="AN704" s="25"/>
      <c r="AO704" s="26"/>
      <c r="AP704" s="40"/>
      <c r="AQ704" s="26"/>
      <c r="AR704" s="26"/>
      <c r="AS704" s="26"/>
      <c r="AT704" s="25"/>
      <c r="AU704" s="30"/>
      <c r="AV704" s="31"/>
    </row>
    <row r="705" spans="8:48" ht="14.25" customHeight="1" x14ac:dyDescent="0.35">
      <c r="H705" s="15"/>
      <c r="K705" s="15"/>
      <c r="N705" s="15"/>
      <c r="Q705" s="13"/>
      <c r="R705" s="13"/>
      <c r="S705" s="13"/>
      <c r="T705" s="13"/>
      <c r="U705" s="13"/>
      <c r="X705" s="15"/>
      <c r="AF705" s="19"/>
      <c r="AJ705" s="35"/>
      <c r="AK705" s="36"/>
      <c r="AN705" s="25"/>
      <c r="AO705" s="26"/>
      <c r="AP705" s="40"/>
      <c r="AQ705" s="26"/>
      <c r="AR705" s="26"/>
      <c r="AS705" s="26"/>
      <c r="AT705" s="25"/>
      <c r="AU705" s="30"/>
      <c r="AV705" s="31"/>
    </row>
    <row r="706" spans="8:48" ht="14.25" customHeight="1" x14ac:dyDescent="0.35">
      <c r="H706" s="15"/>
      <c r="K706" s="15"/>
      <c r="N706" s="15"/>
      <c r="Q706" s="13"/>
      <c r="R706" s="13"/>
      <c r="S706" s="13"/>
      <c r="T706" s="13"/>
      <c r="U706" s="13"/>
      <c r="X706" s="15"/>
      <c r="AF706" s="19"/>
      <c r="AJ706" s="35"/>
      <c r="AK706" s="36"/>
      <c r="AN706" s="25"/>
      <c r="AO706" s="26"/>
      <c r="AP706" s="40"/>
      <c r="AQ706" s="26"/>
      <c r="AR706" s="26"/>
      <c r="AS706" s="26"/>
      <c r="AT706" s="25"/>
      <c r="AU706" s="30"/>
      <c r="AV706" s="31"/>
    </row>
    <row r="707" spans="8:48" ht="14.25" customHeight="1" x14ac:dyDescent="0.35">
      <c r="H707" s="15"/>
      <c r="K707" s="15"/>
      <c r="N707" s="15"/>
      <c r="Q707" s="13"/>
      <c r="R707" s="13"/>
      <c r="S707" s="13"/>
      <c r="T707" s="13"/>
      <c r="U707" s="13"/>
      <c r="X707" s="15"/>
      <c r="AF707" s="19"/>
      <c r="AJ707" s="35"/>
      <c r="AK707" s="36"/>
      <c r="AN707" s="25"/>
      <c r="AO707" s="26"/>
      <c r="AP707" s="40"/>
      <c r="AQ707" s="26"/>
      <c r="AR707" s="26"/>
      <c r="AS707" s="26"/>
      <c r="AT707" s="25"/>
      <c r="AU707" s="30"/>
      <c r="AV707" s="31"/>
    </row>
    <row r="708" spans="8:48" ht="14.25" customHeight="1" x14ac:dyDescent="0.35">
      <c r="H708" s="15"/>
      <c r="K708" s="15"/>
      <c r="N708" s="15"/>
      <c r="Q708" s="13"/>
      <c r="R708" s="13"/>
      <c r="S708" s="13"/>
      <c r="T708" s="13"/>
      <c r="U708" s="13"/>
      <c r="X708" s="15"/>
      <c r="AF708" s="19"/>
      <c r="AJ708" s="35"/>
      <c r="AK708" s="36"/>
      <c r="AN708" s="25"/>
      <c r="AO708" s="26"/>
      <c r="AP708" s="40"/>
      <c r="AQ708" s="26"/>
      <c r="AR708" s="26"/>
      <c r="AS708" s="26"/>
      <c r="AT708" s="25"/>
      <c r="AU708" s="30"/>
      <c r="AV708" s="31"/>
    </row>
    <row r="709" spans="8:48" ht="14.25" customHeight="1" x14ac:dyDescent="0.35">
      <c r="H709" s="15"/>
      <c r="K709" s="15"/>
      <c r="N709" s="15"/>
      <c r="Q709" s="13"/>
      <c r="R709" s="13"/>
      <c r="S709" s="13"/>
      <c r="T709" s="13"/>
      <c r="U709" s="13"/>
      <c r="X709" s="15"/>
      <c r="AF709" s="19"/>
      <c r="AJ709" s="35"/>
      <c r="AK709" s="36"/>
      <c r="AN709" s="25"/>
      <c r="AO709" s="26"/>
      <c r="AP709" s="40"/>
      <c r="AQ709" s="26"/>
      <c r="AR709" s="26"/>
      <c r="AS709" s="26"/>
      <c r="AT709" s="25"/>
      <c r="AU709" s="30"/>
      <c r="AV709" s="31"/>
    </row>
    <row r="710" spans="8:48" ht="14.25" customHeight="1" x14ac:dyDescent="0.35">
      <c r="H710" s="15"/>
      <c r="K710" s="15"/>
      <c r="N710" s="15"/>
      <c r="Q710" s="13"/>
      <c r="R710" s="13"/>
      <c r="S710" s="13"/>
      <c r="T710" s="13"/>
      <c r="U710" s="13"/>
      <c r="X710" s="15"/>
      <c r="AF710" s="19"/>
      <c r="AJ710" s="35"/>
      <c r="AK710" s="36"/>
      <c r="AN710" s="25"/>
      <c r="AO710" s="26"/>
      <c r="AP710" s="40"/>
      <c r="AQ710" s="26"/>
      <c r="AR710" s="26"/>
      <c r="AS710" s="26"/>
      <c r="AT710" s="25"/>
      <c r="AU710" s="30"/>
      <c r="AV710" s="31"/>
    </row>
    <row r="711" spans="8:48" ht="14.25" customHeight="1" x14ac:dyDescent="0.35">
      <c r="H711" s="15"/>
      <c r="K711" s="15"/>
      <c r="N711" s="15"/>
      <c r="Q711" s="13"/>
      <c r="R711" s="13"/>
      <c r="S711" s="13"/>
      <c r="T711" s="13"/>
      <c r="U711" s="13"/>
      <c r="X711" s="15"/>
      <c r="AF711" s="19"/>
      <c r="AJ711" s="35"/>
      <c r="AK711" s="36"/>
      <c r="AN711" s="25"/>
      <c r="AO711" s="26"/>
      <c r="AP711" s="40"/>
      <c r="AQ711" s="26"/>
      <c r="AR711" s="26"/>
      <c r="AS711" s="26"/>
      <c r="AT711" s="25"/>
      <c r="AU711" s="30"/>
      <c r="AV711" s="31"/>
    </row>
    <row r="712" spans="8:48" ht="14.25" customHeight="1" x14ac:dyDescent="0.35">
      <c r="H712" s="15"/>
      <c r="K712" s="15"/>
      <c r="N712" s="15"/>
      <c r="Q712" s="13"/>
      <c r="R712" s="13"/>
      <c r="S712" s="13"/>
      <c r="T712" s="13"/>
      <c r="U712" s="13"/>
      <c r="X712" s="15"/>
      <c r="AF712" s="19"/>
      <c r="AJ712" s="35"/>
      <c r="AK712" s="36"/>
      <c r="AN712" s="25"/>
      <c r="AO712" s="26"/>
      <c r="AP712" s="40"/>
      <c r="AQ712" s="26"/>
      <c r="AR712" s="26"/>
      <c r="AS712" s="26"/>
      <c r="AT712" s="25"/>
      <c r="AU712" s="30"/>
      <c r="AV712" s="31"/>
    </row>
    <row r="713" spans="8:48" ht="14.25" customHeight="1" x14ac:dyDescent="0.35">
      <c r="H713" s="15"/>
      <c r="K713" s="15"/>
      <c r="N713" s="15"/>
      <c r="Q713" s="13"/>
      <c r="R713" s="13"/>
      <c r="S713" s="13"/>
      <c r="T713" s="13"/>
      <c r="U713" s="13"/>
      <c r="X713" s="15"/>
      <c r="AF713" s="19"/>
      <c r="AJ713" s="35"/>
      <c r="AK713" s="36"/>
      <c r="AN713" s="25"/>
      <c r="AO713" s="26"/>
      <c r="AP713" s="40"/>
      <c r="AQ713" s="26"/>
      <c r="AR713" s="26"/>
      <c r="AS713" s="26"/>
      <c r="AT713" s="25"/>
      <c r="AU713" s="30"/>
      <c r="AV713" s="31"/>
    </row>
    <row r="714" spans="8:48" ht="14.25" customHeight="1" x14ac:dyDescent="0.35">
      <c r="H714" s="15"/>
      <c r="K714" s="15"/>
      <c r="N714" s="15"/>
      <c r="Q714" s="13"/>
      <c r="R714" s="13"/>
      <c r="S714" s="13"/>
      <c r="T714" s="13"/>
      <c r="U714" s="13"/>
      <c r="X714" s="15"/>
      <c r="AF714" s="19"/>
      <c r="AJ714" s="35"/>
      <c r="AK714" s="36"/>
      <c r="AN714" s="25"/>
      <c r="AO714" s="26"/>
      <c r="AP714" s="40"/>
      <c r="AQ714" s="26"/>
      <c r="AR714" s="26"/>
      <c r="AS714" s="26"/>
      <c r="AT714" s="25"/>
      <c r="AU714" s="30"/>
      <c r="AV714" s="31"/>
    </row>
    <row r="715" spans="8:48" ht="14.25" customHeight="1" x14ac:dyDescent="0.35">
      <c r="H715" s="15"/>
      <c r="K715" s="15"/>
      <c r="N715" s="15"/>
      <c r="Q715" s="13"/>
      <c r="R715" s="13"/>
      <c r="S715" s="13"/>
      <c r="T715" s="13"/>
      <c r="U715" s="13"/>
      <c r="X715" s="15"/>
      <c r="AF715" s="19"/>
      <c r="AJ715" s="35"/>
      <c r="AK715" s="36"/>
      <c r="AN715" s="25"/>
      <c r="AO715" s="26"/>
      <c r="AP715" s="40"/>
      <c r="AQ715" s="26"/>
      <c r="AR715" s="26"/>
      <c r="AS715" s="26"/>
      <c r="AT715" s="25"/>
      <c r="AU715" s="30"/>
      <c r="AV715" s="31"/>
    </row>
    <row r="716" spans="8:48" ht="14.25" customHeight="1" x14ac:dyDescent="0.35">
      <c r="H716" s="15"/>
      <c r="K716" s="15"/>
      <c r="N716" s="15"/>
      <c r="Q716" s="13"/>
      <c r="R716" s="13"/>
      <c r="S716" s="13"/>
      <c r="T716" s="13"/>
      <c r="U716" s="13"/>
      <c r="X716" s="15"/>
      <c r="AF716" s="19"/>
      <c r="AJ716" s="35"/>
      <c r="AK716" s="36"/>
      <c r="AN716" s="25"/>
      <c r="AO716" s="26"/>
      <c r="AP716" s="40"/>
      <c r="AQ716" s="26"/>
      <c r="AR716" s="26"/>
      <c r="AS716" s="26"/>
      <c r="AT716" s="25"/>
      <c r="AU716" s="30"/>
      <c r="AV716" s="31"/>
    </row>
    <row r="717" spans="8:48" ht="14.25" customHeight="1" x14ac:dyDescent="0.35">
      <c r="H717" s="15"/>
      <c r="K717" s="15"/>
      <c r="N717" s="15"/>
      <c r="Q717" s="13"/>
      <c r="R717" s="13"/>
      <c r="S717" s="13"/>
      <c r="T717" s="13"/>
      <c r="U717" s="13"/>
      <c r="X717" s="15"/>
      <c r="AF717" s="19"/>
      <c r="AJ717" s="35"/>
      <c r="AK717" s="36"/>
      <c r="AN717" s="25"/>
      <c r="AO717" s="26"/>
      <c r="AP717" s="40"/>
      <c r="AQ717" s="26"/>
      <c r="AR717" s="26"/>
      <c r="AS717" s="26"/>
      <c r="AT717" s="25"/>
      <c r="AU717" s="30"/>
      <c r="AV717" s="31"/>
    </row>
    <row r="718" spans="8:48" ht="14.25" customHeight="1" x14ac:dyDescent="0.35">
      <c r="H718" s="15"/>
      <c r="K718" s="15"/>
      <c r="N718" s="15"/>
      <c r="Q718" s="13"/>
      <c r="R718" s="13"/>
      <c r="S718" s="13"/>
      <c r="T718" s="13"/>
      <c r="U718" s="13"/>
      <c r="X718" s="15"/>
      <c r="AF718" s="19"/>
      <c r="AJ718" s="35"/>
      <c r="AK718" s="36"/>
      <c r="AN718" s="25"/>
      <c r="AO718" s="26"/>
      <c r="AP718" s="40"/>
      <c r="AQ718" s="26"/>
      <c r="AR718" s="26"/>
      <c r="AS718" s="26"/>
      <c r="AT718" s="25"/>
      <c r="AU718" s="30"/>
      <c r="AV718" s="31"/>
    </row>
    <row r="719" spans="8:48" ht="14.25" customHeight="1" x14ac:dyDescent="0.35">
      <c r="H719" s="15"/>
      <c r="K719" s="15"/>
      <c r="N719" s="15"/>
      <c r="Q719" s="13"/>
      <c r="R719" s="13"/>
      <c r="S719" s="13"/>
      <c r="T719" s="13"/>
      <c r="U719" s="13"/>
      <c r="X719" s="15"/>
      <c r="AF719" s="19"/>
      <c r="AJ719" s="35"/>
      <c r="AK719" s="36"/>
      <c r="AN719" s="25"/>
      <c r="AO719" s="26"/>
      <c r="AP719" s="40"/>
      <c r="AQ719" s="26"/>
      <c r="AR719" s="26"/>
      <c r="AS719" s="26"/>
      <c r="AT719" s="25"/>
      <c r="AU719" s="30"/>
      <c r="AV719" s="31"/>
    </row>
    <row r="720" spans="8:48" ht="14.25" customHeight="1" x14ac:dyDescent="0.35">
      <c r="H720" s="15"/>
      <c r="K720" s="15"/>
      <c r="N720" s="15"/>
      <c r="Q720" s="13"/>
      <c r="R720" s="13"/>
      <c r="S720" s="13"/>
      <c r="T720" s="13"/>
      <c r="U720" s="13"/>
      <c r="X720" s="15"/>
      <c r="AF720" s="19"/>
      <c r="AJ720" s="35"/>
      <c r="AK720" s="36"/>
      <c r="AN720" s="25"/>
      <c r="AO720" s="26"/>
      <c r="AP720" s="40"/>
      <c r="AQ720" s="26"/>
      <c r="AR720" s="26"/>
      <c r="AS720" s="26"/>
      <c r="AT720" s="25"/>
      <c r="AU720" s="30"/>
      <c r="AV720" s="31"/>
    </row>
    <row r="721" spans="8:48" ht="14.25" customHeight="1" x14ac:dyDescent="0.35">
      <c r="H721" s="15"/>
      <c r="K721" s="15"/>
      <c r="N721" s="15"/>
      <c r="Q721" s="13"/>
      <c r="R721" s="13"/>
      <c r="S721" s="13"/>
      <c r="T721" s="13"/>
      <c r="U721" s="13"/>
      <c r="X721" s="15"/>
      <c r="AF721" s="19"/>
      <c r="AJ721" s="35"/>
      <c r="AK721" s="36"/>
      <c r="AN721" s="25"/>
      <c r="AO721" s="26"/>
      <c r="AP721" s="40"/>
      <c r="AQ721" s="26"/>
      <c r="AR721" s="26"/>
      <c r="AS721" s="26"/>
      <c r="AT721" s="25"/>
      <c r="AU721" s="30"/>
      <c r="AV721" s="31"/>
    </row>
    <row r="722" spans="8:48" ht="14.25" customHeight="1" x14ac:dyDescent="0.35">
      <c r="H722" s="15"/>
      <c r="K722" s="15"/>
      <c r="N722" s="15"/>
      <c r="Q722" s="13"/>
      <c r="R722" s="13"/>
      <c r="S722" s="13"/>
      <c r="T722" s="13"/>
      <c r="U722" s="13"/>
      <c r="X722" s="15"/>
      <c r="AF722" s="19"/>
      <c r="AJ722" s="35"/>
      <c r="AK722" s="36"/>
      <c r="AN722" s="25"/>
      <c r="AO722" s="26"/>
      <c r="AP722" s="40"/>
      <c r="AQ722" s="26"/>
      <c r="AR722" s="26"/>
      <c r="AS722" s="26"/>
      <c r="AT722" s="25"/>
      <c r="AU722" s="30"/>
      <c r="AV722" s="31"/>
    </row>
    <row r="723" spans="8:48" ht="14.25" customHeight="1" x14ac:dyDescent="0.35">
      <c r="H723" s="15"/>
      <c r="K723" s="15"/>
      <c r="N723" s="15"/>
      <c r="Q723" s="13"/>
      <c r="R723" s="13"/>
      <c r="S723" s="13"/>
      <c r="T723" s="13"/>
      <c r="U723" s="13"/>
      <c r="X723" s="15"/>
      <c r="AF723" s="19"/>
      <c r="AJ723" s="35"/>
      <c r="AK723" s="36"/>
      <c r="AN723" s="25"/>
      <c r="AO723" s="26"/>
      <c r="AP723" s="40"/>
      <c r="AQ723" s="26"/>
      <c r="AR723" s="26"/>
      <c r="AS723" s="26"/>
      <c r="AT723" s="25"/>
      <c r="AU723" s="30"/>
      <c r="AV723" s="31"/>
    </row>
    <row r="724" spans="8:48" ht="14.25" customHeight="1" x14ac:dyDescent="0.35">
      <c r="H724" s="15"/>
      <c r="K724" s="15"/>
      <c r="N724" s="15"/>
      <c r="Q724" s="13"/>
      <c r="R724" s="13"/>
      <c r="S724" s="13"/>
      <c r="T724" s="13"/>
      <c r="U724" s="13"/>
      <c r="X724" s="15"/>
      <c r="AF724" s="19"/>
      <c r="AJ724" s="35"/>
      <c r="AK724" s="36"/>
      <c r="AN724" s="25"/>
      <c r="AO724" s="26"/>
      <c r="AP724" s="40"/>
      <c r="AQ724" s="26"/>
      <c r="AR724" s="26"/>
      <c r="AS724" s="26"/>
      <c r="AT724" s="25"/>
      <c r="AU724" s="30"/>
      <c r="AV724" s="31"/>
    </row>
    <row r="725" spans="8:48" ht="14.25" customHeight="1" x14ac:dyDescent="0.35">
      <c r="H725" s="15"/>
      <c r="K725" s="15"/>
      <c r="N725" s="15"/>
      <c r="Q725" s="13"/>
      <c r="R725" s="13"/>
      <c r="S725" s="13"/>
      <c r="T725" s="13"/>
      <c r="U725" s="13"/>
      <c r="X725" s="15"/>
      <c r="AF725" s="19"/>
      <c r="AJ725" s="35"/>
      <c r="AK725" s="36"/>
      <c r="AN725" s="25"/>
      <c r="AO725" s="26"/>
      <c r="AP725" s="40"/>
      <c r="AQ725" s="26"/>
      <c r="AR725" s="26"/>
      <c r="AS725" s="26"/>
      <c r="AT725" s="25"/>
      <c r="AU725" s="30"/>
      <c r="AV725" s="31"/>
    </row>
    <row r="726" spans="8:48" ht="14.25" customHeight="1" x14ac:dyDescent="0.35">
      <c r="H726" s="15"/>
      <c r="K726" s="15"/>
      <c r="N726" s="15"/>
      <c r="Q726" s="13"/>
      <c r="R726" s="13"/>
      <c r="S726" s="13"/>
      <c r="T726" s="13"/>
      <c r="U726" s="13"/>
      <c r="X726" s="15"/>
      <c r="AF726" s="19"/>
      <c r="AJ726" s="35"/>
      <c r="AK726" s="36"/>
      <c r="AN726" s="25"/>
      <c r="AO726" s="26"/>
      <c r="AP726" s="40"/>
      <c r="AQ726" s="26"/>
      <c r="AR726" s="26"/>
      <c r="AS726" s="26"/>
      <c r="AT726" s="25"/>
      <c r="AU726" s="30"/>
      <c r="AV726" s="31"/>
    </row>
    <row r="727" spans="8:48" ht="14.25" customHeight="1" x14ac:dyDescent="0.35">
      <c r="H727" s="15"/>
      <c r="K727" s="15"/>
      <c r="N727" s="15"/>
      <c r="Q727" s="13"/>
      <c r="R727" s="13"/>
      <c r="S727" s="13"/>
      <c r="T727" s="13"/>
      <c r="U727" s="13"/>
      <c r="X727" s="15"/>
      <c r="AF727" s="19"/>
      <c r="AJ727" s="35"/>
      <c r="AK727" s="36"/>
      <c r="AN727" s="25"/>
      <c r="AO727" s="26"/>
      <c r="AP727" s="40"/>
      <c r="AQ727" s="26"/>
      <c r="AR727" s="26"/>
      <c r="AS727" s="26"/>
      <c r="AT727" s="25"/>
      <c r="AU727" s="30"/>
      <c r="AV727" s="31"/>
    </row>
    <row r="728" spans="8:48" ht="14.25" customHeight="1" x14ac:dyDescent="0.35">
      <c r="H728" s="15"/>
      <c r="K728" s="15"/>
      <c r="N728" s="15"/>
      <c r="Q728" s="13"/>
      <c r="R728" s="13"/>
      <c r="S728" s="13"/>
      <c r="T728" s="13"/>
      <c r="U728" s="13"/>
      <c r="X728" s="15"/>
      <c r="AF728" s="19"/>
      <c r="AJ728" s="35"/>
      <c r="AK728" s="36"/>
      <c r="AN728" s="25"/>
      <c r="AO728" s="26"/>
      <c r="AP728" s="40"/>
      <c r="AQ728" s="26"/>
      <c r="AR728" s="26"/>
      <c r="AS728" s="26"/>
      <c r="AT728" s="25"/>
      <c r="AU728" s="30"/>
      <c r="AV728" s="31"/>
    </row>
    <row r="729" spans="8:48" ht="14.25" customHeight="1" x14ac:dyDescent="0.35">
      <c r="H729" s="15"/>
      <c r="K729" s="15"/>
      <c r="N729" s="15"/>
      <c r="Q729" s="13"/>
      <c r="R729" s="13"/>
      <c r="S729" s="13"/>
      <c r="T729" s="13"/>
      <c r="U729" s="13"/>
      <c r="X729" s="15"/>
      <c r="AF729" s="19"/>
      <c r="AJ729" s="35"/>
      <c r="AK729" s="36"/>
      <c r="AN729" s="25"/>
      <c r="AO729" s="26"/>
      <c r="AP729" s="40"/>
      <c r="AQ729" s="26"/>
      <c r="AR729" s="26"/>
      <c r="AS729" s="26"/>
      <c r="AT729" s="25"/>
      <c r="AU729" s="30"/>
      <c r="AV729" s="31"/>
    </row>
    <row r="730" spans="8:48" ht="14.25" customHeight="1" x14ac:dyDescent="0.35">
      <c r="H730" s="15"/>
      <c r="K730" s="15"/>
      <c r="N730" s="15"/>
      <c r="Q730" s="13"/>
      <c r="R730" s="13"/>
      <c r="S730" s="13"/>
      <c r="T730" s="13"/>
      <c r="U730" s="13"/>
      <c r="X730" s="15"/>
      <c r="AF730" s="19"/>
      <c r="AJ730" s="35"/>
      <c r="AK730" s="36"/>
      <c r="AN730" s="25"/>
      <c r="AO730" s="26"/>
      <c r="AP730" s="40"/>
      <c r="AQ730" s="26"/>
      <c r="AR730" s="26"/>
      <c r="AS730" s="26"/>
      <c r="AT730" s="25"/>
      <c r="AU730" s="30"/>
      <c r="AV730" s="31"/>
    </row>
    <row r="731" spans="8:48" ht="14.25" customHeight="1" x14ac:dyDescent="0.35">
      <c r="H731" s="15"/>
      <c r="K731" s="15"/>
      <c r="N731" s="15"/>
      <c r="Q731" s="13"/>
      <c r="R731" s="13"/>
      <c r="S731" s="13"/>
      <c r="T731" s="13"/>
      <c r="U731" s="13"/>
      <c r="X731" s="15"/>
      <c r="AF731" s="19"/>
      <c r="AJ731" s="35"/>
      <c r="AK731" s="36"/>
      <c r="AN731" s="25"/>
      <c r="AO731" s="26"/>
      <c r="AP731" s="40"/>
      <c r="AQ731" s="26"/>
      <c r="AR731" s="26"/>
      <c r="AS731" s="26"/>
      <c r="AT731" s="25"/>
      <c r="AU731" s="30"/>
      <c r="AV731" s="31"/>
    </row>
    <row r="732" spans="8:48" ht="14.25" customHeight="1" x14ac:dyDescent="0.35">
      <c r="H732" s="15"/>
      <c r="K732" s="15"/>
      <c r="N732" s="15"/>
      <c r="Q732" s="13"/>
      <c r="R732" s="13"/>
      <c r="S732" s="13"/>
      <c r="T732" s="13"/>
      <c r="U732" s="13"/>
      <c r="X732" s="15"/>
      <c r="AF732" s="19"/>
      <c r="AJ732" s="35"/>
      <c r="AK732" s="36"/>
      <c r="AN732" s="25"/>
      <c r="AO732" s="26"/>
      <c r="AP732" s="40"/>
      <c r="AQ732" s="26"/>
      <c r="AR732" s="26"/>
      <c r="AS732" s="26"/>
      <c r="AT732" s="25"/>
      <c r="AU732" s="30"/>
      <c r="AV732" s="31"/>
    </row>
    <row r="733" spans="8:48" ht="14.25" customHeight="1" x14ac:dyDescent="0.35">
      <c r="H733" s="15"/>
      <c r="K733" s="15"/>
      <c r="N733" s="15"/>
      <c r="Q733" s="13"/>
      <c r="R733" s="13"/>
      <c r="S733" s="13"/>
      <c r="T733" s="13"/>
      <c r="U733" s="13"/>
      <c r="X733" s="15"/>
      <c r="AF733" s="19"/>
      <c r="AJ733" s="35"/>
      <c r="AK733" s="36"/>
      <c r="AN733" s="25"/>
      <c r="AO733" s="26"/>
      <c r="AP733" s="40"/>
      <c r="AQ733" s="26"/>
      <c r="AR733" s="26"/>
      <c r="AS733" s="26"/>
      <c r="AT733" s="25"/>
      <c r="AU733" s="30"/>
      <c r="AV733" s="31"/>
    </row>
    <row r="734" spans="8:48" ht="14.25" customHeight="1" x14ac:dyDescent="0.35">
      <c r="H734" s="15"/>
      <c r="K734" s="15"/>
      <c r="N734" s="15"/>
      <c r="Q734" s="13"/>
      <c r="R734" s="13"/>
      <c r="S734" s="13"/>
      <c r="T734" s="13"/>
      <c r="U734" s="13"/>
      <c r="X734" s="15"/>
      <c r="AF734" s="19"/>
      <c r="AJ734" s="35"/>
      <c r="AK734" s="36"/>
      <c r="AN734" s="25"/>
      <c r="AO734" s="26"/>
      <c r="AP734" s="40"/>
      <c r="AQ734" s="26"/>
      <c r="AR734" s="26"/>
      <c r="AS734" s="26"/>
      <c r="AT734" s="25"/>
      <c r="AU734" s="30"/>
      <c r="AV734" s="31"/>
    </row>
    <row r="735" spans="8:48" ht="14.25" customHeight="1" x14ac:dyDescent="0.35">
      <c r="H735" s="15"/>
      <c r="K735" s="15"/>
      <c r="N735" s="15"/>
      <c r="Q735" s="13"/>
      <c r="R735" s="13"/>
      <c r="S735" s="13"/>
      <c r="T735" s="13"/>
      <c r="U735" s="13"/>
      <c r="X735" s="15"/>
      <c r="AF735" s="19"/>
      <c r="AJ735" s="35"/>
      <c r="AK735" s="36"/>
      <c r="AN735" s="25"/>
      <c r="AO735" s="26"/>
      <c r="AP735" s="40"/>
      <c r="AQ735" s="26"/>
      <c r="AR735" s="26"/>
      <c r="AS735" s="26"/>
      <c r="AT735" s="25"/>
      <c r="AU735" s="30"/>
      <c r="AV735" s="31"/>
    </row>
    <row r="736" spans="8:48" ht="14.25" customHeight="1" x14ac:dyDescent="0.35">
      <c r="H736" s="15"/>
      <c r="K736" s="15"/>
      <c r="N736" s="15"/>
      <c r="Q736" s="13"/>
      <c r="R736" s="13"/>
      <c r="S736" s="13"/>
      <c r="T736" s="13"/>
      <c r="U736" s="13"/>
      <c r="X736" s="15"/>
      <c r="AF736" s="19"/>
      <c r="AJ736" s="35"/>
      <c r="AK736" s="36"/>
      <c r="AN736" s="25"/>
      <c r="AO736" s="26"/>
      <c r="AP736" s="40"/>
      <c r="AQ736" s="26"/>
      <c r="AR736" s="26"/>
      <c r="AS736" s="26"/>
      <c r="AT736" s="25"/>
      <c r="AU736" s="30"/>
      <c r="AV736" s="31"/>
    </row>
    <row r="737" spans="8:48" ht="14.25" customHeight="1" x14ac:dyDescent="0.35">
      <c r="H737" s="15"/>
      <c r="K737" s="15"/>
      <c r="N737" s="15"/>
      <c r="Q737" s="13"/>
      <c r="R737" s="13"/>
      <c r="S737" s="13"/>
      <c r="T737" s="13"/>
      <c r="U737" s="13"/>
      <c r="X737" s="15"/>
      <c r="AF737" s="19"/>
      <c r="AJ737" s="35"/>
      <c r="AK737" s="36"/>
      <c r="AN737" s="25"/>
      <c r="AO737" s="26"/>
      <c r="AP737" s="40"/>
      <c r="AQ737" s="26"/>
      <c r="AR737" s="26"/>
      <c r="AS737" s="26"/>
      <c r="AT737" s="25"/>
      <c r="AU737" s="30"/>
      <c r="AV737" s="31"/>
    </row>
    <row r="738" spans="8:48" ht="14.25" customHeight="1" x14ac:dyDescent="0.35">
      <c r="H738" s="15"/>
      <c r="K738" s="15"/>
      <c r="N738" s="15"/>
      <c r="Q738" s="13"/>
      <c r="R738" s="13"/>
      <c r="S738" s="13"/>
      <c r="T738" s="13"/>
      <c r="U738" s="13"/>
      <c r="X738" s="15"/>
      <c r="AF738" s="19"/>
      <c r="AJ738" s="35"/>
      <c r="AK738" s="36"/>
      <c r="AN738" s="25"/>
      <c r="AO738" s="26"/>
      <c r="AP738" s="40"/>
      <c r="AQ738" s="26"/>
      <c r="AR738" s="26"/>
      <c r="AS738" s="26"/>
      <c r="AT738" s="25"/>
      <c r="AU738" s="30"/>
      <c r="AV738" s="31"/>
    </row>
    <row r="739" spans="8:48" ht="14.25" customHeight="1" x14ac:dyDescent="0.35">
      <c r="H739" s="15"/>
      <c r="K739" s="15"/>
      <c r="N739" s="15"/>
      <c r="Q739" s="13"/>
      <c r="R739" s="13"/>
      <c r="S739" s="13"/>
      <c r="T739" s="13"/>
      <c r="U739" s="13"/>
      <c r="X739" s="15"/>
      <c r="AF739" s="19"/>
      <c r="AJ739" s="35"/>
      <c r="AK739" s="36"/>
      <c r="AN739" s="25"/>
      <c r="AO739" s="26"/>
      <c r="AP739" s="40"/>
      <c r="AQ739" s="26"/>
      <c r="AR739" s="26"/>
      <c r="AS739" s="26"/>
      <c r="AT739" s="25"/>
      <c r="AU739" s="30"/>
      <c r="AV739" s="31"/>
    </row>
    <row r="740" spans="8:48" ht="14.25" customHeight="1" x14ac:dyDescent="0.35">
      <c r="H740" s="15"/>
      <c r="K740" s="15"/>
      <c r="N740" s="15"/>
      <c r="Q740" s="13"/>
      <c r="R740" s="13"/>
      <c r="S740" s="13"/>
      <c r="T740" s="13"/>
      <c r="U740" s="13"/>
      <c r="X740" s="15"/>
      <c r="AF740" s="19"/>
      <c r="AJ740" s="35"/>
      <c r="AK740" s="36"/>
      <c r="AN740" s="25"/>
      <c r="AO740" s="26"/>
      <c r="AP740" s="40"/>
      <c r="AQ740" s="26"/>
      <c r="AR740" s="26"/>
      <c r="AS740" s="26"/>
      <c r="AT740" s="25"/>
      <c r="AU740" s="30"/>
      <c r="AV740" s="31"/>
    </row>
    <row r="741" spans="8:48" ht="14.25" customHeight="1" x14ac:dyDescent="0.35">
      <c r="H741" s="15"/>
      <c r="K741" s="15"/>
      <c r="N741" s="15"/>
      <c r="Q741" s="13"/>
      <c r="R741" s="13"/>
      <c r="S741" s="13"/>
      <c r="T741" s="13"/>
      <c r="U741" s="13"/>
      <c r="X741" s="15"/>
      <c r="AF741" s="19"/>
      <c r="AJ741" s="35"/>
      <c r="AK741" s="36"/>
      <c r="AN741" s="25"/>
      <c r="AO741" s="26"/>
      <c r="AP741" s="40"/>
      <c r="AQ741" s="26"/>
      <c r="AR741" s="26"/>
      <c r="AS741" s="26"/>
      <c r="AT741" s="25"/>
      <c r="AU741" s="30"/>
      <c r="AV741" s="31"/>
    </row>
    <row r="742" spans="8:48" ht="14.25" customHeight="1" x14ac:dyDescent="0.35">
      <c r="H742" s="15"/>
      <c r="K742" s="15"/>
      <c r="N742" s="15"/>
      <c r="Q742" s="13"/>
      <c r="R742" s="13"/>
      <c r="S742" s="13"/>
      <c r="T742" s="13"/>
      <c r="U742" s="13"/>
      <c r="X742" s="15"/>
      <c r="AF742" s="19"/>
      <c r="AJ742" s="35"/>
      <c r="AK742" s="36"/>
      <c r="AN742" s="25"/>
      <c r="AO742" s="26"/>
      <c r="AP742" s="40"/>
      <c r="AQ742" s="26"/>
      <c r="AR742" s="26"/>
      <c r="AS742" s="26"/>
      <c r="AT742" s="25"/>
      <c r="AU742" s="30"/>
      <c r="AV742" s="31"/>
    </row>
    <row r="743" spans="8:48" ht="14.25" customHeight="1" x14ac:dyDescent="0.35">
      <c r="H743" s="15"/>
      <c r="K743" s="15"/>
      <c r="N743" s="15"/>
      <c r="Q743" s="13"/>
      <c r="R743" s="13"/>
      <c r="S743" s="13"/>
      <c r="T743" s="13"/>
      <c r="U743" s="13"/>
      <c r="X743" s="15"/>
      <c r="AF743" s="19"/>
      <c r="AJ743" s="35"/>
      <c r="AK743" s="36"/>
      <c r="AN743" s="25"/>
      <c r="AO743" s="26"/>
      <c r="AP743" s="40"/>
      <c r="AQ743" s="26"/>
      <c r="AR743" s="26"/>
      <c r="AS743" s="26"/>
      <c r="AT743" s="25"/>
      <c r="AU743" s="30"/>
      <c r="AV743" s="31"/>
    </row>
    <row r="744" spans="8:48" ht="14.25" customHeight="1" x14ac:dyDescent="0.35">
      <c r="H744" s="15"/>
      <c r="K744" s="15"/>
      <c r="N744" s="15"/>
      <c r="Q744" s="13"/>
      <c r="R744" s="13"/>
      <c r="S744" s="13"/>
      <c r="T744" s="13"/>
      <c r="U744" s="13"/>
      <c r="X744" s="15"/>
      <c r="AF744" s="19"/>
      <c r="AJ744" s="35"/>
      <c r="AK744" s="36"/>
      <c r="AN744" s="25"/>
      <c r="AO744" s="26"/>
      <c r="AP744" s="40"/>
      <c r="AQ744" s="26"/>
      <c r="AR744" s="26"/>
      <c r="AS744" s="26"/>
      <c r="AT744" s="25"/>
      <c r="AU744" s="30"/>
      <c r="AV744" s="31"/>
    </row>
    <row r="745" spans="8:48" ht="14.25" customHeight="1" x14ac:dyDescent="0.35">
      <c r="H745" s="15"/>
      <c r="K745" s="15"/>
      <c r="N745" s="15"/>
      <c r="Q745" s="13"/>
      <c r="R745" s="13"/>
      <c r="S745" s="13"/>
      <c r="T745" s="13"/>
      <c r="U745" s="13"/>
      <c r="X745" s="15"/>
      <c r="AF745" s="19"/>
      <c r="AJ745" s="35"/>
      <c r="AK745" s="36"/>
      <c r="AN745" s="25"/>
      <c r="AO745" s="26"/>
      <c r="AP745" s="40"/>
      <c r="AQ745" s="26"/>
      <c r="AR745" s="26"/>
      <c r="AS745" s="26"/>
      <c r="AT745" s="25"/>
      <c r="AU745" s="30"/>
      <c r="AV745" s="31"/>
    </row>
    <row r="746" spans="8:48" ht="14.25" customHeight="1" x14ac:dyDescent="0.35">
      <c r="H746" s="15"/>
      <c r="K746" s="15"/>
      <c r="N746" s="15"/>
      <c r="Q746" s="13"/>
      <c r="R746" s="13"/>
      <c r="S746" s="13"/>
      <c r="T746" s="13"/>
      <c r="U746" s="13"/>
      <c r="X746" s="15"/>
      <c r="AF746" s="19"/>
      <c r="AJ746" s="35"/>
      <c r="AK746" s="36"/>
      <c r="AN746" s="25"/>
      <c r="AO746" s="26"/>
      <c r="AP746" s="40"/>
      <c r="AQ746" s="26"/>
      <c r="AR746" s="26"/>
      <c r="AS746" s="26"/>
      <c r="AT746" s="25"/>
      <c r="AU746" s="30"/>
      <c r="AV746" s="31"/>
    </row>
    <row r="747" spans="8:48" ht="14.25" customHeight="1" x14ac:dyDescent="0.35">
      <c r="H747" s="15"/>
      <c r="K747" s="15"/>
      <c r="N747" s="15"/>
      <c r="Q747" s="13"/>
      <c r="R747" s="13"/>
      <c r="S747" s="13"/>
      <c r="T747" s="13"/>
      <c r="U747" s="13"/>
      <c r="X747" s="15"/>
      <c r="AF747" s="19"/>
      <c r="AJ747" s="35"/>
      <c r="AK747" s="36"/>
      <c r="AN747" s="25"/>
      <c r="AO747" s="26"/>
      <c r="AP747" s="40"/>
      <c r="AQ747" s="26"/>
      <c r="AR747" s="26"/>
      <c r="AS747" s="26"/>
      <c r="AT747" s="25"/>
      <c r="AU747" s="30"/>
      <c r="AV747" s="31"/>
    </row>
    <row r="748" spans="8:48" ht="14.25" customHeight="1" x14ac:dyDescent="0.35">
      <c r="H748" s="15"/>
      <c r="K748" s="15"/>
      <c r="N748" s="15"/>
      <c r="Q748" s="13"/>
      <c r="R748" s="13"/>
      <c r="S748" s="13"/>
      <c r="T748" s="13"/>
      <c r="U748" s="13"/>
      <c r="X748" s="15"/>
      <c r="AF748" s="19"/>
      <c r="AJ748" s="35"/>
      <c r="AK748" s="36"/>
      <c r="AN748" s="25"/>
      <c r="AO748" s="26"/>
      <c r="AP748" s="40"/>
      <c r="AQ748" s="26"/>
      <c r="AR748" s="26"/>
      <c r="AS748" s="26"/>
      <c r="AT748" s="25"/>
      <c r="AU748" s="30"/>
      <c r="AV748" s="31"/>
    </row>
    <row r="749" spans="8:48" ht="14.25" customHeight="1" x14ac:dyDescent="0.35">
      <c r="H749" s="15"/>
      <c r="K749" s="15"/>
      <c r="N749" s="15"/>
      <c r="Q749" s="13"/>
      <c r="R749" s="13"/>
      <c r="S749" s="13"/>
      <c r="T749" s="13"/>
      <c r="U749" s="13"/>
      <c r="X749" s="15"/>
      <c r="AF749" s="19"/>
      <c r="AJ749" s="35"/>
      <c r="AK749" s="36"/>
      <c r="AN749" s="25"/>
      <c r="AO749" s="26"/>
      <c r="AP749" s="40"/>
      <c r="AQ749" s="26"/>
      <c r="AR749" s="26"/>
      <c r="AS749" s="26"/>
      <c r="AT749" s="25"/>
      <c r="AU749" s="30"/>
      <c r="AV749" s="31"/>
    </row>
    <row r="750" spans="8:48" ht="14.25" customHeight="1" x14ac:dyDescent="0.35">
      <c r="H750" s="15"/>
      <c r="K750" s="15"/>
      <c r="N750" s="15"/>
      <c r="Q750" s="13"/>
      <c r="R750" s="13"/>
      <c r="S750" s="13"/>
      <c r="T750" s="13"/>
      <c r="U750" s="13"/>
      <c r="X750" s="15"/>
      <c r="AF750" s="19"/>
      <c r="AJ750" s="35"/>
      <c r="AK750" s="36"/>
      <c r="AN750" s="25"/>
      <c r="AO750" s="26"/>
      <c r="AP750" s="40"/>
      <c r="AQ750" s="26"/>
      <c r="AR750" s="26"/>
      <c r="AS750" s="26"/>
      <c r="AT750" s="25"/>
      <c r="AU750" s="30"/>
      <c r="AV750" s="31"/>
    </row>
    <row r="751" spans="8:48" ht="14.25" customHeight="1" x14ac:dyDescent="0.35">
      <c r="H751" s="15"/>
      <c r="K751" s="15"/>
      <c r="N751" s="15"/>
      <c r="Q751" s="13"/>
      <c r="R751" s="13"/>
      <c r="S751" s="13"/>
      <c r="T751" s="13"/>
      <c r="U751" s="13"/>
      <c r="X751" s="15"/>
      <c r="AF751" s="19"/>
      <c r="AJ751" s="35"/>
      <c r="AK751" s="36"/>
      <c r="AN751" s="25"/>
      <c r="AO751" s="26"/>
      <c r="AP751" s="40"/>
      <c r="AQ751" s="26"/>
      <c r="AR751" s="26"/>
      <c r="AS751" s="26"/>
      <c r="AT751" s="25"/>
      <c r="AU751" s="30"/>
      <c r="AV751" s="31"/>
    </row>
    <row r="752" spans="8:48" ht="14.25" customHeight="1" x14ac:dyDescent="0.35">
      <c r="H752" s="15"/>
      <c r="K752" s="15"/>
      <c r="N752" s="15"/>
      <c r="Q752" s="13"/>
      <c r="R752" s="13"/>
      <c r="S752" s="13"/>
      <c r="T752" s="13"/>
      <c r="U752" s="13"/>
      <c r="X752" s="15"/>
      <c r="AF752" s="19"/>
      <c r="AJ752" s="35"/>
      <c r="AK752" s="36"/>
      <c r="AN752" s="25"/>
      <c r="AO752" s="26"/>
      <c r="AP752" s="40"/>
      <c r="AQ752" s="26"/>
      <c r="AR752" s="26"/>
      <c r="AS752" s="26"/>
      <c r="AT752" s="25"/>
      <c r="AU752" s="30"/>
      <c r="AV752" s="31"/>
    </row>
    <row r="753" spans="8:48" ht="14.25" customHeight="1" x14ac:dyDescent="0.35">
      <c r="H753" s="15"/>
      <c r="K753" s="15"/>
      <c r="N753" s="15"/>
      <c r="Q753" s="13"/>
      <c r="R753" s="13"/>
      <c r="S753" s="13"/>
      <c r="T753" s="13"/>
      <c r="U753" s="13"/>
      <c r="X753" s="15"/>
      <c r="AF753" s="19"/>
      <c r="AJ753" s="35"/>
      <c r="AK753" s="36"/>
      <c r="AN753" s="25"/>
      <c r="AO753" s="26"/>
      <c r="AP753" s="40"/>
      <c r="AQ753" s="26"/>
      <c r="AR753" s="26"/>
      <c r="AS753" s="26"/>
      <c r="AT753" s="25"/>
      <c r="AU753" s="30"/>
      <c r="AV753" s="31"/>
    </row>
    <row r="754" spans="8:48" ht="14.25" customHeight="1" x14ac:dyDescent="0.35">
      <c r="H754" s="15"/>
      <c r="K754" s="15"/>
      <c r="N754" s="15"/>
      <c r="Q754" s="13"/>
      <c r="R754" s="13"/>
      <c r="S754" s="13"/>
      <c r="T754" s="13"/>
      <c r="U754" s="13"/>
      <c r="X754" s="15"/>
      <c r="AF754" s="19"/>
      <c r="AJ754" s="35"/>
      <c r="AK754" s="36"/>
      <c r="AN754" s="25"/>
      <c r="AO754" s="26"/>
      <c r="AP754" s="40"/>
      <c r="AQ754" s="26"/>
      <c r="AR754" s="26"/>
      <c r="AS754" s="26"/>
      <c r="AT754" s="25"/>
      <c r="AU754" s="30"/>
      <c r="AV754" s="31"/>
    </row>
    <row r="755" spans="8:48" ht="14.25" customHeight="1" x14ac:dyDescent="0.35">
      <c r="H755" s="15"/>
      <c r="K755" s="15"/>
      <c r="N755" s="15"/>
      <c r="Q755" s="13"/>
      <c r="R755" s="13"/>
      <c r="S755" s="13"/>
      <c r="T755" s="13"/>
      <c r="U755" s="13"/>
      <c r="X755" s="15"/>
      <c r="AF755" s="19"/>
      <c r="AJ755" s="35"/>
      <c r="AK755" s="36"/>
      <c r="AN755" s="25"/>
      <c r="AO755" s="26"/>
      <c r="AP755" s="40"/>
      <c r="AQ755" s="26"/>
      <c r="AR755" s="26"/>
      <c r="AS755" s="26"/>
      <c r="AT755" s="25"/>
      <c r="AU755" s="30"/>
      <c r="AV755" s="31"/>
    </row>
    <row r="756" spans="8:48" ht="14.25" customHeight="1" x14ac:dyDescent="0.35">
      <c r="H756" s="15"/>
      <c r="K756" s="15"/>
      <c r="N756" s="15"/>
      <c r="Q756" s="13"/>
      <c r="R756" s="13"/>
      <c r="S756" s="13"/>
      <c r="T756" s="13"/>
      <c r="U756" s="13"/>
      <c r="X756" s="15"/>
      <c r="AF756" s="19"/>
      <c r="AJ756" s="35"/>
      <c r="AK756" s="36"/>
      <c r="AN756" s="25"/>
      <c r="AO756" s="26"/>
      <c r="AP756" s="40"/>
      <c r="AQ756" s="26"/>
      <c r="AR756" s="26"/>
      <c r="AS756" s="26"/>
      <c r="AT756" s="25"/>
      <c r="AU756" s="30"/>
      <c r="AV756" s="31"/>
    </row>
    <row r="757" spans="8:48" ht="14.25" customHeight="1" x14ac:dyDescent="0.35">
      <c r="H757" s="15"/>
      <c r="K757" s="15"/>
      <c r="N757" s="15"/>
      <c r="Q757" s="13"/>
      <c r="R757" s="13"/>
      <c r="S757" s="13"/>
      <c r="T757" s="13"/>
      <c r="U757" s="13"/>
      <c r="X757" s="15"/>
      <c r="AF757" s="19"/>
      <c r="AJ757" s="35"/>
      <c r="AK757" s="36"/>
      <c r="AN757" s="25"/>
      <c r="AO757" s="26"/>
      <c r="AP757" s="40"/>
      <c r="AQ757" s="26"/>
      <c r="AR757" s="26"/>
      <c r="AS757" s="26"/>
      <c r="AT757" s="25"/>
      <c r="AU757" s="30"/>
      <c r="AV757" s="31"/>
    </row>
    <row r="758" spans="8:48" ht="14.25" customHeight="1" x14ac:dyDescent="0.35">
      <c r="H758" s="15"/>
      <c r="K758" s="15"/>
      <c r="N758" s="15"/>
      <c r="Q758" s="13"/>
      <c r="R758" s="13"/>
      <c r="S758" s="13"/>
      <c r="T758" s="13"/>
      <c r="U758" s="13"/>
      <c r="X758" s="15"/>
      <c r="AF758" s="19"/>
      <c r="AJ758" s="35"/>
      <c r="AK758" s="36"/>
      <c r="AN758" s="25"/>
      <c r="AO758" s="26"/>
      <c r="AP758" s="40"/>
      <c r="AQ758" s="26"/>
      <c r="AR758" s="26"/>
      <c r="AS758" s="26"/>
      <c r="AT758" s="25"/>
      <c r="AU758" s="30"/>
      <c r="AV758" s="31"/>
    </row>
    <row r="759" spans="8:48" ht="14.25" customHeight="1" x14ac:dyDescent="0.35">
      <c r="H759" s="15"/>
      <c r="K759" s="15"/>
      <c r="N759" s="15"/>
      <c r="Q759" s="13"/>
      <c r="R759" s="13"/>
      <c r="S759" s="13"/>
      <c r="T759" s="13"/>
      <c r="U759" s="13"/>
      <c r="X759" s="15"/>
      <c r="AF759" s="19"/>
      <c r="AJ759" s="35"/>
      <c r="AK759" s="36"/>
      <c r="AN759" s="25"/>
      <c r="AO759" s="26"/>
      <c r="AP759" s="40"/>
      <c r="AQ759" s="26"/>
      <c r="AR759" s="26"/>
      <c r="AS759" s="26"/>
      <c r="AT759" s="25"/>
      <c r="AU759" s="30"/>
      <c r="AV759" s="31"/>
    </row>
    <row r="760" spans="8:48" ht="14.25" customHeight="1" x14ac:dyDescent="0.35">
      <c r="H760" s="15"/>
      <c r="K760" s="15"/>
      <c r="N760" s="15"/>
      <c r="Q760" s="13"/>
      <c r="R760" s="13"/>
      <c r="S760" s="13"/>
      <c r="T760" s="13"/>
      <c r="U760" s="13"/>
      <c r="X760" s="15"/>
      <c r="AF760" s="19"/>
      <c r="AJ760" s="35"/>
      <c r="AK760" s="36"/>
      <c r="AN760" s="25"/>
      <c r="AO760" s="26"/>
      <c r="AP760" s="40"/>
      <c r="AQ760" s="26"/>
      <c r="AR760" s="26"/>
      <c r="AS760" s="26"/>
      <c r="AT760" s="25"/>
      <c r="AU760" s="30"/>
      <c r="AV760" s="31"/>
    </row>
    <row r="761" spans="8:48" ht="14.25" customHeight="1" x14ac:dyDescent="0.35">
      <c r="H761" s="15"/>
      <c r="K761" s="15"/>
      <c r="N761" s="15"/>
      <c r="Q761" s="13"/>
      <c r="R761" s="13"/>
      <c r="S761" s="13"/>
      <c r="T761" s="13"/>
      <c r="U761" s="13"/>
      <c r="X761" s="15"/>
      <c r="AF761" s="19"/>
      <c r="AJ761" s="35"/>
      <c r="AK761" s="36"/>
      <c r="AN761" s="25"/>
      <c r="AO761" s="26"/>
      <c r="AP761" s="40"/>
      <c r="AQ761" s="26"/>
      <c r="AR761" s="26"/>
      <c r="AS761" s="26"/>
      <c r="AT761" s="25"/>
      <c r="AU761" s="30"/>
      <c r="AV761" s="31"/>
    </row>
    <row r="762" spans="8:48" ht="14.25" customHeight="1" x14ac:dyDescent="0.35">
      <c r="H762" s="15"/>
      <c r="K762" s="15"/>
      <c r="N762" s="15"/>
      <c r="Q762" s="13"/>
      <c r="R762" s="13"/>
      <c r="S762" s="13"/>
      <c r="T762" s="13"/>
      <c r="U762" s="13"/>
      <c r="X762" s="15"/>
      <c r="AF762" s="19"/>
      <c r="AJ762" s="35"/>
      <c r="AK762" s="36"/>
      <c r="AN762" s="25"/>
      <c r="AO762" s="26"/>
      <c r="AP762" s="40"/>
      <c r="AQ762" s="26"/>
      <c r="AR762" s="26"/>
      <c r="AS762" s="26"/>
      <c r="AT762" s="25"/>
      <c r="AU762" s="30"/>
      <c r="AV762" s="31"/>
    </row>
    <row r="763" spans="8:48" ht="14.25" customHeight="1" x14ac:dyDescent="0.35">
      <c r="H763" s="15"/>
      <c r="K763" s="15"/>
      <c r="N763" s="15"/>
      <c r="Q763" s="13"/>
      <c r="R763" s="13"/>
      <c r="S763" s="13"/>
      <c r="T763" s="13"/>
      <c r="U763" s="13"/>
      <c r="X763" s="15"/>
      <c r="AF763" s="19"/>
      <c r="AJ763" s="35"/>
      <c r="AK763" s="36"/>
      <c r="AN763" s="25"/>
      <c r="AO763" s="26"/>
      <c r="AP763" s="40"/>
      <c r="AQ763" s="26"/>
      <c r="AR763" s="26"/>
      <c r="AS763" s="26"/>
      <c r="AT763" s="25"/>
      <c r="AU763" s="30"/>
      <c r="AV763" s="31"/>
    </row>
    <row r="764" spans="8:48" ht="14.25" customHeight="1" x14ac:dyDescent="0.35">
      <c r="H764" s="15"/>
      <c r="K764" s="15"/>
      <c r="N764" s="15"/>
      <c r="Q764" s="13"/>
      <c r="R764" s="13"/>
      <c r="S764" s="13"/>
      <c r="T764" s="13"/>
      <c r="U764" s="13"/>
      <c r="X764" s="15"/>
      <c r="AF764" s="19"/>
      <c r="AJ764" s="35"/>
      <c r="AK764" s="36"/>
      <c r="AN764" s="25"/>
      <c r="AO764" s="26"/>
      <c r="AP764" s="40"/>
      <c r="AQ764" s="26"/>
      <c r="AR764" s="26"/>
      <c r="AS764" s="26"/>
      <c r="AT764" s="25"/>
      <c r="AU764" s="30"/>
      <c r="AV764" s="31"/>
    </row>
    <row r="765" spans="8:48" ht="14.25" customHeight="1" x14ac:dyDescent="0.35">
      <c r="H765" s="15"/>
      <c r="K765" s="15"/>
      <c r="N765" s="15"/>
      <c r="Q765" s="13"/>
      <c r="R765" s="13"/>
      <c r="S765" s="13"/>
      <c r="T765" s="13"/>
      <c r="U765" s="13"/>
      <c r="X765" s="15"/>
      <c r="AF765" s="19"/>
      <c r="AJ765" s="35"/>
      <c r="AK765" s="36"/>
      <c r="AN765" s="25"/>
      <c r="AO765" s="26"/>
      <c r="AP765" s="40"/>
      <c r="AQ765" s="26"/>
      <c r="AR765" s="26"/>
      <c r="AS765" s="26"/>
      <c r="AT765" s="25"/>
      <c r="AU765" s="30"/>
      <c r="AV765" s="31"/>
    </row>
    <row r="766" spans="8:48" ht="14.25" customHeight="1" x14ac:dyDescent="0.35">
      <c r="H766" s="15"/>
      <c r="K766" s="15"/>
      <c r="N766" s="15"/>
      <c r="Q766" s="13"/>
      <c r="R766" s="13"/>
      <c r="S766" s="13"/>
      <c r="T766" s="13"/>
      <c r="U766" s="13"/>
      <c r="X766" s="15"/>
      <c r="AF766" s="19"/>
      <c r="AJ766" s="35"/>
      <c r="AK766" s="36"/>
      <c r="AN766" s="25"/>
      <c r="AO766" s="26"/>
      <c r="AP766" s="40"/>
      <c r="AQ766" s="26"/>
      <c r="AR766" s="26"/>
      <c r="AS766" s="26"/>
      <c r="AT766" s="25"/>
      <c r="AU766" s="30"/>
      <c r="AV766" s="31"/>
    </row>
    <row r="767" spans="8:48" ht="14.25" customHeight="1" x14ac:dyDescent="0.35">
      <c r="H767" s="15"/>
      <c r="K767" s="15"/>
      <c r="N767" s="15"/>
      <c r="Q767" s="13"/>
      <c r="R767" s="13"/>
      <c r="S767" s="13"/>
      <c r="T767" s="13"/>
      <c r="U767" s="13"/>
      <c r="X767" s="15"/>
      <c r="AF767" s="19"/>
      <c r="AJ767" s="35"/>
      <c r="AK767" s="36"/>
      <c r="AN767" s="25"/>
      <c r="AO767" s="26"/>
      <c r="AP767" s="40"/>
      <c r="AQ767" s="26"/>
      <c r="AR767" s="26"/>
      <c r="AS767" s="26"/>
      <c r="AT767" s="25"/>
      <c r="AU767" s="30"/>
      <c r="AV767" s="31"/>
    </row>
    <row r="768" spans="8:48" ht="14.25" customHeight="1" x14ac:dyDescent="0.35">
      <c r="H768" s="15"/>
      <c r="K768" s="15"/>
      <c r="N768" s="15"/>
      <c r="Q768" s="13"/>
      <c r="R768" s="13"/>
      <c r="S768" s="13"/>
      <c r="T768" s="13"/>
      <c r="U768" s="13"/>
      <c r="X768" s="15"/>
      <c r="AF768" s="19"/>
      <c r="AJ768" s="35"/>
      <c r="AK768" s="36"/>
      <c r="AN768" s="25"/>
      <c r="AO768" s="26"/>
      <c r="AP768" s="40"/>
      <c r="AQ768" s="26"/>
      <c r="AR768" s="26"/>
      <c r="AS768" s="26"/>
      <c r="AT768" s="25"/>
      <c r="AU768" s="30"/>
      <c r="AV768" s="31"/>
    </row>
    <row r="769" spans="8:48" ht="14.25" customHeight="1" x14ac:dyDescent="0.35">
      <c r="H769" s="15"/>
      <c r="K769" s="15"/>
      <c r="N769" s="15"/>
      <c r="Q769" s="13"/>
      <c r="R769" s="13"/>
      <c r="S769" s="13"/>
      <c r="T769" s="13"/>
      <c r="U769" s="13"/>
      <c r="X769" s="15"/>
      <c r="AF769" s="19"/>
      <c r="AJ769" s="35"/>
      <c r="AK769" s="36"/>
      <c r="AN769" s="25"/>
      <c r="AO769" s="26"/>
      <c r="AP769" s="40"/>
      <c r="AQ769" s="26"/>
      <c r="AR769" s="26"/>
      <c r="AS769" s="26"/>
      <c r="AT769" s="25"/>
      <c r="AU769" s="30"/>
      <c r="AV769" s="31"/>
    </row>
    <row r="770" spans="8:48" ht="14.25" customHeight="1" x14ac:dyDescent="0.35">
      <c r="H770" s="15"/>
      <c r="K770" s="15"/>
      <c r="N770" s="15"/>
      <c r="Q770" s="13"/>
      <c r="R770" s="13"/>
      <c r="S770" s="13"/>
      <c r="T770" s="13"/>
      <c r="U770" s="13"/>
      <c r="X770" s="15"/>
      <c r="AF770" s="19"/>
      <c r="AJ770" s="35"/>
      <c r="AK770" s="36"/>
      <c r="AN770" s="25"/>
      <c r="AO770" s="26"/>
      <c r="AP770" s="40"/>
      <c r="AQ770" s="26"/>
      <c r="AR770" s="26"/>
      <c r="AS770" s="26"/>
      <c r="AT770" s="25"/>
      <c r="AU770" s="30"/>
      <c r="AV770" s="31"/>
    </row>
    <row r="771" spans="8:48" ht="14.25" customHeight="1" x14ac:dyDescent="0.35">
      <c r="H771" s="15"/>
      <c r="K771" s="15"/>
      <c r="N771" s="15"/>
      <c r="Q771" s="13"/>
      <c r="R771" s="13"/>
      <c r="S771" s="13"/>
      <c r="T771" s="13"/>
      <c r="U771" s="13"/>
      <c r="X771" s="15"/>
      <c r="AF771" s="19"/>
      <c r="AJ771" s="35"/>
      <c r="AK771" s="36"/>
      <c r="AN771" s="25"/>
      <c r="AO771" s="26"/>
      <c r="AP771" s="40"/>
      <c r="AQ771" s="26"/>
      <c r="AR771" s="26"/>
      <c r="AS771" s="26"/>
      <c r="AT771" s="25"/>
      <c r="AU771" s="30"/>
      <c r="AV771" s="31"/>
    </row>
    <row r="772" spans="8:48" ht="14.25" customHeight="1" x14ac:dyDescent="0.35">
      <c r="H772" s="15"/>
      <c r="K772" s="15"/>
      <c r="N772" s="15"/>
      <c r="Q772" s="13"/>
      <c r="R772" s="13"/>
      <c r="S772" s="13"/>
      <c r="T772" s="13"/>
      <c r="U772" s="13"/>
      <c r="X772" s="15"/>
      <c r="AF772" s="19"/>
      <c r="AJ772" s="35"/>
      <c r="AK772" s="36"/>
      <c r="AN772" s="25"/>
      <c r="AO772" s="26"/>
      <c r="AP772" s="40"/>
      <c r="AQ772" s="26"/>
      <c r="AR772" s="26"/>
      <c r="AS772" s="26"/>
      <c r="AT772" s="25"/>
      <c r="AU772" s="30"/>
      <c r="AV772" s="31"/>
    </row>
    <row r="773" spans="8:48" ht="14.25" customHeight="1" x14ac:dyDescent="0.35">
      <c r="H773" s="15"/>
      <c r="K773" s="15"/>
      <c r="N773" s="15"/>
      <c r="Q773" s="13"/>
      <c r="R773" s="13"/>
      <c r="S773" s="13"/>
      <c r="T773" s="13"/>
      <c r="U773" s="13"/>
      <c r="X773" s="15"/>
      <c r="AF773" s="19"/>
      <c r="AJ773" s="35"/>
      <c r="AK773" s="36"/>
      <c r="AN773" s="25"/>
      <c r="AO773" s="26"/>
      <c r="AP773" s="40"/>
      <c r="AQ773" s="26"/>
      <c r="AR773" s="26"/>
      <c r="AS773" s="26"/>
      <c r="AT773" s="25"/>
      <c r="AU773" s="30"/>
      <c r="AV773" s="31"/>
    </row>
    <row r="774" spans="8:48" ht="14.25" customHeight="1" x14ac:dyDescent="0.35">
      <c r="H774" s="15"/>
      <c r="K774" s="15"/>
      <c r="N774" s="15"/>
      <c r="Q774" s="13"/>
      <c r="R774" s="13"/>
      <c r="S774" s="13"/>
      <c r="T774" s="13"/>
      <c r="U774" s="13"/>
      <c r="X774" s="15"/>
      <c r="AF774" s="19"/>
      <c r="AJ774" s="35"/>
      <c r="AK774" s="36"/>
      <c r="AN774" s="25"/>
      <c r="AO774" s="26"/>
      <c r="AP774" s="40"/>
      <c r="AQ774" s="26"/>
      <c r="AR774" s="26"/>
      <c r="AS774" s="26"/>
      <c r="AT774" s="25"/>
      <c r="AU774" s="30"/>
      <c r="AV774" s="31"/>
    </row>
    <row r="775" spans="8:48" ht="14.25" customHeight="1" x14ac:dyDescent="0.35">
      <c r="H775" s="15"/>
      <c r="K775" s="15"/>
      <c r="N775" s="15"/>
      <c r="Q775" s="13"/>
      <c r="R775" s="13"/>
      <c r="S775" s="13"/>
      <c r="T775" s="13"/>
      <c r="U775" s="13"/>
      <c r="X775" s="15"/>
      <c r="AF775" s="19"/>
      <c r="AJ775" s="35"/>
      <c r="AK775" s="36"/>
      <c r="AN775" s="25"/>
      <c r="AO775" s="26"/>
      <c r="AP775" s="40"/>
      <c r="AQ775" s="26"/>
      <c r="AR775" s="26"/>
      <c r="AS775" s="26"/>
      <c r="AT775" s="25"/>
      <c r="AU775" s="30"/>
      <c r="AV775" s="31"/>
    </row>
    <row r="776" spans="8:48" ht="14.25" customHeight="1" x14ac:dyDescent="0.35">
      <c r="H776" s="15"/>
      <c r="K776" s="15"/>
      <c r="N776" s="15"/>
      <c r="Q776" s="13"/>
      <c r="R776" s="13"/>
      <c r="S776" s="13"/>
      <c r="T776" s="13"/>
      <c r="U776" s="13"/>
      <c r="X776" s="15"/>
      <c r="AF776" s="19"/>
      <c r="AJ776" s="35"/>
      <c r="AK776" s="36"/>
      <c r="AN776" s="25"/>
      <c r="AO776" s="26"/>
      <c r="AP776" s="40"/>
      <c r="AQ776" s="26"/>
      <c r="AR776" s="26"/>
      <c r="AS776" s="26"/>
      <c r="AT776" s="25"/>
      <c r="AU776" s="30"/>
      <c r="AV776" s="31"/>
    </row>
    <row r="777" spans="8:48" ht="14.25" customHeight="1" x14ac:dyDescent="0.35">
      <c r="H777" s="15"/>
      <c r="K777" s="15"/>
      <c r="N777" s="15"/>
      <c r="Q777" s="13"/>
      <c r="R777" s="13"/>
      <c r="S777" s="13"/>
      <c r="T777" s="13"/>
      <c r="U777" s="13"/>
      <c r="X777" s="15"/>
      <c r="AF777" s="19"/>
      <c r="AJ777" s="35"/>
      <c r="AK777" s="36"/>
      <c r="AN777" s="25"/>
      <c r="AO777" s="26"/>
      <c r="AP777" s="40"/>
      <c r="AQ777" s="26"/>
      <c r="AR777" s="26"/>
      <c r="AS777" s="26"/>
      <c r="AT777" s="25"/>
      <c r="AU777" s="30"/>
      <c r="AV777" s="31"/>
    </row>
    <row r="778" spans="8:48" ht="14.25" customHeight="1" x14ac:dyDescent="0.35">
      <c r="H778" s="15"/>
      <c r="K778" s="15"/>
      <c r="N778" s="15"/>
      <c r="Q778" s="13"/>
      <c r="R778" s="13"/>
      <c r="S778" s="13"/>
      <c r="T778" s="13"/>
      <c r="U778" s="13"/>
      <c r="X778" s="15"/>
      <c r="AF778" s="19"/>
      <c r="AJ778" s="35"/>
      <c r="AK778" s="36"/>
      <c r="AN778" s="25"/>
      <c r="AO778" s="26"/>
      <c r="AP778" s="40"/>
      <c r="AQ778" s="26"/>
      <c r="AR778" s="26"/>
      <c r="AS778" s="26"/>
      <c r="AT778" s="25"/>
      <c r="AU778" s="30"/>
      <c r="AV778" s="31"/>
    </row>
    <row r="779" spans="8:48" ht="14.25" customHeight="1" x14ac:dyDescent="0.35">
      <c r="H779" s="15"/>
      <c r="K779" s="15"/>
      <c r="N779" s="15"/>
      <c r="Q779" s="13"/>
      <c r="R779" s="13"/>
      <c r="S779" s="13"/>
      <c r="T779" s="13"/>
      <c r="U779" s="13"/>
      <c r="X779" s="15"/>
      <c r="AF779" s="19"/>
      <c r="AJ779" s="35"/>
      <c r="AK779" s="36"/>
      <c r="AN779" s="25"/>
      <c r="AO779" s="26"/>
      <c r="AP779" s="40"/>
      <c r="AQ779" s="26"/>
      <c r="AR779" s="26"/>
      <c r="AS779" s="26"/>
      <c r="AT779" s="25"/>
      <c r="AU779" s="30"/>
      <c r="AV779" s="31"/>
    </row>
    <row r="780" spans="8:48" ht="14.25" customHeight="1" x14ac:dyDescent="0.35">
      <c r="H780" s="15"/>
      <c r="K780" s="15"/>
      <c r="N780" s="15"/>
      <c r="Q780" s="13"/>
      <c r="R780" s="13"/>
      <c r="S780" s="13"/>
      <c r="T780" s="13"/>
      <c r="U780" s="13"/>
      <c r="X780" s="15"/>
      <c r="AF780" s="19"/>
      <c r="AJ780" s="35"/>
      <c r="AK780" s="36"/>
      <c r="AN780" s="25"/>
      <c r="AO780" s="26"/>
      <c r="AP780" s="40"/>
      <c r="AQ780" s="26"/>
      <c r="AR780" s="26"/>
      <c r="AS780" s="26"/>
      <c r="AT780" s="25"/>
      <c r="AU780" s="30"/>
      <c r="AV780" s="31"/>
    </row>
    <row r="781" spans="8:48" ht="14.25" customHeight="1" x14ac:dyDescent="0.35">
      <c r="H781" s="15"/>
      <c r="K781" s="15"/>
      <c r="N781" s="15"/>
      <c r="Q781" s="13"/>
      <c r="R781" s="13"/>
      <c r="S781" s="13"/>
      <c r="T781" s="13"/>
      <c r="U781" s="13"/>
      <c r="X781" s="15"/>
      <c r="AF781" s="19"/>
      <c r="AJ781" s="35"/>
      <c r="AK781" s="36"/>
      <c r="AN781" s="25"/>
      <c r="AO781" s="26"/>
      <c r="AP781" s="40"/>
      <c r="AQ781" s="26"/>
      <c r="AR781" s="26"/>
      <c r="AS781" s="26"/>
      <c r="AT781" s="25"/>
      <c r="AU781" s="30"/>
      <c r="AV781" s="31"/>
    </row>
    <row r="782" spans="8:48" ht="14.25" customHeight="1" x14ac:dyDescent="0.35">
      <c r="H782" s="15"/>
      <c r="K782" s="15"/>
      <c r="N782" s="15"/>
      <c r="Q782" s="13"/>
      <c r="R782" s="13"/>
      <c r="S782" s="13"/>
      <c r="T782" s="13"/>
      <c r="U782" s="13"/>
      <c r="X782" s="15"/>
      <c r="AF782" s="19"/>
      <c r="AJ782" s="35"/>
      <c r="AK782" s="36"/>
      <c r="AN782" s="25"/>
      <c r="AO782" s="26"/>
      <c r="AP782" s="40"/>
      <c r="AQ782" s="26"/>
      <c r="AR782" s="26"/>
      <c r="AS782" s="26"/>
      <c r="AT782" s="25"/>
      <c r="AU782" s="30"/>
      <c r="AV782" s="31"/>
    </row>
    <row r="783" spans="8:48" ht="14.25" customHeight="1" x14ac:dyDescent="0.35">
      <c r="H783" s="15"/>
      <c r="K783" s="15"/>
      <c r="N783" s="15"/>
      <c r="Q783" s="13"/>
      <c r="R783" s="13"/>
      <c r="S783" s="13"/>
      <c r="T783" s="13"/>
      <c r="U783" s="13"/>
      <c r="X783" s="15"/>
      <c r="AF783" s="19"/>
      <c r="AJ783" s="35"/>
      <c r="AK783" s="36"/>
      <c r="AN783" s="25"/>
      <c r="AO783" s="26"/>
      <c r="AP783" s="40"/>
      <c r="AQ783" s="26"/>
      <c r="AR783" s="26"/>
      <c r="AS783" s="26"/>
      <c r="AT783" s="25"/>
      <c r="AU783" s="30"/>
      <c r="AV783" s="31"/>
    </row>
    <row r="784" spans="8:48" ht="14.25" customHeight="1" x14ac:dyDescent="0.35">
      <c r="H784" s="15"/>
      <c r="K784" s="15"/>
      <c r="N784" s="15"/>
      <c r="Q784" s="13"/>
      <c r="R784" s="13"/>
      <c r="S784" s="13"/>
      <c r="T784" s="13"/>
      <c r="U784" s="13"/>
      <c r="X784" s="15"/>
      <c r="AF784" s="19"/>
      <c r="AJ784" s="35"/>
      <c r="AK784" s="36"/>
      <c r="AN784" s="25"/>
      <c r="AO784" s="26"/>
      <c r="AP784" s="40"/>
      <c r="AQ784" s="26"/>
      <c r="AR784" s="26"/>
      <c r="AS784" s="26"/>
      <c r="AT784" s="25"/>
      <c r="AU784" s="30"/>
      <c r="AV784" s="31"/>
    </row>
    <row r="785" spans="8:48" ht="14.25" customHeight="1" x14ac:dyDescent="0.35">
      <c r="H785" s="15"/>
      <c r="K785" s="15"/>
      <c r="N785" s="15"/>
      <c r="Q785" s="13"/>
      <c r="R785" s="13"/>
      <c r="S785" s="13"/>
      <c r="T785" s="13"/>
      <c r="U785" s="13"/>
      <c r="X785" s="15"/>
      <c r="AF785" s="19"/>
      <c r="AJ785" s="35"/>
      <c r="AK785" s="36"/>
      <c r="AN785" s="25"/>
      <c r="AO785" s="26"/>
      <c r="AP785" s="40"/>
      <c r="AQ785" s="26"/>
      <c r="AR785" s="26"/>
      <c r="AS785" s="26"/>
      <c r="AT785" s="25"/>
      <c r="AU785" s="30"/>
      <c r="AV785" s="31"/>
    </row>
    <row r="786" spans="8:48" ht="14.25" customHeight="1" x14ac:dyDescent="0.35">
      <c r="H786" s="15"/>
      <c r="K786" s="15"/>
      <c r="N786" s="15"/>
      <c r="Q786" s="13"/>
      <c r="R786" s="13"/>
      <c r="S786" s="13"/>
      <c r="T786" s="13"/>
      <c r="U786" s="13"/>
      <c r="X786" s="15"/>
      <c r="AF786" s="19"/>
      <c r="AJ786" s="35"/>
      <c r="AK786" s="36"/>
      <c r="AN786" s="25"/>
      <c r="AO786" s="26"/>
      <c r="AP786" s="40"/>
      <c r="AQ786" s="26"/>
      <c r="AR786" s="26"/>
      <c r="AS786" s="26"/>
      <c r="AT786" s="25"/>
      <c r="AU786" s="30"/>
      <c r="AV786" s="31"/>
    </row>
    <row r="787" spans="8:48" ht="14.25" customHeight="1" x14ac:dyDescent="0.35">
      <c r="H787" s="15"/>
      <c r="K787" s="15"/>
      <c r="N787" s="15"/>
      <c r="Q787" s="13"/>
      <c r="R787" s="13"/>
      <c r="S787" s="13"/>
      <c r="T787" s="13"/>
      <c r="U787" s="13"/>
      <c r="X787" s="15"/>
      <c r="AF787" s="19"/>
      <c r="AJ787" s="35"/>
      <c r="AK787" s="36"/>
      <c r="AN787" s="25"/>
      <c r="AO787" s="26"/>
      <c r="AP787" s="40"/>
      <c r="AQ787" s="26"/>
      <c r="AR787" s="26"/>
      <c r="AS787" s="26"/>
      <c r="AT787" s="25"/>
      <c r="AU787" s="30"/>
      <c r="AV787" s="31"/>
    </row>
    <row r="788" spans="8:48" ht="14.25" customHeight="1" x14ac:dyDescent="0.35">
      <c r="H788" s="15"/>
      <c r="K788" s="15"/>
      <c r="N788" s="15"/>
      <c r="Q788" s="13"/>
      <c r="R788" s="13"/>
      <c r="S788" s="13"/>
      <c r="T788" s="13"/>
      <c r="U788" s="13"/>
      <c r="X788" s="15"/>
      <c r="AF788" s="19"/>
      <c r="AJ788" s="35"/>
      <c r="AK788" s="36"/>
      <c r="AN788" s="25"/>
      <c r="AO788" s="26"/>
      <c r="AP788" s="40"/>
      <c r="AQ788" s="26"/>
      <c r="AR788" s="26"/>
      <c r="AS788" s="26"/>
      <c r="AT788" s="25"/>
      <c r="AU788" s="30"/>
      <c r="AV788" s="31"/>
    </row>
    <row r="789" spans="8:48" ht="14.25" customHeight="1" x14ac:dyDescent="0.35">
      <c r="H789" s="15"/>
      <c r="K789" s="15"/>
      <c r="N789" s="15"/>
      <c r="Q789" s="13"/>
      <c r="R789" s="13"/>
      <c r="S789" s="13"/>
      <c r="T789" s="13"/>
      <c r="U789" s="13"/>
      <c r="X789" s="15"/>
      <c r="AF789" s="19"/>
      <c r="AJ789" s="35"/>
      <c r="AK789" s="36"/>
      <c r="AN789" s="25"/>
      <c r="AO789" s="26"/>
      <c r="AP789" s="40"/>
      <c r="AQ789" s="26"/>
      <c r="AR789" s="26"/>
      <c r="AS789" s="26"/>
      <c r="AT789" s="25"/>
      <c r="AU789" s="30"/>
      <c r="AV789" s="31"/>
    </row>
    <row r="790" spans="8:48" ht="14.25" customHeight="1" x14ac:dyDescent="0.35">
      <c r="H790" s="15"/>
      <c r="K790" s="15"/>
      <c r="N790" s="15"/>
      <c r="Q790" s="13"/>
      <c r="R790" s="13"/>
      <c r="S790" s="13"/>
      <c r="T790" s="13"/>
      <c r="U790" s="13"/>
      <c r="X790" s="15"/>
      <c r="AF790" s="19"/>
      <c r="AJ790" s="35"/>
      <c r="AK790" s="36"/>
      <c r="AN790" s="25"/>
      <c r="AO790" s="26"/>
      <c r="AP790" s="40"/>
      <c r="AQ790" s="26"/>
      <c r="AR790" s="26"/>
      <c r="AS790" s="26"/>
      <c r="AT790" s="25"/>
      <c r="AU790" s="30"/>
      <c r="AV790" s="31"/>
    </row>
    <row r="791" spans="8:48" ht="14.25" customHeight="1" x14ac:dyDescent="0.35">
      <c r="H791" s="15"/>
      <c r="K791" s="15"/>
      <c r="N791" s="15"/>
      <c r="Q791" s="13"/>
      <c r="R791" s="13"/>
      <c r="S791" s="13"/>
      <c r="T791" s="13"/>
      <c r="U791" s="13"/>
      <c r="X791" s="15"/>
      <c r="AF791" s="19"/>
      <c r="AJ791" s="35"/>
      <c r="AK791" s="36"/>
      <c r="AN791" s="25"/>
      <c r="AO791" s="26"/>
      <c r="AP791" s="40"/>
      <c r="AQ791" s="26"/>
      <c r="AR791" s="26"/>
      <c r="AS791" s="26"/>
      <c r="AT791" s="25"/>
      <c r="AU791" s="30"/>
      <c r="AV791" s="31"/>
    </row>
    <row r="792" spans="8:48" ht="14.25" customHeight="1" x14ac:dyDescent="0.35">
      <c r="H792" s="15"/>
      <c r="K792" s="15"/>
      <c r="N792" s="15"/>
      <c r="Q792" s="13"/>
      <c r="R792" s="13"/>
      <c r="S792" s="13"/>
      <c r="T792" s="13"/>
      <c r="U792" s="13"/>
      <c r="X792" s="15"/>
      <c r="AF792" s="19"/>
      <c r="AJ792" s="35"/>
      <c r="AK792" s="36"/>
      <c r="AN792" s="25"/>
      <c r="AO792" s="26"/>
      <c r="AP792" s="40"/>
      <c r="AQ792" s="26"/>
      <c r="AR792" s="26"/>
      <c r="AS792" s="26"/>
      <c r="AT792" s="25"/>
      <c r="AU792" s="30"/>
      <c r="AV792" s="31"/>
    </row>
    <row r="793" spans="8:48" ht="14.25" customHeight="1" x14ac:dyDescent="0.35">
      <c r="H793" s="15"/>
      <c r="K793" s="15"/>
      <c r="N793" s="15"/>
      <c r="Q793" s="13"/>
      <c r="R793" s="13"/>
      <c r="S793" s="13"/>
      <c r="T793" s="13"/>
      <c r="U793" s="13"/>
      <c r="X793" s="15"/>
      <c r="AF793" s="19"/>
      <c r="AJ793" s="35"/>
      <c r="AK793" s="36"/>
      <c r="AN793" s="25"/>
      <c r="AO793" s="26"/>
      <c r="AP793" s="40"/>
      <c r="AQ793" s="26"/>
      <c r="AR793" s="26"/>
      <c r="AS793" s="26"/>
      <c r="AT793" s="25"/>
      <c r="AU793" s="30"/>
      <c r="AV793" s="31"/>
    </row>
    <row r="794" spans="8:48" ht="14.25" customHeight="1" x14ac:dyDescent="0.35">
      <c r="H794" s="15"/>
      <c r="K794" s="15"/>
      <c r="N794" s="15"/>
      <c r="Q794" s="13"/>
      <c r="R794" s="13"/>
      <c r="S794" s="13"/>
      <c r="T794" s="13"/>
      <c r="U794" s="13"/>
      <c r="X794" s="15"/>
      <c r="AF794" s="19"/>
      <c r="AJ794" s="35"/>
      <c r="AK794" s="36"/>
      <c r="AN794" s="25"/>
      <c r="AO794" s="26"/>
      <c r="AP794" s="40"/>
      <c r="AQ794" s="26"/>
      <c r="AR794" s="26"/>
      <c r="AS794" s="26"/>
      <c r="AT794" s="25"/>
      <c r="AU794" s="30"/>
      <c r="AV794" s="31"/>
    </row>
    <row r="795" spans="8:48" ht="14.25" customHeight="1" x14ac:dyDescent="0.35">
      <c r="H795" s="15"/>
      <c r="K795" s="15"/>
      <c r="N795" s="15"/>
      <c r="Q795" s="13"/>
      <c r="R795" s="13"/>
      <c r="S795" s="13"/>
      <c r="T795" s="13"/>
      <c r="U795" s="13"/>
      <c r="X795" s="15"/>
      <c r="AF795" s="19"/>
      <c r="AJ795" s="35"/>
      <c r="AK795" s="36"/>
      <c r="AN795" s="25"/>
      <c r="AO795" s="26"/>
      <c r="AP795" s="40"/>
      <c r="AQ795" s="26"/>
      <c r="AR795" s="26"/>
      <c r="AS795" s="26"/>
      <c r="AT795" s="25"/>
      <c r="AU795" s="30"/>
      <c r="AV795" s="31"/>
    </row>
    <row r="796" spans="8:48" ht="14.25" customHeight="1" x14ac:dyDescent="0.35">
      <c r="H796" s="15"/>
      <c r="K796" s="15"/>
      <c r="N796" s="15"/>
      <c r="Q796" s="13"/>
      <c r="R796" s="13"/>
      <c r="S796" s="13"/>
      <c r="T796" s="13"/>
      <c r="U796" s="13"/>
      <c r="X796" s="15"/>
      <c r="AF796" s="19"/>
      <c r="AJ796" s="35"/>
      <c r="AK796" s="36"/>
      <c r="AN796" s="25"/>
      <c r="AO796" s="26"/>
      <c r="AP796" s="40"/>
      <c r="AQ796" s="26"/>
      <c r="AR796" s="26"/>
      <c r="AS796" s="26"/>
      <c r="AT796" s="25"/>
      <c r="AU796" s="30"/>
      <c r="AV796" s="31"/>
    </row>
    <row r="797" spans="8:48" ht="14.25" customHeight="1" x14ac:dyDescent="0.35">
      <c r="H797" s="15"/>
      <c r="K797" s="15"/>
      <c r="N797" s="15"/>
      <c r="Q797" s="13"/>
      <c r="R797" s="13"/>
      <c r="S797" s="13"/>
      <c r="T797" s="13"/>
      <c r="U797" s="13"/>
      <c r="X797" s="15"/>
      <c r="AF797" s="19"/>
      <c r="AJ797" s="35"/>
      <c r="AK797" s="36"/>
      <c r="AN797" s="25"/>
      <c r="AO797" s="26"/>
      <c r="AP797" s="40"/>
      <c r="AQ797" s="26"/>
      <c r="AR797" s="26"/>
      <c r="AS797" s="26"/>
      <c r="AT797" s="25"/>
      <c r="AU797" s="30"/>
      <c r="AV797" s="31"/>
    </row>
    <row r="798" spans="8:48" ht="14.25" customHeight="1" x14ac:dyDescent="0.35">
      <c r="H798" s="15"/>
      <c r="K798" s="15"/>
      <c r="N798" s="15"/>
      <c r="Q798" s="13"/>
      <c r="R798" s="13"/>
      <c r="S798" s="13"/>
      <c r="T798" s="13"/>
      <c r="U798" s="13"/>
      <c r="X798" s="15"/>
      <c r="AF798" s="19"/>
      <c r="AJ798" s="35"/>
      <c r="AK798" s="36"/>
      <c r="AN798" s="25"/>
      <c r="AO798" s="26"/>
      <c r="AP798" s="40"/>
      <c r="AQ798" s="26"/>
      <c r="AR798" s="26"/>
      <c r="AS798" s="26"/>
      <c r="AT798" s="25"/>
      <c r="AU798" s="30"/>
      <c r="AV798" s="31"/>
    </row>
    <row r="799" spans="8:48" ht="14.25" customHeight="1" x14ac:dyDescent="0.35">
      <c r="H799" s="15"/>
      <c r="K799" s="15"/>
      <c r="N799" s="15"/>
      <c r="Q799" s="13"/>
      <c r="R799" s="13"/>
      <c r="S799" s="13"/>
      <c r="T799" s="13"/>
      <c r="U799" s="13"/>
      <c r="X799" s="15"/>
      <c r="AF799" s="19"/>
      <c r="AJ799" s="35"/>
      <c r="AK799" s="36"/>
      <c r="AN799" s="25"/>
      <c r="AO799" s="26"/>
      <c r="AP799" s="40"/>
      <c r="AQ799" s="26"/>
      <c r="AR799" s="26"/>
      <c r="AS799" s="26"/>
      <c r="AT799" s="25"/>
      <c r="AU799" s="30"/>
      <c r="AV799" s="31"/>
    </row>
    <row r="800" spans="8:48" ht="14.25" customHeight="1" x14ac:dyDescent="0.35">
      <c r="H800" s="15"/>
      <c r="K800" s="15"/>
      <c r="N800" s="15"/>
      <c r="Q800" s="13"/>
      <c r="R800" s="13"/>
      <c r="S800" s="13"/>
      <c r="T800" s="13"/>
      <c r="U800" s="13"/>
      <c r="X800" s="15"/>
      <c r="AF800" s="19"/>
      <c r="AJ800" s="35"/>
      <c r="AK800" s="36"/>
      <c r="AN800" s="25"/>
      <c r="AO800" s="26"/>
      <c r="AP800" s="40"/>
      <c r="AQ800" s="26"/>
      <c r="AR800" s="26"/>
      <c r="AS800" s="26"/>
      <c r="AT800" s="25"/>
      <c r="AU800" s="30"/>
      <c r="AV800" s="31"/>
    </row>
    <row r="801" spans="8:48" ht="14.25" customHeight="1" x14ac:dyDescent="0.35">
      <c r="H801" s="15"/>
      <c r="K801" s="15"/>
      <c r="N801" s="15"/>
      <c r="Q801" s="13"/>
      <c r="R801" s="13"/>
      <c r="S801" s="13"/>
      <c r="T801" s="13"/>
      <c r="U801" s="13"/>
      <c r="X801" s="15"/>
      <c r="AF801" s="19"/>
      <c r="AJ801" s="35"/>
      <c r="AK801" s="36"/>
      <c r="AN801" s="25"/>
      <c r="AO801" s="26"/>
      <c r="AP801" s="40"/>
      <c r="AQ801" s="26"/>
      <c r="AR801" s="26"/>
      <c r="AS801" s="26"/>
      <c r="AT801" s="25"/>
      <c r="AU801" s="30"/>
      <c r="AV801" s="31"/>
    </row>
    <row r="802" spans="8:48" ht="14.25" customHeight="1" x14ac:dyDescent="0.35">
      <c r="H802" s="15"/>
      <c r="K802" s="15"/>
      <c r="N802" s="15"/>
      <c r="Q802" s="13"/>
      <c r="R802" s="13"/>
      <c r="S802" s="13"/>
      <c r="T802" s="13"/>
      <c r="U802" s="13"/>
      <c r="X802" s="15"/>
      <c r="AF802" s="19"/>
      <c r="AJ802" s="35"/>
      <c r="AK802" s="36"/>
      <c r="AN802" s="25"/>
      <c r="AO802" s="26"/>
      <c r="AP802" s="40"/>
      <c r="AQ802" s="26"/>
      <c r="AR802" s="26"/>
      <c r="AS802" s="26"/>
      <c r="AT802" s="25"/>
      <c r="AU802" s="30"/>
      <c r="AV802" s="31"/>
    </row>
    <row r="803" spans="8:48" ht="14.25" customHeight="1" x14ac:dyDescent="0.35">
      <c r="H803" s="15"/>
      <c r="K803" s="15"/>
      <c r="N803" s="15"/>
      <c r="Q803" s="13"/>
      <c r="R803" s="13"/>
      <c r="S803" s="13"/>
      <c r="T803" s="13"/>
      <c r="U803" s="13"/>
      <c r="X803" s="15"/>
      <c r="AF803" s="19"/>
      <c r="AJ803" s="35"/>
      <c r="AK803" s="36"/>
      <c r="AN803" s="25"/>
      <c r="AO803" s="26"/>
      <c r="AP803" s="40"/>
      <c r="AQ803" s="26"/>
      <c r="AR803" s="26"/>
      <c r="AS803" s="26"/>
      <c r="AT803" s="25"/>
      <c r="AU803" s="30"/>
      <c r="AV803" s="31"/>
    </row>
    <row r="804" spans="8:48" ht="14.25" customHeight="1" x14ac:dyDescent="0.35">
      <c r="H804" s="15"/>
      <c r="K804" s="15"/>
      <c r="N804" s="15"/>
      <c r="Q804" s="13"/>
      <c r="R804" s="13"/>
      <c r="S804" s="13"/>
      <c r="T804" s="13"/>
      <c r="U804" s="13"/>
      <c r="X804" s="15"/>
      <c r="AF804" s="19"/>
      <c r="AJ804" s="35"/>
      <c r="AK804" s="36"/>
      <c r="AN804" s="25"/>
      <c r="AO804" s="26"/>
      <c r="AP804" s="40"/>
      <c r="AQ804" s="26"/>
      <c r="AR804" s="26"/>
      <c r="AS804" s="26"/>
      <c r="AT804" s="25"/>
      <c r="AU804" s="30"/>
      <c r="AV804" s="31"/>
    </row>
    <row r="805" spans="8:48" ht="14.25" customHeight="1" x14ac:dyDescent="0.35">
      <c r="H805" s="15"/>
      <c r="K805" s="15"/>
      <c r="N805" s="15"/>
      <c r="Q805" s="13"/>
      <c r="R805" s="13"/>
      <c r="S805" s="13"/>
      <c r="T805" s="13"/>
      <c r="U805" s="13"/>
      <c r="X805" s="15"/>
      <c r="AF805" s="19"/>
      <c r="AJ805" s="35"/>
      <c r="AK805" s="36"/>
      <c r="AN805" s="25"/>
      <c r="AO805" s="26"/>
      <c r="AP805" s="40"/>
      <c r="AQ805" s="26"/>
      <c r="AR805" s="26"/>
      <c r="AS805" s="26"/>
      <c r="AT805" s="25"/>
      <c r="AU805" s="30"/>
      <c r="AV805" s="31"/>
    </row>
    <row r="806" spans="8:48" ht="14.25" customHeight="1" x14ac:dyDescent="0.35">
      <c r="H806" s="15"/>
      <c r="K806" s="15"/>
      <c r="N806" s="15"/>
      <c r="Q806" s="13"/>
      <c r="R806" s="13"/>
      <c r="S806" s="13"/>
      <c r="T806" s="13"/>
      <c r="U806" s="13"/>
      <c r="X806" s="15"/>
      <c r="AF806" s="19"/>
      <c r="AJ806" s="35"/>
      <c r="AK806" s="36"/>
      <c r="AN806" s="25"/>
      <c r="AO806" s="26"/>
      <c r="AP806" s="40"/>
      <c r="AQ806" s="26"/>
      <c r="AR806" s="26"/>
      <c r="AS806" s="26"/>
      <c r="AT806" s="25"/>
      <c r="AU806" s="30"/>
      <c r="AV806" s="31"/>
    </row>
    <row r="807" spans="8:48" ht="14.25" customHeight="1" x14ac:dyDescent="0.35">
      <c r="H807" s="15"/>
      <c r="K807" s="15"/>
      <c r="N807" s="15"/>
      <c r="Q807" s="13"/>
      <c r="R807" s="13"/>
      <c r="S807" s="13"/>
      <c r="T807" s="13"/>
      <c r="U807" s="13"/>
      <c r="X807" s="15"/>
      <c r="AF807" s="19"/>
      <c r="AJ807" s="35"/>
      <c r="AK807" s="36"/>
      <c r="AN807" s="25"/>
      <c r="AO807" s="26"/>
      <c r="AP807" s="40"/>
      <c r="AQ807" s="26"/>
      <c r="AR807" s="26"/>
      <c r="AS807" s="26"/>
      <c r="AT807" s="25"/>
      <c r="AU807" s="30"/>
      <c r="AV807" s="31"/>
    </row>
    <row r="808" spans="8:48" ht="14.25" customHeight="1" x14ac:dyDescent="0.35">
      <c r="H808" s="15"/>
      <c r="K808" s="15"/>
      <c r="N808" s="15"/>
      <c r="Q808" s="13"/>
      <c r="R808" s="13"/>
      <c r="S808" s="13"/>
      <c r="T808" s="13"/>
      <c r="U808" s="13"/>
      <c r="X808" s="15"/>
      <c r="AF808" s="19"/>
      <c r="AJ808" s="35"/>
      <c r="AK808" s="36"/>
      <c r="AN808" s="25"/>
      <c r="AO808" s="26"/>
      <c r="AP808" s="40"/>
      <c r="AQ808" s="26"/>
      <c r="AR808" s="26"/>
      <c r="AS808" s="26"/>
      <c r="AT808" s="25"/>
      <c r="AU808" s="30"/>
      <c r="AV808" s="31"/>
    </row>
    <row r="809" spans="8:48" ht="14.25" customHeight="1" x14ac:dyDescent="0.35">
      <c r="H809" s="15"/>
      <c r="K809" s="15"/>
      <c r="N809" s="15"/>
      <c r="Q809" s="13"/>
      <c r="R809" s="13"/>
      <c r="S809" s="13"/>
      <c r="T809" s="13"/>
      <c r="U809" s="13"/>
      <c r="X809" s="15"/>
      <c r="AF809" s="19"/>
      <c r="AJ809" s="35"/>
      <c r="AK809" s="36"/>
      <c r="AN809" s="25"/>
      <c r="AO809" s="26"/>
      <c r="AP809" s="40"/>
      <c r="AQ809" s="26"/>
      <c r="AR809" s="26"/>
      <c r="AS809" s="26"/>
      <c r="AT809" s="25"/>
      <c r="AU809" s="30"/>
      <c r="AV809" s="31"/>
    </row>
    <row r="810" spans="8:48" ht="14.25" customHeight="1" x14ac:dyDescent="0.35">
      <c r="H810" s="15"/>
      <c r="K810" s="15"/>
      <c r="N810" s="15"/>
      <c r="Q810" s="13"/>
      <c r="R810" s="13"/>
      <c r="S810" s="13"/>
      <c r="T810" s="13"/>
      <c r="U810" s="13"/>
      <c r="X810" s="15"/>
      <c r="AF810" s="19"/>
      <c r="AJ810" s="35"/>
      <c r="AK810" s="36"/>
      <c r="AN810" s="25"/>
      <c r="AO810" s="26"/>
      <c r="AP810" s="40"/>
      <c r="AQ810" s="26"/>
      <c r="AR810" s="26"/>
      <c r="AS810" s="26"/>
      <c r="AT810" s="25"/>
      <c r="AU810" s="30"/>
      <c r="AV810" s="31"/>
    </row>
    <row r="811" spans="8:48" ht="14.25" customHeight="1" x14ac:dyDescent="0.35">
      <c r="H811" s="15"/>
      <c r="K811" s="15"/>
      <c r="N811" s="15"/>
      <c r="Q811" s="13"/>
      <c r="R811" s="13"/>
      <c r="S811" s="13"/>
      <c r="T811" s="13"/>
      <c r="U811" s="13"/>
      <c r="X811" s="15"/>
      <c r="AF811" s="19"/>
      <c r="AJ811" s="35"/>
      <c r="AK811" s="36"/>
      <c r="AN811" s="25"/>
      <c r="AO811" s="26"/>
      <c r="AP811" s="40"/>
      <c r="AQ811" s="26"/>
      <c r="AR811" s="26"/>
      <c r="AS811" s="26"/>
      <c r="AT811" s="25"/>
      <c r="AU811" s="30"/>
      <c r="AV811" s="31"/>
    </row>
    <row r="812" spans="8:48" ht="14.25" customHeight="1" x14ac:dyDescent="0.35">
      <c r="H812" s="15"/>
      <c r="K812" s="15"/>
      <c r="N812" s="15"/>
      <c r="Q812" s="13"/>
      <c r="R812" s="13"/>
      <c r="S812" s="13"/>
      <c r="T812" s="13"/>
      <c r="U812" s="13"/>
      <c r="X812" s="15"/>
      <c r="AF812" s="19"/>
      <c r="AJ812" s="35"/>
      <c r="AK812" s="36"/>
      <c r="AN812" s="25"/>
      <c r="AO812" s="26"/>
      <c r="AP812" s="40"/>
      <c r="AQ812" s="26"/>
      <c r="AR812" s="26"/>
      <c r="AS812" s="26"/>
      <c r="AT812" s="25"/>
      <c r="AU812" s="30"/>
      <c r="AV812" s="31"/>
    </row>
    <row r="813" spans="8:48" ht="14.25" customHeight="1" x14ac:dyDescent="0.35">
      <c r="H813" s="15"/>
      <c r="K813" s="15"/>
      <c r="N813" s="15"/>
      <c r="Q813" s="13"/>
      <c r="R813" s="13"/>
      <c r="S813" s="13"/>
      <c r="T813" s="13"/>
      <c r="U813" s="13"/>
      <c r="X813" s="15"/>
      <c r="AF813" s="19"/>
      <c r="AJ813" s="35"/>
      <c r="AK813" s="36"/>
      <c r="AN813" s="25"/>
      <c r="AO813" s="26"/>
      <c r="AP813" s="40"/>
      <c r="AQ813" s="26"/>
      <c r="AR813" s="26"/>
      <c r="AS813" s="26"/>
      <c r="AT813" s="25"/>
      <c r="AU813" s="30"/>
      <c r="AV813" s="31"/>
    </row>
    <row r="814" spans="8:48" ht="14.25" customHeight="1" x14ac:dyDescent="0.35">
      <c r="H814" s="15"/>
      <c r="K814" s="15"/>
      <c r="N814" s="15"/>
      <c r="Q814" s="13"/>
      <c r="R814" s="13"/>
      <c r="S814" s="13"/>
      <c r="T814" s="13"/>
      <c r="U814" s="13"/>
      <c r="X814" s="15"/>
      <c r="AF814" s="19"/>
      <c r="AJ814" s="35"/>
      <c r="AK814" s="36"/>
      <c r="AN814" s="25"/>
      <c r="AO814" s="26"/>
      <c r="AP814" s="40"/>
      <c r="AQ814" s="26"/>
      <c r="AR814" s="26"/>
      <c r="AS814" s="26"/>
      <c r="AT814" s="25"/>
      <c r="AU814" s="30"/>
      <c r="AV814" s="31"/>
    </row>
    <row r="815" spans="8:48" ht="14.25" customHeight="1" x14ac:dyDescent="0.35">
      <c r="H815" s="15"/>
      <c r="K815" s="15"/>
      <c r="N815" s="15"/>
      <c r="Q815" s="13"/>
      <c r="R815" s="13"/>
      <c r="S815" s="13"/>
      <c r="T815" s="13"/>
      <c r="U815" s="13"/>
      <c r="X815" s="15"/>
      <c r="AF815" s="19"/>
      <c r="AJ815" s="35"/>
      <c r="AK815" s="36"/>
      <c r="AN815" s="25"/>
      <c r="AO815" s="26"/>
      <c r="AP815" s="40"/>
      <c r="AQ815" s="26"/>
      <c r="AR815" s="26"/>
      <c r="AS815" s="26"/>
      <c r="AT815" s="25"/>
      <c r="AU815" s="30"/>
      <c r="AV815" s="31"/>
    </row>
    <row r="816" spans="8:48" ht="14.25" customHeight="1" x14ac:dyDescent="0.35">
      <c r="H816" s="15"/>
      <c r="K816" s="15"/>
      <c r="N816" s="15"/>
      <c r="Q816" s="13"/>
      <c r="R816" s="13"/>
      <c r="S816" s="13"/>
      <c r="T816" s="13"/>
      <c r="U816" s="13"/>
      <c r="X816" s="15"/>
      <c r="AF816" s="19"/>
      <c r="AJ816" s="35"/>
      <c r="AK816" s="36"/>
      <c r="AN816" s="25"/>
      <c r="AO816" s="26"/>
      <c r="AP816" s="40"/>
      <c r="AQ816" s="26"/>
      <c r="AR816" s="26"/>
      <c r="AS816" s="26"/>
      <c r="AT816" s="25"/>
      <c r="AU816" s="30"/>
      <c r="AV816" s="31"/>
    </row>
    <row r="817" spans="8:48" ht="14.25" customHeight="1" x14ac:dyDescent="0.35">
      <c r="H817" s="15"/>
      <c r="K817" s="15"/>
      <c r="N817" s="15"/>
      <c r="Q817" s="13"/>
      <c r="R817" s="13"/>
      <c r="S817" s="13"/>
      <c r="T817" s="13"/>
      <c r="U817" s="13"/>
      <c r="X817" s="15"/>
      <c r="AF817" s="19"/>
      <c r="AJ817" s="35"/>
      <c r="AK817" s="36"/>
      <c r="AN817" s="25"/>
      <c r="AO817" s="26"/>
      <c r="AP817" s="40"/>
      <c r="AQ817" s="26"/>
      <c r="AR817" s="26"/>
      <c r="AS817" s="26"/>
      <c r="AT817" s="25"/>
      <c r="AU817" s="30"/>
      <c r="AV817" s="31"/>
    </row>
    <row r="818" spans="8:48" ht="14.25" customHeight="1" x14ac:dyDescent="0.35">
      <c r="H818" s="15"/>
      <c r="K818" s="15"/>
      <c r="N818" s="15"/>
      <c r="Q818" s="13"/>
      <c r="R818" s="13"/>
      <c r="S818" s="13"/>
      <c r="T818" s="13"/>
      <c r="U818" s="13"/>
      <c r="X818" s="15"/>
      <c r="AF818" s="19"/>
      <c r="AJ818" s="35"/>
      <c r="AK818" s="36"/>
      <c r="AN818" s="25"/>
      <c r="AO818" s="26"/>
      <c r="AP818" s="40"/>
      <c r="AQ818" s="26"/>
      <c r="AR818" s="26"/>
      <c r="AS818" s="26"/>
      <c r="AT818" s="25"/>
      <c r="AU818" s="30"/>
      <c r="AV818" s="31"/>
    </row>
    <row r="819" spans="8:48" ht="14.25" customHeight="1" x14ac:dyDescent="0.35">
      <c r="H819" s="15"/>
      <c r="K819" s="15"/>
      <c r="N819" s="15"/>
      <c r="Q819" s="13"/>
      <c r="R819" s="13"/>
      <c r="S819" s="13"/>
      <c r="T819" s="13"/>
      <c r="U819" s="13"/>
      <c r="X819" s="15"/>
      <c r="AF819" s="19"/>
      <c r="AJ819" s="35"/>
      <c r="AK819" s="36"/>
      <c r="AN819" s="25"/>
      <c r="AO819" s="26"/>
      <c r="AP819" s="40"/>
      <c r="AQ819" s="26"/>
      <c r="AR819" s="26"/>
      <c r="AS819" s="26"/>
      <c r="AT819" s="25"/>
      <c r="AU819" s="30"/>
      <c r="AV819" s="31"/>
    </row>
    <row r="820" spans="8:48" ht="14.25" customHeight="1" x14ac:dyDescent="0.35">
      <c r="H820" s="15"/>
      <c r="K820" s="15"/>
      <c r="N820" s="15"/>
      <c r="Q820" s="13"/>
      <c r="R820" s="13"/>
      <c r="S820" s="13"/>
      <c r="T820" s="13"/>
      <c r="U820" s="13"/>
      <c r="X820" s="15"/>
      <c r="AF820" s="19"/>
      <c r="AJ820" s="35"/>
      <c r="AK820" s="36"/>
      <c r="AN820" s="25"/>
      <c r="AO820" s="26"/>
      <c r="AP820" s="40"/>
      <c r="AQ820" s="26"/>
      <c r="AR820" s="26"/>
      <c r="AS820" s="26"/>
      <c r="AT820" s="25"/>
      <c r="AU820" s="30"/>
      <c r="AV820" s="31"/>
    </row>
    <row r="821" spans="8:48" ht="14.25" customHeight="1" x14ac:dyDescent="0.35">
      <c r="H821" s="15"/>
      <c r="K821" s="15"/>
      <c r="N821" s="15"/>
      <c r="Q821" s="13"/>
      <c r="R821" s="13"/>
      <c r="S821" s="13"/>
      <c r="T821" s="13"/>
      <c r="U821" s="13"/>
      <c r="X821" s="15"/>
      <c r="AF821" s="19"/>
      <c r="AJ821" s="35"/>
      <c r="AK821" s="36"/>
      <c r="AN821" s="25"/>
      <c r="AO821" s="26"/>
      <c r="AP821" s="40"/>
      <c r="AQ821" s="26"/>
      <c r="AR821" s="26"/>
      <c r="AS821" s="26"/>
      <c r="AT821" s="25"/>
      <c r="AU821" s="30"/>
      <c r="AV821" s="31"/>
    </row>
    <row r="822" spans="8:48" ht="14.25" customHeight="1" x14ac:dyDescent="0.35">
      <c r="H822" s="15"/>
      <c r="K822" s="15"/>
      <c r="N822" s="15"/>
      <c r="Q822" s="13"/>
      <c r="R822" s="13"/>
      <c r="S822" s="13"/>
      <c r="T822" s="13"/>
      <c r="U822" s="13"/>
      <c r="X822" s="15"/>
      <c r="AF822" s="19"/>
      <c r="AJ822" s="35"/>
      <c r="AK822" s="36"/>
      <c r="AN822" s="25"/>
      <c r="AO822" s="26"/>
      <c r="AP822" s="40"/>
      <c r="AQ822" s="26"/>
      <c r="AR822" s="26"/>
      <c r="AS822" s="26"/>
      <c r="AT822" s="25"/>
      <c r="AU822" s="30"/>
      <c r="AV822" s="31"/>
    </row>
    <row r="823" spans="8:48" ht="14.25" customHeight="1" x14ac:dyDescent="0.35">
      <c r="H823" s="15"/>
      <c r="K823" s="15"/>
      <c r="N823" s="15"/>
      <c r="Q823" s="13"/>
      <c r="R823" s="13"/>
      <c r="S823" s="13"/>
      <c r="T823" s="13"/>
      <c r="U823" s="13"/>
      <c r="X823" s="15"/>
      <c r="AF823" s="19"/>
      <c r="AJ823" s="35"/>
      <c r="AK823" s="36"/>
      <c r="AN823" s="25"/>
      <c r="AO823" s="26"/>
      <c r="AP823" s="40"/>
      <c r="AQ823" s="26"/>
      <c r="AR823" s="26"/>
      <c r="AS823" s="26"/>
      <c r="AT823" s="25"/>
      <c r="AU823" s="30"/>
      <c r="AV823" s="31"/>
    </row>
    <row r="824" spans="8:48" ht="14.25" customHeight="1" x14ac:dyDescent="0.35">
      <c r="H824" s="15"/>
      <c r="K824" s="15"/>
      <c r="N824" s="15"/>
      <c r="Q824" s="13"/>
      <c r="R824" s="13"/>
      <c r="S824" s="13"/>
      <c r="T824" s="13"/>
      <c r="U824" s="13"/>
      <c r="X824" s="15"/>
      <c r="AF824" s="19"/>
      <c r="AJ824" s="35"/>
      <c r="AK824" s="36"/>
      <c r="AN824" s="25"/>
      <c r="AO824" s="26"/>
      <c r="AP824" s="40"/>
      <c r="AQ824" s="26"/>
      <c r="AR824" s="26"/>
      <c r="AS824" s="26"/>
      <c r="AT824" s="25"/>
      <c r="AU824" s="30"/>
      <c r="AV824" s="31"/>
    </row>
    <row r="825" spans="8:48" ht="14.25" customHeight="1" x14ac:dyDescent="0.35">
      <c r="H825" s="15"/>
      <c r="K825" s="15"/>
      <c r="N825" s="15"/>
      <c r="Q825" s="13"/>
      <c r="R825" s="13"/>
      <c r="S825" s="13"/>
      <c r="T825" s="13"/>
      <c r="U825" s="13"/>
      <c r="X825" s="15"/>
      <c r="AF825" s="19"/>
      <c r="AJ825" s="35"/>
      <c r="AK825" s="36"/>
      <c r="AN825" s="25"/>
      <c r="AO825" s="26"/>
      <c r="AP825" s="40"/>
      <c r="AQ825" s="26"/>
      <c r="AR825" s="26"/>
      <c r="AS825" s="26"/>
      <c r="AT825" s="25"/>
      <c r="AU825" s="30"/>
      <c r="AV825" s="31"/>
    </row>
    <row r="826" spans="8:48" ht="14.25" customHeight="1" x14ac:dyDescent="0.35">
      <c r="H826" s="15"/>
      <c r="K826" s="15"/>
      <c r="N826" s="15"/>
      <c r="Q826" s="13"/>
      <c r="R826" s="13"/>
      <c r="S826" s="13"/>
      <c r="T826" s="13"/>
      <c r="U826" s="13"/>
      <c r="X826" s="15"/>
      <c r="AF826" s="19"/>
      <c r="AJ826" s="35"/>
      <c r="AK826" s="36"/>
      <c r="AN826" s="25"/>
      <c r="AO826" s="26"/>
      <c r="AP826" s="40"/>
      <c r="AQ826" s="26"/>
      <c r="AR826" s="26"/>
      <c r="AS826" s="26"/>
      <c r="AT826" s="25"/>
      <c r="AU826" s="30"/>
      <c r="AV826" s="31"/>
    </row>
    <row r="827" spans="8:48" ht="14.25" customHeight="1" x14ac:dyDescent="0.35">
      <c r="H827" s="15"/>
      <c r="K827" s="15"/>
      <c r="N827" s="15"/>
      <c r="Q827" s="13"/>
      <c r="R827" s="13"/>
      <c r="S827" s="13"/>
      <c r="T827" s="13"/>
      <c r="U827" s="13"/>
      <c r="X827" s="15"/>
      <c r="AF827" s="19"/>
      <c r="AJ827" s="35"/>
      <c r="AK827" s="36"/>
      <c r="AN827" s="25"/>
      <c r="AO827" s="26"/>
      <c r="AP827" s="40"/>
      <c r="AQ827" s="26"/>
      <c r="AR827" s="26"/>
      <c r="AS827" s="26"/>
      <c r="AT827" s="25"/>
      <c r="AU827" s="30"/>
      <c r="AV827" s="31"/>
    </row>
    <row r="828" spans="8:48" ht="14.25" customHeight="1" x14ac:dyDescent="0.35">
      <c r="H828" s="15"/>
      <c r="K828" s="15"/>
      <c r="N828" s="15"/>
      <c r="Q828" s="13"/>
      <c r="R828" s="13"/>
      <c r="S828" s="13"/>
      <c r="T828" s="13"/>
      <c r="U828" s="13"/>
      <c r="X828" s="15"/>
      <c r="AF828" s="19"/>
      <c r="AJ828" s="35"/>
      <c r="AK828" s="36"/>
      <c r="AN828" s="25"/>
      <c r="AO828" s="26"/>
      <c r="AP828" s="40"/>
      <c r="AQ828" s="26"/>
      <c r="AR828" s="26"/>
      <c r="AS828" s="26"/>
      <c r="AT828" s="25"/>
      <c r="AU828" s="30"/>
      <c r="AV828" s="31"/>
    </row>
    <row r="829" spans="8:48" ht="14.25" customHeight="1" x14ac:dyDescent="0.35">
      <c r="H829" s="15"/>
      <c r="K829" s="15"/>
      <c r="N829" s="15"/>
      <c r="Q829" s="13"/>
      <c r="R829" s="13"/>
      <c r="S829" s="13"/>
      <c r="T829" s="13"/>
      <c r="U829" s="13"/>
      <c r="X829" s="15"/>
      <c r="AF829" s="19"/>
      <c r="AJ829" s="35"/>
      <c r="AK829" s="36"/>
      <c r="AN829" s="25"/>
      <c r="AO829" s="26"/>
      <c r="AP829" s="40"/>
      <c r="AQ829" s="26"/>
      <c r="AR829" s="26"/>
      <c r="AS829" s="26"/>
      <c r="AT829" s="25"/>
      <c r="AU829" s="30"/>
      <c r="AV829" s="31"/>
    </row>
    <row r="830" spans="8:48" ht="14.25" customHeight="1" x14ac:dyDescent="0.35">
      <c r="H830" s="15"/>
      <c r="K830" s="15"/>
      <c r="N830" s="15"/>
      <c r="Q830" s="13"/>
      <c r="R830" s="13"/>
      <c r="S830" s="13"/>
      <c r="T830" s="13"/>
      <c r="U830" s="13"/>
      <c r="X830" s="15"/>
      <c r="AF830" s="19"/>
      <c r="AJ830" s="35"/>
      <c r="AK830" s="36"/>
      <c r="AN830" s="25"/>
      <c r="AO830" s="26"/>
      <c r="AP830" s="40"/>
      <c r="AQ830" s="26"/>
      <c r="AR830" s="26"/>
      <c r="AS830" s="26"/>
      <c r="AT830" s="25"/>
      <c r="AU830" s="30"/>
      <c r="AV830" s="31"/>
    </row>
    <row r="831" spans="8:48" ht="14.25" customHeight="1" x14ac:dyDescent="0.35">
      <c r="H831" s="15"/>
      <c r="K831" s="15"/>
      <c r="N831" s="15"/>
      <c r="Q831" s="13"/>
      <c r="R831" s="13"/>
      <c r="S831" s="13"/>
      <c r="T831" s="13"/>
      <c r="U831" s="13"/>
      <c r="X831" s="15"/>
      <c r="AF831" s="19"/>
      <c r="AJ831" s="35"/>
      <c r="AK831" s="36"/>
      <c r="AN831" s="25"/>
      <c r="AO831" s="26"/>
      <c r="AP831" s="40"/>
      <c r="AQ831" s="26"/>
      <c r="AR831" s="26"/>
      <c r="AS831" s="26"/>
      <c r="AT831" s="25"/>
      <c r="AU831" s="30"/>
      <c r="AV831" s="31"/>
    </row>
    <row r="832" spans="8:48" ht="14.25" customHeight="1" x14ac:dyDescent="0.35">
      <c r="H832" s="15"/>
      <c r="K832" s="15"/>
      <c r="N832" s="15"/>
      <c r="Q832" s="13"/>
      <c r="R832" s="13"/>
      <c r="S832" s="13"/>
      <c r="T832" s="13"/>
      <c r="U832" s="13"/>
      <c r="X832" s="15"/>
      <c r="AF832" s="19"/>
      <c r="AJ832" s="35"/>
      <c r="AK832" s="36"/>
      <c r="AN832" s="25"/>
      <c r="AO832" s="26"/>
      <c r="AP832" s="40"/>
      <c r="AQ832" s="26"/>
      <c r="AR832" s="26"/>
      <c r="AS832" s="26"/>
      <c r="AT832" s="25"/>
      <c r="AU832" s="30"/>
      <c r="AV832" s="31"/>
    </row>
    <row r="833" spans="8:48" ht="14.25" customHeight="1" x14ac:dyDescent="0.35">
      <c r="H833" s="15"/>
      <c r="K833" s="15"/>
      <c r="N833" s="15"/>
      <c r="Q833" s="13"/>
      <c r="R833" s="13"/>
      <c r="S833" s="13"/>
      <c r="T833" s="13"/>
      <c r="U833" s="13"/>
      <c r="X833" s="15"/>
      <c r="AF833" s="19"/>
      <c r="AJ833" s="35"/>
      <c r="AK833" s="36"/>
      <c r="AN833" s="25"/>
      <c r="AO833" s="26"/>
      <c r="AP833" s="40"/>
      <c r="AQ833" s="26"/>
      <c r="AR833" s="26"/>
      <c r="AS833" s="26"/>
      <c r="AT833" s="25"/>
      <c r="AU833" s="30"/>
      <c r="AV833" s="31"/>
    </row>
    <row r="834" spans="8:48" ht="14.25" customHeight="1" x14ac:dyDescent="0.35">
      <c r="H834" s="15"/>
      <c r="K834" s="15"/>
      <c r="N834" s="15"/>
      <c r="Q834" s="13"/>
      <c r="R834" s="13"/>
      <c r="S834" s="13"/>
      <c r="T834" s="13"/>
      <c r="U834" s="13"/>
      <c r="X834" s="15"/>
      <c r="AF834" s="19"/>
      <c r="AJ834" s="35"/>
      <c r="AK834" s="36"/>
      <c r="AN834" s="25"/>
      <c r="AO834" s="26"/>
      <c r="AP834" s="40"/>
      <c r="AQ834" s="26"/>
      <c r="AR834" s="26"/>
      <c r="AS834" s="26"/>
      <c r="AT834" s="25"/>
      <c r="AU834" s="30"/>
      <c r="AV834" s="31"/>
    </row>
    <row r="835" spans="8:48" ht="14.25" customHeight="1" x14ac:dyDescent="0.35">
      <c r="H835" s="15"/>
      <c r="K835" s="15"/>
      <c r="N835" s="15"/>
      <c r="Q835" s="13"/>
      <c r="R835" s="13"/>
      <c r="S835" s="13"/>
      <c r="T835" s="13"/>
      <c r="U835" s="13"/>
      <c r="X835" s="15"/>
      <c r="AF835" s="19"/>
      <c r="AJ835" s="35"/>
      <c r="AK835" s="36"/>
      <c r="AN835" s="25"/>
      <c r="AO835" s="26"/>
      <c r="AP835" s="40"/>
      <c r="AQ835" s="26"/>
      <c r="AR835" s="26"/>
      <c r="AS835" s="26"/>
      <c r="AT835" s="25"/>
      <c r="AU835" s="30"/>
      <c r="AV835" s="31"/>
    </row>
    <row r="836" spans="8:48" ht="14.25" customHeight="1" x14ac:dyDescent="0.35">
      <c r="H836" s="15"/>
      <c r="K836" s="15"/>
      <c r="N836" s="15"/>
      <c r="Q836" s="13"/>
      <c r="R836" s="13"/>
      <c r="S836" s="13"/>
      <c r="T836" s="13"/>
      <c r="U836" s="13"/>
      <c r="X836" s="15"/>
      <c r="AF836" s="19"/>
      <c r="AJ836" s="35"/>
      <c r="AK836" s="36"/>
      <c r="AN836" s="25"/>
      <c r="AO836" s="26"/>
      <c r="AP836" s="40"/>
      <c r="AQ836" s="26"/>
      <c r="AR836" s="26"/>
      <c r="AS836" s="26"/>
      <c r="AT836" s="25"/>
      <c r="AU836" s="30"/>
      <c r="AV836" s="31"/>
    </row>
    <row r="837" spans="8:48" ht="14.25" customHeight="1" x14ac:dyDescent="0.35">
      <c r="H837" s="15"/>
      <c r="K837" s="15"/>
      <c r="N837" s="15"/>
      <c r="Q837" s="13"/>
      <c r="R837" s="13"/>
      <c r="S837" s="13"/>
      <c r="T837" s="13"/>
      <c r="U837" s="13"/>
      <c r="X837" s="15"/>
      <c r="AF837" s="19"/>
      <c r="AJ837" s="35"/>
      <c r="AK837" s="36"/>
      <c r="AN837" s="25"/>
      <c r="AO837" s="26"/>
      <c r="AP837" s="40"/>
      <c r="AQ837" s="26"/>
      <c r="AR837" s="26"/>
      <c r="AS837" s="26"/>
      <c r="AT837" s="25"/>
      <c r="AU837" s="30"/>
      <c r="AV837" s="31"/>
    </row>
    <row r="838" spans="8:48" ht="14.25" customHeight="1" x14ac:dyDescent="0.35">
      <c r="H838" s="15"/>
      <c r="K838" s="15"/>
      <c r="N838" s="15"/>
      <c r="Q838" s="13"/>
      <c r="R838" s="13"/>
      <c r="S838" s="13"/>
      <c r="T838" s="13"/>
      <c r="U838" s="13"/>
      <c r="X838" s="15"/>
      <c r="AF838" s="19"/>
      <c r="AJ838" s="35"/>
      <c r="AK838" s="36"/>
      <c r="AN838" s="25"/>
      <c r="AO838" s="26"/>
      <c r="AP838" s="40"/>
      <c r="AQ838" s="26"/>
      <c r="AR838" s="26"/>
      <c r="AS838" s="26"/>
      <c r="AT838" s="25"/>
      <c r="AU838" s="30"/>
      <c r="AV838" s="31"/>
    </row>
    <row r="839" spans="8:48" ht="14.25" customHeight="1" x14ac:dyDescent="0.35">
      <c r="H839" s="15"/>
      <c r="K839" s="15"/>
      <c r="N839" s="15"/>
      <c r="Q839" s="13"/>
      <c r="R839" s="13"/>
      <c r="S839" s="13"/>
      <c r="T839" s="13"/>
      <c r="U839" s="13"/>
      <c r="X839" s="15"/>
      <c r="AF839" s="19"/>
      <c r="AJ839" s="35"/>
      <c r="AK839" s="36"/>
      <c r="AN839" s="25"/>
      <c r="AO839" s="26"/>
      <c r="AP839" s="40"/>
      <c r="AQ839" s="26"/>
      <c r="AR839" s="26"/>
      <c r="AS839" s="26"/>
      <c r="AT839" s="25"/>
      <c r="AU839" s="30"/>
      <c r="AV839" s="31"/>
    </row>
    <row r="840" spans="8:48" ht="14.25" customHeight="1" x14ac:dyDescent="0.35">
      <c r="H840" s="15"/>
      <c r="K840" s="15"/>
      <c r="N840" s="15"/>
      <c r="Q840" s="13"/>
      <c r="R840" s="13"/>
      <c r="S840" s="13"/>
      <c r="T840" s="13"/>
      <c r="U840" s="13"/>
      <c r="X840" s="15"/>
      <c r="AF840" s="19"/>
      <c r="AJ840" s="35"/>
      <c r="AK840" s="36"/>
      <c r="AN840" s="25"/>
      <c r="AO840" s="26"/>
      <c r="AP840" s="40"/>
      <c r="AQ840" s="26"/>
      <c r="AR840" s="26"/>
      <c r="AS840" s="26"/>
      <c r="AT840" s="25"/>
      <c r="AU840" s="30"/>
      <c r="AV840" s="31"/>
    </row>
    <row r="841" spans="8:48" ht="14.25" customHeight="1" x14ac:dyDescent="0.35">
      <c r="H841" s="15"/>
      <c r="K841" s="15"/>
      <c r="N841" s="15"/>
      <c r="Q841" s="13"/>
      <c r="R841" s="13"/>
      <c r="S841" s="13"/>
      <c r="T841" s="13"/>
      <c r="U841" s="13"/>
      <c r="X841" s="15"/>
      <c r="AF841" s="19"/>
      <c r="AJ841" s="35"/>
      <c r="AK841" s="36"/>
      <c r="AN841" s="25"/>
      <c r="AO841" s="26"/>
      <c r="AP841" s="40"/>
      <c r="AQ841" s="26"/>
      <c r="AR841" s="26"/>
      <c r="AS841" s="26"/>
      <c r="AT841" s="25"/>
      <c r="AU841" s="30"/>
      <c r="AV841" s="31"/>
    </row>
    <row r="842" spans="8:48" ht="14.25" customHeight="1" x14ac:dyDescent="0.35">
      <c r="H842" s="15"/>
      <c r="K842" s="15"/>
      <c r="N842" s="15"/>
      <c r="Q842" s="13"/>
      <c r="R842" s="13"/>
      <c r="S842" s="13"/>
      <c r="T842" s="13"/>
      <c r="U842" s="13"/>
      <c r="X842" s="15"/>
      <c r="AF842" s="19"/>
      <c r="AJ842" s="35"/>
      <c r="AK842" s="36"/>
      <c r="AN842" s="25"/>
      <c r="AO842" s="26"/>
      <c r="AP842" s="40"/>
      <c r="AQ842" s="26"/>
      <c r="AR842" s="26"/>
      <c r="AS842" s="26"/>
      <c r="AT842" s="25"/>
      <c r="AU842" s="30"/>
      <c r="AV842" s="31"/>
    </row>
    <row r="843" spans="8:48" ht="14.25" customHeight="1" x14ac:dyDescent="0.35">
      <c r="H843" s="15"/>
      <c r="K843" s="15"/>
      <c r="N843" s="15"/>
      <c r="Q843" s="13"/>
      <c r="R843" s="13"/>
      <c r="S843" s="13"/>
      <c r="T843" s="13"/>
      <c r="U843" s="13"/>
      <c r="X843" s="15"/>
      <c r="AF843" s="19"/>
      <c r="AJ843" s="35"/>
      <c r="AK843" s="36"/>
      <c r="AN843" s="25"/>
      <c r="AO843" s="26"/>
      <c r="AP843" s="40"/>
      <c r="AQ843" s="26"/>
      <c r="AR843" s="26"/>
      <c r="AS843" s="26"/>
      <c r="AT843" s="25"/>
      <c r="AU843" s="30"/>
      <c r="AV843" s="31"/>
    </row>
    <row r="844" spans="8:48" ht="14.25" customHeight="1" x14ac:dyDescent="0.35">
      <c r="H844" s="15"/>
      <c r="K844" s="15"/>
      <c r="N844" s="15"/>
      <c r="Q844" s="13"/>
      <c r="R844" s="13"/>
      <c r="S844" s="13"/>
      <c r="T844" s="13"/>
      <c r="U844" s="13"/>
      <c r="X844" s="15"/>
      <c r="AF844" s="19"/>
      <c r="AJ844" s="35"/>
      <c r="AK844" s="36"/>
      <c r="AN844" s="25"/>
      <c r="AO844" s="26"/>
      <c r="AP844" s="40"/>
      <c r="AQ844" s="26"/>
      <c r="AR844" s="26"/>
      <c r="AS844" s="26"/>
      <c r="AT844" s="25"/>
      <c r="AU844" s="30"/>
      <c r="AV844" s="31"/>
    </row>
    <row r="845" spans="8:48" ht="14.25" customHeight="1" x14ac:dyDescent="0.35">
      <c r="H845" s="15"/>
      <c r="K845" s="15"/>
      <c r="N845" s="15"/>
      <c r="Q845" s="13"/>
      <c r="R845" s="13"/>
      <c r="S845" s="13"/>
      <c r="T845" s="13"/>
      <c r="U845" s="13"/>
      <c r="X845" s="15"/>
      <c r="AF845" s="19"/>
      <c r="AJ845" s="35"/>
      <c r="AK845" s="36"/>
      <c r="AN845" s="25"/>
      <c r="AO845" s="26"/>
      <c r="AP845" s="40"/>
      <c r="AQ845" s="26"/>
      <c r="AR845" s="26"/>
      <c r="AS845" s="26"/>
      <c r="AT845" s="25"/>
      <c r="AU845" s="30"/>
      <c r="AV845" s="31"/>
    </row>
    <row r="846" spans="8:48" ht="14.25" customHeight="1" x14ac:dyDescent="0.35">
      <c r="H846" s="15"/>
      <c r="K846" s="15"/>
      <c r="N846" s="15"/>
      <c r="Q846" s="13"/>
      <c r="R846" s="13"/>
      <c r="S846" s="13"/>
      <c r="T846" s="13"/>
      <c r="U846" s="13"/>
      <c r="X846" s="15"/>
      <c r="AF846" s="19"/>
      <c r="AJ846" s="35"/>
      <c r="AK846" s="36"/>
      <c r="AN846" s="25"/>
      <c r="AO846" s="26"/>
      <c r="AP846" s="40"/>
      <c r="AQ846" s="26"/>
      <c r="AR846" s="26"/>
      <c r="AS846" s="26"/>
      <c r="AT846" s="25"/>
      <c r="AU846" s="30"/>
      <c r="AV846" s="31"/>
    </row>
    <row r="847" spans="8:48" ht="14.25" customHeight="1" x14ac:dyDescent="0.35">
      <c r="H847" s="15"/>
      <c r="K847" s="15"/>
      <c r="N847" s="15"/>
      <c r="Q847" s="13"/>
      <c r="R847" s="13"/>
      <c r="S847" s="13"/>
      <c r="T847" s="13"/>
      <c r="U847" s="13"/>
      <c r="X847" s="15"/>
      <c r="AF847" s="19"/>
      <c r="AJ847" s="35"/>
      <c r="AK847" s="36"/>
      <c r="AN847" s="25"/>
      <c r="AO847" s="26"/>
      <c r="AP847" s="40"/>
      <c r="AQ847" s="26"/>
      <c r="AR847" s="26"/>
      <c r="AS847" s="26"/>
      <c r="AT847" s="25"/>
      <c r="AU847" s="30"/>
      <c r="AV847" s="31"/>
    </row>
    <row r="848" spans="8:48" ht="14.25" customHeight="1" x14ac:dyDescent="0.35">
      <c r="H848" s="15"/>
      <c r="K848" s="15"/>
      <c r="N848" s="15"/>
      <c r="Q848" s="13"/>
      <c r="R848" s="13"/>
      <c r="S848" s="13"/>
      <c r="T848" s="13"/>
      <c r="U848" s="13"/>
      <c r="X848" s="15"/>
      <c r="AF848" s="19"/>
      <c r="AJ848" s="35"/>
      <c r="AK848" s="36"/>
      <c r="AN848" s="25"/>
      <c r="AO848" s="26"/>
      <c r="AP848" s="40"/>
      <c r="AQ848" s="26"/>
      <c r="AR848" s="26"/>
      <c r="AS848" s="26"/>
      <c r="AT848" s="25"/>
      <c r="AU848" s="30"/>
      <c r="AV848" s="31"/>
    </row>
    <row r="849" spans="8:48" ht="14.25" customHeight="1" x14ac:dyDescent="0.35">
      <c r="H849" s="15"/>
      <c r="K849" s="15"/>
      <c r="N849" s="15"/>
      <c r="Q849" s="13"/>
      <c r="R849" s="13"/>
      <c r="S849" s="13"/>
      <c r="T849" s="13"/>
      <c r="U849" s="13"/>
      <c r="X849" s="15"/>
      <c r="AF849" s="19"/>
      <c r="AJ849" s="35"/>
      <c r="AK849" s="36"/>
      <c r="AN849" s="25"/>
      <c r="AO849" s="26"/>
      <c r="AP849" s="40"/>
      <c r="AQ849" s="26"/>
      <c r="AR849" s="26"/>
      <c r="AS849" s="26"/>
      <c r="AT849" s="25"/>
      <c r="AU849" s="30"/>
      <c r="AV849" s="31"/>
    </row>
    <row r="850" spans="8:48" ht="14.25" customHeight="1" x14ac:dyDescent="0.35">
      <c r="H850" s="15"/>
      <c r="K850" s="15"/>
      <c r="N850" s="15"/>
      <c r="Q850" s="13"/>
      <c r="R850" s="13"/>
      <c r="S850" s="13"/>
      <c r="T850" s="13"/>
      <c r="U850" s="13"/>
      <c r="X850" s="15"/>
      <c r="AF850" s="19"/>
      <c r="AJ850" s="35"/>
      <c r="AK850" s="36"/>
      <c r="AN850" s="25"/>
      <c r="AO850" s="26"/>
      <c r="AP850" s="40"/>
      <c r="AQ850" s="26"/>
      <c r="AR850" s="26"/>
      <c r="AS850" s="26"/>
      <c r="AT850" s="25"/>
      <c r="AU850" s="30"/>
      <c r="AV850" s="31"/>
    </row>
    <row r="851" spans="8:48" ht="14.25" customHeight="1" x14ac:dyDescent="0.35">
      <c r="H851" s="15"/>
      <c r="K851" s="15"/>
      <c r="N851" s="15"/>
      <c r="Q851" s="13"/>
      <c r="R851" s="13"/>
      <c r="S851" s="13"/>
      <c r="T851" s="13"/>
      <c r="U851" s="13"/>
      <c r="X851" s="15"/>
      <c r="AF851" s="19"/>
      <c r="AJ851" s="35"/>
      <c r="AK851" s="36"/>
      <c r="AN851" s="25"/>
      <c r="AO851" s="26"/>
      <c r="AP851" s="40"/>
      <c r="AQ851" s="26"/>
      <c r="AR851" s="26"/>
      <c r="AS851" s="26"/>
      <c r="AT851" s="25"/>
      <c r="AU851" s="30"/>
      <c r="AV851" s="31"/>
    </row>
    <row r="852" spans="8:48" ht="14.25" customHeight="1" x14ac:dyDescent="0.35">
      <c r="H852" s="15"/>
      <c r="K852" s="15"/>
      <c r="N852" s="15"/>
      <c r="Q852" s="13"/>
      <c r="R852" s="13"/>
      <c r="S852" s="13"/>
      <c r="T852" s="13"/>
      <c r="U852" s="13"/>
      <c r="X852" s="15"/>
      <c r="AF852" s="19"/>
      <c r="AJ852" s="35"/>
      <c r="AK852" s="36"/>
      <c r="AN852" s="25"/>
      <c r="AO852" s="26"/>
      <c r="AP852" s="40"/>
      <c r="AQ852" s="26"/>
      <c r="AR852" s="26"/>
      <c r="AS852" s="26"/>
      <c r="AT852" s="25"/>
      <c r="AU852" s="30"/>
      <c r="AV852" s="31"/>
    </row>
    <row r="853" spans="8:48" ht="14.25" customHeight="1" x14ac:dyDescent="0.35">
      <c r="H853" s="15"/>
      <c r="K853" s="15"/>
      <c r="N853" s="15"/>
      <c r="Q853" s="13"/>
      <c r="R853" s="13"/>
      <c r="S853" s="13"/>
      <c r="T853" s="13"/>
      <c r="U853" s="13"/>
      <c r="X853" s="15"/>
      <c r="AF853" s="19"/>
      <c r="AJ853" s="35"/>
      <c r="AK853" s="36"/>
      <c r="AN853" s="25"/>
      <c r="AO853" s="26"/>
      <c r="AP853" s="40"/>
      <c r="AQ853" s="26"/>
      <c r="AR853" s="26"/>
      <c r="AS853" s="26"/>
      <c r="AT853" s="25"/>
      <c r="AU853" s="30"/>
      <c r="AV853" s="31"/>
    </row>
    <row r="854" spans="8:48" ht="14.25" customHeight="1" x14ac:dyDescent="0.35">
      <c r="H854" s="15"/>
      <c r="K854" s="15"/>
      <c r="N854" s="15"/>
      <c r="Q854" s="13"/>
      <c r="R854" s="13"/>
      <c r="S854" s="13"/>
      <c r="T854" s="13"/>
      <c r="U854" s="13"/>
      <c r="X854" s="15"/>
      <c r="AF854" s="19"/>
      <c r="AJ854" s="35"/>
      <c r="AK854" s="36"/>
      <c r="AN854" s="25"/>
      <c r="AO854" s="26"/>
      <c r="AP854" s="40"/>
      <c r="AQ854" s="26"/>
      <c r="AR854" s="26"/>
      <c r="AS854" s="26"/>
      <c r="AT854" s="25"/>
      <c r="AU854" s="30"/>
      <c r="AV854" s="31"/>
    </row>
    <row r="855" spans="8:48" ht="14.25" customHeight="1" x14ac:dyDescent="0.35">
      <c r="H855" s="15"/>
      <c r="K855" s="15"/>
      <c r="N855" s="15"/>
      <c r="Q855" s="13"/>
      <c r="R855" s="13"/>
      <c r="S855" s="13"/>
      <c r="T855" s="13"/>
      <c r="U855" s="13"/>
      <c r="X855" s="15"/>
      <c r="AF855" s="19"/>
      <c r="AJ855" s="35"/>
      <c r="AK855" s="36"/>
      <c r="AN855" s="25"/>
      <c r="AO855" s="26"/>
      <c r="AP855" s="40"/>
      <c r="AQ855" s="26"/>
      <c r="AR855" s="26"/>
      <c r="AS855" s="26"/>
      <c r="AT855" s="25"/>
      <c r="AU855" s="30"/>
      <c r="AV855" s="31"/>
    </row>
    <row r="856" spans="8:48" ht="14.25" customHeight="1" x14ac:dyDescent="0.35">
      <c r="H856" s="15"/>
      <c r="K856" s="15"/>
      <c r="N856" s="15"/>
      <c r="Q856" s="13"/>
      <c r="R856" s="13"/>
      <c r="S856" s="13"/>
      <c r="T856" s="13"/>
      <c r="U856" s="13"/>
      <c r="X856" s="15"/>
      <c r="AF856" s="19"/>
      <c r="AJ856" s="35"/>
      <c r="AK856" s="36"/>
      <c r="AN856" s="25"/>
      <c r="AO856" s="26"/>
      <c r="AP856" s="40"/>
      <c r="AQ856" s="26"/>
      <c r="AR856" s="26"/>
      <c r="AS856" s="26"/>
      <c r="AT856" s="25"/>
      <c r="AU856" s="30"/>
      <c r="AV856" s="31"/>
    </row>
    <row r="857" spans="8:48" ht="14.25" customHeight="1" x14ac:dyDescent="0.35">
      <c r="H857" s="15"/>
      <c r="K857" s="15"/>
      <c r="N857" s="15"/>
      <c r="Q857" s="13"/>
      <c r="R857" s="13"/>
      <c r="S857" s="13"/>
      <c r="T857" s="13"/>
      <c r="U857" s="13"/>
      <c r="X857" s="15"/>
      <c r="AF857" s="19"/>
      <c r="AJ857" s="35"/>
      <c r="AK857" s="36"/>
      <c r="AN857" s="25"/>
      <c r="AO857" s="26"/>
      <c r="AP857" s="40"/>
      <c r="AQ857" s="26"/>
      <c r="AR857" s="26"/>
      <c r="AS857" s="26"/>
      <c r="AT857" s="25"/>
      <c r="AU857" s="30"/>
      <c r="AV857" s="31"/>
    </row>
    <row r="858" spans="8:48" ht="14.25" customHeight="1" x14ac:dyDescent="0.35">
      <c r="H858" s="15"/>
      <c r="K858" s="15"/>
      <c r="N858" s="15"/>
      <c r="Q858" s="13"/>
      <c r="R858" s="13"/>
      <c r="S858" s="13"/>
      <c r="T858" s="13"/>
      <c r="U858" s="13"/>
      <c r="X858" s="15"/>
      <c r="AF858" s="19"/>
      <c r="AJ858" s="35"/>
      <c r="AK858" s="36"/>
      <c r="AN858" s="25"/>
      <c r="AO858" s="26"/>
      <c r="AP858" s="40"/>
      <c r="AQ858" s="26"/>
      <c r="AR858" s="26"/>
      <c r="AS858" s="26"/>
      <c r="AT858" s="25"/>
      <c r="AU858" s="30"/>
      <c r="AV858" s="31"/>
    </row>
    <row r="859" spans="8:48" ht="14.25" customHeight="1" x14ac:dyDescent="0.35">
      <c r="H859" s="15"/>
      <c r="K859" s="15"/>
      <c r="N859" s="15"/>
      <c r="Q859" s="13"/>
      <c r="R859" s="13"/>
      <c r="S859" s="13"/>
      <c r="T859" s="13"/>
      <c r="U859" s="13"/>
      <c r="X859" s="15"/>
      <c r="AF859" s="19"/>
      <c r="AJ859" s="35"/>
      <c r="AK859" s="36"/>
      <c r="AN859" s="25"/>
      <c r="AO859" s="26"/>
      <c r="AP859" s="40"/>
      <c r="AQ859" s="26"/>
      <c r="AR859" s="26"/>
      <c r="AS859" s="26"/>
      <c r="AT859" s="25"/>
      <c r="AU859" s="30"/>
      <c r="AV859" s="31"/>
    </row>
    <row r="860" spans="8:48" ht="14.25" customHeight="1" x14ac:dyDescent="0.35">
      <c r="H860" s="15"/>
      <c r="K860" s="15"/>
      <c r="N860" s="15"/>
      <c r="Q860" s="13"/>
      <c r="R860" s="13"/>
      <c r="S860" s="13"/>
      <c r="T860" s="13"/>
      <c r="U860" s="13"/>
      <c r="X860" s="15"/>
      <c r="AF860" s="19"/>
      <c r="AJ860" s="35"/>
      <c r="AK860" s="36"/>
      <c r="AN860" s="25"/>
      <c r="AO860" s="26"/>
      <c r="AP860" s="40"/>
      <c r="AQ860" s="26"/>
      <c r="AR860" s="26"/>
      <c r="AS860" s="26"/>
      <c r="AT860" s="25"/>
      <c r="AU860" s="30"/>
      <c r="AV860" s="31"/>
    </row>
    <row r="861" spans="8:48" ht="14.25" customHeight="1" x14ac:dyDescent="0.35">
      <c r="H861" s="15"/>
      <c r="K861" s="15"/>
      <c r="N861" s="15"/>
      <c r="Q861" s="13"/>
      <c r="R861" s="13"/>
      <c r="S861" s="13"/>
      <c r="T861" s="13"/>
      <c r="U861" s="13"/>
      <c r="X861" s="15"/>
      <c r="AF861" s="19"/>
      <c r="AJ861" s="35"/>
      <c r="AK861" s="36"/>
      <c r="AN861" s="25"/>
      <c r="AO861" s="26"/>
      <c r="AP861" s="40"/>
      <c r="AQ861" s="26"/>
      <c r="AR861" s="26"/>
      <c r="AS861" s="26"/>
      <c r="AT861" s="25"/>
      <c r="AU861" s="30"/>
      <c r="AV861" s="31"/>
    </row>
    <row r="862" spans="8:48" ht="14.25" customHeight="1" x14ac:dyDescent="0.35">
      <c r="H862" s="15"/>
      <c r="K862" s="15"/>
      <c r="N862" s="15"/>
      <c r="Q862" s="13"/>
      <c r="R862" s="13"/>
      <c r="S862" s="13"/>
      <c r="T862" s="13"/>
      <c r="U862" s="13"/>
      <c r="X862" s="15"/>
      <c r="AF862" s="19"/>
      <c r="AJ862" s="35"/>
      <c r="AK862" s="36"/>
      <c r="AN862" s="25"/>
      <c r="AO862" s="26"/>
      <c r="AP862" s="40"/>
      <c r="AQ862" s="26"/>
      <c r="AR862" s="26"/>
      <c r="AS862" s="26"/>
      <c r="AT862" s="25"/>
      <c r="AU862" s="30"/>
      <c r="AV862" s="31"/>
    </row>
    <row r="863" spans="8:48" ht="14.25" customHeight="1" x14ac:dyDescent="0.35">
      <c r="H863" s="15"/>
      <c r="K863" s="15"/>
      <c r="N863" s="15"/>
      <c r="Q863" s="13"/>
      <c r="R863" s="13"/>
      <c r="S863" s="13"/>
      <c r="T863" s="13"/>
      <c r="U863" s="13"/>
      <c r="X863" s="15"/>
      <c r="AF863" s="19"/>
      <c r="AJ863" s="35"/>
      <c r="AK863" s="36"/>
      <c r="AN863" s="25"/>
      <c r="AO863" s="26"/>
      <c r="AP863" s="40"/>
      <c r="AQ863" s="26"/>
      <c r="AR863" s="26"/>
      <c r="AS863" s="26"/>
      <c r="AT863" s="25"/>
      <c r="AU863" s="30"/>
      <c r="AV863" s="31"/>
    </row>
    <row r="864" spans="8:48" ht="14.25" customHeight="1" x14ac:dyDescent="0.35">
      <c r="H864" s="15"/>
      <c r="K864" s="15"/>
      <c r="N864" s="15"/>
      <c r="Q864" s="13"/>
      <c r="R864" s="13"/>
      <c r="S864" s="13"/>
      <c r="T864" s="13"/>
      <c r="U864" s="13"/>
      <c r="X864" s="15"/>
      <c r="AF864" s="19"/>
      <c r="AJ864" s="35"/>
      <c r="AK864" s="36"/>
      <c r="AN864" s="25"/>
      <c r="AO864" s="26"/>
      <c r="AP864" s="40"/>
      <c r="AQ864" s="26"/>
      <c r="AR864" s="26"/>
      <c r="AS864" s="26"/>
      <c r="AT864" s="25"/>
      <c r="AU864" s="30"/>
      <c r="AV864" s="31"/>
    </row>
    <row r="865" spans="8:48" ht="14.25" customHeight="1" x14ac:dyDescent="0.35">
      <c r="H865" s="15"/>
      <c r="K865" s="15"/>
      <c r="N865" s="15"/>
      <c r="Q865" s="13"/>
      <c r="R865" s="13"/>
      <c r="S865" s="13"/>
      <c r="T865" s="13"/>
      <c r="U865" s="13"/>
      <c r="X865" s="15"/>
      <c r="AF865" s="19"/>
      <c r="AJ865" s="35"/>
      <c r="AK865" s="36"/>
      <c r="AN865" s="25"/>
      <c r="AO865" s="26"/>
      <c r="AP865" s="40"/>
      <c r="AQ865" s="26"/>
      <c r="AR865" s="26"/>
      <c r="AS865" s="26"/>
      <c r="AT865" s="25"/>
      <c r="AU865" s="30"/>
      <c r="AV865" s="31"/>
    </row>
    <row r="866" spans="8:48" ht="14.25" customHeight="1" x14ac:dyDescent="0.35">
      <c r="H866" s="15"/>
      <c r="K866" s="15"/>
      <c r="N866" s="15"/>
      <c r="Q866" s="13"/>
      <c r="R866" s="13"/>
      <c r="S866" s="13"/>
      <c r="T866" s="13"/>
      <c r="U866" s="13"/>
      <c r="X866" s="15"/>
      <c r="AF866" s="19"/>
      <c r="AJ866" s="35"/>
      <c r="AK866" s="36"/>
      <c r="AN866" s="25"/>
      <c r="AO866" s="26"/>
      <c r="AP866" s="40"/>
      <c r="AQ866" s="26"/>
      <c r="AR866" s="26"/>
      <c r="AS866" s="26"/>
      <c r="AT866" s="25"/>
      <c r="AU866" s="30"/>
      <c r="AV866" s="31"/>
    </row>
    <row r="867" spans="8:48" ht="14.25" customHeight="1" x14ac:dyDescent="0.35">
      <c r="H867" s="15"/>
      <c r="K867" s="15"/>
      <c r="N867" s="15"/>
      <c r="Q867" s="13"/>
      <c r="R867" s="13"/>
      <c r="S867" s="13"/>
      <c r="T867" s="13"/>
      <c r="U867" s="13"/>
      <c r="X867" s="15"/>
      <c r="AF867" s="19"/>
      <c r="AJ867" s="35"/>
      <c r="AK867" s="36"/>
      <c r="AN867" s="25"/>
      <c r="AO867" s="26"/>
      <c r="AP867" s="40"/>
      <c r="AQ867" s="26"/>
      <c r="AR867" s="26"/>
      <c r="AS867" s="26"/>
      <c r="AT867" s="25"/>
      <c r="AU867" s="30"/>
      <c r="AV867" s="31"/>
    </row>
    <row r="868" spans="8:48" ht="14.25" customHeight="1" x14ac:dyDescent="0.35">
      <c r="H868" s="15"/>
      <c r="K868" s="15"/>
      <c r="N868" s="15"/>
      <c r="Q868" s="13"/>
      <c r="R868" s="13"/>
      <c r="S868" s="13"/>
      <c r="T868" s="13"/>
      <c r="U868" s="13"/>
      <c r="X868" s="15"/>
      <c r="AF868" s="19"/>
      <c r="AJ868" s="35"/>
      <c r="AK868" s="36"/>
      <c r="AN868" s="25"/>
      <c r="AO868" s="26"/>
      <c r="AP868" s="40"/>
      <c r="AQ868" s="26"/>
      <c r="AR868" s="26"/>
      <c r="AS868" s="26"/>
      <c r="AT868" s="25"/>
      <c r="AU868" s="30"/>
      <c r="AV868" s="31"/>
    </row>
    <row r="869" spans="8:48" ht="14.25" customHeight="1" x14ac:dyDescent="0.35">
      <c r="H869" s="15"/>
      <c r="K869" s="15"/>
      <c r="N869" s="15"/>
      <c r="Q869" s="13"/>
      <c r="R869" s="13"/>
      <c r="S869" s="13"/>
      <c r="T869" s="13"/>
      <c r="U869" s="13"/>
      <c r="X869" s="15"/>
      <c r="AF869" s="19"/>
      <c r="AJ869" s="35"/>
      <c r="AK869" s="36"/>
      <c r="AN869" s="25"/>
      <c r="AO869" s="26"/>
      <c r="AP869" s="40"/>
      <c r="AQ869" s="26"/>
      <c r="AR869" s="26"/>
      <c r="AS869" s="26"/>
      <c r="AT869" s="25"/>
      <c r="AU869" s="30"/>
      <c r="AV869" s="31"/>
    </row>
    <row r="870" spans="8:48" ht="14.25" customHeight="1" x14ac:dyDescent="0.35">
      <c r="H870" s="15"/>
      <c r="K870" s="15"/>
      <c r="N870" s="15"/>
      <c r="Q870" s="13"/>
      <c r="R870" s="13"/>
      <c r="S870" s="13"/>
      <c r="T870" s="13"/>
      <c r="U870" s="13"/>
      <c r="X870" s="15"/>
      <c r="AF870" s="19"/>
      <c r="AJ870" s="35"/>
      <c r="AK870" s="36"/>
      <c r="AN870" s="25"/>
      <c r="AO870" s="26"/>
      <c r="AP870" s="40"/>
      <c r="AQ870" s="26"/>
      <c r="AR870" s="26"/>
      <c r="AS870" s="26"/>
      <c r="AT870" s="25"/>
      <c r="AU870" s="30"/>
      <c r="AV870" s="31"/>
    </row>
    <row r="871" spans="8:48" ht="14.25" customHeight="1" x14ac:dyDescent="0.35">
      <c r="H871" s="15"/>
      <c r="K871" s="15"/>
      <c r="N871" s="15"/>
      <c r="Q871" s="13"/>
      <c r="R871" s="13"/>
      <c r="S871" s="13"/>
      <c r="T871" s="13"/>
      <c r="U871" s="13"/>
      <c r="X871" s="15"/>
      <c r="AF871" s="19"/>
      <c r="AJ871" s="35"/>
      <c r="AK871" s="36"/>
      <c r="AN871" s="25"/>
      <c r="AO871" s="26"/>
      <c r="AP871" s="40"/>
      <c r="AQ871" s="26"/>
      <c r="AR871" s="26"/>
      <c r="AS871" s="26"/>
      <c r="AT871" s="25"/>
      <c r="AU871" s="30"/>
      <c r="AV871" s="31"/>
    </row>
    <row r="872" spans="8:48" ht="14.25" customHeight="1" x14ac:dyDescent="0.35">
      <c r="H872" s="15"/>
      <c r="K872" s="15"/>
      <c r="N872" s="15"/>
      <c r="Q872" s="13"/>
      <c r="R872" s="13"/>
      <c r="S872" s="13"/>
      <c r="T872" s="13"/>
      <c r="U872" s="13"/>
      <c r="X872" s="15"/>
      <c r="AF872" s="19"/>
      <c r="AJ872" s="35"/>
      <c r="AK872" s="36"/>
      <c r="AN872" s="25"/>
      <c r="AO872" s="26"/>
      <c r="AP872" s="40"/>
      <c r="AQ872" s="26"/>
      <c r="AR872" s="26"/>
      <c r="AS872" s="26"/>
      <c r="AT872" s="25"/>
      <c r="AU872" s="30"/>
      <c r="AV872" s="31"/>
    </row>
    <row r="873" spans="8:48" ht="14.25" customHeight="1" x14ac:dyDescent="0.35">
      <c r="H873" s="15"/>
      <c r="K873" s="15"/>
      <c r="N873" s="15"/>
      <c r="Q873" s="13"/>
      <c r="R873" s="13"/>
      <c r="S873" s="13"/>
      <c r="T873" s="13"/>
      <c r="U873" s="13"/>
      <c r="X873" s="15"/>
      <c r="AF873" s="19"/>
      <c r="AJ873" s="35"/>
      <c r="AK873" s="36"/>
      <c r="AN873" s="25"/>
      <c r="AO873" s="26"/>
      <c r="AP873" s="40"/>
      <c r="AQ873" s="26"/>
      <c r="AR873" s="26"/>
      <c r="AS873" s="26"/>
      <c r="AT873" s="25"/>
      <c r="AU873" s="30"/>
      <c r="AV873" s="31"/>
    </row>
    <row r="874" spans="8:48" ht="14.25" customHeight="1" x14ac:dyDescent="0.35">
      <c r="H874" s="15"/>
      <c r="K874" s="15"/>
      <c r="N874" s="15"/>
      <c r="Q874" s="13"/>
      <c r="R874" s="13"/>
      <c r="S874" s="13"/>
      <c r="T874" s="13"/>
      <c r="U874" s="13"/>
      <c r="X874" s="15"/>
      <c r="AF874" s="19"/>
      <c r="AJ874" s="35"/>
      <c r="AK874" s="36"/>
      <c r="AN874" s="25"/>
      <c r="AO874" s="26"/>
      <c r="AP874" s="40"/>
      <c r="AQ874" s="26"/>
      <c r="AR874" s="26"/>
      <c r="AS874" s="26"/>
      <c r="AT874" s="25"/>
      <c r="AU874" s="30"/>
      <c r="AV874" s="31"/>
    </row>
    <row r="875" spans="8:48" ht="14.25" customHeight="1" x14ac:dyDescent="0.35">
      <c r="H875" s="15"/>
      <c r="K875" s="15"/>
      <c r="N875" s="15"/>
      <c r="Q875" s="13"/>
      <c r="R875" s="13"/>
      <c r="S875" s="13"/>
      <c r="T875" s="13"/>
      <c r="U875" s="13"/>
      <c r="X875" s="15"/>
      <c r="AF875" s="19"/>
      <c r="AJ875" s="35"/>
      <c r="AK875" s="36"/>
      <c r="AN875" s="25"/>
      <c r="AO875" s="26"/>
      <c r="AP875" s="40"/>
      <c r="AQ875" s="26"/>
      <c r="AR875" s="26"/>
      <c r="AS875" s="26"/>
      <c r="AT875" s="25"/>
      <c r="AU875" s="30"/>
      <c r="AV875" s="31"/>
    </row>
    <row r="876" spans="8:48" ht="14.25" customHeight="1" x14ac:dyDescent="0.35">
      <c r="H876" s="15"/>
      <c r="K876" s="15"/>
      <c r="N876" s="15"/>
      <c r="Q876" s="13"/>
      <c r="R876" s="13"/>
      <c r="S876" s="13"/>
      <c r="T876" s="13"/>
      <c r="U876" s="13"/>
      <c r="X876" s="15"/>
      <c r="AF876" s="19"/>
      <c r="AJ876" s="35"/>
      <c r="AK876" s="36"/>
      <c r="AN876" s="25"/>
      <c r="AO876" s="26"/>
      <c r="AP876" s="40"/>
      <c r="AQ876" s="26"/>
      <c r="AR876" s="26"/>
      <c r="AS876" s="26"/>
      <c r="AT876" s="25"/>
      <c r="AU876" s="30"/>
      <c r="AV876" s="31"/>
    </row>
    <row r="877" spans="8:48" ht="14.25" customHeight="1" x14ac:dyDescent="0.35">
      <c r="H877" s="15"/>
      <c r="K877" s="15"/>
      <c r="N877" s="15"/>
      <c r="Q877" s="13"/>
      <c r="R877" s="13"/>
      <c r="S877" s="13"/>
      <c r="T877" s="13"/>
      <c r="U877" s="13"/>
      <c r="X877" s="15"/>
      <c r="AF877" s="19"/>
      <c r="AJ877" s="35"/>
      <c r="AK877" s="36"/>
      <c r="AN877" s="25"/>
      <c r="AO877" s="26"/>
      <c r="AP877" s="40"/>
      <c r="AQ877" s="26"/>
      <c r="AR877" s="26"/>
      <c r="AS877" s="26"/>
      <c r="AT877" s="25"/>
      <c r="AU877" s="30"/>
      <c r="AV877" s="31"/>
    </row>
    <row r="878" spans="8:48" ht="14.25" customHeight="1" x14ac:dyDescent="0.35">
      <c r="H878" s="15"/>
      <c r="K878" s="15"/>
      <c r="N878" s="15"/>
      <c r="Q878" s="13"/>
      <c r="R878" s="13"/>
      <c r="S878" s="13"/>
      <c r="T878" s="13"/>
      <c r="U878" s="13"/>
      <c r="X878" s="15"/>
      <c r="AF878" s="19"/>
      <c r="AJ878" s="35"/>
      <c r="AK878" s="36"/>
      <c r="AN878" s="25"/>
      <c r="AO878" s="26"/>
      <c r="AP878" s="40"/>
      <c r="AQ878" s="26"/>
      <c r="AR878" s="26"/>
      <c r="AS878" s="26"/>
      <c r="AT878" s="25"/>
      <c r="AU878" s="30"/>
      <c r="AV878" s="31"/>
    </row>
    <row r="879" spans="8:48" ht="14.25" customHeight="1" x14ac:dyDescent="0.35">
      <c r="H879" s="15"/>
      <c r="K879" s="15"/>
      <c r="N879" s="15"/>
      <c r="Q879" s="13"/>
      <c r="R879" s="13"/>
      <c r="S879" s="13"/>
      <c r="T879" s="13"/>
      <c r="U879" s="13"/>
      <c r="X879" s="15"/>
      <c r="AF879" s="19"/>
      <c r="AJ879" s="35"/>
      <c r="AK879" s="36"/>
      <c r="AN879" s="25"/>
      <c r="AO879" s="26"/>
      <c r="AP879" s="40"/>
      <c r="AQ879" s="26"/>
      <c r="AR879" s="26"/>
      <c r="AS879" s="26"/>
      <c r="AT879" s="25"/>
      <c r="AU879" s="30"/>
      <c r="AV879" s="31"/>
    </row>
    <row r="880" spans="8:48" ht="14.25" customHeight="1" x14ac:dyDescent="0.35">
      <c r="H880" s="15"/>
      <c r="K880" s="15"/>
      <c r="N880" s="15"/>
      <c r="Q880" s="13"/>
      <c r="R880" s="13"/>
      <c r="S880" s="13"/>
      <c r="T880" s="13"/>
      <c r="U880" s="13"/>
      <c r="X880" s="15"/>
      <c r="AF880" s="19"/>
      <c r="AJ880" s="35"/>
      <c r="AK880" s="36"/>
      <c r="AN880" s="25"/>
      <c r="AO880" s="26"/>
      <c r="AP880" s="40"/>
      <c r="AQ880" s="26"/>
      <c r="AR880" s="26"/>
      <c r="AS880" s="26"/>
      <c r="AT880" s="25"/>
      <c r="AU880" s="30"/>
      <c r="AV880" s="31"/>
    </row>
    <row r="881" spans="8:48" ht="14.25" customHeight="1" x14ac:dyDescent="0.35">
      <c r="H881" s="15"/>
      <c r="K881" s="15"/>
      <c r="N881" s="15"/>
      <c r="Q881" s="13"/>
      <c r="R881" s="13"/>
      <c r="S881" s="13"/>
      <c r="T881" s="13"/>
      <c r="U881" s="13"/>
      <c r="X881" s="15"/>
      <c r="AF881" s="19"/>
      <c r="AJ881" s="35"/>
      <c r="AK881" s="36"/>
      <c r="AN881" s="25"/>
      <c r="AO881" s="26"/>
      <c r="AP881" s="40"/>
      <c r="AQ881" s="26"/>
      <c r="AR881" s="26"/>
      <c r="AS881" s="26"/>
      <c r="AT881" s="25"/>
      <c r="AU881" s="30"/>
      <c r="AV881" s="31"/>
    </row>
    <row r="882" spans="8:48" ht="14.25" customHeight="1" x14ac:dyDescent="0.35">
      <c r="H882" s="15"/>
      <c r="K882" s="15"/>
      <c r="N882" s="15"/>
      <c r="Q882" s="13"/>
      <c r="R882" s="13"/>
      <c r="S882" s="13"/>
      <c r="T882" s="13"/>
      <c r="U882" s="13"/>
      <c r="X882" s="15"/>
      <c r="AF882" s="19"/>
      <c r="AJ882" s="35"/>
      <c r="AK882" s="36"/>
      <c r="AN882" s="25"/>
      <c r="AO882" s="26"/>
      <c r="AP882" s="40"/>
      <c r="AQ882" s="26"/>
      <c r="AR882" s="26"/>
      <c r="AS882" s="26"/>
      <c r="AT882" s="25"/>
      <c r="AU882" s="30"/>
      <c r="AV882" s="31"/>
    </row>
    <row r="883" spans="8:48" ht="14.25" customHeight="1" x14ac:dyDescent="0.35">
      <c r="H883" s="15"/>
      <c r="K883" s="15"/>
      <c r="N883" s="15"/>
      <c r="Q883" s="13"/>
      <c r="R883" s="13"/>
      <c r="S883" s="13"/>
      <c r="T883" s="13"/>
      <c r="U883" s="13"/>
      <c r="X883" s="15"/>
      <c r="AF883" s="19"/>
      <c r="AJ883" s="35"/>
      <c r="AK883" s="36"/>
      <c r="AN883" s="25"/>
      <c r="AO883" s="26"/>
      <c r="AP883" s="40"/>
      <c r="AQ883" s="26"/>
      <c r="AR883" s="26"/>
      <c r="AS883" s="26"/>
      <c r="AT883" s="25"/>
      <c r="AU883" s="30"/>
      <c r="AV883" s="31"/>
    </row>
    <row r="884" spans="8:48" ht="14.25" customHeight="1" x14ac:dyDescent="0.35">
      <c r="H884" s="15"/>
      <c r="K884" s="15"/>
      <c r="N884" s="15"/>
      <c r="Q884" s="13"/>
      <c r="R884" s="13"/>
      <c r="S884" s="13"/>
      <c r="T884" s="13"/>
      <c r="U884" s="13"/>
      <c r="X884" s="15"/>
      <c r="AF884" s="19"/>
      <c r="AJ884" s="35"/>
      <c r="AK884" s="36"/>
      <c r="AN884" s="25"/>
      <c r="AO884" s="26"/>
      <c r="AP884" s="40"/>
      <c r="AQ884" s="26"/>
      <c r="AR884" s="26"/>
      <c r="AS884" s="26"/>
      <c r="AT884" s="25"/>
      <c r="AU884" s="30"/>
      <c r="AV884" s="31"/>
    </row>
    <row r="885" spans="8:48" ht="14.25" customHeight="1" x14ac:dyDescent="0.35">
      <c r="H885" s="15"/>
      <c r="K885" s="15"/>
      <c r="N885" s="15"/>
      <c r="Q885" s="13"/>
      <c r="R885" s="13"/>
      <c r="S885" s="13"/>
      <c r="T885" s="13"/>
      <c r="U885" s="13"/>
      <c r="X885" s="15"/>
      <c r="AF885" s="19"/>
      <c r="AJ885" s="35"/>
      <c r="AK885" s="36"/>
      <c r="AN885" s="25"/>
      <c r="AO885" s="26"/>
      <c r="AP885" s="40"/>
      <c r="AQ885" s="26"/>
      <c r="AR885" s="26"/>
      <c r="AS885" s="26"/>
      <c r="AT885" s="25"/>
      <c r="AU885" s="30"/>
      <c r="AV885" s="31"/>
    </row>
    <row r="886" spans="8:48" ht="14.25" customHeight="1" x14ac:dyDescent="0.35">
      <c r="H886" s="15"/>
      <c r="K886" s="15"/>
      <c r="N886" s="15"/>
      <c r="Q886" s="13"/>
      <c r="R886" s="13"/>
      <c r="S886" s="13"/>
      <c r="T886" s="13"/>
      <c r="U886" s="13"/>
      <c r="X886" s="15"/>
      <c r="AF886" s="19"/>
      <c r="AJ886" s="35"/>
      <c r="AK886" s="36"/>
      <c r="AN886" s="25"/>
      <c r="AO886" s="26"/>
      <c r="AP886" s="40"/>
      <c r="AQ886" s="26"/>
      <c r="AR886" s="26"/>
      <c r="AS886" s="26"/>
      <c r="AT886" s="25"/>
      <c r="AU886" s="30"/>
      <c r="AV886" s="31"/>
    </row>
    <row r="887" spans="8:48" ht="14.25" customHeight="1" x14ac:dyDescent="0.35">
      <c r="H887" s="15"/>
      <c r="K887" s="15"/>
      <c r="N887" s="15"/>
      <c r="Q887" s="13"/>
      <c r="R887" s="13"/>
      <c r="S887" s="13"/>
      <c r="T887" s="13"/>
      <c r="U887" s="13"/>
      <c r="X887" s="15"/>
      <c r="AF887" s="19"/>
      <c r="AJ887" s="35"/>
      <c r="AK887" s="36"/>
      <c r="AN887" s="25"/>
      <c r="AO887" s="26"/>
      <c r="AP887" s="40"/>
      <c r="AQ887" s="26"/>
      <c r="AR887" s="26"/>
      <c r="AS887" s="26"/>
      <c r="AT887" s="25"/>
      <c r="AU887" s="30"/>
      <c r="AV887" s="31"/>
    </row>
    <row r="888" spans="8:48" ht="14.25" customHeight="1" x14ac:dyDescent="0.35">
      <c r="H888" s="15"/>
      <c r="K888" s="15"/>
      <c r="N888" s="15"/>
      <c r="Q888" s="13"/>
      <c r="R888" s="13"/>
      <c r="S888" s="13"/>
      <c r="T888" s="13"/>
      <c r="U888" s="13"/>
      <c r="X888" s="15"/>
      <c r="AF888" s="19"/>
      <c r="AJ888" s="35"/>
      <c r="AK888" s="36"/>
      <c r="AN888" s="25"/>
      <c r="AO888" s="26"/>
      <c r="AP888" s="40"/>
      <c r="AQ888" s="26"/>
      <c r="AR888" s="26"/>
      <c r="AS888" s="26"/>
      <c r="AT888" s="25"/>
      <c r="AU888" s="30"/>
      <c r="AV888" s="31"/>
    </row>
    <row r="889" spans="8:48" ht="14.25" customHeight="1" x14ac:dyDescent="0.35">
      <c r="H889" s="15"/>
      <c r="K889" s="15"/>
      <c r="N889" s="15"/>
      <c r="Q889" s="13"/>
      <c r="R889" s="13"/>
      <c r="S889" s="13"/>
      <c r="T889" s="13"/>
      <c r="U889" s="13"/>
      <c r="X889" s="15"/>
      <c r="AF889" s="19"/>
      <c r="AJ889" s="35"/>
      <c r="AK889" s="36"/>
      <c r="AN889" s="25"/>
      <c r="AO889" s="26"/>
      <c r="AP889" s="40"/>
      <c r="AQ889" s="26"/>
      <c r="AR889" s="26"/>
      <c r="AS889" s="26"/>
      <c r="AT889" s="25"/>
      <c r="AU889" s="30"/>
      <c r="AV889" s="31"/>
    </row>
    <row r="890" spans="8:48" ht="14.25" customHeight="1" x14ac:dyDescent="0.35">
      <c r="H890" s="15"/>
      <c r="K890" s="15"/>
      <c r="N890" s="15"/>
      <c r="Q890" s="13"/>
      <c r="R890" s="13"/>
      <c r="S890" s="13"/>
      <c r="T890" s="13"/>
      <c r="U890" s="13"/>
      <c r="X890" s="15"/>
      <c r="AF890" s="19"/>
      <c r="AJ890" s="35"/>
      <c r="AK890" s="36"/>
      <c r="AN890" s="25"/>
      <c r="AO890" s="26"/>
      <c r="AP890" s="40"/>
      <c r="AQ890" s="26"/>
      <c r="AR890" s="26"/>
      <c r="AS890" s="26"/>
      <c r="AT890" s="25"/>
      <c r="AU890" s="30"/>
      <c r="AV890" s="31"/>
    </row>
    <row r="891" spans="8:48" ht="14.25" customHeight="1" x14ac:dyDescent="0.35">
      <c r="H891" s="15"/>
      <c r="K891" s="15"/>
      <c r="N891" s="15"/>
      <c r="Q891" s="13"/>
      <c r="R891" s="13"/>
      <c r="S891" s="13"/>
      <c r="T891" s="13"/>
      <c r="U891" s="13"/>
      <c r="X891" s="15"/>
      <c r="AF891" s="19"/>
      <c r="AJ891" s="35"/>
      <c r="AK891" s="36"/>
      <c r="AN891" s="25"/>
      <c r="AO891" s="26"/>
      <c r="AP891" s="40"/>
      <c r="AQ891" s="26"/>
      <c r="AR891" s="26"/>
      <c r="AS891" s="26"/>
      <c r="AT891" s="25"/>
      <c r="AU891" s="30"/>
      <c r="AV891" s="31"/>
    </row>
    <row r="892" spans="8:48" ht="14.25" customHeight="1" x14ac:dyDescent="0.35">
      <c r="H892" s="15"/>
      <c r="K892" s="15"/>
      <c r="N892" s="15"/>
      <c r="Q892" s="13"/>
      <c r="R892" s="13"/>
      <c r="S892" s="13"/>
      <c r="T892" s="13"/>
      <c r="U892" s="13"/>
      <c r="X892" s="15"/>
      <c r="AF892" s="19"/>
      <c r="AJ892" s="35"/>
      <c r="AK892" s="36"/>
      <c r="AN892" s="25"/>
      <c r="AO892" s="26"/>
      <c r="AP892" s="40"/>
      <c r="AQ892" s="26"/>
      <c r="AR892" s="26"/>
      <c r="AS892" s="26"/>
      <c r="AT892" s="25"/>
      <c r="AU892" s="30"/>
      <c r="AV892" s="31"/>
    </row>
    <row r="893" spans="8:48" ht="14.25" customHeight="1" x14ac:dyDescent="0.35">
      <c r="H893" s="15"/>
      <c r="K893" s="15"/>
      <c r="N893" s="15"/>
      <c r="Q893" s="13"/>
      <c r="R893" s="13"/>
      <c r="S893" s="13"/>
      <c r="T893" s="13"/>
      <c r="U893" s="13"/>
      <c r="X893" s="15"/>
      <c r="AF893" s="19"/>
      <c r="AJ893" s="35"/>
      <c r="AK893" s="36"/>
      <c r="AN893" s="25"/>
      <c r="AO893" s="26"/>
      <c r="AP893" s="40"/>
      <c r="AQ893" s="26"/>
      <c r="AR893" s="26"/>
      <c r="AS893" s="26"/>
      <c r="AT893" s="25"/>
      <c r="AU893" s="30"/>
      <c r="AV893" s="31"/>
    </row>
    <row r="894" spans="8:48" ht="14.25" customHeight="1" x14ac:dyDescent="0.35">
      <c r="H894" s="15"/>
      <c r="K894" s="15"/>
      <c r="N894" s="15"/>
      <c r="Q894" s="13"/>
      <c r="R894" s="13"/>
      <c r="S894" s="13"/>
      <c r="T894" s="13"/>
      <c r="U894" s="13"/>
      <c r="X894" s="15"/>
      <c r="AF894" s="19"/>
      <c r="AJ894" s="35"/>
      <c r="AK894" s="36"/>
      <c r="AN894" s="25"/>
      <c r="AO894" s="26"/>
      <c r="AP894" s="40"/>
      <c r="AQ894" s="26"/>
      <c r="AR894" s="26"/>
      <c r="AS894" s="26"/>
      <c r="AT894" s="25"/>
      <c r="AU894" s="30"/>
      <c r="AV894" s="31"/>
    </row>
    <row r="895" spans="8:48" ht="14.25" customHeight="1" x14ac:dyDescent="0.35">
      <c r="H895" s="15"/>
      <c r="K895" s="15"/>
      <c r="N895" s="15"/>
      <c r="Q895" s="13"/>
      <c r="R895" s="13"/>
      <c r="S895" s="13"/>
      <c r="T895" s="13"/>
      <c r="U895" s="13"/>
      <c r="X895" s="15"/>
      <c r="AF895" s="19"/>
      <c r="AJ895" s="35"/>
      <c r="AK895" s="36"/>
      <c r="AN895" s="25"/>
      <c r="AO895" s="26"/>
      <c r="AP895" s="40"/>
      <c r="AQ895" s="26"/>
      <c r="AR895" s="26"/>
      <c r="AS895" s="26"/>
      <c r="AT895" s="25"/>
      <c r="AU895" s="30"/>
      <c r="AV895" s="31"/>
    </row>
    <row r="896" spans="8:48" ht="14.25" customHeight="1" x14ac:dyDescent="0.35">
      <c r="H896" s="15"/>
      <c r="K896" s="15"/>
      <c r="N896" s="15"/>
      <c r="Q896" s="13"/>
      <c r="R896" s="13"/>
      <c r="S896" s="13"/>
      <c r="T896" s="13"/>
      <c r="U896" s="13"/>
      <c r="X896" s="15"/>
      <c r="AF896" s="19"/>
      <c r="AJ896" s="35"/>
      <c r="AK896" s="36"/>
      <c r="AN896" s="25"/>
      <c r="AO896" s="26"/>
      <c r="AP896" s="40"/>
      <c r="AQ896" s="26"/>
      <c r="AR896" s="26"/>
      <c r="AS896" s="26"/>
      <c r="AT896" s="25"/>
      <c r="AU896" s="30"/>
      <c r="AV896" s="31"/>
    </row>
    <row r="897" spans="8:48" ht="14.25" customHeight="1" x14ac:dyDescent="0.35">
      <c r="H897" s="15"/>
      <c r="K897" s="15"/>
      <c r="N897" s="15"/>
      <c r="Q897" s="13"/>
      <c r="R897" s="13"/>
      <c r="S897" s="13"/>
      <c r="T897" s="13"/>
      <c r="U897" s="13"/>
      <c r="X897" s="15"/>
      <c r="AF897" s="19"/>
      <c r="AJ897" s="35"/>
      <c r="AK897" s="36"/>
      <c r="AN897" s="25"/>
      <c r="AO897" s="26"/>
      <c r="AP897" s="40"/>
      <c r="AQ897" s="26"/>
      <c r="AR897" s="26"/>
      <c r="AS897" s="26"/>
      <c r="AT897" s="25"/>
      <c r="AU897" s="30"/>
      <c r="AV897" s="31"/>
    </row>
    <row r="898" spans="8:48" ht="14.25" customHeight="1" x14ac:dyDescent="0.35">
      <c r="H898" s="15"/>
      <c r="K898" s="15"/>
      <c r="N898" s="15"/>
      <c r="Q898" s="13"/>
      <c r="R898" s="13"/>
      <c r="S898" s="13"/>
      <c r="T898" s="13"/>
      <c r="U898" s="13"/>
      <c r="X898" s="15"/>
      <c r="AF898" s="19"/>
      <c r="AJ898" s="35"/>
      <c r="AK898" s="36"/>
      <c r="AN898" s="25"/>
      <c r="AO898" s="26"/>
      <c r="AP898" s="40"/>
      <c r="AQ898" s="26"/>
      <c r="AR898" s="26"/>
      <c r="AS898" s="26"/>
      <c r="AT898" s="25"/>
      <c r="AU898" s="30"/>
      <c r="AV898" s="31"/>
    </row>
    <row r="899" spans="8:48" ht="14.25" customHeight="1" x14ac:dyDescent="0.35">
      <c r="H899" s="15"/>
      <c r="K899" s="15"/>
      <c r="N899" s="15"/>
      <c r="Q899" s="13"/>
      <c r="R899" s="13"/>
      <c r="S899" s="13"/>
      <c r="T899" s="13"/>
      <c r="U899" s="13"/>
      <c r="X899" s="15"/>
      <c r="AF899" s="19"/>
      <c r="AJ899" s="35"/>
      <c r="AK899" s="36"/>
      <c r="AN899" s="25"/>
      <c r="AO899" s="26"/>
      <c r="AP899" s="40"/>
      <c r="AQ899" s="26"/>
      <c r="AR899" s="26"/>
      <c r="AS899" s="26"/>
      <c r="AT899" s="25"/>
      <c r="AU899" s="30"/>
      <c r="AV899" s="31"/>
    </row>
    <row r="900" spans="8:48" ht="14.25" customHeight="1" x14ac:dyDescent="0.35">
      <c r="H900" s="15"/>
      <c r="K900" s="15"/>
      <c r="N900" s="15"/>
      <c r="Q900" s="13"/>
      <c r="R900" s="13"/>
      <c r="S900" s="13"/>
      <c r="T900" s="13"/>
      <c r="U900" s="13"/>
      <c r="X900" s="15"/>
      <c r="AF900" s="19"/>
      <c r="AJ900" s="35"/>
      <c r="AK900" s="36"/>
      <c r="AN900" s="25"/>
      <c r="AO900" s="26"/>
      <c r="AP900" s="40"/>
      <c r="AQ900" s="26"/>
      <c r="AR900" s="26"/>
      <c r="AS900" s="26"/>
      <c r="AT900" s="25"/>
      <c r="AU900" s="30"/>
      <c r="AV900" s="31"/>
    </row>
    <row r="901" spans="8:48" ht="14.25" customHeight="1" x14ac:dyDescent="0.35">
      <c r="H901" s="15"/>
      <c r="K901" s="15"/>
      <c r="N901" s="15"/>
      <c r="Q901" s="13"/>
      <c r="R901" s="13"/>
      <c r="S901" s="13"/>
      <c r="T901" s="13"/>
      <c r="U901" s="13"/>
      <c r="X901" s="15"/>
      <c r="AF901" s="19"/>
      <c r="AJ901" s="35"/>
      <c r="AK901" s="36"/>
      <c r="AN901" s="25"/>
      <c r="AO901" s="26"/>
      <c r="AP901" s="40"/>
      <c r="AQ901" s="26"/>
      <c r="AR901" s="26"/>
      <c r="AS901" s="26"/>
      <c r="AT901" s="25"/>
      <c r="AU901" s="30"/>
      <c r="AV901" s="31"/>
    </row>
    <row r="902" spans="8:48" ht="14.25" customHeight="1" x14ac:dyDescent="0.35">
      <c r="H902" s="15"/>
      <c r="K902" s="15"/>
      <c r="N902" s="15"/>
      <c r="Q902" s="13"/>
      <c r="R902" s="13"/>
      <c r="S902" s="13"/>
      <c r="T902" s="13"/>
      <c r="U902" s="13"/>
      <c r="X902" s="15"/>
      <c r="AF902" s="19"/>
      <c r="AJ902" s="35"/>
      <c r="AK902" s="36"/>
      <c r="AN902" s="25"/>
      <c r="AO902" s="26"/>
      <c r="AP902" s="40"/>
      <c r="AQ902" s="26"/>
      <c r="AR902" s="26"/>
      <c r="AS902" s="26"/>
      <c r="AT902" s="25"/>
      <c r="AU902" s="30"/>
      <c r="AV902" s="31"/>
    </row>
    <row r="903" spans="8:48" ht="14.25" customHeight="1" x14ac:dyDescent="0.35">
      <c r="H903" s="15"/>
      <c r="K903" s="15"/>
      <c r="N903" s="15"/>
      <c r="Q903" s="13"/>
      <c r="R903" s="13"/>
      <c r="S903" s="13"/>
      <c r="T903" s="13"/>
      <c r="U903" s="13"/>
      <c r="X903" s="15"/>
      <c r="AF903" s="19"/>
      <c r="AJ903" s="35"/>
      <c r="AK903" s="36"/>
      <c r="AN903" s="25"/>
      <c r="AO903" s="26"/>
      <c r="AP903" s="40"/>
      <c r="AQ903" s="26"/>
      <c r="AR903" s="26"/>
      <c r="AS903" s="26"/>
      <c r="AT903" s="25"/>
      <c r="AU903" s="30"/>
      <c r="AV903" s="31"/>
    </row>
    <row r="904" spans="8:48" ht="14.25" customHeight="1" x14ac:dyDescent="0.35">
      <c r="H904" s="15"/>
      <c r="K904" s="15"/>
      <c r="N904" s="15"/>
      <c r="Q904" s="13"/>
      <c r="R904" s="13"/>
      <c r="S904" s="13"/>
      <c r="T904" s="13"/>
      <c r="U904" s="13"/>
      <c r="X904" s="15"/>
      <c r="AF904" s="19"/>
      <c r="AJ904" s="35"/>
      <c r="AK904" s="36"/>
      <c r="AN904" s="25"/>
      <c r="AO904" s="26"/>
      <c r="AP904" s="40"/>
      <c r="AQ904" s="26"/>
      <c r="AR904" s="26"/>
      <c r="AS904" s="26"/>
      <c r="AT904" s="25"/>
      <c r="AU904" s="30"/>
      <c r="AV904" s="31"/>
    </row>
    <row r="905" spans="8:48" ht="14.25" customHeight="1" x14ac:dyDescent="0.35">
      <c r="H905" s="15"/>
      <c r="K905" s="15"/>
      <c r="N905" s="15"/>
      <c r="Q905" s="13"/>
      <c r="R905" s="13"/>
      <c r="S905" s="13"/>
      <c r="T905" s="13"/>
      <c r="U905" s="13"/>
      <c r="X905" s="15"/>
      <c r="AF905" s="19"/>
      <c r="AJ905" s="35"/>
      <c r="AK905" s="36"/>
      <c r="AN905" s="25"/>
      <c r="AO905" s="26"/>
      <c r="AP905" s="40"/>
      <c r="AQ905" s="26"/>
      <c r="AR905" s="26"/>
      <c r="AS905" s="26"/>
      <c r="AT905" s="25"/>
      <c r="AU905" s="30"/>
      <c r="AV905" s="31"/>
    </row>
    <row r="906" spans="8:48" ht="14.25" customHeight="1" x14ac:dyDescent="0.35">
      <c r="H906" s="15"/>
      <c r="K906" s="15"/>
      <c r="N906" s="15"/>
      <c r="Q906" s="13"/>
      <c r="R906" s="13"/>
      <c r="S906" s="13"/>
      <c r="T906" s="13"/>
      <c r="U906" s="13"/>
      <c r="X906" s="15"/>
      <c r="AF906" s="19"/>
      <c r="AJ906" s="35"/>
      <c r="AK906" s="36"/>
      <c r="AN906" s="25"/>
      <c r="AO906" s="26"/>
      <c r="AP906" s="40"/>
      <c r="AQ906" s="26"/>
      <c r="AR906" s="26"/>
      <c r="AS906" s="26"/>
      <c r="AT906" s="25"/>
      <c r="AU906" s="30"/>
      <c r="AV906" s="31"/>
    </row>
    <row r="907" spans="8:48" ht="14.25" customHeight="1" x14ac:dyDescent="0.35">
      <c r="H907" s="15"/>
      <c r="K907" s="15"/>
      <c r="N907" s="15"/>
      <c r="Q907" s="13"/>
      <c r="R907" s="13"/>
      <c r="S907" s="13"/>
      <c r="T907" s="13"/>
      <c r="U907" s="13"/>
      <c r="X907" s="15"/>
      <c r="AF907" s="19"/>
      <c r="AJ907" s="35"/>
      <c r="AK907" s="36"/>
      <c r="AN907" s="25"/>
      <c r="AO907" s="26"/>
      <c r="AP907" s="40"/>
      <c r="AQ907" s="26"/>
      <c r="AR907" s="26"/>
      <c r="AS907" s="26"/>
      <c r="AT907" s="25"/>
      <c r="AU907" s="30"/>
      <c r="AV907" s="31"/>
    </row>
    <row r="908" spans="8:48" ht="14.25" customHeight="1" x14ac:dyDescent="0.35">
      <c r="H908" s="15"/>
      <c r="K908" s="15"/>
      <c r="N908" s="15"/>
      <c r="Q908" s="13"/>
      <c r="R908" s="13"/>
      <c r="S908" s="13"/>
      <c r="T908" s="13"/>
      <c r="U908" s="13"/>
      <c r="X908" s="15"/>
      <c r="AF908" s="19"/>
      <c r="AJ908" s="35"/>
      <c r="AK908" s="36"/>
      <c r="AN908" s="25"/>
      <c r="AO908" s="26"/>
      <c r="AP908" s="40"/>
      <c r="AQ908" s="26"/>
      <c r="AR908" s="26"/>
      <c r="AS908" s="26"/>
      <c r="AT908" s="25"/>
      <c r="AU908" s="30"/>
      <c r="AV908" s="31"/>
    </row>
    <row r="909" spans="8:48" ht="14.25" customHeight="1" x14ac:dyDescent="0.35">
      <c r="H909" s="15"/>
      <c r="K909" s="15"/>
      <c r="N909" s="15"/>
      <c r="Q909" s="13"/>
      <c r="R909" s="13"/>
      <c r="S909" s="13"/>
      <c r="T909" s="13"/>
      <c r="U909" s="13"/>
      <c r="X909" s="15"/>
      <c r="AF909" s="19"/>
      <c r="AJ909" s="35"/>
      <c r="AK909" s="36"/>
      <c r="AN909" s="25"/>
      <c r="AO909" s="26"/>
      <c r="AP909" s="40"/>
      <c r="AQ909" s="26"/>
      <c r="AR909" s="26"/>
      <c r="AS909" s="26"/>
      <c r="AT909" s="25"/>
      <c r="AU909" s="30"/>
      <c r="AV909" s="31"/>
    </row>
    <row r="910" spans="8:48" ht="14.25" customHeight="1" x14ac:dyDescent="0.35">
      <c r="H910" s="15"/>
      <c r="K910" s="15"/>
      <c r="N910" s="15"/>
      <c r="Q910" s="13"/>
      <c r="R910" s="13"/>
      <c r="S910" s="13"/>
      <c r="T910" s="13"/>
      <c r="U910" s="13"/>
      <c r="X910" s="15"/>
      <c r="AF910" s="19"/>
      <c r="AJ910" s="35"/>
      <c r="AK910" s="36"/>
      <c r="AN910" s="25"/>
      <c r="AO910" s="26"/>
      <c r="AP910" s="40"/>
      <c r="AQ910" s="26"/>
      <c r="AR910" s="26"/>
      <c r="AS910" s="26"/>
      <c r="AT910" s="25"/>
      <c r="AU910" s="30"/>
      <c r="AV910" s="31"/>
    </row>
    <row r="911" spans="8:48" ht="14.25" customHeight="1" x14ac:dyDescent="0.35">
      <c r="H911" s="15"/>
      <c r="K911" s="15"/>
      <c r="N911" s="15"/>
      <c r="Q911" s="13"/>
      <c r="R911" s="13"/>
      <c r="S911" s="13"/>
      <c r="T911" s="13"/>
      <c r="U911" s="13"/>
      <c r="X911" s="15"/>
      <c r="AF911" s="19"/>
      <c r="AJ911" s="35"/>
      <c r="AK911" s="36"/>
      <c r="AN911" s="25"/>
      <c r="AO911" s="26"/>
      <c r="AP911" s="40"/>
      <c r="AQ911" s="26"/>
      <c r="AR911" s="26"/>
      <c r="AS911" s="26"/>
      <c r="AT911" s="25"/>
      <c r="AU911" s="30"/>
      <c r="AV911" s="31"/>
    </row>
    <row r="912" spans="8:48" ht="14.25" customHeight="1" x14ac:dyDescent="0.35">
      <c r="H912" s="15"/>
      <c r="K912" s="15"/>
      <c r="N912" s="15"/>
      <c r="Q912" s="13"/>
      <c r="R912" s="13"/>
      <c r="S912" s="13"/>
      <c r="T912" s="13"/>
      <c r="U912" s="13"/>
      <c r="X912" s="15"/>
      <c r="AF912" s="19"/>
      <c r="AJ912" s="35"/>
      <c r="AK912" s="36"/>
      <c r="AN912" s="25"/>
      <c r="AO912" s="26"/>
      <c r="AP912" s="40"/>
      <c r="AQ912" s="26"/>
      <c r="AR912" s="26"/>
      <c r="AS912" s="26"/>
      <c r="AT912" s="25"/>
      <c r="AU912" s="30"/>
      <c r="AV912" s="31"/>
    </row>
    <row r="913" spans="8:48" ht="14.25" customHeight="1" x14ac:dyDescent="0.35">
      <c r="H913" s="15"/>
      <c r="K913" s="15"/>
      <c r="N913" s="15"/>
      <c r="Q913" s="13"/>
      <c r="R913" s="13"/>
      <c r="S913" s="13"/>
      <c r="T913" s="13"/>
      <c r="U913" s="13"/>
      <c r="X913" s="15"/>
      <c r="AF913" s="19"/>
      <c r="AJ913" s="35"/>
      <c r="AK913" s="36"/>
      <c r="AN913" s="25"/>
      <c r="AO913" s="26"/>
      <c r="AP913" s="40"/>
      <c r="AQ913" s="26"/>
      <c r="AR913" s="26"/>
      <c r="AS913" s="26"/>
      <c r="AT913" s="25"/>
      <c r="AU913" s="30"/>
      <c r="AV913" s="31"/>
    </row>
    <row r="914" spans="8:48" ht="14.25" customHeight="1" x14ac:dyDescent="0.35">
      <c r="H914" s="15"/>
      <c r="K914" s="15"/>
      <c r="N914" s="15"/>
      <c r="Q914" s="13"/>
      <c r="R914" s="13"/>
      <c r="S914" s="13"/>
      <c r="T914" s="13"/>
      <c r="U914" s="13"/>
      <c r="X914" s="15"/>
      <c r="AF914" s="19"/>
      <c r="AJ914" s="35"/>
      <c r="AK914" s="36"/>
      <c r="AN914" s="25"/>
      <c r="AO914" s="26"/>
      <c r="AP914" s="40"/>
      <c r="AQ914" s="26"/>
      <c r="AR914" s="26"/>
      <c r="AS914" s="26"/>
      <c r="AT914" s="25"/>
      <c r="AU914" s="30"/>
      <c r="AV914" s="31"/>
    </row>
    <row r="915" spans="8:48" ht="14.25" customHeight="1" x14ac:dyDescent="0.35">
      <c r="H915" s="15"/>
      <c r="K915" s="15"/>
      <c r="N915" s="15"/>
      <c r="Q915" s="13"/>
      <c r="R915" s="13"/>
      <c r="S915" s="13"/>
      <c r="T915" s="13"/>
      <c r="U915" s="13"/>
      <c r="X915" s="15"/>
      <c r="AF915" s="19"/>
      <c r="AJ915" s="35"/>
      <c r="AK915" s="36"/>
      <c r="AN915" s="25"/>
      <c r="AO915" s="26"/>
      <c r="AP915" s="40"/>
      <c r="AQ915" s="26"/>
      <c r="AR915" s="26"/>
      <c r="AS915" s="26"/>
      <c r="AT915" s="25"/>
      <c r="AU915" s="30"/>
      <c r="AV915" s="31"/>
    </row>
    <row r="916" spans="8:48" ht="14.25" customHeight="1" x14ac:dyDescent="0.35">
      <c r="H916" s="15"/>
      <c r="K916" s="15"/>
      <c r="N916" s="15"/>
      <c r="Q916" s="13"/>
      <c r="R916" s="13"/>
      <c r="S916" s="13"/>
      <c r="T916" s="13"/>
      <c r="U916" s="13"/>
      <c r="X916" s="15"/>
      <c r="AF916" s="19"/>
      <c r="AJ916" s="35"/>
      <c r="AK916" s="36"/>
      <c r="AN916" s="25"/>
      <c r="AO916" s="26"/>
      <c r="AP916" s="40"/>
      <c r="AQ916" s="26"/>
      <c r="AR916" s="26"/>
      <c r="AS916" s="26"/>
      <c r="AT916" s="25"/>
      <c r="AU916" s="30"/>
      <c r="AV916" s="31"/>
    </row>
    <row r="917" spans="8:48" ht="14.25" customHeight="1" x14ac:dyDescent="0.35">
      <c r="H917" s="15"/>
      <c r="K917" s="15"/>
      <c r="N917" s="15"/>
      <c r="Q917" s="13"/>
      <c r="R917" s="13"/>
      <c r="S917" s="13"/>
      <c r="T917" s="13"/>
      <c r="U917" s="13"/>
      <c r="X917" s="15"/>
      <c r="AF917" s="19"/>
      <c r="AJ917" s="35"/>
      <c r="AK917" s="36"/>
      <c r="AN917" s="25"/>
      <c r="AO917" s="26"/>
      <c r="AP917" s="40"/>
      <c r="AQ917" s="26"/>
      <c r="AR917" s="26"/>
      <c r="AS917" s="26"/>
      <c r="AT917" s="25"/>
      <c r="AU917" s="30"/>
      <c r="AV917" s="31"/>
    </row>
    <row r="918" spans="8:48" ht="14.25" customHeight="1" x14ac:dyDescent="0.35">
      <c r="H918" s="15"/>
      <c r="K918" s="15"/>
      <c r="N918" s="15"/>
      <c r="Q918" s="13"/>
      <c r="R918" s="13"/>
      <c r="S918" s="13"/>
      <c r="T918" s="13"/>
      <c r="U918" s="13"/>
      <c r="X918" s="15"/>
      <c r="AF918" s="19"/>
      <c r="AJ918" s="35"/>
      <c r="AK918" s="36"/>
      <c r="AN918" s="25"/>
      <c r="AO918" s="26"/>
      <c r="AP918" s="40"/>
      <c r="AQ918" s="26"/>
      <c r="AR918" s="26"/>
      <c r="AS918" s="26"/>
      <c r="AT918" s="25"/>
      <c r="AU918" s="30"/>
      <c r="AV918" s="31"/>
    </row>
    <row r="919" spans="8:48" ht="14.25" customHeight="1" x14ac:dyDescent="0.35">
      <c r="H919" s="15"/>
      <c r="K919" s="15"/>
      <c r="N919" s="15"/>
      <c r="Q919" s="13"/>
      <c r="R919" s="13"/>
      <c r="S919" s="13"/>
      <c r="T919" s="13"/>
      <c r="U919" s="13"/>
      <c r="X919" s="15"/>
      <c r="AF919" s="19"/>
      <c r="AJ919" s="35"/>
      <c r="AK919" s="36"/>
      <c r="AN919" s="25"/>
      <c r="AO919" s="26"/>
      <c r="AP919" s="40"/>
      <c r="AQ919" s="26"/>
      <c r="AR919" s="26"/>
      <c r="AS919" s="26"/>
      <c r="AT919" s="25"/>
      <c r="AU919" s="30"/>
      <c r="AV919" s="31"/>
    </row>
    <row r="920" spans="8:48" ht="14.25" customHeight="1" x14ac:dyDescent="0.35">
      <c r="H920" s="15"/>
      <c r="K920" s="15"/>
      <c r="N920" s="15"/>
      <c r="Q920" s="13"/>
      <c r="R920" s="13"/>
      <c r="S920" s="13"/>
      <c r="T920" s="13"/>
      <c r="U920" s="13"/>
      <c r="X920" s="15"/>
      <c r="AF920" s="19"/>
      <c r="AJ920" s="35"/>
      <c r="AK920" s="36"/>
      <c r="AN920" s="25"/>
      <c r="AO920" s="26"/>
      <c r="AP920" s="40"/>
      <c r="AQ920" s="26"/>
      <c r="AR920" s="26"/>
      <c r="AS920" s="26"/>
      <c r="AT920" s="25"/>
      <c r="AU920" s="30"/>
      <c r="AV920" s="31"/>
    </row>
    <row r="921" spans="8:48" ht="14.25" customHeight="1" x14ac:dyDescent="0.35">
      <c r="H921" s="15"/>
      <c r="K921" s="15"/>
      <c r="N921" s="15"/>
      <c r="Q921" s="13"/>
      <c r="R921" s="13"/>
      <c r="S921" s="13"/>
      <c r="T921" s="13"/>
      <c r="U921" s="13"/>
      <c r="X921" s="15"/>
      <c r="AF921" s="19"/>
      <c r="AJ921" s="35"/>
      <c r="AK921" s="36"/>
      <c r="AN921" s="25"/>
      <c r="AO921" s="26"/>
      <c r="AP921" s="40"/>
      <c r="AQ921" s="26"/>
      <c r="AR921" s="26"/>
      <c r="AS921" s="26"/>
      <c r="AT921" s="25"/>
      <c r="AU921" s="30"/>
      <c r="AV921" s="31"/>
    </row>
    <row r="922" spans="8:48" ht="14.25" customHeight="1" x14ac:dyDescent="0.35">
      <c r="H922" s="15"/>
      <c r="K922" s="15"/>
      <c r="N922" s="15"/>
      <c r="Q922" s="13"/>
      <c r="R922" s="13"/>
      <c r="S922" s="13"/>
      <c r="T922" s="13"/>
      <c r="U922" s="13"/>
      <c r="X922" s="15"/>
      <c r="AF922" s="19"/>
      <c r="AJ922" s="35"/>
      <c r="AK922" s="36"/>
      <c r="AN922" s="25"/>
      <c r="AO922" s="26"/>
      <c r="AP922" s="40"/>
      <c r="AQ922" s="26"/>
      <c r="AR922" s="26"/>
      <c r="AS922" s="26"/>
      <c r="AT922" s="25"/>
      <c r="AU922" s="30"/>
      <c r="AV922" s="31"/>
    </row>
    <row r="923" spans="8:48" ht="14.25" customHeight="1" x14ac:dyDescent="0.35">
      <c r="H923" s="15"/>
      <c r="K923" s="15"/>
      <c r="N923" s="15"/>
      <c r="Q923" s="13"/>
      <c r="R923" s="13"/>
      <c r="S923" s="13"/>
      <c r="T923" s="13"/>
      <c r="U923" s="13"/>
      <c r="X923" s="15"/>
      <c r="AF923" s="19"/>
      <c r="AJ923" s="35"/>
      <c r="AK923" s="36"/>
      <c r="AN923" s="25"/>
      <c r="AO923" s="26"/>
      <c r="AP923" s="40"/>
      <c r="AQ923" s="26"/>
      <c r="AR923" s="26"/>
      <c r="AS923" s="26"/>
      <c r="AT923" s="25"/>
      <c r="AU923" s="30"/>
      <c r="AV923" s="31"/>
    </row>
    <row r="924" spans="8:48" ht="14.25" customHeight="1" x14ac:dyDescent="0.35">
      <c r="H924" s="15"/>
      <c r="K924" s="15"/>
      <c r="N924" s="15"/>
      <c r="Q924" s="13"/>
      <c r="R924" s="13"/>
      <c r="S924" s="13"/>
      <c r="T924" s="13"/>
      <c r="U924" s="13"/>
      <c r="X924" s="15"/>
      <c r="AF924" s="19"/>
      <c r="AJ924" s="35"/>
      <c r="AK924" s="36"/>
      <c r="AN924" s="25"/>
      <c r="AO924" s="26"/>
      <c r="AP924" s="40"/>
      <c r="AQ924" s="26"/>
      <c r="AR924" s="26"/>
      <c r="AS924" s="26"/>
      <c r="AT924" s="25"/>
      <c r="AU924" s="30"/>
      <c r="AV924" s="31"/>
    </row>
    <row r="925" spans="8:48" ht="14.25" customHeight="1" x14ac:dyDescent="0.35">
      <c r="H925" s="15"/>
      <c r="K925" s="15"/>
      <c r="N925" s="15"/>
      <c r="Q925" s="13"/>
      <c r="R925" s="13"/>
      <c r="S925" s="13"/>
      <c r="T925" s="13"/>
      <c r="U925" s="13"/>
      <c r="X925" s="15"/>
      <c r="AF925" s="19"/>
      <c r="AJ925" s="35"/>
      <c r="AK925" s="36"/>
      <c r="AN925" s="25"/>
      <c r="AO925" s="26"/>
      <c r="AP925" s="40"/>
      <c r="AQ925" s="26"/>
      <c r="AR925" s="26"/>
      <c r="AS925" s="26"/>
      <c r="AT925" s="25"/>
      <c r="AU925" s="30"/>
      <c r="AV925" s="31"/>
    </row>
    <row r="926" spans="8:48" ht="14.25" customHeight="1" x14ac:dyDescent="0.35">
      <c r="H926" s="15"/>
      <c r="K926" s="15"/>
      <c r="N926" s="15"/>
      <c r="Q926" s="13"/>
      <c r="R926" s="13"/>
      <c r="S926" s="13"/>
      <c r="T926" s="13"/>
      <c r="U926" s="13"/>
      <c r="X926" s="15"/>
      <c r="AF926" s="19"/>
      <c r="AJ926" s="35"/>
      <c r="AK926" s="36"/>
      <c r="AN926" s="25"/>
      <c r="AO926" s="26"/>
      <c r="AP926" s="40"/>
      <c r="AQ926" s="26"/>
      <c r="AR926" s="26"/>
      <c r="AS926" s="26"/>
      <c r="AT926" s="25"/>
      <c r="AU926" s="30"/>
      <c r="AV926" s="31"/>
    </row>
    <row r="927" spans="8:48" ht="14.25" customHeight="1" x14ac:dyDescent="0.35">
      <c r="H927" s="15"/>
      <c r="K927" s="15"/>
      <c r="N927" s="15"/>
      <c r="Q927" s="13"/>
      <c r="R927" s="13"/>
      <c r="S927" s="13"/>
      <c r="T927" s="13"/>
      <c r="U927" s="13"/>
      <c r="X927" s="15"/>
      <c r="AF927" s="19"/>
      <c r="AJ927" s="35"/>
      <c r="AK927" s="36"/>
      <c r="AN927" s="25"/>
      <c r="AO927" s="26"/>
      <c r="AP927" s="40"/>
      <c r="AQ927" s="26"/>
      <c r="AR927" s="26"/>
      <c r="AS927" s="26"/>
      <c r="AT927" s="25"/>
      <c r="AU927" s="30"/>
      <c r="AV927" s="31"/>
    </row>
    <row r="928" spans="8:48" ht="14.25" customHeight="1" x14ac:dyDescent="0.35">
      <c r="H928" s="15"/>
      <c r="K928" s="15"/>
      <c r="N928" s="15"/>
      <c r="Q928" s="13"/>
      <c r="R928" s="13"/>
      <c r="S928" s="13"/>
      <c r="T928" s="13"/>
      <c r="U928" s="13"/>
      <c r="X928" s="15"/>
      <c r="AF928" s="19"/>
      <c r="AJ928" s="35"/>
      <c r="AK928" s="36"/>
      <c r="AN928" s="25"/>
      <c r="AO928" s="26"/>
      <c r="AP928" s="40"/>
      <c r="AQ928" s="26"/>
      <c r="AR928" s="26"/>
      <c r="AS928" s="26"/>
      <c r="AT928" s="25"/>
      <c r="AU928" s="30"/>
      <c r="AV928" s="31"/>
    </row>
    <row r="929" spans="8:48" ht="14.25" customHeight="1" x14ac:dyDescent="0.35">
      <c r="H929" s="15"/>
      <c r="K929" s="15"/>
      <c r="N929" s="15"/>
      <c r="Q929" s="13"/>
      <c r="R929" s="13"/>
      <c r="S929" s="13"/>
      <c r="T929" s="13"/>
      <c r="U929" s="13"/>
      <c r="X929" s="15"/>
      <c r="AF929" s="19"/>
      <c r="AJ929" s="35"/>
      <c r="AK929" s="36"/>
      <c r="AN929" s="25"/>
      <c r="AO929" s="26"/>
      <c r="AP929" s="40"/>
      <c r="AQ929" s="26"/>
      <c r="AR929" s="26"/>
      <c r="AS929" s="26"/>
      <c r="AT929" s="25"/>
      <c r="AU929" s="30"/>
      <c r="AV929" s="31"/>
    </row>
    <row r="930" spans="8:48" ht="14.25" customHeight="1" x14ac:dyDescent="0.35">
      <c r="H930" s="15"/>
      <c r="K930" s="15"/>
      <c r="N930" s="15"/>
      <c r="Q930" s="13"/>
      <c r="R930" s="13"/>
      <c r="S930" s="13"/>
      <c r="T930" s="13"/>
      <c r="U930" s="13"/>
      <c r="X930" s="15"/>
      <c r="AF930" s="19"/>
      <c r="AJ930" s="35"/>
      <c r="AK930" s="36"/>
      <c r="AN930" s="25"/>
      <c r="AO930" s="26"/>
      <c r="AP930" s="40"/>
      <c r="AQ930" s="26"/>
      <c r="AR930" s="26"/>
      <c r="AS930" s="26"/>
      <c r="AT930" s="25"/>
      <c r="AU930" s="30"/>
      <c r="AV930" s="31"/>
    </row>
    <row r="931" spans="8:48" ht="14.25" customHeight="1" x14ac:dyDescent="0.35">
      <c r="H931" s="15"/>
      <c r="K931" s="15"/>
      <c r="N931" s="15"/>
      <c r="Q931" s="13"/>
      <c r="R931" s="13"/>
      <c r="S931" s="13"/>
      <c r="T931" s="13"/>
      <c r="U931" s="13"/>
      <c r="X931" s="15"/>
      <c r="AF931" s="19"/>
      <c r="AJ931" s="35"/>
      <c r="AK931" s="36"/>
      <c r="AN931" s="25"/>
      <c r="AO931" s="26"/>
      <c r="AP931" s="40"/>
      <c r="AQ931" s="26"/>
      <c r="AR931" s="26"/>
      <c r="AS931" s="26"/>
      <c r="AT931" s="25"/>
      <c r="AU931" s="30"/>
      <c r="AV931" s="31"/>
    </row>
    <row r="932" spans="8:48" ht="14.25" customHeight="1" x14ac:dyDescent="0.35">
      <c r="H932" s="15"/>
      <c r="K932" s="15"/>
      <c r="N932" s="15"/>
      <c r="Q932" s="13"/>
      <c r="R932" s="13"/>
      <c r="S932" s="13"/>
      <c r="T932" s="13"/>
      <c r="U932" s="13"/>
      <c r="X932" s="15"/>
      <c r="AF932" s="19"/>
      <c r="AJ932" s="35"/>
      <c r="AK932" s="36"/>
      <c r="AN932" s="25"/>
      <c r="AO932" s="26"/>
      <c r="AP932" s="40"/>
      <c r="AQ932" s="26"/>
      <c r="AR932" s="26"/>
      <c r="AS932" s="26"/>
      <c r="AT932" s="25"/>
      <c r="AU932" s="30"/>
      <c r="AV932" s="31"/>
    </row>
    <row r="933" spans="8:48" ht="14.25" customHeight="1" x14ac:dyDescent="0.35">
      <c r="H933" s="15"/>
      <c r="K933" s="15"/>
      <c r="N933" s="15"/>
      <c r="Q933" s="13"/>
      <c r="R933" s="13"/>
      <c r="S933" s="13"/>
      <c r="T933" s="13"/>
      <c r="U933" s="13"/>
      <c r="X933" s="15"/>
      <c r="AF933" s="19"/>
      <c r="AJ933" s="35"/>
      <c r="AK933" s="36"/>
      <c r="AN933" s="25"/>
      <c r="AO933" s="26"/>
      <c r="AP933" s="40"/>
      <c r="AQ933" s="26"/>
      <c r="AR933" s="26"/>
      <c r="AS933" s="26"/>
      <c r="AT933" s="25"/>
      <c r="AU933" s="30"/>
      <c r="AV933" s="31"/>
    </row>
    <row r="934" spans="8:48" ht="14.25" customHeight="1" x14ac:dyDescent="0.35">
      <c r="H934" s="15"/>
      <c r="K934" s="15"/>
      <c r="N934" s="15"/>
      <c r="Q934" s="13"/>
      <c r="R934" s="13"/>
      <c r="S934" s="13"/>
      <c r="T934" s="13"/>
      <c r="U934" s="13"/>
      <c r="X934" s="15"/>
      <c r="AF934" s="19"/>
      <c r="AJ934" s="35"/>
      <c r="AK934" s="36"/>
      <c r="AN934" s="25"/>
      <c r="AO934" s="26"/>
      <c r="AP934" s="40"/>
      <c r="AQ934" s="26"/>
      <c r="AR934" s="26"/>
      <c r="AS934" s="26"/>
      <c r="AT934" s="25"/>
      <c r="AU934" s="30"/>
      <c r="AV934" s="31"/>
    </row>
    <row r="935" spans="8:48" ht="14.25" customHeight="1" x14ac:dyDescent="0.35">
      <c r="H935" s="15"/>
      <c r="K935" s="15"/>
      <c r="N935" s="15"/>
      <c r="Q935" s="13"/>
      <c r="R935" s="13"/>
      <c r="S935" s="13"/>
      <c r="T935" s="13"/>
      <c r="U935" s="13"/>
      <c r="X935" s="15"/>
      <c r="AF935" s="19"/>
      <c r="AJ935" s="35"/>
      <c r="AK935" s="36"/>
      <c r="AN935" s="25"/>
      <c r="AO935" s="26"/>
      <c r="AP935" s="40"/>
      <c r="AQ935" s="26"/>
      <c r="AR935" s="26"/>
      <c r="AS935" s="26"/>
      <c r="AT935" s="25"/>
      <c r="AU935" s="30"/>
      <c r="AV935" s="31"/>
    </row>
    <row r="936" spans="8:48" ht="14.25" customHeight="1" x14ac:dyDescent="0.35">
      <c r="H936" s="15"/>
      <c r="K936" s="15"/>
      <c r="N936" s="15"/>
      <c r="Q936" s="13"/>
      <c r="R936" s="13"/>
      <c r="S936" s="13"/>
      <c r="T936" s="13"/>
      <c r="U936" s="13"/>
      <c r="X936" s="15"/>
      <c r="AF936" s="19"/>
      <c r="AJ936" s="35"/>
      <c r="AK936" s="36"/>
      <c r="AN936" s="25"/>
      <c r="AO936" s="26"/>
      <c r="AP936" s="40"/>
      <c r="AQ936" s="26"/>
      <c r="AR936" s="26"/>
      <c r="AS936" s="26"/>
      <c r="AT936" s="25"/>
      <c r="AU936" s="30"/>
      <c r="AV936" s="31"/>
    </row>
    <row r="937" spans="8:48" ht="14.25" customHeight="1" x14ac:dyDescent="0.35">
      <c r="H937" s="15"/>
      <c r="K937" s="15"/>
      <c r="N937" s="15"/>
      <c r="Q937" s="13"/>
      <c r="R937" s="13"/>
      <c r="S937" s="13"/>
      <c r="T937" s="13"/>
      <c r="U937" s="13"/>
      <c r="X937" s="15"/>
      <c r="AF937" s="19"/>
      <c r="AJ937" s="35"/>
      <c r="AK937" s="36"/>
      <c r="AN937" s="25"/>
      <c r="AO937" s="26"/>
      <c r="AP937" s="40"/>
      <c r="AQ937" s="26"/>
      <c r="AR937" s="26"/>
      <c r="AS937" s="26"/>
      <c r="AT937" s="25"/>
      <c r="AU937" s="30"/>
      <c r="AV937" s="31"/>
    </row>
    <row r="938" spans="8:48" ht="14.25" customHeight="1" x14ac:dyDescent="0.35">
      <c r="H938" s="15"/>
      <c r="K938" s="15"/>
      <c r="N938" s="15"/>
      <c r="Q938" s="13"/>
      <c r="R938" s="13"/>
      <c r="S938" s="13"/>
      <c r="T938" s="13"/>
      <c r="U938" s="13"/>
      <c r="X938" s="15"/>
      <c r="AF938" s="19"/>
      <c r="AJ938" s="35"/>
      <c r="AK938" s="36"/>
      <c r="AN938" s="25"/>
      <c r="AO938" s="26"/>
      <c r="AP938" s="40"/>
      <c r="AQ938" s="26"/>
      <c r="AR938" s="26"/>
      <c r="AS938" s="26"/>
      <c r="AT938" s="25"/>
      <c r="AU938" s="30"/>
      <c r="AV938" s="31"/>
    </row>
    <row r="939" spans="8:48" ht="14.25" customHeight="1" x14ac:dyDescent="0.35">
      <c r="H939" s="15"/>
      <c r="K939" s="15"/>
      <c r="N939" s="15"/>
      <c r="Q939" s="13"/>
      <c r="R939" s="13"/>
      <c r="S939" s="13"/>
      <c r="T939" s="13"/>
      <c r="U939" s="13"/>
      <c r="X939" s="15"/>
      <c r="AF939" s="19"/>
      <c r="AJ939" s="35"/>
      <c r="AK939" s="36"/>
      <c r="AN939" s="25"/>
      <c r="AO939" s="26"/>
      <c r="AP939" s="40"/>
      <c r="AQ939" s="26"/>
      <c r="AR939" s="26"/>
      <c r="AS939" s="26"/>
      <c r="AT939" s="25"/>
      <c r="AU939" s="30"/>
      <c r="AV939" s="31"/>
    </row>
    <row r="940" spans="8:48" ht="14.25" customHeight="1" x14ac:dyDescent="0.35">
      <c r="H940" s="15"/>
      <c r="K940" s="15"/>
      <c r="N940" s="15"/>
      <c r="Q940" s="13"/>
      <c r="R940" s="13"/>
      <c r="S940" s="13"/>
      <c r="T940" s="13"/>
      <c r="U940" s="13"/>
      <c r="X940" s="15"/>
      <c r="AF940" s="19"/>
      <c r="AJ940" s="35"/>
      <c r="AK940" s="36"/>
      <c r="AN940" s="25"/>
      <c r="AO940" s="26"/>
      <c r="AP940" s="40"/>
      <c r="AQ940" s="26"/>
      <c r="AR940" s="26"/>
      <c r="AS940" s="26"/>
      <c r="AT940" s="25"/>
      <c r="AU940" s="30"/>
      <c r="AV940" s="31"/>
    </row>
    <row r="941" spans="8:48" ht="14.25" customHeight="1" x14ac:dyDescent="0.35">
      <c r="H941" s="15"/>
      <c r="K941" s="15"/>
      <c r="N941" s="15"/>
      <c r="Q941" s="13"/>
      <c r="R941" s="13"/>
      <c r="S941" s="13"/>
      <c r="T941" s="13"/>
      <c r="U941" s="13"/>
      <c r="X941" s="15"/>
      <c r="AF941" s="19"/>
      <c r="AJ941" s="35"/>
      <c r="AK941" s="36"/>
      <c r="AN941" s="25"/>
      <c r="AO941" s="26"/>
      <c r="AP941" s="40"/>
      <c r="AQ941" s="26"/>
      <c r="AR941" s="26"/>
      <c r="AS941" s="26"/>
      <c r="AT941" s="25"/>
      <c r="AU941" s="30"/>
      <c r="AV941" s="31"/>
    </row>
    <row r="942" spans="8:48" ht="14.25" customHeight="1" x14ac:dyDescent="0.35">
      <c r="H942" s="15"/>
      <c r="K942" s="15"/>
      <c r="N942" s="15"/>
      <c r="Q942" s="13"/>
      <c r="R942" s="13"/>
      <c r="S942" s="13"/>
      <c r="T942" s="13"/>
      <c r="U942" s="13"/>
      <c r="X942" s="15"/>
      <c r="AF942" s="19"/>
      <c r="AJ942" s="35"/>
      <c r="AK942" s="36"/>
      <c r="AN942" s="25"/>
      <c r="AO942" s="26"/>
      <c r="AP942" s="40"/>
      <c r="AQ942" s="26"/>
      <c r="AR942" s="26"/>
      <c r="AS942" s="26"/>
      <c r="AT942" s="25"/>
      <c r="AU942" s="30"/>
      <c r="AV942" s="31"/>
    </row>
    <row r="943" spans="8:48" ht="14.25" customHeight="1" x14ac:dyDescent="0.35">
      <c r="H943" s="15"/>
      <c r="K943" s="15"/>
      <c r="N943" s="15"/>
      <c r="Q943" s="13"/>
      <c r="R943" s="13"/>
      <c r="S943" s="13"/>
      <c r="T943" s="13"/>
      <c r="U943" s="13"/>
      <c r="X943" s="15"/>
      <c r="AF943" s="19"/>
      <c r="AJ943" s="35"/>
      <c r="AK943" s="36"/>
      <c r="AN943" s="25"/>
      <c r="AO943" s="26"/>
      <c r="AP943" s="40"/>
      <c r="AQ943" s="26"/>
      <c r="AR943" s="26"/>
      <c r="AS943" s="26"/>
      <c r="AT943" s="25"/>
      <c r="AU943" s="30"/>
      <c r="AV943" s="31"/>
    </row>
    <row r="944" spans="8:48" ht="14.25" customHeight="1" x14ac:dyDescent="0.35">
      <c r="H944" s="15"/>
      <c r="K944" s="15"/>
      <c r="N944" s="15"/>
      <c r="Q944" s="13"/>
      <c r="R944" s="13"/>
      <c r="S944" s="13"/>
      <c r="T944" s="13"/>
      <c r="U944" s="13"/>
      <c r="X944" s="15"/>
      <c r="AF944" s="19"/>
      <c r="AJ944" s="35"/>
      <c r="AK944" s="36"/>
      <c r="AN944" s="25"/>
      <c r="AO944" s="26"/>
      <c r="AP944" s="40"/>
      <c r="AQ944" s="26"/>
      <c r="AR944" s="26"/>
      <c r="AS944" s="26"/>
      <c r="AT944" s="25"/>
      <c r="AU944" s="30"/>
      <c r="AV944" s="31"/>
    </row>
    <row r="945" spans="8:48" ht="14.25" customHeight="1" x14ac:dyDescent="0.35">
      <c r="H945" s="15"/>
      <c r="K945" s="15"/>
      <c r="N945" s="15"/>
      <c r="Q945" s="13"/>
      <c r="R945" s="13"/>
      <c r="S945" s="13"/>
      <c r="T945" s="13"/>
      <c r="U945" s="13"/>
      <c r="X945" s="15"/>
      <c r="AF945" s="19"/>
      <c r="AJ945" s="35"/>
      <c r="AK945" s="36"/>
      <c r="AN945" s="25"/>
      <c r="AO945" s="26"/>
      <c r="AP945" s="40"/>
      <c r="AQ945" s="26"/>
      <c r="AR945" s="26"/>
      <c r="AS945" s="26"/>
      <c r="AT945" s="25"/>
      <c r="AU945" s="30"/>
      <c r="AV945" s="31"/>
    </row>
    <row r="946" spans="8:48" ht="14.25" customHeight="1" x14ac:dyDescent="0.35">
      <c r="H946" s="15"/>
      <c r="K946" s="15"/>
      <c r="N946" s="15"/>
      <c r="Q946" s="13"/>
      <c r="R946" s="13"/>
      <c r="S946" s="13"/>
      <c r="T946" s="13"/>
      <c r="U946" s="13"/>
      <c r="X946" s="15"/>
      <c r="AF946" s="19"/>
      <c r="AJ946" s="35"/>
      <c r="AK946" s="36"/>
      <c r="AN946" s="25"/>
      <c r="AO946" s="26"/>
      <c r="AP946" s="40"/>
      <c r="AQ946" s="26"/>
      <c r="AR946" s="26"/>
      <c r="AS946" s="26"/>
      <c r="AT946" s="25"/>
      <c r="AU946" s="30"/>
      <c r="AV946" s="31"/>
    </row>
    <row r="947" spans="8:48" ht="14.25" customHeight="1" x14ac:dyDescent="0.35">
      <c r="H947" s="15"/>
      <c r="K947" s="15"/>
      <c r="N947" s="15"/>
      <c r="Q947" s="13"/>
      <c r="R947" s="13"/>
      <c r="S947" s="13"/>
      <c r="T947" s="13"/>
      <c r="U947" s="13"/>
      <c r="X947" s="15"/>
      <c r="AF947" s="19"/>
      <c r="AJ947" s="35"/>
      <c r="AK947" s="36"/>
      <c r="AN947" s="25"/>
      <c r="AO947" s="26"/>
      <c r="AP947" s="40"/>
      <c r="AQ947" s="26"/>
      <c r="AR947" s="26"/>
      <c r="AS947" s="26"/>
      <c r="AT947" s="25"/>
      <c r="AU947" s="30"/>
      <c r="AV947" s="31"/>
    </row>
    <row r="948" spans="8:48" ht="14.25" customHeight="1" x14ac:dyDescent="0.35">
      <c r="H948" s="15"/>
      <c r="K948" s="15"/>
      <c r="N948" s="15"/>
      <c r="Q948" s="13"/>
      <c r="R948" s="13"/>
      <c r="S948" s="13"/>
      <c r="T948" s="13"/>
      <c r="U948" s="13"/>
      <c r="X948" s="15"/>
      <c r="AF948" s="19"/>
      <c r="AJ948" s="35"/>
      <c r="AK948" s="36"/>
      <c r="AN948" s="25"/>
      <c r="AO948" s="26"/>
      <c r="AP948" s="40"/>
      <c r="AQ948" s="26"/>
      <c r="AR948" s="26"/>
      <c r="AS948" s="26"/>
      <c r="AT948" s="25"/>
      <c r="AU948" s="30"/>
      <c r="AV948" s="31"/>
    </row>
    <row r="949" spans="8:48" ht="14.25" customHeight="1" x14ac:dyDescent="0.35">
      <c r="H949" s="15"/>
      <c r="K949" s="15"/>
      <c r="N949" s="15"/>
      <c r="Q949" s="13"/>
      <c r="R949" s="13"/>
      <c r="S949" s="13"/>
      <c r="T949" s="13"/>
      <c r="U949" s="13"/>
      <c r="X949" s="15"/>
      <c r="AF949" s="19"/>
      <c r="AJ949" s="35"/>
      <c r="AK949" s="36"/>
      <c r="AN949" s="25"/>
      <c r="AO949" s="26"/>
      <c r="AP949" s="40"/>
      <c r="AQ949" s="26"/>
      <c r="AR949" s="26"/>
      <c r="AS949" s="26"/>
      <c r="AT949" s="25"/>
      <c r="AU949" s="30"/>
      <c r="AV949" s="31"/>
    </row>
    <row r="950" spans="8:48" ht="14.25" customHeight="1" x14ac:dyDescent="0.35">
      <c r="H950" s="15"/>
      <c r="K950" s="15"/>
      <c r="N950" s="15"/>
      <c r="Q950" s="13"/>
      <c r="R950" s="13"/>
      <c r="S950" s="13"/>
      <c r="T950" s="13"/>
      <c r="U950" s="13"/>
      <c r="X950" s="15"/>
      <c r="AF950" s="19"/>
      <c r="AJ950" s="35"/>
      <c r="AK950" s="36"/>
      <c r="AN950" s="25"/>
      <c r="AO950" s="26"/>
      <c r="AP950" s="40"/>
      <c r="AQ950" s="26"/>
      <c r="AR950" s="26"/>
      <c r="AS950" s="26"/>
      <c r="AT950" s="25"/>
      <c r="AU950" s="30"/>
      <c r="AV950" s="31"/>
    </row>
    <row r="951" spans="8:48" ht="14.25" customHeight="1" x14ac:dyDescent="0.35">
      <c r="H951" s="15"/>
      <c r="K951" s="15"/>
      <c r="N951" s="15"/>
      <c r="Q951" s="13"/>
      <c r="R951" s="13"/>
      <c r="S951" s="13"/>
      <c r="T951" s="13"/>
      <c r="U951" s="13"/>
      <c r="X951" s="15"/>
      <c r="AF951" s="19"/>
      <c r="AJ951" s="35"/>
      <c r="AK951" s="36"/>
      <c r="AN951" s="25"/>
      <c r="AO951" s="26"/>
      <c r="AP951" s="40"/>
      <c r="AQ951" s="26"/>
      <c r="AR951" s="26"/>
      <c r="AS951" s="26"/>
      <c r="AT951" s="25"/>
      <c r="AU951" s="30"/>
      <c r="AV951" s="31"/>
    </row>
    <row r="952" spans="8:48" ht="14.25" customHeight="1" x14ac:dyDescent="0.35">
      <c r="H952" s="15"/>
      <c r="K952" s="15"/>
      <c r="N952" s="15"/>
      <c r="Q952" s="13"/>
      <c r="R952" s="13"/>
      <c r="S952" s="13"/>
      <c r="T952" s="13"/>
      <c r="U952" s="13"/>
      <c r="X952" s="15"/>
      <c r="AF952" s="19"/>
      <c r="AJ952" s="35"/>
      <c r="AK952" s="36"/>
      <c r="AN952" s="25"/>
      <c r="AO952" s="26"/>
      <c r="AP952" s="40"/>
      <c r="AQ952" s="26"/>
      <c r="AR952" s="26"/>
      <c r="AS952" s="26"/>
      <c r="AT952" s="25"/>
      <c r="AU952" s="30"/>
      <c r="AV952" s="31"/>
    </row>
    <row r="953" spans="8:48" ht="14.25" customHeight="1" x14ac:dyDescent="0.35">
      <c r="H953" s="15"/>
      <c r="K953" s="15"/>
      <c r="N953" s="15"/>
      <c r="Q953" s="13"/>
      <c r="R953" s="13"/>
      <c r="S953" s="13"/>
      <c r="T953" s="13"/>
      <c r="U953" s="13"/>
      <c r="X953" s="15"/>
      <c r="AF953" s="19"/>
      <c r="AJ953" s="35"/>
      <c r="AK953" s="36"/>
      <c r="AN953" s="25"/>
      <c r="AO953" s="26"/>
      <c r="AP953" s="40"/>
      <c r="AQ953" s="26"/>
      <c r="AR953" s="26"/>
      <c r="AS953" s="26"/>
      <c r="AT953" s="25"/>
      <c r="AU953" s="30"/>
      <c r="AV953" s="31"/>
    </row>
    <row r="954" spans="8:48" ht="14.25" customHeight="1" x14ac:dyDescent="0.35">
      <c r="H954" s="15"/>
      <c r="K954" s="15"/>
      <c r="N954" s="15"/>
      <c r="Q954" s="13"/>
      <c r="R954" s="13"/>
      <c r="S954" s="13"/>
      <c r="T954" s="13"/>
      <c r="U954" s="13"/>
      <c r="X954" s="15"/>
      <c r="AF954" s="19"/>
      <c r="AJ954" s="35"/>
      <c r="AK954" s="36"/>
      <c r="AN954" s="25"/>
      <c r="AO954" s="26"/>
      <c r="AP954" s="40"/>
      <c r="AQ954" s="26"/>
      <c r="AR954" s="26"/>
      <c r="AS954" s="26"/>
      <c r="AT954" s="25"/>
      <c r="AU954" s="30"/>
      <c r="AV954" s="31"/>
    </row>
    <row r="955" spans="8:48" ht="14.25" customHeight="1" x14ac:dyDescent="0.35">
      <c r="H955" s="15"/>
      <c r="K955" s="15"/>
      <c r="N955" s="15"/>
      <c r="Q955" s="13"/>
      <c r="R955" s="13"/>
      <c r="S955" s="13"/>
      <c r="T955" s="13"/>
      <c r="U955" s="13"/>
      <c r="X955" s="15"/>
      <c r="AF955" s="19"/>
      <c r="AJ955" s="35"/>
      <c r="AK955" s="36"/>
      <c r="AN955" s="25"/>
      <c r="AO955" s="26"/>
      <c r="AP955" s="40"/>
      <c r="AQ955" s="26"/>
      <c r="AR955" s="26"/>
      <c r="AS955" s="26"/>
      <c r="AT955" s="25"/>
      <c r="AU955" s="30"/>
      <c r="AV955" s="31"/>
    </row>
    <row r="956" spans="8:48" ht="14.25" customHeight="1" x14ac:dyDescent="0.35">
      <c r="H956" s="15"/>
      <c r="K956" s="15"/>
      <c r="N956" s="15"/>
      <c r="Q956" s="13"/>
      <c r="R956" s="13"/>
      <c r="S956" s="13"/>
      <c r="T956" s="13"/>
      <c r="U956" s="13"/>
      <c r="X956" s="15"/>
      <c r="AF956" s="19"/>
      <c r="AJ956" s="35"/>
      <c r="AK956" s="36"/>
      <c r="AN956" s="25"/>
      <c r="AO956" s="26"/>
      <c r="AP956" s="40"/>
      <c r="AQ956" s="26"/>
      <c r="AR956" s="26"/>
      <c r="AS956" s="26"/>
      <c r="AT956" s="25"/>
      <c r="AU956" s="30"/>
      <c r="AV956" s="31"/>
    </row>
    <row r="957" spans="8:48" ht="14.25" customHeight="1" x14ac:dyDescent="0.35">
      <c r="H957" s="15"/>
      <c r="K957" s="15"/>
      <c r="N957" s="15"/>
      <c r="Q957" s="13"/>
      <c r="R957" s="13"/>
      <c r="S957" s="13"/>
      <c r="T957" s="13"/>
      <c r="U957" s="13"/>
      <c r="X957" s="15"/>
      <c r="AF957" s="19"/>
      <c r="AJ957" s="35"/>
      <c r="AK957" s="36"/>
      <c r="AN957" s="25"/>
      <c r="AO957" s="26"/>
      <c r="AP957" s="40"/>
      <c r="AQ957" s="26"/>
      <c r="AR957" s="26"/>
      <c r="AS957" s="26"/>
      <c r="AT957" s="25"/>
      <c r="AU957" s="30"/>
      <c r="AV957" s="31"/>
    </row>
    <row r="958" spans="8:48" ht="14.25" customHeight="1" x14ac:dyDescent="0.35">
      <c r="H958" s="15"/>
      <c r="K958" s="15"/>
      <c r="N958" s="15"/>
      <c r="Q958" s="13"/>
      <c r="R958" s="13"/>
      <c r="S958" s="13"/>
      <c r="T958" s="13"/>
      <c r="U958" s="13"/>
      <c r="X958" s="15"/>
      <c r="AF958" s="19"/>
      <c r="AJ958" s="35"/>
      <c r="AK958" s="36"/>
      <c r="AN958" s="25"/>
      <c r="AO958" s="26"/>
      <c r="AP958" s="40"/>
      <c r="AQ958" s="26"/>
      <c r="AR958" s="26"/>
      <c r="AS958" s="26"/>
      <c r="AT958" s="25"/>
      <c r="AU958" s="30"/>
      <c r="AV958" s="31"/>
    </row>
    <row r="959" spans="8:48" ht="14.25" customHeight="1" x14ac:dyDescent="0.35">
      <c r="H959" s="15"/>
      <c r="K959" s="15"/>
      <c r="N959" s="15"/>
      <c r="Q959" s="13"/>
      <c r="R959" s="13"/>
      <c r="S959" s="13"/>
      <c r="T959" s="13"/>
      <c r="U959" s="13"/>
      <c r="X959" s="15"/>
      <c r="AF959" s="19"/>
      <c r="AJ959" s="35"/>
      <c r="AK959" s="36"/>
      <c r="AN959" s="25"/>
      <c r="AO959" s="26"/>
      <c r="AP959" s="40"/>
      <c r="AQ959" s="26"/>
      <c r="AR959" s="26"/>
      <c r="AS959" s="26"/>
      <c r="AT959" s="25"/>
      <c r="AU959" s="30"/>
      <c r="AV959" s="31"/>
    </row>
    <row r="960" spans="8:48" ht="14.25" customHeight="1" x14ac:dyDescent="0.35">
      <c r="H960" s="15"/>
      <c r="K960" s="15"/>
      <c r="N960" s="15"/>
      <c r="Q960" s="13"/>
      <c r="R960" s="13"/>
      <c r="S960" s="13"/>
      <c r="T960" s="13"/>
      <c r="U960" s="13"/>
      <c r="X960" s="15"/>
      <c r="AF960" s="19"/>
      <c r="AJ960" s="35"/>
      <c r="AK960" s="36"/>
      <c r="AN960" s="25"/>
      <c r="AO960" s="26"/>
      <c r="AP960" s="40"/>
      <c r="AQ960" s="26"/>
      <c r="AR960" s="26"/>
      <c r="AS960" s="26"/>
      <c r="AT960" s="25"/>
      <c r="AU960" s="30"/>
      <c r="AV960" s="31"/>
    </row>
    <row r="961" spans="8:48" ht="14.25" customHeight="1" x14ac:dyDescent="0.35">
      <c r="H961" s="15"/>
      <c r="K961" s="15"/>
      <c r="N961" s="15"/>
      <c r="Q961" s="13"/>
      <c r="R961" s="13"/>
      <c r="S961" s="13"/>
      <c r="T961" s="13"/>
      <c r="U961" s="13"/>
      <c r="X961" s="15"/>
      <c r="AF961" s="19"/>
      <c r="AJ961" s="35"/>
      <c r="AK961" s="36"/>
      <c r="AN961" s="25"/>
      <c r="AO961" s="26"/>
      <c r="AP961" s="40"/>
      <c r="AQ961" s="26"/>
      <c r="AR961" s="26"/>
      <c r="AS961" s="26"/>
      <c r="AT961" s="25"/>
      <c r="AU961" s="30"/>
      <c r="AV961" s="31"/>
    </row>
    <row r="962" spans="8:48" ht="14.25" customHeight="1" x14ac:dyDescent="0.35">
      <c r="H962" s="15"/>
      <c r="K962" s="15"/>
      <c r="N962" s="15"/>
      <c r="Q962" s="13"/>
      <c r="R962" s="13"/>
      <c r="S962" s="13"/>
      <c r="T962" s="13"/>
      <c r="U962" s="13"/>
      <c r="X962" s="15"/>
      <c r="AF962" s="19"/>
      <c r="AJ962" s="35"/>
      <c r="AK962" s="36"/>
      <c r="AN962" s="25"/>
      <c r="AO962" s="26"/>
      <c r="AP962" s="40"/>
      <c r="AQ962" s="26"/>
      <c r="AR962" s="26"/>
      <c r="AS962" s="26"/>
      <c r="AT962" s="25"/>
      <c r="AU962" s="30"/>
      <c r="AV962" s="31"/>
    </row>
    <row r="963" spans="8:48" ht="14.25" customHeight="1" x14ac:dyDescent="0.35">
      <c r="H963" s="15"/>
      <c r="K963" s="15"/>
      <c r="N963" s="15"/>
      <c r="Q963" s="13"/>
      <c r="R963" s="13"/>
      <c r="S963" s="13"/>
      <c r="T963" s="13"/>
      <c r="U963" s="13"/>
      <c r="X963" s="15"/>
      <c r="AF963" s="19"/>
      <c r="AJ963" s="35"/>
      <c r="AK963" s="36"/>
      <c r="AN963" s="25"/>
      <c r="AO963" s="26"/>
      <c r="AP963" s="40"/>
      <c r="AQ963" s="26"/>
      <c r="AR963" s="26"/>
      <c r="AS963" s="26"/>
      <c r="AT963" s="25"/>
      <c r="AU963" s="30"/>
      <c r="AV963" s="31"/>
    </row>
    <row r="964" spans="8:48" ht="14.25" customHeight="1" x14ac:dyDescent="0.35">
      <c r="H964" s="15"/>
      <c r="K964" s="15"/>
      <c r="N964" s="15"/>
      <c r="Q964" s="13"/>
      <c r="R964" s="13"/>
      <c r="S964" s="13"/>
      <c r="T964" s="13"/>
      <c r="U964" s="13"/>
      <c r="X964" s="15"/>
      <c r="AF964" s="19"/>
      <c r="AJ964" s="35"/>
      <c r="AK964" s="36"/>
      <c r="AN964" s="25"/>
      <c r="AO964" s="26"/>
      <c r="AP964" s="40"/>
      <c r="AQ964" s="26"/>
      <c r="AR964" s="26"/>
      <c r="AS964" s="26"/>
      <c r="AT964" s="25"/>
      <c r="AU964" s="30"/>
      <c r="AV964" s="31"/>
    </row>
    <row r="965" spans="8:48" ht="14.25" customHeight="1" x14ac:dyDescent="0.35">
      <c r="H965" s="15"/>
      <c r="K965" s="15"/>
      <c r="N965" s="15"/>
      <c r="Q965" s="13"/>
      <c r="R965" s="13"/>
      <c r="S965" s="13"/>
      <c r="T965" s="13"/>
      <c r="U965" s="13"/>
      <c r="X965" s="15"/>
      <c r="AF965" s="19"/>
      <c r="AJ965" s="35"/>
      <c r="AK965" s="36"/>
      <c r="AN965" s="25"/>
      <c r="AO965" s="26"/>
      <c r="AP965" s="40"/>
      <c r="AQ965" s="26"/>
      <c r="AR965" s="26"/>
      <c r="AS965" s="26"/>
      <c r="AT965" s="25"/>
      <c r="AU965" s="30"/>
      <c r="AV965" s="31"/>
    </row>
    <row r="966" spans="8:48" ht="14.25" customHeight="1" x14ac:dyDescent="0.35">
      <c r="H966" s="15"/>
      <c r="K966" s="15"/>
      <c r="N966" s="15"/>
      <c r="Q966" s="13"/>
      <c r="R966" s="13"/>
      <c r="S966" s="13"/>
      <c r="T966" s="13"/>
      <c r="U966" s="13"/>
      <c r="X966" s="15"/>
      <c r="AF966" s="19"/>
      <c r="AJ966" s="35"/>
      <c r="AK966" s="36"/>
      <c r="AN966" s="25"/>
      <c r="AO966" s="26"/>
      <c r="AP966" s="40"/>
      <c r="AQ966" s="26"/>
      <c r="AR966" s="26"/>
      <c r="AS966" s="26"/>
      <c r="AT966" s="25"/>
      <c r="AU966" s="30"/>
      <c r="AV966" s="31"/>
    </row>
    <row r="967" spans="8:48" ht="14.25" customHeight="1" x14ac:dyDescent="0.35">
      <c r="H967" s="15"/>
      <c r="K967" s="15"/>
      <c r="N967" s="15"/>
      <c r="Q967" s="13"/>
      <c r="R967" s="13"/>
      <c r="S967" s="13"/>
      <c r="T967" s="13"/>
      <c r="U967" s="13"/>
      <c r="X967" s="15"/>
      <c r="AF967" s="19"/>
      <c r="AJ967" s="35"/>
      <c r="AK967" s="36"/>
      <c r="AN967" s="25"/>
      <c r="AO967" s="26"/>
      <c r="AP967" s="40"/>
      <c r="AQ967" s="26"/>
      <c r="AR967" s="26"/>
      <c r="AS967" s="26"/>
      <c r="AT967" s="25"/>
      <c r="AU967" s="30"/>
      <c r="AV967" s="31"/>
    </row>
    <row r="968" spans="8:48" ht="14.25" customHeight="1" x14ac:dyDescent="0.35">
      <c r="H968" s="15"/>
      <c r="K968" s="15"/>
      <c r="N968" s="15"/>
      <c r="Q968" s="13"/>
      <c r="R968" s="13"/>
      <c r="S968" s="13"/>
      <c r="T968" s="13"/>
      <c r="U968" s="13"/>
      <c r="X968" s="15"/>
      <c r="AF968" s="19"/>
      <c r="AJ968" s="35"/>
      <c r="AK968" s="36"/>
      <c r="AN968" s="25"/>
      <c r="AO968" s="26"/>
      <c r="AP968" s="40"/>
      <c r="AQ968" s="26"/>
      <c r="AR968" s="26"/>
      <c r="AS968" s="26"/>
      <c r="AT968" s="25"/>
      <c r="AU968" s="30"/>
      <c r="AV968" s="31"/>
    </row>
    <row r="969" spans="8:48" ht="14.25" customHeight="1" x14ac:dyDescent="0.35">
      <c r="H969" s="15"/>
      <c r="K969" s="15"/>
      <c r="N969" s="15"/>
      <c r="Q969" s="13"/>
      <c r="R969" s="13"/>
      <c r="S969" s="13"/>
      <c r="T969" s="13"/>
      <c r="U969" s="13"/>
      <c r="X969" s="15"/>
      <c r="AF969" s="19"/>
      <c r="AJ969" s="35"/>
      <c r="AK969" s="36"/>
      <c r="AN969" s="25"/>
      <c r="AO969" s="26"/>
      <c r="AP969" s="40"/>
      <c r="AQ969" s="26"/>
      <c r="AR969" s="26"/>
      <c r="AS969" s="26"/>
      <c r="AT969" s="25"/>
      <c r="AU969" s="30"/>
      <c r="AV969" s="31"/>
    </row>
    <row r="970" spans="8:48" ht="14.25" customHeight="1" x14ac:dyDescent="0.35">
      <c r="H970" s="15"/>
      <c r="K970" s="15"/>
      <c r="N970" s="15"/>
      <c r="Q970" s="13"/>
      <c r="R970" s="13"/>
      <c r="S970" s="13"/>
      <c r="T970" s="13"/>
      <c r="U970" s="13"/>
      <c r="X970" s="15"/>
      <c r="AF970" s="19"/>
      <c r="AJ970" s="35"/>
      <c r="AK970" s="36"/>
      <c r="AN970" s="25"/>
      <c r="AO970" s="26"/>
      <c r="AP970" s="40"/>
      <c r="AQ970" s="26"/>
      <c r="AR970" s="26"/>
      <c r="AS970" s="26"/>
      <c r="AT970" s="25"/>
      <c r="AU970" s="30"/>
      <c r="AV970" s="31"/>
    </row>
    <row r="971" spans="8:48" ht="14.25" customHeight="1" x14ac:dyDescent="0.35">
      <c r="H971" s="15"/>
      <c r="K971" s="15"/>
      <c r="N971" s="15"/>
      <c r="Q971" s="13"/>
      <c r="R971" s="13"/>
      <c r="S971" s="13"/>
      <c r="T971" s="13"/>
      <c r="U971" s="13"/>
      <c r="X971" s="15"/>
      <c r="AF971" s="19"/>
      <c r="AJ971" s="35"/>
      <c r="AK971" s="36"/>
      <c r="AN971" s="25"/>
      <c r="AO971" s="26"/>
      <c r="AP971" s="40"/>
      <c r="AQ971" s="26"/>
      <c r="AR971" s="26"/>
      <c r="AS971" s="26"/>
      <c r="AT971" s="25"/>
      <c r="AU971" s="30"/>
      <c r="AV971" s="31"/>
    </row>
    <row r="972" spans="8:48" ht="14.25" customHeight="1" x14ac:dyDescent="0.35">
      <c r="H972" s="15"/>
      <c r="K972" s="15"/>
      <c r="N972" s="15"/>
      <c r="Q972" s="13"/>
      <c r="R972" s="13"/>
      <c r="S972" s="13"/>
      <c r="T972" s="13"/>
      <c r="U972" s="13"/>
      <c r="X972" s="15"/>
      <c r="AF972" s="19"/>
      <c r="AJ972" s="35"/>
      <c r="AK972" s="36"/>
      <c r="AN972" s="25"/>
      <c r="AO972" s="26"/>
      <c r="AP972" s="40"/>
      <c r="AQ972" s="26"/>
      <c r="AR972" s="26"/>
      <c r="AS972" s="26"/>
      <c r="AT972" s="25"/>
      <c r="AU972" s="30"/>
      <c r="AV972" s="31"/>
    </row>
    <row r="973" spans="8:48" ht="14.25" customHeight="1" x14ac:dyDescent="0.35">
      <c r="H973" s="15"/>
      <c r="K973" s="15"/>
      <c r="N973" s="15"/>
      <c r="Q973" s="13"/>
      <c r="R973" s="13"/>
      <c r="S973" s="13"/>
      <c r="T973" s="13"/>
      <c r="U973" s="13"/>
      <c r="X973" s="15"/>
      <c r="AF973" s="19"/>
      <c r="AJ973" s="35"/>
      <c r="AK973" s="36"/>
      <c r="AN973" s="25"/>
      <c r="AO973" s="26"/>
      <c r="AP973" s="40"/>
      <c r="AQ973" s="26"/>
      <c r="AR973" s="26"/>
      <c r="AS973" s="26"/>
      <c r="AT973" s="25"/>
      <c r="AU973" s="30"/>
      <c r="AV973" s="31"/>
    </row>
    <row r="974" spans="8:48" ht="14.25" customHeight="1" x14ac:dyDescent="0.35">
      <c r="H974" s="15"/>
      <c r="K974" s="15"/>
      <c r="N974" s="15"/>
      <c r="Q974" s="13"/>
      <c r="R974" s="13"/>
      <c r="S974" s="13"/>
      <c r="T974" s="13"/>
      <c r="U974" s="13"/>
      <c r="X974" s="15"/>
      <c r="AF974" s="19"/>
      <c r="AJ974" s="35"/>
      <c r="AK974" s="36"/>
      <c r="AN974" s="25"/>
      <c r="AO974" s="26"/>
      <c r="AP974" s="40"/>
      <c r="AQ974" s="26"/>
      <c r="AR974" s="26"/>
      <c r="AS974" s="26"/>
      <c r="AT974" s="25"/>
      <c r="AU974" s="30"/>
      <c r="AV974" s="31"/>
    </row>
    <row r="975" spans="8:48" ht="14.25" customHeight="1" x14ac:dyDescent="0.35">
      <c r="H975" s="15"/>
      <c r="K975" s="15"/>
      <c r="N975" s="15"/>
      <c r="Q975" s="13"/>
      <c r="R975" s="13"/>
      <c r="S975" s="13"/>
      <c r="T975" s="13"/>
      <c r="U975" s="13"/>
      <c r="X975" s="15"/>
      <c r="AF975" s="19"/>
      <c r="AJ975" s="35"/>
      <c r="AK975" s="36"/>
      <c r="AN975" s="25"/>
      <c r="AO975" s="26"/>
      <c r="AP975" s="40"/>
      <c r="AQ975" s="26"/>
      <c r="AR975" s="26"/>
      <c r="AS975" s="26"/>
      <c r="AT975" s="25"/>
      <c r="AU975" s="30"/>
      <c r="AV975" s="31"/>
    </row>
    <row r="976" spans="8:48" ht="14.25" customHeight="1" x14ac:dyDescent="0.35">
      <c r="H976" s="15"/>
      <c r="K976" s="15"/>
      <c r="N976" s="15"/>
      <c r="Q976" s="13"/>
      <c r="R976" s="13"/>
      <c r="S976" s="13"/>
      <c r="T976" s="13"/>
      <c r="U976" s="13"/>
      <c r="X976" s="15"/>
      <c r="AF976" s="19"/>
      <c r="AJ976" s="35"/>
      <c r="AK976" s="36"/>
      <c r="AN976" s="25"/>
      <c r="AO976" s="26"/>
      <c r="AP976" s="40"/>
      <c r="AQ976" s="26"/>
      <c r="AR976" s="26"/>
      <c r="AS976" s="26"/>
      <c r="AT976" s="25"/>
      <c r="AU976" s="30"/>
      <c r="AV976" s="31"/>
    </row>
    <row r="977" spans="8:48" ht="14.25" customHeight="1" x14ac:dyDescent="0.35">
      <c r="H977" s="15"/>
      <c r="K977" s="15"/>
      <c r="N977" s="15"/>
      <c r="Q977" s="13"/>
      <c r="R977" s="13"/>
      <c r="S977" s="13"/>
      <c r="T977" s="13"/>
      <c r="U977" s="13"/>
      <c r="X977" s="15"/>
      <c r="AF977" s="19"/>
      <c r="AJ977" s="35"/>
      <c r="AK977" s="36"/>
      <c r="AN977" s="25"/>
      <c r="AO977" s="26"/>
      <c r="AP977" s="40"/>
      <c r="AQ977" s="26"/>
      <c r="AR977" s="26"/>
      <c r="AS977" s="26"/>
      <c r="AT977" s="25"/>
      <c r="AU977" s="30"/>
      <c r="AV977" s="31"/>
    </row>
    <row r="978" spans="8:48" ht="14.25" customHeight="1" x14ac:dyDescent="0.35">
      <c r="H978" s="15"/>
      <c r="K978" s="15"/>
      <c r="N978" s="15"/>
      <c r="Q978" s="13"/>
      <c r="R978" s="13"/>
      <c r="S978" s="13"/>
      <c r="T978" s="13"/>
      <c r="U978" s="13"/>
      <c r="X978" s="15"/>
      <c r="AF978" s="19"/>
      <c r="AJ978" s="35"/>
      <c r="AK978" s="36"/>
      <c r="AN978" s="25"/>
      <c r="AO978" s="26"/>
      <c r="AP978" s="40"/>
      <c r="AQ978" s="26"/>
      <c r="AR978" s="26"/>
      <c r="AS978" s="26"/>
      <c r="AT978" s="25"/>
      <c r="AU978" s="30"/>
      <c r="AV978" s="31"/>
    </row>
    <row r="979" spans="8:48" ht="14.25" customHeight="1" x14ac:dyDescent="0.35">
      <c r="H979" s="15"/>
      <c r="K979" s="15"/>
      <c r="N979" s="15"/>
      <c r="Q979" s="13"/>
      <c r="R979" s="13"/>
      <c r="S979" s="13"/>
      <c r="T979" s="13"/>
      <c r="U979" s="13"/>
      <c r="X979" s="15"/>
      <c r="AF979" s="19"/>
      <c r="AJ979" s="35"/>
      <c r="AK979" s="36"/>
      <c r="AN979" s="25"/>
      <c r="AO979" s="26"/>
      <c r="AP979" s="40"/>
      <c r="AQ979" s="26"/>
      <c r="AR979" s="26"/>
      <c r="AS979" s="26"/>
      <c r="AT979" s="25"/>
      <c r="AU979" s="30"/>
      <c r="AV979" s="31"/>
    </row>
    <row r="980" spans="8:48" ht="14.25" customHeight="1" x14ac:dyDescent="0.35">
      <c r="H980" s="15"/>
      <c r="K980" s="15"/>
      <c r="N980" s="15"/>
      <c r="Q980" s="13"/>
      <c r="R980" s="13"/>
      <c r="S980" s="13"/>
      <c r="T980" s="13"/>
      <c r="U980" s="13"/>
      <c r="X980" s="15"/>
      <c r="AF980" s="19"/>
      <c r="AJ980" s="35"/>
      <c r="AK980" s="36"/>
      <c r="AN980" s="25"/>
      <c r="AO980" s="26"/>
      <c r="AP980" s="40"/>
      <c r="AQ980" s="26"/>
      <c r="AR980" s="26"/>
      <c r="AS980" s="26"/>
      <c r="AT980" s="25"/>
      <c r="AU980" s="30"/>
      <c r="AV980" s="31"/>
    </row>
    <row r="981" spans="8:48" ht="14.25" customHeight="1" x14ac:dyDescent="0.35">
      <c r="H981" s="15"/>
      <c r="K981" s="15"/>
      <c r="N981" s="15"/>
      <c r="Q981" s="13"/>
      <c r="R981" s="13"/>
      <c r="S981" s="13"/>
      <c r="T981" s="13"/>
      <c r="U981" s="13"/>
      <c r="X981" s="15"/>
      <c r="AF981" s="19"/>
      <c r="AJ981" s="35"/>
      <c r="AK981" s="36"/>
      <c r="AN981" s="25"/>
      <c r="AO981" s="26"/>
      <c r="AP981" s="40"/>
      <c r="AQ981" s="26"/>
      <c r="AR981" s="26"/>
      <c r="AS981" s="26"/>
      <c r="AT981" s="25"/>
      <c r="AU981" s="30"/>
      <c r="AV981" s="31"/>
    </row>
    <row r="982" spans="8:48" ht="14.25" customHeight="1" x14ac:dyDescent="0.35">
      <c r="H982" s="15"/>
      <c r="K982" s="15"/>
      <c r="N982" s="15"/>
      <c r="Q982" s="13"/>
      <c r="R982" s="13"/>
      <c r="S982" s="13"/>
      <c r="T982" s="13"/>
      <c r="U982" s="13"/>
      <c r="X982" s="15"/>
      <c r="AF982" s="19"/>
      <c r="AJ982" s="35"/>
      <c r="AK982" s="36"/>
      <c r="AN982" s="25"/>
      <c r="AO982" s="26"/>
      <c r="AP982" s="40"/>
      <c r="AQ982" s="26"/>
      <c r="AR982" s="26"/>
      <c r="AS982" s="26"/>
      <c r="AT982" s="25"/>
      <c r="AU982" s="30"/>
      <c r="AV982" s="31"/>
    </row>
    <row r="983" spans="8:48" ht="14.25" customHeight="1" x14ac:dyDescent="0.35">
      <c r="H983" s="15"/>
      <c r="K983" s="15"/>
      <c r="N983" s="15"/>
      <c r="Q983" s="13"/>
      <c r="R983" s="13"/>
      <c r="S983" s="13"/>
      <c r="T983" s="13"/>
      <c r="U983" s="13"/>
      <c r="X983" s="15"/>
      <c r="AF983" s="19"/>
      <c r="AJ983" s="35"/>
      <c r="AK983" s="36"/>
      <c r="AN983" s="25"/>
      <c r="AO983" s="26"/>
      <c r="AP983" s="40"/>
      <c r="AQ983" s="26"/>
      <c r="AR983" s="26"/>
      <c r="AS983" s="26"/>
      <c r="AT983" s="25"/>
      <c r="AU983" s="30"/>
      <c r="AV983" s="31"/>
    </row>
    <row r="984" spans="8:48" ht="14.25" customHeight="1" x14ac:dyDescent="0.35">
      <c r="H984" s="15"/>
      <c r="K984" s="15"/>
      <c r="N984" s="15"/>
      <c r="Q984" s="13"/>
      <c r="R984" s="13"/>
      <c r="S984" s="13"/>
      <c r="T984" s="13"/>
      <c r="U984" s="13"/>
      <c r="X984" s="15"/>
      <c r="AF984" s="19"/>
      <c r="AJ984" s="35"/>
      <c r="AK984" s="36"/>
      <c r="AN984" s="25"/>
      <c r="AO984" s="26"/>
      <c r="AP984" s="40"/>
      <c r="AQ984" s="26"/>
      <c r="AR984" s="26"/>
      <c r="AS984" s="26"/>
      <c r="AT984" s="25"/>
      <c r="AU984" s="30"/>
      <c r="AV984" s="31"/>
    </row>
    <row r="985" spans="8:48" ht="14.5" x14ac:dyDescent="0.35">
      <c r="H985" s="15"/>
      <c r="K985" s="15"/>
      <c r="N985" s="15"/>
      <c r="Q985" s="13"/>
      <c r="R985" s="13"/>
      <c r="S985" s="13"/>
      <c r="T985" s="13"/>
      <c r="U985" s="13"/>
      <c r="X985" s="15"/>
      <c r="AF985" s="19"/>
      <c r="AJ985" s="35"/>
      <c r="AK985" s="36"/>
      <c r="AN985" s="25"/>
      <c r="AO985" s="26"/>
      <c r="AP985" s="40"/>
      <c r="AQ985" s="26"/>
      <c r="AR985" s="26"/>
      <c r="AS985" s="26"/>
      <c r="AT985" s="25"/>
      <c r="AU985" s="30"/>
      <c r="AV985" s="31"/>
    </row>
  </sheetData>
  <autoFilter ref="A1:AV286" xr:uid="{00000000-0009-0000-0000-000000000000}"/>
  <dataValidations count="1">
    <dataValidation type="list" allowBlank="1" showErrorMessage="1" sqref="B2:B286" xr:uid="{00000000-0002-0000-0000-000000000000}">
      <formula1>"Oost-Vlaanderen,Vlaams-Brabant,Antwerpen,Limburg,West-Vlaanderen"</formula1>
    </dataValidation>
  </dataValidation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1000"/>
  <sheetViews>
    <sheetView workbookViewId="0">
      <pane ySplit="1" topLeftCell="A2" activePane="bottomLeft" state="frozen"/>
      <selection pane="bottomLeft" activeCell="B3" sqref="B3"/>
    </sheetView>
  </sheetViews>
  <sheetFormatPr defaultColWidth="14.453125" defaultRowHeight="15" customHeight="1" x14ac:dyDescent="0.35"/>
  <sheetData>
    <row r="1" spans="1:36" x14ac:dyDescent="0.35">
      <c r="A1" s="42" t="s">
        <v>0</v>
      </c>
      <c r="B1" s="42" t="s">
        <v>1</v>
      </c>
      <c r="C1" s="42" t="s">
        <v>2</v>
      </c>
      <c r="D1" s="42" t="s">
        <v>3</v>
      </c>
      <c r="E1" s="42" t="s">
        <v>4</v>
      </c>
      <c r="F1" s="42" t="s">
        <v>5</v>
      </c>
      <c r="G1" s="42" t="s">
        <v>7</v>
      </c>
      <c r="H1" s="42" t="s">
        <v>8</v>
      </c>
      <c r="I1" s="42" t="s">
        <v>9</v>
      </c>
      <c r="J1" s="42" t="s">
        <v>10</v>
      </c>
      <c r="K1" s="42" t="s">
        <v>11</v>
      </c>
      <c r="L1" s="42" t="s">
        <v>12</v>
      </c>
      <c r="M1" s="42" t="s">
        <v>13</v>
      </c>
      <c r="N1" s="42" t="s">
        <v>14</v>
      </c>
      <c r="O1" s="42" t="s">
        <v>15</v>
      </c>
      <c r="P1" s="42" t="s">
        <v>16</v>
      </c>
      <c r="Q1" s="42" t="s">
        <v>17</v>
      </c>
      <c r="R1" s="42" t="s">
        <v>18</v>
      </c>
      <c r="S1" s="42" t="s">
        <v>19</v>
      </c>
      <c r="T1" s="42" t="s">
        <v>20</v>
      </c>
      <c r="U1" s="42" t="s">
        <v>21</v>
      </c>
      <c r="V1" s="42" t="s">
        <v>22</v>
      </c>
      <c r="W1" s="42" t="s">
        <v>23</v>
      </c>
      <c r="X1" s="42" t="s">
        <v>24</v>
      </c>
      <c r="Y1" s="42" t="s">
        <v>25</v>
      </c>
      <c r="Z1" s="42" t="s">
        <v>26</v>
      </c>
      <c r="AA1" s="43" t="s">
        <v>27</v>
      </c>
      <c r="AB1" s="43" t="s">
        <v>28</v>
      </c>
      <c r="AC1" s="42" t="s">
        <v>29</v>
      </c>
      <c r="AD1" s="42" t="s">
        <v>30</v>
      </c>
      <c r="AE1" s="42" t="s">
        <v>31</v>
      </c>
      <c r="AF1" s="42" t="s">
        <v>32</v>
      </c>
      <c r="AG1" s="42" t="s">
        <v>33</v>
      </c>
      <c r="AH1" s="42" t="s">
        <v>34</v>
      </c>
      <c r="AI1" s="42" t="s">
        <v>46</v>
      </c>
      <c r="AJ1" s="42" t="s">
        <v>47</v>
      </c>
    </row>
    <row r="2" spans="1:36" x14ac:dyDescent="0.35">
      <c r="A2" s="44" t="s">
        <v>65</v>
      </c>
      <c r="B2" s="44" t="s">
        <v>50</v>
      </c>
      <c r="C2" s="44">
        <v>41002</v>
      </c>
      <c r="D2" s="37">
        <v>88854</v>
      </c>
      <c r="E2" s="37">
        <v>90068</v>
      </c>
      <c r="F2" s="37">
        <v>90995</v>
      </c>
      <c r="G2" s="44">
        <v>20</v>
      </c>
      <c r="H2" s="44">
        <v>0</v>
      </c>
      <c r="I2" s="44">
        <v>0.23</v>
      </c>
      <c r="J2" s="44">
        <v>19</v>
      </c>
      <c r="K2" s="44">
        <v>0</v>
      </c>
      <c r="L2" s="44">
        <v>0.21</v>
      </c>
      <c r="M2" s="44">
        <v>21</v>
      </c>
      <c r="N2" s="44">
        <v>6</v>
      </c>
      <c r="O2" s="44">
        <v>0.23</v>
      </c>
      <c r="P2" s="44">
        <v>7.0000000000000007E-2</v>
      </c>
      <c r="Q2" s="44">
        <v>1</v>
      </c>
      <c r="R2" s="44">
        <v>0.01</v>
      </c>
      <c r="S2" s="44">
        <v>2</v>
      </c>
      <c r="T2" s="44">
        <v>0.02</v>
      </c>
      <c r="U2" s="44">
        <v>1</v>
      </c>
      <c r="V2" s="44">
        <v>0.01</v>
      </c>
      <c r="W2" s="44">
        <v>26</v>
      </c>
      <c r="X2" s="44">
        <v>5</v>
      </c>
      <c r="Y2" s="44">
        <v>0.28999999999999998</v>
      </c>
      <c r="Z2" s="44">
        <v>0.06</v>
      </c>
      <c r="AA2" s="45">
        <v>34</v>
      </c>
      <c r="AB2" s="45">
        <v>10</v>
      </c>
      <c r="AC2" s="44">
        <v>0.37</v>
      </c>
      <c r="AD2" s="44">
        <v>0.11</v>
      </c>
      <c r="AE2" s="44">
        <v>38</v>
      </c>
      <c r="AF2" s="44">
        <v>10</v>
      </c>
      <c r="AG2" s="44">
        <v>0.42</v>
      </c>
      <c r="AH2" s="44">
        <v>0.11</v>
      </c>
      <c r="AI2" s="44">
        <v>182</v>
      </c>
      <c r="AJ2" s="44">
        <v>144</v>
      </c>
    </row>
    <row r="3" spans="1:36" x14ac:dyDescent="0.35">
      <c r="A3" s="44" t="s">
        <v>231</v>
      </c>
      <c r="B3" s="44" t="s">
        <v>50</v>
      </c>
      <c r="C3" s="44">
        <v>44084</v>
      </c>
      <c r="D3" s="37">
        <v>29340</v>
      </c>
      <c r="E3" s="37">
        <v>29529</v>
      </c>
      <c r="F3" s="37">
        <v>29787</v>
      </c>
      <c r="G3" s="44">
        <v>1</v>
      </c>
      <c r="H3" s="44">
        <v>0</v>
      </c>
      <c r="I3" s="44">
        <v>0.03</v>
      </c>
      <c r="J3" s="44">
        <v>0</v>
      </c>
      <c r="K3" s="44">
        <v>0</v>
      </c>
      <c r="L3" s="44">
        <v>0</v>
      </c>
      <c r="M3" s="44">
        <v>0</v>
      </c>
      <c r="N3" s="44">
        <v>0</v>
      </c>
      <c r="O3" s="44">
        <v>0</v>
      </c>
      <c r="P3" s="44">
        <v>0</v>
      </c>
      <c r="Q3" s="44">
        <v>-1</v>
      </c>
      <c r="R3" s="44">
        <v>-0.03</v>
      </c>
      <c r="S3" s="44">
        <v>0</v>
      </c>
      <c r="T3" s="44">
        <v>0</v>
      </c>
      <c r="U3" s="44">
        <v>0</v>
      </c>
      <c r="V3" s="44">
        <v>0</v>
      </c>
      <c r="W3" s="44">
        <v>0</v>
      </c>
      <c r="X3" s="44">
        <v>0</v>
      </c>
      <c r="Y3" s="44">
        <v>0</v>
      </c>
      <c r="Z3" s="44">
        <v>0</v>
      </c>
      <c r="AA3" s="45">
        <v>0</v>
      </c>
      <c r="AB3" s="45">
        <v>0</v>
      </c>
      <c r="AC3" s="44">
        <v>0</v>
      </c>
      <c r="AD3" s="44">
        <v>0</v>
      </c>
      <c r="AE3" s="44">
        <v>2</v>
      </c>
      <c r="AF3" s="44">
        <v>2</v>
      </c>
      <c r="AG3" s="44">
        <v>7.0000000000000007E-2</v>
      </c>
      <c r="AH3" s="44">
        <v>7.0000000000000007E-2</v>
      </c>
      <c r="AI3" s="44">
        <v>60</v>
      </c>
      <c r="AJ3" s="44">
        <v>57.6</v>
      </c>
    </row>
    <row r="4" spans="1:36" x14ac:dyDescent="0.35">
      <c r="A4" s="44" t="s">
        <v>84</v>
      </c>
      <c r="B4" s="44" t="s">
        <v>52</v>
      </c>
      <c r="C4" s="44">
        <v>24001</v>
      </c>
      <c r="D4" s="37">
        <v>30594</v>
      </c>
      <c r="E4" s="37">
        <v>30854</v>
      </c>
      <c r="F4" s="37">
        <v>31138</v>
      </c>
      <c r="G4" s="44">
        <v>3</v>
      </c>
      <c r="H4" s="44">
        <v>0</v>
      </c>
      <c r="I4" s="44">
        <v>0.1</v>
      </c>
      <c r="J4" s="44">
        <v>8</v>
      </c>
      <c r="K4" s="44">
        <v>0</v>
      </c>
      <c r="L4" s="44">
        <v>0.26</v>
      </c>
      <c r="M4" s="44">
        <v>6</v>
      </c>
      <c r="N4" s="44">
        <v>6</v>
      </c>
      <c r="O4" s="44">
        <v>0.19</v>
      </c>
      <c r="P4" s="44">
        <v>0.19</v>
      </c>
      <c r="Q4" s="44">
        <v>3</v>
      </c>
      <c r="R4" s="44">
        <v>0.1</v>
      </c>
      <c r="S4" s="44">
        <v>-2</v>
      </c>
      <c r="T4" s="44">
        <v>-7.0000000000000007E-2</v>
      </c>
      <c r="U4" s="44">
        <v>0</v>
      </c>
      <c r="V4" s="44">
        <v>0</v>
      </c>
      <c r="W4" s="44">
        <v>8</v>
      </c>
      <c r="X4" s="44">
        <v>7</v>
      </c>
      <c r="Y4" s="44">
        <v>0.26</v>
      </c>
      <c r="Z4" s="44">
        <v>0.23</v>
      </c>
      <c r="AA4" s="45">
        <v>7</v>
      </c>
      <c r="AB4" s="45">
        <v>6</v>
      </c>
      <c r="AC4" s="44">
        <v>0.22</v>
      </c>
      <c r="AD4" s="44">
        <v>0.19</v>
      </c>
      <c r="AE4" s="44">
        <v>10</v>
      </c>
      <c r="AF4" s="44">
        <v>8</v>
      </c>
      <c r="AG4" s="44">
        <v>0.32</v>
      </c>
      <c r="AH4" s="44">
        <v>0.26</v>
      </c>
      <c r="AI4" s="44">
        <v>62</v>
      </c>
      <c r="AJ4" s="44">
        <v>52</v>
      </c>
    </row>
    <row r="5" spans="1:36" x14ac:dyDescent="0.35">
      <c r="A5" s="44" t="s">
        <v>335</v>
      </c>
      <c r="B5" s="44" t="s">
        <v>48</v>
      </c>
      <c r="C5" s="44">
        <v>11001</v>
      </c>
      <c r="D5" s="37">
        <v>14610</v>
      </c>
      <c r="E5" s="37">
        <v>14752</v>
      </c>
      <c r="F5" s="37">
        <v>14890</v>
      </c>
      <c r="G5" s="44">
        <v>0</v>
      </c>
      <c r="H5" s="44">
        <v>0</v>
      </c>
      <c r="I5" s="44">
        <v>0</v>
      </c>
      <c r="J5" s="44">
        <v>0</v>
      </c>
      <c r="K5" s="44">
        <v>0</v>
      </c>
      <c r="L5" s="44">
        <v>0</v>
      </c>
      <c r="M5" s="44">
        <v>0</v>
      </c>
      <c r="N5" s="44">
        <v>0</v>
      </c>
      <c r="O5" s="44">
        <v>0</v>
      </c>
      <c r="P5" s="44">
        <v>0</v>
      </c>
      <c r="Q5" s="44">
        <v>0</v>
      </c>
      <c r="R5" s="44">
        <v>0</v>
      </c>
      <c r="S5" s="44">
        <v>0</v>
      </c>
      <c r="T5" s="44">
        <v>0</v>
      </c>
      <c r="U5" s="44">
        <v>0</v>
      </c>
      <c r="V5" s="44">
        <v>0</v>
      </c>
      <c r="W5" s="44">
        <v>0</v>
      </c>
      <c r="X5" s="44">
        <v>0</v>
      </c>
      <c r="Y5" s="44">
        <v>0</v>
      </c>
      <c r="Z5" s="44">
        <v>0</v>
      </c>
      <c r="AA5" s="45">
        <v>0</v>
      </c>
      <c r="AB5" s="45">
        <v>0</v>
      </c>
      <c r="AC5" s="44">
        <v>0</v>
      </c>
      <c r="AD5" s="44">
        <v>0</v>
      </c>
      <c r="AE5" s="44">
        <v>0</v>
      </c>
      <c r="AF5" s="44">
        <v>0</v>
      </c>
      <c r="AG5" s="44">
        <v>0</v>
      </c>
      <c r="AH5" s="44">
        <v>0</v>
      </c>
      <c r="AI5" s="44">
        <v>30</v>
      </c>
      <c r="AJ5" s="44">
        <v>30</v>
      </c>
    </row>
    <row r="6" spans="1:36" x14ac:dyDescent="0.35">
      <c r="A6" s="44" t="s">
        <v>306</v>
      </c>
      <c r="B6" s="44" t="s">
        <v>52</v>
      </c>
      <c r="C6" s="44">
        <v>23105</v>
      </c>
      <c r="D6" s="37">
        <v>13466</v>
      </c>
      <c r="E6" s="37">
        <v>13556</v>
      </c>
      <c r="F6" s="37">
        <v>13651</v>
      </c>
      <c r="G6" s="44">
        <v>0</v>
      </c>
      <c r="H6" s="44">
        <v>0</v>
      </c>
      <c r="I6" s="44">
        <v>0</v>
      </c>
      <c r="J6" s="44">
        <v>0</v>
      </c>
      <c r="K6" s="44">
        <v>0</v>
      </c>
      <c r="L6" s="44">
        <v>0</v>
      </c>
      <c r="M6" s="44">
        <v>0</v>
      </c>
      <c r="N6" s="44">
        <v>0</v>
      </c>
      <c r="O6" s="44">
        <v>0</v>
      </c>
      <c r="P6" s="44">
        <v>0</v>
      </c>
      <c r="Q6" s="44">
        <v>0</v>
      </c>
      <c r="R6" s="44">
        <v>0</v>
      </c>
      <c r="S6" s="44">
        <v>0</v>
      </c>
      <c r="T6" s="44">
        <v>0</v>
      </c>
      <c r="U6" s="44">
        <v>0</v>
      </c>
      <c r="V6" s="44">
        <v>0</v>
      </c>
      <c r="W6" s="44">
        <v>1</v>
      </c>
      <c r="X6" s="44">
        <v>0</v>
      </c>
      <c r="Y6" s="44">
        <v>7.0000000000000007E-2</v>
      </c>
      <c r="Z6" s="44">
        <v>0</v>
      </c>
      <c r="AA6" s="45">
        <v>1</v>
      </c>
      <c r="AB6" s="45">
        <v>0</v>
      </c>
      <c r="AC6" s="44">
        <v>7.0000000000000007E-2</v>
      </c>
      <c r="AD6" s="44">
        <v>0</v>
      </c>
      <c r="AE6" s="44">
        <v>1</v>
      </c>
      <c r="AF6" s="44">
        <v>0</v>
      </c>
      <c r="AG6" s="44">
        <v>7.0000000000000007E-2</v>
      </c>
      <c r="AH6" s="44">
        <v>0</v>
      </c>
      <c r="AI6" s="44">
        <v>27</v>
      </c>
      <c r="AJ6" s="44">
        <v>26</v>
      </c>
    </row>
    <row r="7" spans="1:36" x14ac:dyDescent="0.35">
      <c r="A7" s="44" t="s">
        <v>279</v>
      </c>
      <c r="B7" s="44" t="s">
        <v>59</v>
      </c>
      <c r="C7" s="44">
        <v>73001</v>
      </c>
      <c r="D7" s="37">
        <v>11757</v>
      </c>
      <c r="E7" s="37">
        <v>11839</v>
      </c>
      <c r="F7" s="37">
        <v>11918</v>
      </c>
      <c r="G7" s="44">
        <v>2</v>
      </c>
      <c r="H7" s="44">
        <v>0</v>
      </c>
      <c r="I7" s="44">
        <v>0.17</v>
      </c>
      <c r="J7" s="44">
        <v>2</v>
      </c>
      <c r="K7" s="44">
        <v>0</v>
      </c>
      <c r="L7" s="44">
        <v>0.17</v>
      </c>
      <c r="M7" s="44">
        <v>2</v>
      </c>
      <c r="N7" s="44">
        <v>2</v>
      </c>
      <c r="O7" s="44">
        <v>0.17</v>
      </c>
      <c r="P7" s="44">
        <v>0.17</v>
      </c>
      <c r="Q7" s="44">
        <v>0</v>
      </c>
      <c r="R7" s="44">
        <v>0</v>
      </c>
      <c r="S7" s="44">
        <v>0</v>
      </c>
      <c r="T7" s="44">
        <v>0</v>
      </c>
      <c r="U7" s="44">
        <v>0</v>
      </c>
      <c r="V7" s="44">
        <v>0</v>
      </c>
      <c r="W7" s="44">
        <v>2</v>
      </c>
      <c r="X7" s="44">
        <v>2</v>
      </c>
      <c r="Y7" s="44">
        <v>0.17</v>
      </c>
      <c r="Z7" s="44">
        <v>0.17</v>
      </c>
      <c r="AA7" s="45">
        <v>2</v>
      </c>
      <c r="AB7" s="45">
        <v>2</v>
      </c>
      <c r="AC7" s="44">
        <v>0.17</v>
      </c>
      <c r="AD7" s="44">
        <v>0.17</v>
      </c>
      <c r="AE7" s="44">
        <v>2</v>
      </c>
      <c r="AF7" s="44">
        <v>2</v>
      </c>
      <c r="AG7" s="44">
        <v>0.17</v>
      </c>
      <c r="AH7" s="44">
        <v>0.17</v>
      </c>
      <c r="AI7" s="44">
        <v>24</v>
      </c>
      <c r="AJ7" s="44">
        <v>22</v>
      </c>
    </row>
    <row r="8" spans="1:36" x14ac:dyDescent="0.35">
      <c r="A8" s="44" t="s">
        <v>242</v>
      </c>
      <c r="B8" s="44" t="s">
        <v>55</v>
      </c>
      <c r="C8" s="44">
        <v>38002</v>
      </c>
      <c r="D8" s="37">
        <v>5025</v>
      </c>
      <c r="E8" s="37">
        <v>5054</v>
      </c>
      <c r="F8" s="37">
        <v>5023</v>
      </c>
      <c r="G8" s="44">
        <v>0</v>
      </c>
      <c r="H8" s="44">
        <v>0</v>
      </c>
      <c r="I8" s="44">
        <v>0</v>
      </c>
      <c r="J8" s="44">
        <v>0</v>
      </c>
      <c r="K8" s="44">
        <v>0</v>
      </c>
      <c r="L8" s="44">
        <v>0</v>
      </c>
      <c r="M8" s="44">
        <v>0</v>
      </c>
      <c r="N8" s="44">
        <v>0</v>
      </c>
      <c r="O8" s="44">
        <v>0</v>
      </c>
      <c r="P8" s="44">
        <v>0</v>
      </c>
      <c r="Q8" s="44">
        <v>0</v>
      </c>
      <c r="R8" s="44">
        <v>0</v>
      </c>
      <c r="S8" s="44">
        <v>0</v>
      </c>
      <c r="T8" s="44">
        <v>0</v>
      </c>
      <c r="U8" s="44">
        <v>0</v>
      </c>
      <c r="V8" s="44">
        <v>0</v>
      </c>
      <c r="W8" s="44">
        <v>0</v>
      </c>
      <c r="X8" s="44">
        <v>0</v>
      </c>
      <c r="Y8" s="44">
        <v>0</v>
      </c>
      <c r="Z8" s="44">
        <v>0</v>
      </c>
      <c r="AA8" s="45">
        <v>1</v>
      </c>
      <c r="AB8" s="45">
        <v>0</v>
      </c>
      <c r="AC8" s="44">
        <v>0.2</v>
      </c>
      <c r="AD8" s="44">
        <v>0</v>
      </c>
      <c r="AE8" s="44">
        <v>1</v>
      </c>
      <c r="AF8" s="44">
        <v>0</v>
      </c>
      <c r="AG8" s="44">
        <v>0.2</v>
      </c>
      <c r="AH8" s="44">
        <v>0</v>
      </c>
      <c r="AI8" s="44">
        <v>10</v>
      </c>
      <c r="AJ8" s="44">
        <v>9</v>
      </c>
    </row>
    <row r="9" spans="1:36" x14ac:dyDescent="0.35">
      <c r="A9" s="44" t="s">
        <v>48</v>
      </c>
      <c r="B9" s="44" t="s">
        <v>48</v>
      </c>
      <c r="C9" s="44">
        <v>11002</v>
      </c>
      <c r="D9" s="37">
        <v>530630</v>
      </c>
      <c r="E9" s="37">
        <v>538910</v>
      </c>
      <c r="F9" s="37">
        <v>544759</v>
      </c>
      <c r="G9" s="44">
        <v>896</v>
      </c>
      <c r="H9" s="44">
        <v>170</v>
      </c>
      <c r="I9" s="44">
        <v>1.69</v>
      </c>
      <c r="J9" s="44">
        <v>899</v>
      </c>
      <c r="K9" s="44">
        <v>161</v>
      </c>
      <c r="L9" s="44">
        <v>1.69</v>
      </c>
      <c r="M9" s="44">
        <v>1449</v>
      </c>
      <c r="N9" s="44">
        <v>354</v>
      </c>
      <c r="O9" s="44">
        <v>2.69</v>
      </c>
      <c r="P9" s="44">
        <v>0.66</v>
      </c>
      <c r="Q9" s="44">
        <v>553</v>
      </c>
      <c r="R9" s="44">
        <v>1</v>
      </c>
      <c r="S9" s="44">
        <v>550</v>
      </c>
      <c r="T9" s="44">
        <v>0.99</v>
      </c>
      <c r="U9" s="44">
        <v>92</v>
      </c>
      <c r="V9" s="44">
        <v>0.17</v>
      </c>
      <c r="W9" s="44">
        <v>1542</v>
      </c>
      <c r="X9" s="44">
        <v>303</v>
      </c>
      <c r="Y9" s="44">
        <v>2.86</v>
      </c>
      <c r="Z9" s="44">
        <v>0.56000000000000005</v>
      </c>
      <c r="AA9" s="45">
        <v>1646</v>
      </c>
      <c r="AB9" s="45">
        <v>37</v>
      </c>
      <c r="AC9" s="44">
        <v>3.02</v>
      </c>
      <c r="AD9" s="44">
        <v>7.0000000000000007E-2</v>
      </c>
      <c r="AE9" s="44">
        <v>1477</v>
      </c>
      <c r="AF9" s="44">
        <v>29</v>
      </c>
      <c r="AG9" s="44">
        <v>2.71</v>
      </c>
      <c r="AH9" s="44">
        <v>0.05</v>
      </c>
      <c r="AI9" s="37">
        <v>1090</v>
      </c>
      <c r="AJ9" s="44">
        <v>-387</v>
      </c>
    </row>
    <row r="10" spans="1:36" x14ac:dyDescent="0.35">
      <c r="A10" s="44" t="s">
        <v>276</v>
      </c>
      <c r="B10" s="44" t="s">
        <v>55</v>
      </c>
      <c r="C10" s="44">
        <v>34002</v>
      </c>
      <c r="D10" s="37">
        <v>15029</v>
      </c>
      <c r="E10" s="37">
        <v>15222</v>
      </c>
      <c r="F10" s="37">
        <v>15148</v>
      </c>
      <c r="G10" s="44">
        <v>0</v>
      </c>
      <c r="H10" s="44">
        <v>0</v>
      </c>
      <c r="I10" s="44">
        <v>0</v>
      </c>
      <c r="J10" s="44">
        <v>0</v>
      </c>
      <c r="K10" s="44">
        <v>0</v>
      </c>
      <c r="L10" s="44">
        <v>0</v>
      </c>
      <c r="M10" s="44">
        <v>0</v>
      </c>
      <c r="N10" s="44">
        <v>0</v>
      </c>
      <c r="O10" s="44">
        <v>0</v>
      </c>
      <c r="P10" s="44">
        <v>0</v>
      </c>
      <c r="Q10" s="44">
        <v>0</v>
      </c>
      <c r="R10" s="44">
        <v>0</v>
      </c>
      <c r="S10" s="44">
        <v>0</v>
      </c>
      <c r="T10" s="44">
        <v>0</v>
      </c>
      <c r="U10" s="44">
        <v>0</v>
      </c>
      <c r="V10" s="44">
        <v>0</v>
      </c>
      <c r="W10" s="44">
        <v>0</v>
      </c>
      <c r="X10" s="44">
        <v>0</v>
      </c>
      <c r="Y10" s="44">
        <v>0</v>
      </c>
      <c r="Z10" s="44">
        <v>0</v>
      </c>
      <c r="AA10" s="45">
        <v>0</v>
      </c>
      <c r="AB10" s="45">
        <v>0</v>
      </c>
      <c r="AC10" s="44">
        <v>0</v>
      </c>
      <c r="AD10" s="44">
        <v>0</v>
      </c>
      <c r="AE10" s="44">
        <v>2</v>
      </c>
      <c r="AF10" s="44">
        <v>2</v>
      </c>
      <c r="AG10" s="44">
        <v>0.13</v>
      </c>
      <c r="AH10" s="44">
        <v>0.13</v>
      </c>
      <c r="AI10" s="44">
        <v>30</v>
      </c>
      <c r="AJ10" s="44">
        <v>28</v>
      </c>
    </row>
    <row r="11" spans="1:36" x14ac:dyDescent="0.35">
      <c r="A11" s="44" t="s">
        <v>199</v>
      </c>
      <c r="B11" s="44" t="s">
        <v>55</v>
      </c>
      <c r="C11" s="44">
        <v>37020</v>
      </c>
      <c r="D11" s="37">
        <v>9195</v>
      </c>
      <c r="E11" s="37">
        <v>9338</v>
      </c>
      <c r="F11" s="37">
        <v>9355</v>
      </c>
      <c r="G11" s="44">
        <v>1</v>
      </c>
      <c r="H11" s="44">
        <v>0</v>
      </c>
      <c r="I11" s="44">
        <v>0.11</v>
      </c>
      <c r="J11" s="44">
        <v>1</v>
      </c>
      <c r="K11" s="44">
        <v>0</v>
      </c>
      <c r="L11" s="44">
        <v>0.11</v>
      </c>
      <c r="M11" s="44">
        <v>0</v>
      </c>
      <c r="N11" s="44">
        <v>0</v>
      </c>
      <c r="O11" s="44">
        <v>0</v>
      </c>
      <c r="P11" s="44">
        <v>0</v>
      </c>
      <c r="Q11" s="44">
        <v>-1</v>
      </c>
      <c r="R11" s="44">
        <v>-0.11</v>
      </c>
      <c r="S11" s="44">
        <v>-1</v>
      </c>
      <c r="T11" s="44">
        <v>-0.11</v>
      </c>
      <c r="U11" s="44">
        <v>0</v>
      </c>
      <c r="V11" s="44">
        <v>0</v>
      </c>
      <c r="W11" s="44">
        <v>0</v>
      </c>
      <c r="X11" s="44">
        <v>0</v>
      </c>
      <c r="Y11" s="44">
        <v>0</v>
      </c>
      <c r="Z11" s="44">
        <v>0</v>
      </c>
      <c r="AA11" s="45">
        <v>2</v>
      </c>
      <c r="AB11" s="45">
        <v>0</v>
      </c>
      <c r="AC11" s="44">
        <v>0.21</v>
      </c>
      <c r="AD11" s="44">
        <v>0</v>
      </c>
      <c r="AE11" s="44">
        <v>3</v>
      </c>
      <c r="AF11" s="44">
        <v>1</v>
      </c>
      <c r="AG11" s="44">
        <v>0.32</v>
      </c>
      <c r="AH11" s="44">
        <v>0.11</v>
      </c>
      <c r="AI11" s="44">
        <v>19</v>
      </c>
      <c r="AJ11" s="44">
        <v>16</v>
      </c>
    </row>
    <row r="12" spans="1:36" x14ac:dyDescent="0.35">
      <c r="A12" s="44" t="s">
        <v>304</v>
      </c>
      <c r="B12" s="44" t="s">
        <v>48</v>
      </c>
      <c r="C12" s="44">
        <v>13001</v>
      </c>
      <c r="D12" s="37">
        <v>13297</v>
      </c>
      <c r="E12" s="37">
        <v>13344</v>
      </c>
      <c r="F12" s="37">
        <v>13391</v>
      </c>
      <c r="G12" s="44">
        <v>1</v>
      </c>
      <c r="H12" s="44">
        <v>1</v>
      </c>
      <c r="I12" s="44">
        <v>0.08</v>
      </c>
      <c r="J12" s="44">
        <v>1</v>
      </c>
      <c r="K12" s="44">
        <v>1</v>
      </c>
      <c r="L12" s="44">
        <v>0.08</v>
      </c>
      <c r="M12" s="44">
        <v>1</v>
      </c>
      <c r="N12" s="44">
        <v>1</v>
      </c>
      <c r="O12" s="44">
        <v>7.0000000000000007E-2</v>
      </c>
      <c r="P12" s="44">
        <v>7.0000000000000007E-2</v>
      </c>
      <c r="Q12" s="44">
        <v>0</v>
      </c>
      <c r="R12" s="44">
        <v>0</v>
      </c>
      <c r="S12" s="44">
        <v>0</v>
      </c>
      <c r="T12" s="44">
        <v>0</v>
      </c>
      <c r="U12" s="44">
        <v>0</v>
      </c>
      <c r="V12" s="44">
        <v>0</v>
      </c>
      <c r="W12" s="44">
        <v>1</v>
      </c>
      <c r="X12" s="44">
        <v>1</v>
      </c>
      <c r="Y12" s="44">
        <v>7.0000000000000007E-2</v>
      </c>
      <c r="Z12" s="44">
        <v>7.0000000000000007E-2</v>
      </c>
      <c r="AA12" s="45">
        <v>3</v>
      </c>
      <c r="AB12" s="45">
        <v>1</v>
      </c>
      <c r="AC12" s="44">
        <v>0.22</v>
      </c>
      <c r="AD12" s="44">
        <v>7.0000000000000007E-2</v>
      </c>
      <c r="AE12" s="44">
        <v>2</v>
      </c>
      <c r="AF12" s="44">
        <v>2</v>
      </c>
      <c r="AG12" s="44">
        <v>0.15</v>
      </c>
      <c r="AH12" s="44">
        <v>0.15</v>
      </c>
      <c r="AI12" s="44">
        <v>27</v>
      </c>
      <c r="AJ12" s="44">
        <v>25</v>
      </c>
    </row>
    <row r="13" spans="1:36" x14ac:dyDescent="0.35">
      <c r="A13" s="44" t="s">
        <v>307</v>
      </c>
      <c r="B13" s="44" t="s">
        <v>59</v>
      </c>
      <c r="C13" s="44">
        <v>71002</v>
      </c>
      <c r="D13" s="37">
        <v>8246</v>
      </c>
      <c r="E13" s="37">
        <v>8214</v>
      </c>
      <c r="F13" s="37">
        <v>8259</v>
      </c>
      <c r="G13" s="44">
        <v>0</v>
      </c>
      <c r="H13" s="44">
        <v>0</v>
      </c>
      <c r="I13" s="44">
        <v>0</v>
      </c>
      <c r="J13" s="44">
        <v>0</v>
      </c>
      <c r="K13" s="44">
        <v>0</v>
      </c>
      <c r="L13" s="44">
        <v>0</v>
      </c>
      <c r="M13" s="44">
        <v>0</v>
      </c>
      <c r="N13" s="44">
        <v>0</v>
      </c>
      <c r="O13" s="44">
        <v>0</v>
      </c>
      <c r="P13" s="44">
        <v>0</v>
      </c>
      <c r="Q13" s="44">
        <v>0</v>
      </c>
      <c r="R13" s="44">
        <v>0</v>
      </c>
      <c r="S13" s="44">
        <v>0</v>
      </c>
      <c r="T13" s="44">
        <v>0</v>
      </c>
      <c r="U13" s="44">
        <v>0</v>
      </c>
      <c r="V13" s="44">
        <v>0</v>
      </c>
      <c r="W13" s="44">
        <v>0</v>
      </c>
      <c r="X13" s="44">
        <v>0</v>
      </c>
      <c r="Y13" s="44">
        <v>0</v>
      </c>
      <c r="Z13" s="44">
        <v>0</v>
      </c>
      <c r="AA13" s="45">
        <v>1</v>
      </c>
      <c r="AB13" s="45">
        <v>1</v>
      </c>
      <c r="AC13" s="44">
        <v>0.12</v>
      </c>
      <c r="AD13" s="44">
        <v>0.12</v>
      </c>
      <c r="AE13" s="44">
        <v>1</v>
      </c>
      <c r="AF13" s="44">
        <v>1</v>
      </c>
      <c r="AG13" s="44">
        <v>0.12</v>
      </c>
      <c r="AH13" s="44">
        <v>0.12</v>
      </c>
      <c r="AI13" s="44">
        <v>17</v>
      </c>
      <c r="AJ13" s="44">
        <v>16</v>
      </c>
    </row>
    <row r="14" spans="1:36" x14ac:dyDescent="0.35">
      <c r="A14" s="44" t="s">
        <v>131</v>
      </c>
      <c r="B14" s="44" t="s">
        <v>52</v>
      </c>
      <c r="C14" s="44">
        <v>23002</v>
      </c>
      <c r="D14" s="37">
        <v>34494</v>
      </c>
      <c r="E14" s="37">
        <v>35191</v>
      </c>
      <c r="F14" s="37">
        <v>35755</v>
      </c>
      <c r="G14" s="44">
        <v>2</v>
      </c>
      <c r="H14" s="44">
        <v>0</v>
      </c>
      <c r="I14" s="44">
        <v>0.06</v>
      </c>
      <c r="J14" s="44">
        <v>0</v>
      </c>
      <c r="K14" s="44">
        <v>0</v>
      </c>
      <c r="L14" s="44">
        <v>0</v>
      </c>
      <c r="M14" s="44">
        <v>0</v>
      </c>
      <c r="N14" s="44">
        <v>0</v>
      </c>
      <c r="O14" s="44">
        <v>0</v>
      </c>
      <c r="P14" s="44">
        <v>0</v>
      </c>
      <c r="Q14" s="44">
        <v>-2</v>
      </c>
      <c r="R14" s="44">
        <v>-0.06</v>
      </c>
      <c r="S14" s="44">
        <v>0</v>
      </c>
      <c r="T14" s="44">
        <v>0</v>
      </c>
      <c r="U14" s="44">
        <v>0</v>
      </c>
      <c r="V14" s="44">
        <v>0</v>
      </c>
      <c r="W14" s="44">
        <v>0</v>
      </c>
      <c r="X14" s="44">
        <v>0</v>
      </c>
      <c r="Y14" s="44">
        <v>0</v>
      </c>
      <c r="Z14" s="44">
        <v>0</v>
      </c>
      <c r="AA14" s="45">
        <v>4</v>
      </c>
      <c r="AB14" s="45">
        <v>0</v>
      </c>
      <c r="AC14" s="44">
        <v>0.11</v>
      </c>
      <c r="AD14" s="44">
        <v>0</v>
      </c>
      <c r="AE14" s="44">
        <v>6</v>
      </c>
      <c r="AF14" s="44">
        <v>2</v>
      </c>
      <c r="AG14" s="44">
        <v>0.17</v>
      </c>
      <c r="AH14" s="44">
        <v>0.06</v>
      </c>
      <c r="AI14" s="44">
        <v>72</v>
      </c>
      <c r="AJ14" s="44">
        <v>66</v>
      </c>
    </row>
    <row r="15" spans="1:36" x14ac:dyDescent="0.35">
      <c r="A15" s="44" t="s">
        <v>177</v>
      </c>
      <c r="B15" s="44" t="s">
        <v>50</v>
      </c>
      <c r="C15" s="44">
        <v>43002</v>
      </c>
      <c r="D15" s="37">
        <v>14449</v>
      </c>
      <c r="E15" s="37">
        <v>14636</v>
      </c>
      <c r="F15" s="37">
        <v>14650</v>
      </c>
      <c r="G15" s="44">
        <v>1</v>
      </c>
      <c r="H15" s="44">
        <v>0</v>
      </c>
      <c r="I15" s="44">
        <v>7.0000000000000007E-2</v>
      </c>
      <c r="J15" s="44">
        <v>1</v>
      </c>
      <c r="K15" s="44">
        <v>0</v>
      </c>
      <c r="L15" s="44">
        <v>7.0000000000000007E-2</v>
      </c>
      <c r="M15" s="44">
        <v>2</v>
      </c>
      <c r="N15" s="44">
        <v>0</v>
      </c>
      <c r="O15" s="44">
        <v>0.14000000000000001</v>
      </c>
      <c r="P15" s="44">
        <v>0</v>
      </c>
      <c r="Q15" s="44">
        <v>1</v>
      </c>
      <c r="R15" s="44">
        <v>7.0000000000000007E-2</v>
      </c>
      <c r="S15" s="44">
        <v>1</v>
      </c>
      <c r="T15" s="44">
        <v>7.0000000000000007E-2</v>
      </c>
      <c r="U15" s="44">
        <v>0</v>
      </c>
      <c r="V15" s="44">
        <v>0</v>
      </c>
      <c r="W15" s="44">
        <v>2</v>
      </c>
      <c r="X15" s="44">
        <v>0</v>
      </c>
      <c r="Y15" s="44">
        <v>0.14000000000000001</v>
      </c>
      <c r="Z15" s="44">
        <v>0</v>
      </c>
      <c r="AA15" s="45">
        <v>2</v>
      </c>
      <c r="AB15" s="45">
        <v>0</v>
      </c>
      <c r="AC15" s="44">
        <v>0.14000000000000001</v>
      </c>
      <c r="AD15" s="44">
        <v>0</v>
      </c>
      <c r="AE15" s="44">
        <v>5</v>
      </c>
      <c r="AF15" s="44">
        <v>3</v>
      </c>
      <c r="AG15" s="44">
        <v>0.34</v>
      </c>
      <c r="AH15" s="44">
        <v>0.2</v>
      </c>
      <c r="AI15" s="44">
        <v>29</v>
      </c>
      <c r="AJ15" s="44">
        <v>24</v>
      </c>
    </row>
    <row r="16" spans="1:36" x14ac:dyDescent="0.35">
      <c r="A16" s="44" t="s">
        <v>260</v>
      </c>
      <c r="B16" s="44" t="s">
        <v>55</v>
      </c>
      <c r="C16" s="44">
        <v>34003</v>
      </c>
      <c r="D16" s="37">
        <v>10291</v>
      </c>
      <c r="E16" s="37">
        <v>10319</v>
      </c>
      <c r="F16" s="37">
        <v>10406</v>
      </c>
      <c r="G16" s="44">
        <v>0</v>
      </c>
      <c r="H16" s="44">
        <v>0</v>
      </c>
      <c r="I16" s="44">
        <v>0</v>
      </c>
      <c r="J16" s="44">
        <v>0</v>
      </c>
      <c r="K16" s="44">
        <v>0</v>
      </c>
      <c r="L16" s="44">
        <v>0</v>
      </c>
      <c r="M16" s="44">
        <v>0</v>
      </c>
      <c r="N16" s="44">
        <v>0</v>
      </c>
      <c r="O16" s="44">
        <v>0</v>
      </c>
      <c r="P16" s="44">
        <v>0</v>
      </c>
      <c r="Q16" s="44">
        <v>0</v>
      </c>
      <c r="R16" s="44">
        <v>0</v>
      </c>
      <c r="S16" s="44">
        <v>0</v>
      </c>
      <c r="T16" s="44">
        <v>0</v>
      </c>
      <c r="U16" s="44">
        <v>0</v>
      </c>
      <c r="V16" s="44">
        <v>0</v>
      </c>
      <c r="W16" s="44">
        <v>0</v>
      </c>
      <c r="X16" s="44">
        <v>0</v>
      </c>
      <c r="Y16" s="44">
        <v>0</v>
      </c>
      <c r="Z16" s="44">
        <v>0</v>
      </c>
      <c r="AA16" s="45">
        <v>1</v>
      </c>
      <c r="AB16" s="45">
        <v>1</v>
      </c>
      <c r="AC16" s="44">
        <v>0.1</v>
      </c>
      <c r="AD16" s="44">
        <v>0.1</v>
      </c>
      <c r="AE16" s="44">
        <v>1</v>
      </c>
      <c r="AF16" s="44">
        <v>1</v>
      </c>
      <c r="AG16" s="44">
        <v>0.1</v>
      </c>
      <c r="AH16" s="44">
        <v>0.1</v>
      </c>
      <c r="AI16" s="44">
        <v>21</v>
      </c>
      <c r="AJ16" s="44">
        <v>20</v>
      </c>
    </row>
    <row r="17" spans="1:36" x14ac:dyDescent="0.35">
      <c r="A17" s="44" t="s">
        <v>317</v>
      </c>
      <c r="B17" s="44" t="s">
        <v>48</v>
      </c>
      <c r="C17" s="44">
        <v>13002</v>
      </c>
      <c r="D17" s="37">
        <v>2997</v>
      </c>
      <c r="E17" s="37">
        <v>3012</v>
      </c>
      <c r="F17" s="37">
        <v>3001</v>
      </c>
      <c r="G17" s="44">
        <v>0</v>
      </c>
      <c r="H17" s="44">
        <v>0</v>
      </c>
      <c r="I17" s="44">
        <v>0</v>
      </c>
      <c r="J17" s="44">
        <v>0</v>
      </c>
      <c r="K17" s="44">
        <v>0</v>
      </c>
      <c r="L17" s="44">
        <v>0</v>
      </c>
      <c r="M17" s="44">
        <v>0</v>
      </c>
      <c r="N17" s="44">
        <v>0</v>
      </c>
      <c r="O17" s="44">
        <v>0</v>
      </c>
      <c r="P17" s="44">
        <v>0</v>
      </c>
      <c r="Q17" s="44">
        <v>0</v>
      </c>
      <c r="R17" s="44">
        <v>0</v>
      </c>
      <c r="S17" s="44">
        <v>0</v>
      </c>
      <c r="T17" s="44">
        <v>0</v>
      </c>
      <c r="U17" s="44">
        <v>0</v>
      </c>
      <c r="V17" s="44">
        <v>0</v>
      </c>
      <c r="W17" s="44">
        <v>0</v>
      </c>
      <c r="X17" s="44">
        <v>0</v>
      </c>
      <c r="Y17" s="44">
        <v>0</v>
      </c>
      <c r="Z17" s="44">
        <v>0</v>
      </c>
      <c r="AA17" s="45">
        <v>0</v>
      </c>
      <c r="AB17" s="45">
        <v>0</v>
      </c>
      <c r="AC17" s="44">
        <v>0</v>
      </c>
      <c r="AD17" s="44">
        <v>0</v>
      </c>
      <c r="AE17" s="44">
        <v>0</v>
      </c>
      <c r="AF17" s="44">
        <v>0</v>
      </c>
      <c r="AG17" s="44">
        <v>0</v>
      </c>
      <c r="AH17" s="44">
        <v>0</v>
      </c>
      <c r="AI17" s="44">
        <v>6</v>
      </c>
      <c r="AJ17" s="44">
        <v>6</v>
      </c>
    </row>
    <row r="18" spans="1:36" x14ac:dyDescent="0.35">
      <c r="A18" s="44" t="s">
        <v>125</v>
      </c>
      <c r="B18" s="44" t="s">
        <v>48</v>
      </c>
      <c r="C18" s="44">
        <v>13003</v>
      </c>
      <c r="D18" s="37">
        <v>23000</v>
      </c>
      <c r="E18" s="37">
        <v>23308</v>
      </c>
      <c r="F18" s="37">
        <v>23523</v>
      </c>
      <c r="G18" s="44">
        <v>4</v>
      </c>
      <c r="H18" s="44">
        <v>0</v>
      </c>
      <c r="I18" s="44">
        <v>0.17</v>
      </c>
      <c r="J18" s="44">
        <v>2</v>
      </c>
      <c r="K18" s="44">
        <v>0</v>
      </c>
      <c r="L18" s="44">
        <v>0.09</v>
      </c>
      <c r="M18" s="44">
        <v>2</v>
      </c>
      <c r="N18" s="44">
        <v>0</v>
      </c>
      <c r="O18" s="44">
        <v>0.09</v>
      </c>
      <c r="P18" s="44">
        <v>0</v>
      </c>
      <c r="Q18" s="44">
        <v>-2</v>
      </c>
      <c r="R18" s="44">
        <v>-0.09</v>
      </c>
      <c r="S18" s="44">
        <v>0</v>
      </c>
      <c r="T18" s="44">
        <v>0</v>
      </c>
      <c r="U18" s="44">
        <v>0</v>
      </c>
      <c r="V18" s="44">
        <v>0</v>
      </c>
      <c r="W18" s="44">
        <v>5</v>
      </c>
      <c r="X18" s="44">
        <v>1</v>
      </c>
      <c r="Y18" s="44">
        <v>0.21</v>
      </c>
      <c r="Z18" s="44">
        <v>0.04</v>
      </c>
      <c r="AA18" s="45">
        <v>6</v>
      </c>
      <c r="AB18" s="45">
        <v>1</v>
      </c>
      <c r="AC18" s="44">
        <v>0.26</v>
      </c>
      <c r="AD18" s="44">
        <v>0.04</v>
      </c>
      <c r="AE18" s="44">
        <v>7</v>
      </c>
      <c r="AF18" s="44">
        <v>2</v>
      </c>
      <c r="AG18" s="44">
        <v>0.3</v>
      </c>
      <c r="AH18" s="44">
        <v>0.09</v>
      </c>
      <c r="AI18" s="44">
        <v>47</v>
      </c>
      <c r="AJ18" s="44">
        <v>40</v>
      </c>
    </row>
    <row r="19" spans="1:36" x14ac:dyDescent="0.35">
      <c r="A19" s="44" t="s">
        <v>112</v>
      </c>
      <c r="B19" s="44" t="s">
        <v>55</v>
      </c>
      <c r="C19" s="44">
        <v>31003</v>
      </c>
      <c r="D19" s="37">
        <v>15966</v>
      </c>
      <c r="E19" s="37">
        <v>16131</v>
      </c>
      <c r="F19" s="37">
        <v>16259</v>
      </c>
      <c r="G19" s="44">
        <v>2</v>
      </c>
      <c r="H19" s="44">
        <v>2</v>
      </c>
      <c r="I19" s="44">
        <v>0.13</v>
      </c>
      <c r="J19" s="44">
        <v>2</v>
      </c>
      <c r="K19" s="44">
        <v>2</v>
      </c>
      <c r="L19" s="44">
        <v>0.13</v>
      </c>
      <c r="M19" s="44">
        <v>2</v>
      </c>
      <c r="N19" s="44">
        <v>2</v>
      </c>
      <c r="O19" s="44">
        <v>0.12</v>
      </c>
      <c r="P19" s="44">
        <v>0.12</v>
      </c>
      <c r="Q19" s="44">
        <v>0</v>
      </c>
      <c r="R19" s="44">
        <v>0</v>
      </c>
      <c r="S19" s="44">
        <v>0</v>
      </c>
      <c r="T19" s="44">
        <v>0</v>
      </c>
      <c r="U19" s="44">
        <v>0</v>
      </c>
      <c r="V19" s="44">
        <v>0</v>
      </c>
      <c r="W19" s="44">
        <v>3</v>
      </c>
      <c r="X19" s="44">
        <v>2</v>
      </c>
      <c r="Y19" s="44">
        <v>0.19</v>
      </c>
      <c r="Z19" s="44">
        <v>0.12</v>
      </c>
      <c r="AA19" s="45">
        <v>3</v>
      </c>
      <c r="AB19" s="45">
        <v>2</v>
      </c>
      <c r="AC19" s="44">
        <v>0.18</v>
      </c>
      <c r="AD19" s="44">
        <v>0.12</v>
      </c>
      <c r="AE19" s="44">
        <v>6</v>
      </c>
      <c r="AF19" s="44">
        <v>5</v>
      </c>
      <c r="AG19" s="44">
        <v>0.37</v>
      </c>
      <c r="AH19" s="44">
        <v>0.31</v>
      </c>
      <c r="AI19" s="44">
        <v>33</v>
      </c>
      <c r="AJ19" s="44">
        <v>27</v>
      </c>
    </row>
    <row r="20" spans="1:36" x14ac:dyDescent="0.35">
      <c r="A20" s="44" t="s">
        <v>221</v>
      </c>
      <c r="B20" s="44" t="s">
        <v>48</v>
      </c>
      <c r="C20" s="44">
        <v>13004</v>
      </c>
      <c r="D20" s="37">
        <v>18378</v>
      </c>
      <c r="E20" s="37">
        <v>18416</v>
      </c>
      <c r="F20" s="37">
        <v>18601</v>
      </c>
      <c r="G20" s="44">
        <v>1</v>
      </c>
      <c r="H20" s="44">
        <v>0</v>
      </c>
      <c r="I20" s="44">
        <v>0.05</v>
      </c>
      <c r="J20" s="44">
        <v>0</v>
      </c>
      <c r="K20" s="44">
        <v>0</v>
      </c>
      <c r="L20" s="44">
        <v>0</v>
      </c>
      <c r="M20" s="44">
        <v>1</v>
      </c>
      <c r="N20" s="44">
        <v>1</v>
      </c>
      <c r="O20" s="44">
        <v>0.05</v>
      </c>
      <c r="P20" s="44">
        <v>0.05</v>
      </c>
      <c r="Q20" s="44">
        <v>0</v>
      </c>
      <c r="R20" s="44">
        <v>0</v>
      </c>
      <c r="S20" s="44">
        <v>1</v>
      </c>
      <c r="T20" s="44">
        <v>0.05</v>
      </c>
      <c r="U20" s="44">
        <v>0</v>
      </c>
      <c r="V20" s="44">
        <v>0</v>
      </c>
      <c r="W20" s="44">
        <v>1</v>
      </c>
      <c r="X20" s="44">
        <v>0</v>
      </c>
      <c r="Y20" s="44">
        <v>0.05</v>
      </c>
      <c r="Z20" s="44">
        <v>0</v>
      </c>
      <c r="AA20" s="45">
        <v>1</v>
      </c>
      <c r="AB20" s="45">
        <v>0</v>
      </c>
      <c r="AC20" s="44">
        <v>0.05</v>
      </c>
      <c r="AD20" s="44">
        <v>0</v>
      </c>
      <c r="AE20" s="44">
        <v>1</v>
      </c>
      <c r="AF20" s="44">
        <v>0</v>
      </c>
      <c r="AG20" s="44">
        <v>0.05</v>
      </c>
      <c r="AH20" s="44">
        <v>0</v>
      </c>
      <c r="AI20" s="44">
        <v>37</v>
      </c>
      <c r="AJ20" s="44">
        <v>36</v>
      </c>
    </row>
    <row r="21" spans="1:36" x14ac:dyDescent="0.35">
      <c r="A21" s="44" t="s">
        <v>128</v>
      </c>
      <c r="B21" s="44" t="s">
        <v>52</v>
      </c>
      <c r="C21" s="44">
        <v>23003</v>
      </c>
      <c r="D21" s="37">
        <v>26013</v>
      </c>
      <c r="E21" s="37">
        <v>26474</v>
      </c>
      <c r="F21" s="37">
        <v>26505</v>
      </c>
      <c r="G21" s="44">
        <v>4</v>
      </c>
      <c r="H21" s="44">
        <v>1</v>
      </c>
      <c r="I21" s="44">
        <v>0.15</v>
      </c>
      <c r="J21" s="44">
        <v>1</v>
      </c>
      <c r="K21" s="44">
        <v>1</v>
      </c>
      <c r="L21" s="44">
        <v>0.04</v>
      </c>
      <c r="M21" s="44">
        <v>3</v>
      </c>
      <c r="N21" s="44">
        <v>3</v>
      </c>
      <c r="O21" s="44">
        <v>0.11</v>
      </c>
      <c r="P21" s="44">
        <v>0.11</v>
      </c>
      <c r="Q21" s="44">
        <v>-1</v>
      </c>
      <c r="R21" s="44">
        <v>-0.04</v>
      </c>
      <c r="S21" s="44">
        <v>2</v>
      </c>
      <c r="T21" s="44">
        <v>7.0000000000000007E-2</v>
      </c>
      <c r="U21" s="44">
        <v>0</v>
      </c>
      <c r="V21" s="44">
        <v>0</v>
      </c>
      <c r="W21" s="44">
        <v>3</v>
      </c>
      <c r="X21" s="44">
        <v>2</v>
      </c>
      <c r="Y21" s="44">
        <v>0.11</v>
      </c>
      <c r="Z21" s="44">
        <v>0.08</v>
      </c>
      <c r="AA21" s="45">
        <v>5</v>
      </c>
      <c r="AB21" s="45">
        <v>4</v>
      </c>
      <c r="AC21" s="44">
        <v>0.19</v>
      </c>
      <c r="AD21" s="44">
        <v>0.15</v>
      </c>
      <c r="AE21" s="44">
        <v>7</v>
      </c>
      <c r="AF21" s="44">
        <v>6</v>
      </c>
      <c r="AG21" s="44">
        <v>0.26</v>
      </c>
      <c r="AH21" s="44">
        <v>0.23</v>
      </c>
      <c r="AI21" s="44">
        <v>53</v>
      </c>
      <c r="AJ21" s="44">
        <v>46</v>
      </c>
    </row>
    <row r="22" spans="1:36" x14ac:dyDescent="0.35">
      <c r="A22" s="44" t="s">
        <v>327</v>
      </c>
      <c r="B22" s="44" t="s">
        <v>52</v>
      </c>
      <c r="C22" s="44">
        <v>24007</v>
      </c>
      <c r="D22" s="37">
        <v>10390</v>
      </c>
      <c r="E22" s="37">
        <v>10487</v>
      </c>
      <c r="F22" s="37">
        <v>10615</v>
      </c>
      <c r="G22" s="44">
        <v>2</v>
      </c>
      <c r="H22" s="44">
        <v>0</v>
      </c>
      <c r="I22" s="44">
        <v>0.19</v>
      </c>
      <c r="J22" s="44">
        <v>2</v>
      </c>
      <c r="K22" s="44">
        <v>0</v>
      </c>
      <c r="L22" s="44">
        <v>0.19</v>
      </c>
      <c r="M22" s="44">
        <v>2</v>
      </c>
      <c r="N22" s="44">
        <v>1</v>
      </c>
      <c r="O22" s="44">
        <v>0.19</v>
      </c>
      <c r="P22" s="44">
        <v>0.1</v>
      </c>
      <c r="Q22" s="44">
        <v>0</v>
      </c>
      <c r="R22" s="44">
        <v>0</v>
      </c>
      <c r="S22" s="44">
        <v>0</v>
      </c>
      <c r="T22" s="44">
        <v>0</v>
      </c>
      <c r="U22" s="44">
        <v>2</v>
      </c>
      <c r="V22" s="44">
        <v>0.19</v>
      </c>
      <c r="W22" s="44">
        <v>2</v>
      </c>
      <c r="X22" s="44">
        <v>0</v>
      </c>
      <c r="Y22" s="44">
        <v>0.19</v>
      </c>
      <c r="Z22" s="44">
        <v>0</v>
      </c>
      <c r="AA22" s="45">
        <v>2</v>
      </c>
      <c r="AB22" s="45">
        <v>1</v>
      </c>
      <c r="AC22" s="44">
        <v>0.19</v>
      </c>
      <c r="AD22" s="44">
        <v>0.09</v>
      </c>
      <c r="AE22" s="44">
        <v>2</v>
      </c>
      <c r="AF22" s="44">
        <v>1</v>
      </c>
      <c r="AG22" s="44">
        <v>0.19</v>
      </c>
      <c r="AH22" s="44">
        <v>0.09</v>
      </c>
      <c r="AI22" s="44">
        <v>21</v>
      </c>
      <c r="AJ22" s="44">
        <v>19</v>
      </c>
    </row>
    <row r="23" spans="1:36" x14ac:dyDescent="0.35">
      <c r="A23" s="44" t="s">
        <v>249</v>
      </c>
      <c r="B23" s="44" t="s">
        <v>52</v>
      </c>
      <c r="C23" s="44">
        <v>24008</v>
      </c>
      <c r="D23" s="37">
        <v>6459</v>
      </c>
      <c r="E23" s="37">
        <v>6672</v>
      </c>
      <c r="F23" s="37">
        <v>6771</v>
      </c>
      <c r="G23" s="44">
        <v>0</v>
      </c>
      <c r="H23" s="44">
        <v>0</v>
      </c>
      <c r="I23" s="44">
        <v>0</v>
      </c>
      <c r="J23" s="44">
        <v>0</v>
      </c>
      <c r="K23" s="44">
        <v>0</v>
      </c>
      <c r="L23" s="44">
        <v>0</v>
      </c>
      <c r="M23" s="44">
        <v>0</v>
      </c>
      <c r="N23" s="44">
        <v>0</v>
      </c>
      <c r="O23" s="44">
        <v>0</v>
      </c>
      <c r="P23" s="44">
        <v>0</v>
      </c>
      <c r="Q23" s="44">
        <v>0</v>
      </c>
      <c r="R23" s="44">
        <v>0</v>
      </c>
      <c r="S23" s="44">
        <v>0</v>
      </c>
      <c r="T23" s="44">
        <v>0</v>
      </c>
      <c r="U23" s="44">
        <v>0</v>
      </c>
      <c r="V23" s="44">
        <v>0</v>
      </c>
      <c r="W23" s="44">
        <v>1</v>
      </c>
      <c r="X23" s="44">
        <v>0</v>
      </c>
      <c r="Y23" s="44">
        <v>0.15</v>
      </c>
      <c r="Z23" s="44">
        <v>0</v>
      </c>
      <c r="AA23" s="45">
        <v>0</v>
      </c>
      <c r="AB23" s="45">
        <v>0</v>
      </c>
      <c r="AC23" s="44">
        <v>0</v>
      </c>
      <c r="AD23" s="44">
        <v>0</v>
      </c>
      <c r="AE23" s="44">
        <v>1</v>
      </c>
      <c r="AF23" s="44">
        <v>0</v>
      </c>
      <c r="AG23" s="44">
        <v>0.15</v>
      </c>
      <c r="AH23" s="44">
        <v>0</v>
      </c>
      <c r="AI23" s="44">
        <v>14</v>
      </c>
      <c r="AJ23" s="44">
        <v>13</v>
      </c>
    </row>
    <row r="24" spans="1:36" x14ac:dyDescent="0.35">
      <c r="A24" s="44" t="s">
        <v>235</v>
      </c>
      <c r="B24" s="44" t="s">
        <v>59</v>
      </c>
      <c r="C24" s="44">
        <v>71004</v>
      </c>
      <c r="D24" s="37">
        <v>47217</v>
      </c>
      <c r="E24" s="37">
        <v>47895</v>
      </c>
      <c r="F24" s="37">
        <v>48353</v>
      </c>
      <c r="G24" s="44">
        <v>1</v>
      </c>
      <c r="H24" s="44">
        <v>0</v>
      </c>
      <c r="I24" s="44">
        <v>0.02</v>
      </c>
      <c r="J24" s="44">
        <v>1</v>
      </c>
      <c r="K24" s="44">
        <v>0</v>
      </c>
      <c r="L24" s="44">
        <v>0.02</v>
      </c>
      <c r="M24" s="44">
        <v>1</v>
      </c>
      <c r="N24" s="44">
        <v>1</v>
      </c>
      <c r="O24" s="44">
        <v>0.02</v>
      </c>
      <c r="P24" s="44">
        <v>0.02</v>
      </c>
      <c r="Q24" s="44">
        <v>0</v>
      </c>
      <c r="R24" s="44">
        <v>0</v>
      </c>
      <c r="S24" s="44">
        <v>0</v>
      </c>
      <c r="T24" s="44">
        <v>0</v>
      </c>
      <c r="U24" s="44">
        <v>0</v>
      </c>
      <c r="V24" s="44">
        <v>0</v>
      </c>
      <c r="W24" s="44">
        <v>1</v>
      </c>
      <c r="X24" s="44">
        <v>1</v>
      </c>
      <c r="Y24" s="44">
        <v>0.02</v>
      </c>
      <c r="Z24" s="44">
        <v>0.02</v>
      </c>
      <c r="AA24" s="45">
        <v>3</v>
      </c>
      <c r="AB24" s="45">
        <v>3</v>
      </c>
      <c r="AC24" s="44">
        <v>0.06</v>
      </c>
      <c r="AD24" s="44">
        <v>0.06</v>
      </c>
      <c r="AE24" s="44">
        <v>3</v>
      </c>
      <c r="AF24" s="44">
        <v>3</v>
      </c>
      <c r="AG24" s="44">
        <v>0.06</v>
      </c>
      <c r="AH24" s="44">
        <v>0.06</v>
      </c>
      <c r="AI24" s="44">
        <v>97</v>
      </c>
      <c r="AJ24" s="44">
        <v>94</v>
      </c>
    </row>
    <row r="25" spans="1:36" x14ac:dyDescent="0.35">
      <c r="A25" s="44" t="s">
        <v>136</v>
      </c>
      <c r="B25" s="44" t="s">
        <v>48</v>
      </c>
      <c r="C25" s="44">
        <v>12002</v>
      </c>
      <c r="D25" s="37">
        <v>11730</v>
      </c>
      <c r="E25" s="37">
        <v>11949</v>
      </c>
      <c r="F25" s="37">
        <v>12061</v>
      </c>
      <c r="G25" s="44">
        <v>1</v>
      </c>
      <c r="H25" s="44">
        <v>0</v>
      </c>
      <c r="I25" s="44">
        <v>0.09</v>
      </c>
      <c r="J25" s="44">
        <v>1</v>
      </c>
      <c r="K25" s="44">
        <v>0</v>
      </c>
      <c r="L25" s="44">
        <v>0.09</v>
      </c>
      <c r="M25" s="44">
        <v>1</v>
      </c>
      <c r="N25" s="44">
        <v>0</v>
      </c>
      <c r="O25" s="44">
        <v>0.08</v>
      </c>
      <c r="P25" s="44">
        <v>0</v>
      </c>
      <c r="Q25" s="44">
        <v>0</v>
      </c>
      <c r="R25" s="44">
        <v>0</v>
      </c>
      <c r="S25" s="44">
        <v>0</v>
      </c>
      <c r="T25" s="44">
        <v>0</v>
      </c>
      <c r="U25" s="44">
        <v>1</v>
      </c>
      <c r="V25" s="44">
        <v>0.08</v>
      </c>
      <c r="W25" s="44">
        <v>2</v>
      </c>
      <c r="X25" s="44">
        <v>0</v>
      </c>
      <c r="Y25" s="44">
        <v>0.17</v>
      </c>
      <c r="Z25" s="44">
        <v>0</v>
      </c>
      <c r="AA25" s="45">
        <v>4</v>
      </c>
      <c r="AB25" s="45">
        <v>2</v>
      </c>
      <c r="AC25" s="44">
        <v>0.33</v>
      </c>
      <c r="AD25" s="44">
        <v>0.17</v>
      </c>
      <c r="AE25" s="44">
        <v>4</v>
      </c>
      <c r="AF25" s="44">
        <v>2</v>
      </c>
      <c r="AG25" s="44">
        <v>0.33</v>
      </c>
      <c r="AH25" s="44">
        <v>0.17</v>
      </c>
      <c r="AI25" s="44">
        <v>24</v>
      </c>
      <c r="AJ25" s="44">
        <v>20</v>
      </c>
    </row>
    <row r="26" spans="1:36" x14ac:dyDescent="0.35">
      <c r="A26" s="44" t="s">
        <v>216</v>
      </c>
      <c r="B26" s="44" t="s">
        <v>50</v>
      </c>
      <c r="C26" s="44">
        <v>42003</v>
      </c>
      <c r="D26" s="37">
        <v>15274</v>
      </c>
      <c r="E26" s="37">
        <v>15446</v>
      </c>
      <c r="F26" s="37">
        <v>15486</v>
      </c>
      <c r="G26" s="44">
        <v>0</v>
      </c>
      <c r="H26" s="44">
        <v>0</v>
      </c>
      <c r="I26" s="44">
        <v>0</v>
      </c>
      <c r="J26" s="44">
        <v>0</v>
      </c>
      <c r="K26" s="44">
        <v>0</v>
      </c>
      <c r="L26" s="44">
        <v>0</v>
      </c>
      <c r="M26" s="44">
        <v>0</v>
      </c>
      <c r="N26" s="44">
        <v>0</v>
      </c>
      <c r="O26" s="44">
        <v>0</v>
      </c>
      <c r="P26" s="44">
        <v>0</v>
      </c>
      <c r="Q26" s="44">
        <v>0</v>
      </c>
      <c r="R26" s="44">
        <v>0</v>
      </c>
      <c r="S26" s="44">
        <v>0</v>
      </c>
      <c r="T26" s="44">
        <v>0</v>
      </c>
      <c r="U26" s="44">
        <v>0</v>
      </c>
      <c r="V26" s="44">
        <v>0</v>
      </c>
      <c r="W26" s="44">
        <v>1</v>
      </c>
      <c r="X26" s="44">
        <v>0</v>
      </c>
      <c r="Y26" s="44">
        <v>0.06</v>
      </c>
      <c r="Z26" s="44">
        <v>0</v>
      </c>
      <c r="AA26" s="45">
        <v>3</v>
      </c>
      <c r="AB26" s="45">
        <v>2</v>
      </c>
      <c r="AC26" s="44">
        <v>0.19</v>
      </c>
      <c r="AD26" s="44">
        <v>0.13</v>
      </c>
      <c r="AE26" s="44">
        <v>3</v>
      </c>
      <c r="AF26" s="44">
        <v>2</v>
      </c>
      <c r="AG26" s="44">
        <v>0.19</v>
      </c>
      <c r="AH26" s="44">
        <v>0.13</v>
      </c>
      <c r="AI26" s="44">
        <v>31</v>
      </c>
      <c r="AJ26" s="44">
        <v>28</v>
      </c>
    </row>
    <row r="27" spans="1:36" x14ac:dyDescent="0.35">
      <c r="A27" s="44" t="s">
        <v>259</v>
      </c>
      <c r="B27" s="44" t="s">
        <v>52</v>
      </c>
      <c r="C27" s="44">
        <v>24009</v>
      </c>
      <c r="D27" s="37">
        <v>10258</v>
      </c>
      <c r="E27" s="37">
        <v>10276</v>
      </c>
      <c r="F27" s="37">
        <v>10242</v>
      </c>
      <c r="G27" s="44">
        <v>1</v>
      </c>
      <c r="H27" s="44">
        <v>0</v>
      </c>
      <c r="I27" s="44">
        <v>0.1</v>
      </c>
      <c r="J27" s="44">
        <v>0</v>
      </c>
      <c r="K27" s="44">
        <v>0</v>
      </c>
      <c r="L27" s="44">
        <v>0</v>
      </c>
      <c r="M27" s="44">
        <v>0</v>
      </c>
      <c r="N27" s="44">
        <v>0</v>
      </c>
      <c r="O27" s="44">
        <v>0</v>
      </c>
      <c r="P27" s="44">
        <v>0</v>
      </c>
      <c r="Q27" s="44">
        <v>-1</v>
      </c>
      <c r="R27" s="44">
        <v>-0.1</v>
      </c>
      <c r="S27" s="44">
        <v>0</v>
      </c>
      <c r="T27" s="44">
        <v>0</v>
      </c>
      <c r="U27" s="44">
        <v>0</v>
      </c>
      <c r="V27" s="44">
        <v>0</v>
      </c>
      <c r="W27" s="44">
        <v>0</v>
      </c>
      <c r="X27" s="44">
        <v>0</v>
      </c>
      <c r="Y27" s="44">
        <v>0</v>
      </c>
      <c r="Z27" s="44">
        <v>0</v>
      </c>
      <c r="AA27" s="45">
        <v>2</v>
      </c>
      <c r="AB27" s="45">
        <v>0</v>
      </c>
      <c r="AC27" s="44">
        <v>0.2</v>
      </c>
      <c r="AD27" s="44">
        <v>0</v>
      </c>
      <c r="AE27" s="44">
        <v>3</v>
      </c>
      <c r="AF27" s="44">
        <v>0</v>
      </c>
      <c r="AG27" s="44">
        <v>0.28999999999999998</v>
      </c>
      <c r="AH27" s="44">
        <v>0</v>
      </c>
      <c r="AI27" s="44">
        <v>20</v>
      </c>
      <c r="AJ27" s="44">
        <v>17</v>
      </c>
    </row>
    <row r="28" spans="1:36" x14ac:dyDescent="0.35">
      <c r="A28" s="44" t="s">
        <v>315</v>
      </c>
      <c r="B28" s="44" t="s">
        <v>52</v>
      </c>
      <c r="C28" s="44">
        <v>23009</v>
      </c>
      <c r="D28" s="37">
        <v>2265</v>
      </c>
      <c r="F28" s="37">
        <v>2276</v>
      </c>
      <c r="G28" s="44">
        <v>0</v>
      </c>
      <c r="H28" s="44">
        <v>0</v>
      </c>
      <c r="I28" s="44">
        <v>0</v>
      </c>
      <c r="J28" s="44">
        <v>0</v>
      </c>
      <c r="K28" s="44">
        <v>0</v>
      </c>
      <c r="L28" s="44">
        <v>0</v>
      </c>
      <c r="M28" s="44">
        <v>0</v>
      </c>
      <c r="N28" s="44">
        <v>0</v>
      </c>
      <c r="O28" s="44" t="e">
        <v>#DIV/0!</v>
      </c>
      <c r="P28" s="44" t="e">
        <v>#DIV/0!</v>
      </c>
      <c r="Q28" s="44">
        <v>0</v>
      </c>
      <c r="R28" s="44" t="e">
        <v>#DIV/0!</v>
      </c>
      <c r="S28" s="44">
        <v>0</v>
      </c>
      <c r="T28" s="44" t="e">
        <v>#DIV/0!</v>
      </c>
      <c r="U28" s="44">
        <v>0</v>
      </c>
      <c r="V28" s="44" t="e">
        <v>#DIV/0!</v>
      </c>
      <c r="W28" s="44">
        <v>0</v>
      </c>
      <c r="X28" s="44">
        <v>0</v>
      </c>
      <c r="Y28" s="44" t="e">
        <v>#DIV/0!</v>
      </c>
      <c r="Z28" s="44" t="e">
        <v>#DIV/0!</v>
      </c>
      <c r="AA28" s="45">
        <v>0</v>
      </c>
      <c r="AB28" s="45">
        <v>0</v>
      </c>
      <c r="AC28" s="44">
        <v>0</v>
      </c>
      <c r="AD28" s="44">
        <v>0</v>
      </c>
      <c r="AE28" s="44">
        <v>0</v>
      </c>
      <c r="AF28" s="44">
        <v>0</v>
      </c>
      <c r="AG28" s="44">
        <v>0</v>
      </c>
      <c r="AH28" s="44">
        <v>0</v>
      </c>
      <c r="AI28" s="44">
        <v>5</v>
      </c>
      <c r="AJ28" s="44">
        <v>5</v>
      </c>
    </row>
    <row r="29" spans="1:36" x14ac:dyDescent="0.35">
      <c r="A29" s="44" t="s">
        <v>337</v>
      </c>
      <c r="B29" s="44" t="s">
        <v>50</v>
      </c>
      <c r="C29" s="44">
        <v>46003</v>
      </c>
      <c r="D29" s="37">
        <v>49531</v>
      </c>
      <c r="E29" s="37">
        <v>50300</v>
      </c>
      <c r="F29" s="37">
        <v>50838</v>
      </c>
      <c r="G29" s="44">
        <v>9</v>
      </c>
      <c r="H29" s="44">
        <v>0</v>
      </c>
      <c r="I29" s="44">
        <v>0.18</v>
      </c>
      <c r="J29" s="44">
        <v>7</v>
      </c>
      <c r="K29" s="44">
        <v>0</v>
      </c>
      <c r="L29" s="44">
        <v>0.14000000000000001</v>
      </c>
      <c r="M29" s="44">
        <v>8</v>
      </c>
      <c r="N29" s="44">
        <v>2</v>
      </c>
      <c r="O29" s="44">
        <v>0.16</v>
      </c>
      <c r="P29" s="44">
        <v>0.04</v>
      </c>
      <c r="Q29" s="44">
        <v>-1</v>
      </c>
      <c r="R29" s="44">
        <v>-0.02</v>
      </c>
      <c r="S29" s="44">
        <v>1</v>
      </c>
      <c r="T29" s="44">
        <v>0.02</v>
      </c>
      <c r="U29" s="44">
        <v>0</v>
      </c>
      <c r="V29" s="44">
        <v>0</v>
      </c>
      <c r="W29" s="44">
        <v>8</v>
      </c>
      <c r="X29" s="44">
        <v>2</v>
      </c>
      <c r="Y29" s="44">
        <v>0.16</v>
      </c>
      <c r="Z29" s="44">
        <v>0.04</v>
      </c>
      <c r="AA29" s="45">
        <v>10</v>
      </c>
      <c r="AB29" s="45">
        <v>4</v>
      </c>
      <c r="AC29" s="44">
        <v>0.2</v>
      </c>
      <c r="AD29" s="44">
        <v>0.08</v>
      </c>
      <c r="AE29" s="44">
        <v>11</v>
      </c>
      <c r="AF29" s="44">
        <v>5</v>
      </c>
      <c r="AG29" s="44">
        <v>0.22</v>
      </c>
      <c r="AH29" s="44">
        <v>0.1</v>
      </c>
      <c r="AI29" s="44">
        <v>102</v>
      </c>
      <c r="AJ29" s="44">
        <v>91</v>
      </c>
    </row>
    <row r="30" spans="1:36" x14ac:dyDescent="0.35">
      <c r="A30" s="44" t="s">
        <v>109</v>
      </c>
      <c r="B30" s="44" t="s">
        <v>52</v>
      </c>
      <c r="C30" s="44">
        <v>24011</v>
      </c>
      <c r="D30" s="37">
        <v>10277</v>
      </c>
      <c r="E30" s="37">
        <v>10469</v>
      </c>
      <c r="F30" s="37">
        <v>10534</v>
      </c>
      <c r="G30" s="44">
        <v>1</v>
      </c>
      <c r="H30" s="44">
        <v>0</v>
      </c>
      <c r="I30" s="44">
        <v>0.1</v>
      </c>
      <c r="J30" s="44">
        <v>2</v>
      </c>
      <c r="K30" s="44">
        <v>0</v>
      </c>
      <c r="L30" s="44">
        <v>0.19</v>
      </c>
      <c r="M30" s="44">
        <v>1</v>
      </c>
      <c r="N30" s="44">
        <v>0</v>
      </c>
      <c r="O30" s="44">
        <v>0.1</v>
      </c>
      <c r="P30" s="44">
        <v>0</v>
      </c>
      <c r="Q30" s="44">
        <v>0</v>
      </c>
      <c r="R30" s="44">
        <v>0</v>
      </c>
      <c r="S30" s="44">
        <v>-1</v>
      </c>
      <c r="T30" s="44">
        <v>-0.1</v>
      </c>
      <c r="U30" s="44">
        <v>1</v>
      </c>
      <c r="V30" s="44">
        <v>0.1</v>
      </c>
      <c r="W30" s="44">
        <v>3</v>
      </c>
      <c r="X30" s="44">
        <v>1</v>
      </c>
      <c r="Y30" s="44">
        <v>0.28999999999999998</v>
      </c>
      <c r="Z30" s="44">
        <v>0.1</v>
      </c>
      <c r="AA30" s="45">
        <v>4</v>
      </c>
      <c r="AB30" s="45">
        <v>1</v>
      </c>
      <c r="AC30" s="44">
        <v>0.38</v>
      </c>
      <c r="AD30" s="44">
        <v>0.09</v>
      </c>
      <c r="AE30" s="44">
        <v>7</v>
      </c>
      <c r="AF30" s="44">
        <v>3</v>
      </c>
      <c r="AG30" s="44">
        <v>0.66</v>
      </c>
      <c r="AH30" s="44">
        <v>0.28000000000000003</v>
      </c>
      <c r="AI30" s="44">
        <v>21</v>
      </c>
      <c r="AJ30" s="44">
        <v>14</v>
      </c>
    </row>
    <row r="31" spans="1:36" x14ac:dyDescent="0.35">
      <c r="A31" s="44" t="s">
        <v>338</v>
      </c>
      <c r="B31" s="44" t="s">
        <v>59</v>
      </c>
      <c r="C31" s="44">
        <v>73006</v>
      </c>
      <c r="D31" s="37">
        <v>32455</v>
      </c>
      <c r="E31" s="37">
        <v>32644</v>
      </c>
      <c r="F31" s="37">
        <v>32782</v>
      </c>
      <c r="G31" s="44">
        <v>0</v>
      </c>
      <c r="H31" s="44">
        <v>0</v>
      </c>
      <c r="I31" s="44">
        <v>0</v>
      </c>
      <c r="J31" s="44">
        <v>3</v>
      </c>
      <c r="K31" s="44">
        <v>0</v>
      </c>
      <c r="L31" s="44">
        <v>0.09</v>
      </c>
      <c r="M31" s="44">
        <v>2</v>
      </c>
      <c r="N31" s="44">
        <v>0</v>
      </c>
      <c r="O31" s="44">
        <v>0.06</v>
      </c>
      <c r="P31" s="44">
        <v>0</v>
      </c>
      <c r="Q31" s="44">
        <v>2</v>
      </c>
      <c r="R31" s="44">
        <v>0.06</v>
      </c>
      <c r="S31" s="44">
        <v>-1</v>
      </c>
      <c r="T31" s="44">
        <v>-0.03</v>
      </c>
      <c r="U31" s="44">
        <v>2</v>
      </c>
      <c r="V31" s="44">
        <v>0.06</v>
      </c>
      <c r="W31" s="44">
        <v>3</v>
      </c>
      <c r="X31" s="44">
        <v>0</v>
      </c>
      <c r="Y31" s="44">
        <v>0.09</v>
      </c>
      <c r="Z31" s="44">
        <v>0</v>
      </c>
      <c r="AA31" s="45">
        <v>4</v>
      </c>
      <c r="AB31" s="45">
        <v>2</v>
      </c>
      <c r="AC31" s="44">
        <v>0.12</v>
      </c>
      <c r="AD31" s="44">
        <v>0.06</v>
      </c>
      <c r="AE31" s="44">
        <v>4</v>
      </c>
      <c r="AF31" s="44">
        <v>1</v>
      </c>
      <c r="AG31" s="44">
        <v>0.12</v>
      </c>
      <c r="AH31" s="44">
        <v>0.03</v>
      </c>
      <c r="AI31" s="44">
        <v>66</v>
      </c>
      <c r="AJ31" s="44">
        <v>62</v>
      </c>
    </row>
    <row r="32" spans="1:36" x14ac:dyDescent="0.35">
      <c r="A32" s="44" t="s">
        <v>99</v>
      </c>
      <c r="B32" s="44" t="s">
        <v>55</v>
      </c>
      <c r="C32" s="44">
        <v>31004</v>
      </c>
      <c r="D32" s="37">
        <v>20408</v>
      </c>
      <c r="E32" s="37">
        <v>20511</v>
      </c>
      <c r="F32" s="37">
        <v>20559</v>
      </c>
      <c r="G32" s="44">
        <v>0</v>
      </c>
      <c r="H32" s="44">
        <v>0</v>
      </c>
      <c r="I32" s="44">
        <v>0</v>
      </c>
      <c r="J32" s="44">
        <v>0</v>
      </c>
      <c r="K32" s="44">
        <v>0</v>
      </c>
      <c r="L32" s="44">
        <v>0</v>
      </c>
      <c r="M32" s="44">
        <v>0</v>
      </c>
      <c r="N32" s="44">
        <v>0</v>
      </c>
      <c r="O32" s="44">
        <v>0</v>
      </c>
      <c r="P32" s="44">
        <v>0</v>
      </c>
      <c r="Q32" s="44">
        <v>0</v>
      </c>
      <c r="R32" s="44">
        <v>0</v>
      </c>
      <c r="S32" s="44">
        <v>0</v>
      </c>
      <c r="T32" s="44">
        <v>0</v>
      </c>
      <c r="U32" s="44">
        <v>0</v>
      </c>
      <c r="V32" s="44">
        <v>0</v>
      </c>
      <c r="W32" s="44">
        <v>4</v>
      </c>
      <c r="X32" s="44">
        <v>0</v>
      </c>
      <c r="Y32" s="44">
        <v>0.2</v>
      </c>
      <c r="Z32" s="44">
        <v>0</v>
      </c>
      <c r="AA32" s="45">
        <v>7</v>
      </c>
      <c r="AB32" s="45">
        <v>3</v>
      </c>
      <c r="AC32" s="44">
        <v>0.34</v>
      </c>
      <c r="AD32" s="44">
        <v>0.15</v>
      </c>
      <c r="AE32" s="44">
        <v>7</v>
      </c>
      <c r="AF32" s="44">
        <v>5</v>
      </c>
      <c r="AG32" s="44">
        <v>0.34</v>
      </c>
      <c r="AH32" s="44">
        <v>0.24</v>
      </c>
      <c r="AI32" s="44">
        <v>41</v>
      </c>
      <c r="AJ32" s="44">
        <v>34</v>
      </c>
    </row>
    <row r="33" spans="1:36" x14ac:dyDescent="0.35">
      <c r="A33" s="44" t="s">
        <v>329</v>
      </c>
      <c r="B33" s="44" t="s">
        <v>59</v>
      </c>
      <c r="C33" s="44">
        <v>72003</v>
      </c>
      <c r="D33" s="37">
        <v>13508</v>
      </c>
      <c r="E33" s="37">
        <v>13743</v>
      </c>
      <c r="F33" s="37">
        <v>13753</v>
      </c>
      <c r="G33" s="44">
        <v>0</v>
      </c>
      <c r="H33" s="44">
        <v>0</v>
      </c>
      <c r="I33" s="44">
        <v>0</v>
      </c>
      <c r="J33" s="44">
        <v>0</v>
      </c>
      <c r="K33" s="44">
        <v>0</v>
      </c>
      <c r="L33" s="44">
        <v>0</v>
      </c>
      <c r="M33" s="44">
        <v>0</v>
      </c>
      <c r="N33" s="44">
        <v>0</v>
      </c>
      <c r="O33" s="44">
        <v>0</v>
      </c>
      <c r="P33" s="44">
        <v>0</v>
      </c>
      <c r="Q33" s="44">
        <v>0</v>
      </c>
      <c r="R33" s="44">
        <v>0</v>
      </c>
      <c r="S33" s="44">
        <v>0</v>
      </c>
      <c r="T33" s="44">
        <v>0</v>
      </c>
      <c r="U33" s="44">
        <v>0</v>
      </c>
      <c r="V33" s="44">
        <v>0</v>
      </c>
      <c r="W33" s="44">
        <v>0</v>
      </c>
      <c r="X33" s="44">
        <v>0</v>
      </c>
      <c r="Y33" s="44">
        <v>0</v>
      </c>
      <c r="Z33" s="44">
        <v>0</v>
      </c>
      <c r="AA33" s="45">
        <v>0</v>
      </c>
      <c r="AB33" s="45">
        <v>0</v>
      </c>
      <c r="AC33" s="44">
        <v>0</v>
      </c>
      <c r="AD33" s="44">
        <v>0</v>
      </c>
      <c r="AE33" s="44">
        <v>0</v>
      </c>
      <c r="AF33" s="44">
        <v>0</v>
      </c>
      <c r="AG33" s="44">
        <v>0</v>
      </c>
      <c r="AH33" s="44">
        <v>0</v>
      </c>
      <c r="AI33" s="44">
        <v>28</v>
      </c>
      <c r="AJ33" s="44">
        <v>28</v>
      </c>
    </row>
    <row r="34" spans="1:36" x14ac:dyDescent="0.35">
      <c r="A34" s="44" t="s">
        <v>271</v>
      </c>
      <c r="B34" s="44" t="s">
        <v>48</v>
      </c>
      <c r="C34" s="44">
        <v>11004</v>
      </c>
      <c r="D34" s="37">
        <v>13733</v>
      </c>
      <c r="E34" s="37">
        <v>13806</v>
      </c>
      <c r="F34" s="37">
        <v>13831</v>
      </c>
      <c r="G34" s="44">
        <v>2</v>
      </c>
      <c r="H34" s="44">
        <v>1</v>
      </c>
      <c r="I34" s="44">
        <v>0.15</v>
      </c>
      <c r="J34" s="44">
        <v>1</v>
      </c>
      <c r="K34" s="44">
        <v>1</v>
      </c>
      <c r="L34" s="44">
        <v>7.0000000000000007E-2</v>
      </c>
      <c r="M34" s="44">
        <v>2</v>
      </c>
      <c r="N34" s="44">
        <v>2</v>
      </c>
      <c r="O34" s="44">
        <v>0.14000000000000001</v>
      </c>
      <c r="P34" s="44">
        <v>0.14000000000000001</v>
      </c>
      <c r="Q34" s="44">
        <v>0</v>
      </c>
      <c r="R34" s="44">
        <v>0</v>
      </c>
      <c r="S34" s="44">
        <v>1</v>
      </c>
      <c r="T34" s="44">
        <v>7.0000000000000007E-2</v>
      </c>
      <c r="U34" s="44">
        <v>0</v>
      </c>
      <c r="V34" s="44">
        <v>0</v>
      </c>
      <c r="W34" s="44">
        <v>1</v>
      </c>
      <c r="X34" s="44">
        <v>0</v>
      </c>
      <c r="Y34" s="44">
        <v>7.0000000000000007E-2</v>
      </c>
      <c r="Z34" s="44">
        <v>0</v>
      </c>
      <c r="AA34" s="45">
        <v>3</v>
      </c>
      <c r="AB34" s="45">
        <v>2</v>
      </c>
      <c r="AC34" s="44">
        <v>0.22</v>
      </c>
      <c r="AD34" s="44">
        <v>0.14000000000000001</v>
      </c>
      <c r="AE34" s="44">
        <v>3</v>
      </c>
      <c r="AF34" s="44">
        <v>2</v>
      </c>
      <c r="AG34" s="44">
        <v>0.22</v>
      </c>
      <c r="AH34" s="44">
        <v>0.14000000000000001</v>
      </c>
      <c r="AI34" s="44">
        <v>28</v>
      </c>
      <c r="AJ34" s="44">
        <v>25</v>
      </c>
    </row>
    <row r="35" spans="1:36" x14ac:dyDescent="0.35">
      <c r="A35" s="44" t="s">
        <v>97</v>
      </c>
      <c r="B35" s="44" t="s">
        <v>48</v>
      </c>
      <c r="C35" s="44">
        <v>12005</v>
      </c>
      <c r="D35" s="37">
        <v>15319</v>
      </c>
      <c r="E35" s="37">
        <v>15458</v>
      </c>
      <c r="F35" s="37">
        <v>15454</v>
      </c>
      <c r="G35" s="44">
        <v>4</v>
      </c>
      <c r="H35" s="44">
        <v>3</v>
      </c>
      <c r="I35" s="44">
        <v>0.26</v>
      </c>
      <c r="J35" s="44">
        <v>3</v>
      </c>
      <c r="K35" s="44">
        <v>3</v>
      </c>
      <c r="L35" s="44">
        <v>0.2</v>
      </c>
      <c r="M35" s="44">
        <v>6</v>
      </c>
      <c r="N35" s="44">
        <v>3</v>
      </c>
      <c r="O35" s="44">
        <v>0.39</v>
      </c>
      <c r="P35" s="44">
        <v>0.19</v>
      </c>
      <c r="Q35" s="44">
        <v>2</v>
      </c>
      <c r="R35" s="44">
        <v>0.13</v>
      </c>
      <c r="S35" s="44">
        <v>3</v>
      </c>
      <c r="T35" s="44">
        <v>0.19</v>
      </c>
      <c r="U35" s="44">
        <v>3</v>
      </c>
      <c r="V35" s="44">
        <v>0.19</v>
      </c>
      <c r="W35" s="44">
        <v>6</v>
      </c>
      <c r="X35" s="44">
        <v>2</v>
      </c>
      <c r="Y35" s="44">
        <v>0.39</v>
      </c>
      <c r="Z35" s="44">
        <v>0.13</v>
      </c>
      <c r="AA35" s="45">
        <v>9</v>
      </c>
      <c r="AB35" s="45">
        <v>5</v>
      </c>
      <c r="AC35" s="44">
        <v>0.57999999999999996</v>
      </c>
      <c r="AD35" s="44">
        <v>0.32</v>
      </c>
      <c r="AE35" s="44">
        <v>10</v>
      </c>
      <c r="AF35" s="44">
        <v>5</v>
      </c>
      <c r="AG35" s="44">
        <v>0.65</v>
      </c>
      <c r="AH35" s="44">
        <v>0.32</v>
      </c>
      <c r="AI35" s="44">
        <v>31</v>
      </c>
      <c r="AJ35" s="44">
        <v>21</v>
      </c>
    </row>
    <row r="36" spans="1:36" x14ac:dyDescent="0.35">
      <c r="A36" s="44" t="s">
        <v>224</v>
      </c>
      <c r="B36" s="44" t="s">
        <v>48</v>
      </c>
      <c r="C36" s="44">
        <v>11005</v>
      </c>
      <c r="D36" s="37">
        <v>18832</v>
      </c>
      <c r="E36" s="37">
        <v>19062</v>
      </c>
      <c r="F36" s="37">
        <v>19431</v>
      </c>
      <c r="G36" s="44">
        <v>2</v>
      </c>
      <c r="H36" s="44">
        <v>0</v>
      </c>
      <c r="I36" s="44">
        <v>0.11</v>
      </c>
      <c r="J36" s="44">
        <v>2</v>
      </c>
      <c r="K36" s="44">
        <v>0</v>
      </c>
      <c r="L36" s="44">
        <v>0.11</v>
      </c>
      <c r="M36" s="44">
        <v>2</v>
      </c>
      <c r="N36" s="44">
        <v>0</v>
      </c>
      <c r="O36" s="44">
        <v>0.1</v>
      </c>
      <c r="P36" s="44">
        <v>0</v>
      </c>
      <c r="Q36" s="44">
        <v>0</v>
      </c>
      <c r="R36" s="44">
        <v>0</v>
      </c>
      <c r="S36" s="44">
        <v>0</v>
      </c>
      <c r="T36" s="44">
        <v>0</v>
      </c>
      <c r="U36" s="44">
        <v>2</v>
      </c>
      <c r="V36" s="44">
        <v>0.1</v>
      </c>
      <c r="W36" s="44">
        <v>5</v>
      </c>
      <c r="X36" s="44">
        <v>1</v>
      </c>
      <c r="Y36" s="44">
        <v>0.26</v>
      </c>
      <c r="Z36" s="44">
        <v>0.05</v>
      </c>
      <c r="AA36" s="45">
        <v>4</v>
      </c>
      <c r="AB36" s="45">
        <v>1</v>
      </c>
      <c r="AC36" s="44">
        <v>0.21</v>
      </c>
      <c r="AD36" s="44">
        <v>0.05</v>
      </c>
      <c r="AE36" s="44">
        <v>4</v>
      </c>
      <c r="AF36" s="44">
        <v>1</v>
      </c>
      <c r="AG36" s="44">
        <v>0.21</v>
      </c>
      <c r="AH36" s="44">
        <v>0.05</v>
      </c>
      <c r="AI36" s="44">
        <v>39</v>
      </c>
      <c r="AJ36" s="44">
        <v>35</v>
      </c>
    </row>
    <row r="37" spans="1:36" x14ac:dyDescent="0.35">
      <c r="A37" s="44" t="s">
        <v>157</v>
      </c>
      <c r="B37" s="44" t="s">
        <v>52</v>
      </c>
      <c r="C37" s="44">
        <v>24014</v>
      </c>
      <c r="D37" s="37">
        <v>12968</v>
      </c>
      <c r="E37" s="37">
        <v>13263</v>
      </c>
      <c r="F37" s="37">
        <v>13348</v>
      </c>
      <c r="G37" s="44">
        <v>1</v>
      </c>
      <c r="H37" s="44">
        <v>0</v>
      </c>
      <c r="I37" s="44">
        <v>0.08</v>
      </c>
      <c r="J37" s="44">
        <v>2</v>
      </c>
      <c r="K37" s="44">
        <v>0</v>
      </c>
      <c r="L37" s="44">
        <v>0.15</v>
      </c>
      <c r="M37" s="44">
        <v>2</v>
      </c>
      <c r="N37" s="44">
        <v>0</v>
      </c>
      <c r="O37" s="44">
        <v>0.15</v>
      </c>
      <c r="P37" s="44">
        <v>0</v>
      </c>
      <c r="Q37" s="44">
        <v>1</v>
      </c>
      <c r="R37" s="44">
        <v>7.0000000000000007E-2</v>
      </c>
      <c r="S37" s="44">
        <v>0</v>
      </c>
      <c r="T37" s="44">
        <v>0</v>
      </c>
      <c r="U37" s="44">
        <v>2</v>
      </c>
      <c r="V37" s="44">
        <v>0.15</v>
      </c>
      <c r="W37" s="44">
        <v>2</v>
      </c>
      <c r="X37" s="44">
        <v>0</v>
      </c>
      <c r="Y37" s="44">
        <v>0.15</v>
      </c>
      <c r="Z37" s="44">
        <v>0</v>
      </c>
      <c r="AA37" s="45">
        <v>1</v>
      </c>
      <c r="AB37" s="45">
        <v>0</v>
      </c>
      <c r="AC37" s="44">
        <v>7.0000000000000007E-2</v>
      </c>
      <c r="AD37" s="44">
        <v>0</v>
      </c>
      <c r="AE37" s="44">
        <v>2</v>
      </c>
      <c r="AF37" s="44">
        <v>0</v>
      </c>
      <c r="AG37" s="44">
        <v>0.15</v>
      </c>
      <c r="AH37" s="44">
        <v>0</v>
      </c>
      <c r="AI37" s="44">
        <v>27</v>
      </c>
      <c r="AJ37" s="44">
        <v>25</v>
      </c>
    </row>
    <row r="38" spans="1:36" x14ac:dyDescent="0.35">
      <c r="A38" s="44" t="s">
        <v>339</v>
      </c>
      <c r="B38" s="44" t="s">
        <v>59</v>
      </c>
      <c r="C38" s="44">
        <v>73009</v>
      </c>
      <c r="D38" s="37">
        <v>11272</v>
      </c>
      <c r="E38" s="37">
        <v>11455</v>
      </c>
      <c r="F38" s="37">
        <v>11580</v>
      </c>
      <c r="G38" s="44">
        <v>0</v>
      </c>
      <c r="H38" s="44">
        <v>0</v>
      </c>
      <c r="I38" s="44">
        <v>0</v>
      </c>
      <c r="J38" s="44">
        <v>0</v>
      </c>
      <c r="K38" s="44">
        <v>0</v>
      </c>
      <c r="L38" s="44">
        <v>0</v>
      </c>
      <c r="M38" s="44">
        <v>0</v>
      </c>
      <c r="N38" s="44">
        <v>0</v>
      </c>
      <c r="O38" s="44">
        <v>0</v>
      </c>
      <c r="P38" s="44">
        <v>0</v>
      </c>
      <c r="Q38" s="44">
        <v>0</v>
      </c>
      <c r="R38" s="44">
        <v>0</v>
      </c>
      <c r="S38" s="44">
        <v>0</v>
      </c>
      <c r="T38" s="44">
        <v>0</v>
      </c>
      <c r="U38" s="44">
        <v>0</v>
      </c>
      <c r="V38" s="44">
        <v>0</v>
      </c>
      <c r="W38" s="44">
        <v>1</v>
      </c>
      <c r="X38" s="44">
        <v>0</v>
      </c>
      <c r="Y38" s="44">
        <v>0.09</v>
      </c>
      <c r="Z38" s="44">
        <v>0</v>
      </c>
      <c r="AA38" s="45">
        <v>1</v>
      </c>
      <c r="AB38" s="45">
        <v>0</v>
      </c>
      <c r="AC38" s="44">
        <v>0.09</v>
      </c>
      <c r="AD38" s="44">
        <v>0</v>
      </c>
      <c r="AE38" s="44">
        <v>1</v>
      </c>
      <c r="AF38" s="44">
        <v>0</v>
      </c>
      <c r="AG38" s="44">
        <v>0.09</v>
      </c>
      <c r="AH38" s="44">
        <v>0</v>
      </c>
      <c r="AI38" s="44">
        <v>23</v>
      </c>
      <c r="AJ38" s="44">
        <v>22</v>
      </c>
    </row>
    <row r="39" spans="1:36" x14ac:dyDescent="0.35">
      <c r="A39" s="44" t="s">
        <v>184</v>
      </c>
      <c r="B39" s="44" t="s">
        <v>48</v>
      </c>
      <c r="C39" s="44">
        <v>12007</v>
      </c>
      <c r="D39" s="37">
        <v>21599</v>
      </c>
      <c r="E39" s="37">
        <v>21982</v>
      </c>
      <c r="F39" s="37">
        <v>22076</v>
      </c>
      <c r="G39" s="44">
        <v>3</v>
      </c>
      <c r="H39" s="44">
        <v>0</v>
      </c>
      <c r="I39" s="44">
        <v>0.14000000000000001</v>
      </c>
      <c r="J39" s="44">
        <v>2</v>
      </c>
      <c r="K39" s="44">
        <v>0</v>
      </c>
      <c r="L39" s="44">
        <v>0.09</v>
      </c>
      <c r="M39" s="44">
        <v>1</v>
      </c>
      <c r="N39" s="44">
        <v>0</v>
      </c>
      <c r="O39" s="44">
        <v>0.05</v>
      </c>
      <c r="P39" s="44">
        <v>0</v>
      </c>
      <c r="Q39" s="44">
        <v>-2</v>
      </c>
      <c r="R39" s="44">
        <v>-0.09</v>
      </c>
      <c r="S39" s="44">
        <v>-1</v>
      </c>
      <c r="T39" s="44">
        <v>-0.05</v>
      </c>
      <c r="U39" s="44">
        <v>1</v>
      </c>
      <c r="V39" s="44">
        <v>0.05</v>
      </c>
      <c r="W39" s="44">
        <v>4</v>
      </c>
      <c r="X39" s="44">
        <v>0</v>
      </c>
      <c r="Y39" s="44">
        <v>0.18</v>
      </c>
      <c r="Z39" s="44">
        <v>0</v>
      </c>
      <c r="AA39" s="45">
        <v>5</v>
      </c>
      <c r="AB39" s="45">
        <v>2</v>
      </c>
      <c r="AC39" s="44">
        <v>0.23</v>
      </c>
      <c r="AD39" s="44">
        <v>0.09</v>
      </c>
      <c r="AE39" s="44">
        <v>6</v>
      </c>
      <c r="AF39" s="44">
        <v>3</v>
      </c>
      <c r="AG39" s="44">
        <v>0.27</v>
      </c>
      <c r="AH39" s="44">
        <v>0.14000000000000001</v>
      </c>
      <c r="AI39" s="44">
        <v>44</v>
      </c>
      <c r="AJ39" s="44">
        <v>38</v>
      </c>
    </row>
    <row r="40" spans="1:36" x14ac:dyDescent="0.35">
      <c r="A40" s="44" t="s">
        <v>340</v>
      </c>
      <c r="B40" s="44" t="s">
        <v>48</v>
      </c>
      <c r="C40" s="44">
        <v>11007</v>
      </c>
      <c r="D40" s="37">
        <v>11226</v>
      </c>
      <c r="E40" s="37">
        <v>11309</v>
      </c>
      <c r="F40" s="37">
        <v>11379</v>
      </c>
      <c r="G40" s="44">
        <v>0</v>
      </c>
      <c r="H40" s="44">
        <v>0</v>
      </c>
      <c r="I40" s="44">
        <v>0</v>
      </c>
      <c r="J40" s="44">
        <v>1</v>
      </c>
      <c r="K40" s="44">
        <v>0</v>
      </c>
      <c r="L40" s="44">
        <v>0.09</v>
      </c>
      <c r="M40" s="44">
        <v>1</v>
      </c>
      <c r="N40" s="44">
        <v>0</v>
      </c>
      <c r="O40" s="44">
        <v>0.09</v>
      </c>
      <c r="P40" s="44">
        <v>0</v>
      </c>
      <c r="Q40" s="44">
        <v>1</v>
      </c>
      <c r="R40" s="44">
        <v>0.09</v>
      </c>
      <c r="S40" s="44">
        <v>0</v>
      </c>
      <c r="T40" s="44">
        <v>0</v>
      </c>
      <c r="U40" s="44">
        <v>1</v>
      </c>
      <c r="V40" s="44">
        <v>0.09</v>
      </c>
      <c r="W40" s="44">
        <v>2</v>
      </c>
      <c r="X40" s="44">
        <v>0</v>
      </c>
      <c r="Y40" s="44">
        <v>0.18</v>
      </c>
      <c r="Z40" s="44">
        <v>0</v>
      </c>
      <c r="AA40" s="45">
        <v>2</v>
      </c>
      <c r="AB40" s="45">
        <v>0</v>
      </c>
      <c r="AC40" s="44">
        <v>0.18</v>
      </c>
      <c r="AD40" s="44">
        <v>0</v>
      </c>
      <c r="AE40" s="44">
        <v>3</v>
      </c>
      <c r="AF40" s="44">
        <v>1</v>
      </c>
      <c r="AG40" s="44">
        <v>0.26</v>
      </c>
      <c r="AH40" s="44">
        <v>0.09</v>
      </c>
      <c r="AI40" s="44">
        <v>23</v>
      </c>
      <c r="AJ40" s="44">
        <v>20</v>
      </c>
    </row>
    <row r="41" spans="1:36" x14ac:dyDescent="0.35">
      <c r="A41" s="44" t="s">
        <v>170</v>
      </c>
      <c r="B41" s="44" t="s">
        <v>52</v>
      </c>
      <c r="C41" s="44">
        <v>24016</v>
      </c>
      <c r="D41" s="37">
        <v>8386</v>
      </c>
      <c r="E41" s="37">
        <v>8527</v>
      </c>
      <c r="F41" s="37">
        <v>8634</v>
      </c>
      <c r="G41" s="44">
        <v>3</v>
      </c>
      <c r="H41" s="44">
        <v>0</v>
      </c>
      <c r="I41" s="44">
        <v>0.36</v>
      </c>
      <c r="J41" s="44">
        <v>4</v>
      </c>
      <c r="K41" s="44">
        <v>0</v>
      </c>
      <c r="L41" s="44">
        <v>0.48</v>
      </c>
      <c r="M41" s="44">
        <v>1</v>
      </c>
      <c r="N41" s="44">
        <v>0</v>
      </c>
      <c r="O41" s="44">
        <v>0.12</v>
      </c>
      <c r="P41" s="44">
        <v>0</v>
      </c>
      <c r="Q41" s="44">
        <v>-2</v>
      </c>
      <c r="R41" s="44">
        <v>-0.24</v>
      </c>
      <c r="S41" s="44">
        <v>-3</v>
      </c>
      <c r="T41" s="44">
        <v>-0.36</v>
      </c>
      <c r="U41" s="44">
        <v>1</v>
      </c>
      <c r="V41" s="44">
        <v>0.12</v>
      </c>
      <c r="W41" s="44">
        <v>4</v>
      </c>
      <c r="X41" s="44">
        <v>0</v>
      </c>
      <c r="Y41" s="44">
        <v>0.47</v>
      </c>
      <c r="Z41" s="44">
        <v>0</v>
      </c>
      <c r="AA41" s="45">
        <v>3</v>
      </c>
      <c r="AB41" s="45">
        <v>0</v>
      </c>
      <c r="AC41" s="44">
        <v>0.35</v>
      </c>
      <c r="AD41" s="44">
        <v>0</v>
      </c>
      <c r="AE41" s="44">
        <v>5</v>
      </c>
      <c r="AF41" s="44">
        <v>0</v>
      </c>
      <c r="AG41" s="44">
        <v>0.57999999999999996</v>
      </c>
      <c r="AH41" s="44">
        <v>0</v>
      </c>
      <c r="AI41" s="44">
        <v>17</v>
      </c>
      <c r="AJ41" s="44">
        <v>12</v>
      </c>
    </row>
    <row r="42" spans="1:36" x14ac:dyDescent="0.35">
      <c r="A42" s="44" t="s">
        <v>275</v>
      </c>
      <c r="B42" s="44" t="s">
        <v>50</v>
      </c>
      <c r="C42" s="44">
        <v>45059</v>
      </c>
      <c r="D42" s="37">
        <v>14850</v>
      </c>
      <c r="E42" s="37">
        <v>15007</v>
      </c>
      <c r="F42" s="37">
        <v>15073</v>
      </c>
      <c r="G42" s="44">
        <v>1</v>
      </c>
      <c r="H42" s="44">
        <v>0</v>
      </c>
      <c r="I42" s="44">
        <v>7.0000000000000007E-2</v>
      </c>
      <c r="J42" s="44">
        <v>2</v>
      </c>
      <c r="K42" s="44">
        <v>0</v>
      </c>
      <c r="L42" s="44">
        <v>0.13</v>
      </c>
      <c r="M42" s="44">
        <v>2</v>
      </c>
      <c r="N42" s="44">
        <v>2</v>
      </c>
      <c r="O42" s="44">
        <v>0.13</v>
      </c>
      <c r="P42" s="44">
        <v>0.13</v>
      </c>
      <c r="Q42" s="44">
        <v>1</v>
      </c>
      <c r="R42" s="44">
        <v>7.0000000000000007E-2</v>
      </c>
      <c r="S42" s="44">
        <v>0</v>
      </c>
      <c r="T42" s="44">
        <v>0</v>
      </c>
      <c r="U42" s="44">
        <v>0</v>
      </c>
      <c r="V42" s="44">
        <v>0</v>
      </c>
      <c r="W42" s="44">
        <v>2</v>
      </c>
      <c r="X42" s="44">
        <v>2</v>
      </c>
      <c r="Y42" s="44">
        <v>0.13</v>
      </c>
      <c r="Z42" s="44">
        <v>0.13</v>
      </c>
      <c r="AA42" s="45">
        <v>2</v>
      </c>
      <c r="AB42" s="45">
        <v>2</v>
      </c>
      <c r="AC42" s="44">
        <v>0.13</v>
      </c>
      <c r="AD42" s="44">
        <v>0.13</v>
      </c>
      <c r="AE42" s="44">
        <v>3</v>
      </c>
      <c r="AF42" s="44">
        <v>3</v>
      </c>
      <c r="AG42" s="44">
        <v>0.2</v>
      </c>
      <c r="AH42" s="44">
        <v>0.2</v>
      </c>
      <c r="AI42" s="44">
        <v>30</v>
      </c>
      <c r="AJ42" s="44">
        <v>27</v>
      </c>
    </row>
    <row r="43" spans="1:36" x14ac:dyDescent="0.35">
      <c r="A43" s="44" t="s">
        <v>106</v>
      </c>
      <c r="B43" s="44" t="s">
        <v>48</v>
      </c>
      <c r="C43" s="44">
        <v>11008</v>
      </c>
      <c r="D43" s="37">
        <v>38237</v>
      </c>
      <c r="E43" s="37">
        <v>38575</v>
      </c>
      <c r="F43" s="37">
        <v>38470</v>
      </c>
      <c r="G43" s="44">
        <v>9</v>
      </c>
      <c r="H43" s="44">
        <v>8</v>
      </c>
      <c r="I43" s="44">
        <v>0.24</v>
      </c>
      <c r="J43" s="44">
        <v>9</v>
      </c>
      <c r="K43" s="44">
        <v>9</v>
      </c>
      <c r="L43" s="44">
        <v>0.24</v>
      </c>
      <c r="M43" s="44">
        <v>7</v>
      </c>
      <c r="N43" s="44">
        <v>7</v>
      </c>
      <c r="O43" s="44">
        <v>0.18</v>
      </c>
      <c r="P43" s="44">
        <v>0.18</v>
      </c>
      <c r="Q43" s="44">
        <v>-2</v>
      </c>
      <c r="R43" s="44">
        <v>-0.05</v>
      </c>
      <c r="S43" s="44">
        <v>-2</v>
      </c>
      <c r="T43" s="44">
        <v>-0.05</v>
      </c>
      <c r="U43" s="44">
        <v>0</v>
      </c>
      <c r="V43" s="44">
        <v>0</v>
      </c>
      <c r="W43" s="44">
        <v>1</v>
      </c>
      <c r="X43" s="44">
        <v>0</v>
      </c>
      <c r="Y43" s="44">
        <v>0.03</v>
      </c>
      <c r="Z43" s="44">
        <v>0</v>
      </c>
      <c r="AA43" s="45">
        <v>9</v>
      </c>
      <c r="AB43" s="45">
        <v>8</v>
      </c>
      <c r="AC43" s="44">
        <v>0.23</v>
      </c>
      <c r="AD43" s="44">
        <v>0.21</v>
      </c>
      <c r="AE43" s="44">
        <v>10</v>
      </c>
      <c r="AF43" s="44">
        <v>9</v>
      </c>
      <c r="AG43" s="44">
        <v>0.26</v>
      </c>
      <c r="AH43" s="44">
        <v>0.23</v>
      </c>
      <c r="AI43" s="44">
        <v>77</v>
      </c>
      <c r="AJ43" s="44">
        <v>67</v>
      </c>
    </row>
    <row r="44" spans="1:36" x14ac:dyDescent="0.35">
      <c r="A44" s="44" t="s">
        <v>294</v>
      </c>
      <c r="B44" s="44" t="s">
        <v>48</v>
      </c>
      <c r="C44" s="44">
        <v>11009</v>
      </c>
      <c r="D44" s="37">
        <v>30143</v>
      </c>
      <c r="E44" s="37">
        <v>30387</v>
      </c>
      <c r="F44" s="37">
        <v>30610</v>
      </c>
      <c r="G44" s="44">
        <v>0</v>
      </c>
      <c r="H44" s="44">
        <v>0</v>
      </c>
      <c r="I44" s="44">
        <v>0</v>
      </c>
      <c r="J44" s="44">
        <v>0</v>
      </c>
      <c r="K44" s="44">
        <v>0</v>
      </c>
      <c r="L44" s="44">
        <v>0</v>
      </c>
      <c r="M44" s="44">
        <v>0</v>
      </c>
      <c r="N44" s="44">
        <v>0</v>
      </c>
      <c r="O44" s="44">
        <v>0</v>
      </c>
      <c r="P44" s="44">
        <v>0</v>
      </c>
      <c r="Q44" s="44">
        <v>0</v>
      </c>
      <c r="R44" s="44">
        <v>0</v>
      </c>
      <c r="S44" s="44">
        <v>0</v>
      </c>
      <c r="T44" s="44">
        <v>0</v>
      </c>
      <c r="U44" s="44">
        <v>0</v>
      </c>
      <c r="V44" s="44">
        <v>0</v>
      </c>
      <c r="W44" s="44">
        <v>0</v>
      </c>
      <c r="X44" s="44">
        <v>0</v>
      </c>
      <c r="Y44" s="44">
        <v>0</v>
      </c>
      <c r="Z44" s="44">
        <v>0</v>
      </c>
      <c r="AA44" s="45">
        <v>1</v>
      </c>
      <c r="AB44" s="45">
        <v>0</v>
      </c>
      <c r="AC44" s="44">
        <v>0.03</v>
      </c>
      <c r="AD44" s="44">
        <v>0</v>
      </c>
      <c r="AE44" s="44">
        <v>2</v>
      </c>
      <c r="AF44" s="44">
        <v>0</v>
      </c>
      <c r="AG44" s="44">
        <v>7.0000000000000007E-2</v>
      </c>
      <c r="AH44" s="44">
        <v>0</v>
      </c>
      <c r="AI44" s="44">
        <v>61</v>
      </c>
      <c r="AJ44" s="44">
        <v>59</v>
      </c>
    </row>
    <row r="45" spans="1:36" x14ac:dyDescent="0.35">
      <c r="A45" s="44" t="s">
        <v>219</v>
      </c>
      <c r="B45" s="44" t="s">
        <v>55</v>
      </c>
      <c r="C45" s="44">
        <v>35002</v>
      </c>
      <c r="D45" s="37">
        <v>18167</v>
      </c>
      <c r="E45" s="37">
        <v>18081</v>
      </c>
      <c r="F45" s="37">
        <v>18180</v>
      </c>
      <c r="G45" s="44">
        <v>1</v>
      </c>
      <c r="H45" s="44">
        <v>0</v>
      </c>
      <c r="I45" s="44">
        <v>0.06</v>
      </c>
      <c r="J45" s="44">
        <v>0</v>
      </c>
      <c r="K45" s="44">
        <v>0</v>
      </c>
      <c r="L45" s="44">
        <v>0</v>
      </c>
      <c r="M45" s="44">
        <v>0</v>
      </c>
      <c r="N45" s="44">
        <v>0</v>
      </c>
      <c r="O45" s="44">
        <v>0</v>
      </c>
      <c r="P45" s="44">
        <v>0</v>
      </c>
      <c r="Q45" s="44">
        <v>-1</v>
      </c>
      <c r="R45" s="44">
        <v>-0.06</v>
      </c>
      <c r="S45" s="44">
        <v>0</v>
      </c>
      <c r="T45" s="44">
        <v>0</v>
      </c>
      <c r="U45" s="44">
        <v>0</v>
      </c>
      <c r="V45" s="44">
        <v>0</v>
      </c>
      <c r="W45" s="44">
        <v>0</v>
      </c>
      <c r="X45" s="44">
        <v>0</v>
      </c>
      <c r="Y45" s="44">
        <v>0</v>
      </c>
      <c r="Z45" s="44">
        <v>0</v>
      </c>
      <c r="AA45" s="45">
        <v>0</v>
      </c>
      <c r="AB45" s="45">
        <v>0</v>
      </c>
      <c r="AC45" s="44">
        <v>0</v>
      </c>
      <c r="AD45" s="44">
        <v>0</v>
      </c>
      <c r="AE45" s="44">
        <v>1</v>
      </c>
      <c r="AF45" s="44">
        <v>1</v>
      </c>
      <c r="AG45" s="44">
        <v>0.06</v>
      </c>
      <c r="AH45" s="44">
        <v>0.06</v>
      </c>
      <c r="AI45" s="44">
        <v>36</v>
      </c>
      <c r="AJ45" s="44">
        <v>35</v>
      </c>
    </row>
    <row r="46" spans="1:36" x14ac:dyDescent="0.35">
      <c r="A46" s="44" t="s">
        <v>227</v>
      </c>
      <c r="B46" s="44" t="s">
        <v>59</v>
      </c>
      <c r="C46" s="44">
        <v>72004</v>
      </c>
      <c r="D46" s="37">
        <v>16324</v>
      </c>
      <c r="E46" s="37">
        <v>16695</v>
      </c>
      <c r="F46" s="37">
        <v>16967</v>
      </c>
      <c r="G46" s="44">
        <v>2</v>
      </c>
      <c r="H46" s="44">
        <v>0</v>
      </c>
      <c r="I46" s="44">
        <v>0.12</v>
      </c>
      <c r="J46" s="44">
        <v>0</v>
      </c>
      <c r="K46" s="44">
        <v>0</v>
      </c>
      <c r="L46" s="44">
        <v>0</v>
      </c>
      <c r="M46" s="44">
        <v>2</v>
      </c>
      <c r="N46" s="44">
        <v>2</v>
      </c>
      <c r="O46" s="44">
        <v>0.12</v>
      </c>
      <c r="P46" s="44">
        <v>0.12</v>
      </c>
      <c r="Q46" s="44">
        <v>0</v>
      </c>
      <c r="R46" s="44">
        <v>0</v>
      </c>
      <c r="S46" s="44">
        <v>2</v>
      </c>
      <c r="T46" s="44">
        <v>0.12</v>
      </c>
      <c r="U46" s="44">
        <v>0</v>
      </c>
      <c r="V46" s="44">
        <v>0</v>
      </c>
      <c r="W46" s="44">
        <v>2</v>
      </c>
      <c r="X46" s="44">
        <v>1</v>
      </c>
      <c r="Y46" s="44">
        <v>0.12</v>
      </c>
      <c r="Z46" s="44">
        <v>0.06</v>
      </c>
      <c r="AA46" s="45">
        <v>2</v>
      </c>
      <c r="AB46" s="45">
        <v>1</v>
      </c>
      <c r="AC46" s="44">
        <v>0.12</v>
      </c>
      <c r="AD46" s="44">
        <v>0.06</v>
      </c>
      <c r="AE46" s="44">
        <v>2</v>
      </c>
      <c r="AF46" s="44">
        <v>1</v>
      </c>
      <c r="AG46" s="44">
        <v>0.12</v>
      </c>
      <c r="AH46" s="44">
        <v>0.06</v>
      </c>
      <c r="AI46" s="44">
        <v>34</v>
      </c>
      <c r="AJ46" s="44">
        <v>32</v>
      </c>
    </row>
    <row r="47" spans="1:36" x14ac:dyDescent="0.35">
      <c r="A47" s="44" t="s">
        <v>54</v>
      </c>
      <c r="B47" s="44" t="s">
        <v>55</v>
      </c>
      <c r="C47" s="44">
        <v>31005</v>
      </c>
      <c r="D47" s="37">
        <v>118509</v>
      </c>
      <c r="E47" s="37">
        <v>119541</v>
      </c>
      <c r="F47" s="37">
        <v>119869</v>
      </c>
      <c r="G47" s="44">
        <v>58</v>
      </c>
      <c r="H47" s="44">
        <v>10</v>
      </c>
      <c r="I47" s="44">
        <v>0.49</v>
      </c>
      <c r="J47" s="44">
        <v>75</v>
      </c>
      <c r="K47" s="44">
        <v>12</v>
      </c>
      <c r="L47" s="44">
        <v>0.63</v>
      </c>
      <c r="M47" s="44">
        <v>83</v>
      </c>
      <c r="N47" s="44">
        <v>23</v>
      </c>
      <c r="O47" s="44">
        <v>0.69</v>
      </c>
      <c r="P47" s="44">
        <v>0.19</v>
      </c>
      <c r="Q47" s="44">
        <v>25</v>
      </c>
      <c r="R47" s="44">
        <v>0.2</v>
      </c>
      <c r="S47" s="44">
        <v>8</v>
      </c>
      <c r="T47" s="44">
        <v>0.06</v>
      </c>
      <c r="U47" s="44">
        <v>28</v>
      </c>
      <c r="V47" s="44">
        <v>0.23</v>
      </c>
      <c r="W47" s="44">
        <v>103</v>
      </c>
      <c r="X47" s="44">
        <v>31</v>
      </c>
      <c r="Y47" s="44">
        <v>0.86</v>
      </c>
      <c r="Z47" s="44">
        <v>0.26</v>
      </c>
      <c r="AA47" s="45">
        <v>109</v>
      </c>
      <c r="AB47" s="45">
        <v>32</v>
      </c>
      <c r="AC47" s="44">
        <v>0.91</v>
      </c>
      <c r="AD47" s="44">
        <v>0.27</v>
      </c>
      <c r="AE47" s="44">
        <v>124</v>
      </c>
      <c r="AF47" s="44">
        <v>41</v>
      </c>
      <c r="AG47" s="44">
        <v>1.03</v>
      </c>
      <c r="AH47" s="44">
        <v>0.34</v>
      </c>
      <c r="AI47" s="44">
        <v>240</v>
      </c>
      <c r="AJ47" s="44">
        <v>116</v>
      </c>
    </row>
    <row r="48" spans="1:36" x14ac:dyDescent="0.35">
      <c r="A48" s="44" t="s">
        <v>274</v>
      </c>
      <c r="B48" s="44" t="s">
        <v>50</v>
      </c>
      <c r="C48" s="44">
        <v>42004</v>
      </c>
      <c r="D48" s="37">
        <v>14748</v>
      </c>
      <c r="E48" s="37">
        <v>14887</v>
      </c>
      <c r="F48" s="37">
        <v>14957</v>
      </c>
      <c r="G48" s="44">
        <v>1</v>
      </c>
      <c r="H48" s="44">
        <v>0</v>
      </c>
      <c r="I48" s="44">
        <v>7.0000000000000007E-2</v>
      </c>
      <c r="J48" s="44">
        <v>2</v>
      </c>
      <c r="K48" s="44">
        <v>0</v>
      </c>
      <c r="L48" s="44">
        <v>0.14000000000000001</v>
      </c>
      <c r="M48" s="44">
        <v>2</v>
      </c>
      <c r="N48" s="44">
        <v>2</v>
      </c>
      <c r="O48" s="44">
        <v>0.13</v>
      </c>
      <c r="P48" s="44">
        <v>0.13</v>
      </c>
      <c r="Q48" s="44">
        <v>1</v>
      </c>
      <c r="R48" s="44">
        <v>7.0000000000000007E-2</v>
      </c>
      <c r="S48" s="44">
        <v>0</v>
      </c>
      <c r="T48" s="44">
        <v>0</v>
      </c>
      <c r="U48" s="44">
        <v>0</v>
      </c>
      <c r="V48" s="44">
        <v>0</v>
      </c>
      <c r="W48" s="44">
        <v>2</v>
      </c>
      <c r="X48" s="44">
        <v>2</v>
      </c>
      <c r="Y48" s="44">
        <v>0.13</v>
      </c>
      <c r="Z48" s="44">
        <v>0.13</v>
      </c>
      <c r="AA48" s="45">
        <v>2</v>
      </c>
      <c r="AB48" s="45">
        <v>2</v>
      </c>
      <c r="AC48" s="44">
        <v>0.13</v>
      </c>
      <c r="AD48" s="44">
        <v>0.13</v>
      </c>
      <c r="AE48" s="44">
        <v>2</v>
      </c>
      <c r="AF48" s="44">
        <v>2</v>
      </c>
      <c r="AG48" s="44">
        <v>0.13</v>
      </c>
      <c r="AH48" s="44">
        <v>0.13</v>
      </c>
      <c r="AI48" s="44">
        <v>30</v>
      </c>
      <c r="AJ48" s="44">
        <v>28</v>
      </c>
    </row>
    <row r="49" spans="1:36" x14ac:dyDescent="0.35">
      <c r="A49" s="44" t="s">
        <v>96</v>
      </c>
      <c r="B49" s="44" t="s">
        <v>55</v>
      </c>
      <c r="C49" s="44">
        <v>31006</v>
      </c>
      <c r="D49" s="37">
        <v>11044</v>
      </c>
      <c r="E49" s="37">
        <v>11146</v>
      </c>
      <c r="F49" s="37">
        <v>11207</v>
      </c>
      <c r="G49" s="44">
        <v>0</v>
      </c>
      <c r="H49" s="44">
        <v>0</v>
      </c>
      <c r="I49" s="44">
        <v>0</v>
      </c>
      <c r="J49" s="44">
        <v>0</v>
      </c>
      <c r="K49" s="44">
        <v>0</v>
      </c>
      <c r="L49" s="44">
        <v>0</v>
      </c>
      <c r="M49" s="44">
        <v>1</v>
      </c>
      <c r="N49" s="44">
        <v>1</v>
      </c>
      <c r="O49" s="44">
        <v>0.09</v>
      </c>
      <c r="P49" s="44">
        <v>0.09</v>
      </c>
      <c r="Q49" s="44">
        <v>1</v>
      </c>
      <c r="R49" s="44">
        <v>0.09</v>
      </c>
      <c r="S49" s="44">
        <v>1</v>
      </c>
      <c r="T49" s="44">
        <v>0.09</v>
      </c>
      <c r="U49" s="44">
        <v>0</v>
      </c>
      <c r="V49" s="44">
        <v>0</v>
      </c>
      <c r="W49" s="44">
        <v>1</v>
      </c>
      <c r="X49" s="44">
        <v>1</v>
      </c>
      <c r="Y49" s="44">
        <v>0.09</v>
      </c>
      <c r="Z49" s="44">
        <v>0.09</v>
      </c>
      <c r="AA49" s="45">
        <v>8</v>
      </c>
      <c r="AB49" s="45">
        <v>8</v>
      </c>
      <c r="AC49" s="44">
        <v>0.71</v>
      </c>
      <c r="AD49" s="44">
        <v>0.71</v>
      </c>
      <c r="AE49" s="44">
        <v>7</v>
      </c>
      <c r="AF49" s="44">
        <v>7</v>
      </c>
      <c r="AG49" s="44">
        <v>0.62</v>
      </c>
      <c r="AH49" s="44">
        <v>0.62</v>
      </c>
      <c r="AI49" s="44">
        <v>22</v>
      </c>
      <c r="AJ49" s="44">
        <v>15</v>
      </c>
    </row>
    <row r="50" spans="1:36" x14ac:dyDescent="0.35">
      <c r="A50" s="44" t="s">
        <v>268</v>
      </c>
      <c r="B50" s="44" t="s">
        <v>55</v>
      </c>
      <c r="C50" s="44">
        <v>35029</v>
      </c>
      <c r="D50" s="37">
        <v>12740</v>
      </c>
      <c r="E50" s="37">
        <v>12782</v>
      </c>
      <c r="F50" s="37">
        <v>12718</v>
      </c>
      <c r="G50" s="44">
        <v>1</v>
      </c>
      <c r="H50" s="44">
        <v>0</v>
      </c>
      <c r="I50" s="44">
        <v>0.08</v>
      </c>
      <c r="J50" s="44">
        <v>1</v>
      </c>
      <c r="K50" s="44">
        <v>0</v>
      </c>
      <c r="L50" s="44">
        <v>0.08</v>
      </c>
      <c r="M50" s="44">
        <v>1</v>
      </c>
      <c r="N50" s="44">
        <v>1</v>
      </c>
      <c r="O50" s="44">
        <v>0.08</v>
      </c>
      <c r="P50" s="44">
        <v>0.08</v>
      </c>
      <c r="Q50" s="44">
        <v>0</v>
      </c>
      <c r="R50" s="44">
        <v>0</v>
      </c>
      <c r="S50" s="44">
        <v>0</v>
      </c>
      <c r="T50" s="44">
        <v>0</v>
      </c>
      <c r="U50" s="44">
        <v>0</v>
      </c>
      <c r="V50" s="44">
        <v>0</v>
      </c>
      <c r="W50" s="44">
        <v>1</v>
      </c>
      <c r="X50" s="44">
        <v>1</v>
      </c>
      <c r="Y50" s="44">
        <v>0.08</v>
      </c>
      <c r="Z50" s="44">
        <v>0.08</v>
      </c>
      <c r="AA50" s="45">
        <v>1</v>
      </c>
      <c r="AB50" s="45">
        <v>1</v>
      </c>
      <c r="AC50" s="44">
        <v>0.08</v>
      </c>
      <c r="AD50" s="44">
        <v>0.08</v>
      </c>
      <c r="AE50" s="44">
        <v>1</v>
      </c>
      <c r="AF50" s="44">
        <v>1</v>
      </c>
      <c r="AG50" s="44">
        <v>0.08</v>
      </c>
      <c r="AH50" s="44">
        <v>0.08</v>
      </c>
      <c r="AI50" s="44">
        <v>25</v>
      </c>
      <c r="AJ50" s="44">
        <v>24</v>
      </c>
    </row>
    <row r="51" spans="1:36" x14ac:dyDescent="0.35">
      <c r="A51" s="44" t="s">
        <v>135</v>
      </c>
      <c r="B51" s="44" t="s">
        <v>55</v>
      </c>
      <c r="C51" s="44">
        <v>38008</v>
      </c>
      <c r="D51" s="37">
        <v>11122</v>
      </c>
      <c r="E51" s="37">
        <v>11089</v>
      </c>
      <c r="F51" s="37">
        <v>11021</v>
      </c>
      <c r="G51" s="44">
        <v>2</v>
      </c>
      <c r="H51" s="44">
        <v>0</v>
      </c>
      <c r="I51" s="44">
        <v>0.18</v>
      </c>
      <c r="J51" s="44">
        <v>1</v>
      </c>
      <c r="K51" s="44">
        <v>0</v>
      </c>
      <c r="L51" s="44">
        <v>0.09</v>
      </c>
      <c r="M51" s="44">
        <v>1</v>
      </c>
      <c r="N51" s="44">
        <v>0</v>
      </c>
      <c r="O51" s="44">
        <v>0.09</v>
      </c>
      <c r="P51" s="44">
        <v>0</v>
      </c>
      <c r="Q51" s="44">
        <v>-1</v>
      </c>
      <c r="R51" s="44">
        <v>-0.09</v>
      </c>
      <c r="S51" s="44">
        <v>0</v>
      </c>
      <c r="T51" s="44">
        <v>0</v>
      </c>
      <c r="U51" s="44">
        <v>1</v>
      </c>
      <c r="V51" s="44">
        <v>0.09</v>
      </c>
      <c r="W51" s="44">
        <v>2</v>
      </c>
      <c r="X51" s="44">
        <v>1</v>
      </c>
      <c r="Y51" s="44">
        <v>0.18</v>
      </c>
      <c r="Z51" s="44">
        <v>0.09</v>
      </c>
      <c r="AA51" s="45">
        <v>3</v>
      </c>
      <c r="AB51" s="45">
        <v>1</v>
      </c>
      <c r="AC51" s="44">
        <v>0.27</v>
      </c>
      <c r="AD51" s="44">
        <v>0.09</v>
      </c>
      <c r="AE51" s="44">
        <v>4</v>
      </c>
      <c r="AF51" s="44">
        <v>2</v>
      </c>
      <c r="AG51" s="44">
        <v>0.36</v>
      </c>
      <c r="AH51" s="44">
        <v>0.18</v>
      </c>
      <c r="AI51" s="44">
        <v>22</v>
      </c>
      <c r="AJ51" s="44">
        <v>18</v>
      </c>
    </row>
    <row r="52" spans="1:36" x14ac:dyDescent="0.35">
      <c r="A52" s="44" t="s">
        <v>341</v>
      </c>
      <c r="B52" s="44" t="s">
        <v>50</v>
      </c>
      <c r="C52" s="44">
        <v>44012</v>
      </c>
      <c r="D52" s="37">
        <v>11046</v>
      </c>
      <c r="E52" s="37">
        <v>11116</v>
      </c>
      <c r="F52" s="37">
        <v>11091</v>
      </c>
      <c r="G52" s="44">
        <v>6</v>
      </c>
      <c r="H52" s="44">
        <v>0</v>
      </c>
      <c r="I52" s="44">
        <v>0.54</v>
      </c>
      <c r="J52" s="44">
        <v>4</v>
      </c>
      <c r="K52" s="44">
        <v>0</v>
      </c>
      <c r="L52" s="44">
        <v>0.36</v>
      </c>
      <c r="M52" s="44">
        <v>4</v>
      </c>
      <c r="N52" s="44">
        <v>1</v>
      </c>
      <c r="O52" s="44">
        <v>0.36</v>
      </c>
      <c r="P52" s="44">
        <v>0.09</v>
      </c>
      <c r="Q52" s="44">
        <v>-2</v>
      </c>
      <c r="R52" s="44">
        <v>-0.18</v>
      </c>
      <c r="S52" s="44">
        <v>0</v>
      </c>
      <c r="T52" s="44">
        <v>0</v>
      </c>
      <c r="U52" s="44">
        <v>3</v>
      </c>
      <c r="V52" s="44">
        <v>0.27</v>
      </c>
      <c r="W52" s="44">
        <v>7</v>
      </c>
      <c r="X52" s="44">
        <v>1</v>
      </c>
      <c r="Y52" s="44">
        <v>0.63</v>
      </c>
      <c r="Z52" s="44">
        <v>0.09</v>
      </c>
      <c r="AA52" s="45">
        <v>9</v>
      </c>
      <c r="AB52" s="45">
        <v>1</v>
      </c>
      <c r="AC52" s="44">
        <v>0.81</v>
      </c>
      <c r="AD52" s="44">
        <v>0.09</v>
      </c>
      <c r="AE52" s="44">
        <v>9</v>
      </c>
      <c r="AF52" s="44">
        <v>2</v>
      </c>
      <c r="AG52" s="44">
        <v>0.81</v>
      </c>
      <c r="AH52" s="44">
        <v>0.18</v>
      </c>
      <c r="AI52" s="44">
        <v>22</v>
      </c>
      <c r="AJ52" s="44">
        <v>13</v>
      </c>
    </row>
    <row r="53" spans="1:36" x14ac:dyDescent="0.35">
      <c r="A53" s="44" t="s">
        <v>156</v>
      </c>
      <c r="B53" s="44" t="s">
        <v>55</v>
      </c>
      <c r="C53" s="44">
        <v>34009</v>
      </c>
      <c r="D53" s="37">
        <v>12356</v>
      </c>
      <c r="E53" s="37">
        <v>12561</v>
      </c>
      <c r="F53" s="37">
        <v>12670</v>
      </c>
      <c r="G53" s="44">
        <v>2</v>
      </c>
      <c r="H53" s="44">
        <v>0</v>
      </c>
      <c r="I53" s="44">
        <v>0.16</v>
      </c>
      <c r="J53" s="44">
        <v>2</v>
      </c>
      <c r="K53" s="44">
        <v>0</v>
      </c>
      <c r="L53" s="44">
        <v>0.16</v>
      </c>
      <c r="M53" s="44">
        <v>4</v>
      </c>
      <c r="N53" s="44">
        <v>0</v>
      </c>
      <c r="O53" s="44">
        <v>0.32</v>
      </c>
      <c r="P53" s="44">
        <v>0</v>
      </c>
      <c r="Q53" s="44">
        <v>2</v>
      </c>
      <c r="R53" s="44">
        <v>0.16</v>
      </c>
      <c r="S53" s="44">
        <v>2</v>
      </c>
      <c r="T53" s="44">
        <v>0.16</v>
      </c>
      <c r="U53" s="44">
        <v>3</v>
      </c>
      <c r="V53" s="44">
        <v>0.24</v>
      </c>
      <c r="W53" s="44">
        <v>5</v>
      </c>
      <c r="X53" s="44">
        <v>1</v>
      </c>
      <c r="Y53" s="44">
        <v>0.4</v>
      </c>
      <c r="Z53" s="44">
        <v>0.08</v>
      </c>
      <c r="AA53" s="45">
        <v>5</v>
      </c>
      <c r="AB53" s="45">
        <v>1</v>
      </c>
      <c r="AC53" s="44">
        <v>0.39</v>
      </c>
      <c r="AD53" s="44">
        <v>0.08</v>
      </c>
      <c r="AE53" s="44">
        <v>5</v>
      </c>
      <c r="AF53" s="44">
        <v>1</v>
      </c>
      <c r="AG53" s="44">
        <v>0.39</v>
      </c>
      <c r="AH53" s="44">
        <v>0.08</v>
      </c>
      <c r="AI53" s="44">
        <v>25</v>
      </c>
      <c r="AJ53" s="44">
        <v>20</v>
      </c>
    </row>
    <row r="54" spans="1:36" x14ac:dyDescent="0.35">
      <c r="A54" s="44" t="s">
        <v>62</v>
      </c>
      <c r="B54" s="44" t="s">
        <v>50</v>
      </c>
      <c r="C54" s="44">
        <v>44083</v>
      </c>
      <c r="D54" s="37">
        <v>44315</v>
      </c>
      <c r="E54" s="37">
        <v>44930</v>
      </c>
      <c r="F54" s="37">
        <v>45471</v>
      </c>
      <c r="G54" s="44">
        <v>20</v>
      </c>
      <c r="H54" s="44">
        <v>0</v>
      </c>
      <c r="I54" s="44">
        <v>0.45</v>
      </c>
      <c r="J54" s="44">
        <v>21</v>
      </c>
      <c r="K54" s="44">
        <v>0</v>
      </c>
      <c r="L54" s="44">
        <v>0.47</v>
      </c>
      <c r="M54" s="44">
        <v>25</v>
      </c>
      <c r="N54" s="44">
        <v>0</v>
      </c>
      <c r="O54" s="44">
        <v>0.56000000000000005</v>
      </c>
      <c r="P54" s="44">
        <v>0</v>
      </c>
      <c r="Q54" s="44">
        <v>5</v>
      </c>
      <c r="R54" s="44">
        <v>0.11</v>
      </c>
      <c r="S54" s="44">
        <v>4</v>
      </c>
      <c r="T54" s="44">
        <v>0.08</v>
      </c>
      <c r="U54" s="44">
        <v>10</v>
      </c>
      <c r="V54" s="44">
        <v>0.22</v>
      </c>
      <c r="W54" s="44">
        <v>29</v>
      </c>
      <c r="X54" s="44">
        <v>0</v>
      </c>
      <c r="Y54" s="44">
        <v>0.65</v>
      </c>
      <c r="Z54" s="44">
        <v>0</v>
      </c>
      <c r="AA54" s="45">
        <v>32</v>
      </c>
      <c r="AB54" s="45">
        <v>0</v>
      </c>
      <c r="AC54" s="44">
        <v>0.7</v>
      </c>
      <c r="AD54" s="44">
        <v>0</v>
      </c>
      <c r="AE54" s="44">
        <v>35</v>
      </c>
      <c r="AF54" s="44">
        <v>1</v>
      </c>
      <c r="AG54" s="44">
        <v>0.77</v>
      </c>
      <c r="AH54" s="44">
        <v>0.02</v>
      </c>
      <c r="AI54" s="44">
        <v>91</v>
      </c>
      <c r="AJ54" s="44">
        <v>56</v>
      </c>
    </row>
    <row r="55" spans="1:36" x14ac:dyDescent="0.35">
      <c r="A55" s="44" t="s">
        <v>182</v>
      </c>
      <c r="B55" s="44" t="s">
        <v>50</v>
      </c>
      <c r="C55" s="44">
        <v>41011</v>
      </c>
      <c r="D55" s="37">
        <v>20772</v>
      </c>
      <c r="E55" s="37">
        <v>20973</v>
      </c>
      <c r="F55" s="37">
        <v>21056</v>
      </c>
      <c r="G55" s="44">
        <v>3</v>
      </c>
      <c r="H55" s="44">
        <v>0</v>
      </c>
      <c r="I55" s="44">
        <v>0.14000000000000001</v>
      </c>
      <c r="J55" s="44">
        <v>2</v>
      </c>
      <c r="K55" s="44">
        <v>0</v>
      </c>
      <c r="L55" s="44">
        <v>0.1</v>
      </c>
      <c r="M55" s="44">
        <v>2</v>
      </c>
      <c r="N55" s="44">
        <v>2</v>
      </c>
      <c r="O55" s="44">
        <v>0.1</v>
      </c>
      <c r="P55" s="44">
        <v>0.1</v>
      </c>
      <c r="Q55" s="44">
        <v>-1</v>
      </c>
      <c r="R55" s="44">
        <v>-0.05</v>
      </c>
      <c r="S55" s="44">
        <v>0</v>
      </c>
      <c r="T55" s="44">
        <v>0</v>
      </c>
      <c r="U55" s="44">
        <v>0</v>
      </c>
      <c r="V55" s="44">
        <v>0</v>
      </c>
      <c r="W55" s="44">
        <v>3</v>
      </c>
      <c r="X55" s="44">
        <v>3</v>
      </c>
      <c r="Y55" s="44">
        <v>0.14000000000000001</v>
      </c>
      <c r="Z55" s="44">
        <v>0.14000000000000001</v>
      </c>
      <c r="AA55" s="45">
        <v>4</v>
      </c>
      <c r="AB55" s="45">
        <v>4</v>
      </c>
      <c r="AC55" s="44">
        <v>0.19</v>
      </c>
      <c r="AD55" s="44">
        <v>0.19</v>
      </c>
      <c r="AE55" s="44">
        <v>4</v>
      </c>
      <c r="AF55" s="44">
        <v>4</v>
      </c>
      <c r="AG55" s="44">
        <v>0.19</v>
      </c>
      <c r="AH55" s="44">
        <v>0.19</v>
      </c>
      <c r="AI55" s="44">
        <v>42</v>
      </c>
      <c r="AJ55" s="44">
        <v>38</v>
      </c>
    </row>
    <row r="56" spans="1:36" x14ac:dyDescent="0.35">
      <c r="A56" s="44" t="s">
        <v>80</v>
      </c>
      <c r="B56" s="44" t="s">
        <v>50</v>
      </c>
      <c r="C56" s="44">
        <v>42006</v>
      </c>
      <c r="D56" s="37">
        <v>46325</v>
      </c>
      <c r="E56" s="37">
        <v>46916</v>
      </c>
      <c r="F56" s="37">
        <v>47185</v>
      </c>
      <c r="G56" s="44">
        <v>5</v>
      </c>
      <c r="H56" s="44">
        <v>0</v>
      </c>
      <c r="I56" s="44">
        <v>0.11</v>
      </c>
      <c r="J56" s="44">
        <v>6</v>
      </c>
      <c r="K56" s="44">
        <v>0</v>
      </c>
      <c r="L56" s="44">
        <v>0.13</v>
      </c>
      <c r="M56" s="44">
        <v>7</v>
      </c>
      <c r="N56" s="44">
        <v>3</v>
      </c>
      <c r="O56" s="44">
        <v>0.15</v>
      </c>
      <c r="P56" s="44">
        <v>0.06</v>
      </c>
      <c r="Q56" s="44">
        <v>2</v>
      </c>
      <c r="R56" s="44">
        <v>0.04</v>
      </c>
      <c r="S56" s="44">
        <v>1</v>
      </c>
      <c r="T56" s="44">
        <v>0.02</v>
      </c>
      <c r="U56" s="44">
        <v>1</v>
      </c>
      <c r="V56" s="44">
        <v>0.02</v>
      </c>
      <c r="W56" s="44">
        <v>6</v>
      </c>
      <c r="X56" s="44">
        <v>3</v>
      </c>
      <c r="Y56" s="44">
        <v>0.13</v>
      </c>
      <c r="Z56" s="44">
        <v>0.06</v>
      </c>
      <c r="AA56" s="45">
        <v>8</v>
      </c>
      <c r="AB56" s="45">
        <v>5</v>
      </c>
      <c r="AC56" s="44">
        <v>0.17</v>
      </c>
      <c r="AD56" s="44">
        <v>0.11</v>
      </c>
      <c r="AE56" s="44">
        <v>10</v>
      </c>
      <c r="AF56" s="44">
        <v>5</v>
      </c>
      <c r="AG56" s="44">
        <v>0.21</v>
      </c>
      <c r="AH56" s="44">
        <v>0.11</v>
      </c>
      <c r="AI56" s="44">
        <v>94</v>
      </c>
      <c r="AJ56" s="44">
        <v>84</v>
      </c>
    </row>
    <row r="57" spans="1:36" x14ac:dyDescent="0.35">
      <c r="A57" s="44" t="s">
        <v>168</v>
      </c>
      <c r="B57" s="44" t="s">
        <v>55</v>
      </c>
      <c r="C57" s="44">
        <v>37002</v>
      </c>
      <c r="D57" s="37">
        <v>8699</v>
      </c>
      <c r="E57" s="37">
        <v>8632</v>
      </c>
      <c r="F57" s="37">
        <v>8722</v>
      </c>
      <c r="G57" s="44">
        <v>0</v>
      </c>
      <c r="H57" s="44">
        <v>0</v>
      </c>
      <c r="I57" s="44">
        <v>0</v>
      </c>
      <c r="J57" s="44">
        <v>0</v>
      </c>
      <c r="K57" s="44">
        <v>0</v>
      </c>
      <c r="L57" s="44">
        <v>0</v>
      </c>
      <c r="M57" s="44">
        <v>0</v>
      </c>
      <c r="N57" s="44">
        <v>0</v>
      </c>
      <c r="O57" s="44">
        <v>0</v>
      </c>
      <c r="P57" s="44">
        <v>0</v>
      </c>
      <c r="Q57" s="44">
        <v>0</v>
      </c>
      <c r="R57" s="44">
        <v>0</v>
      </c>
      <c r="S57" s="44">
        <v>0</v>
      </c>
      <c r="T57" s="44">
        <v>0</v>
      </c>
      <c r="U57" s="44">
        <v>0</v>
      </c>
      <c r="V57" s="44">
        <v>0</v>
      </c>
      <c r="W57" s="44">
        <v>1</v>
      </c>
      <c r="X57" s="44">
        <v>0</v>
      </c>
      <c r="Y57" s="44">
        <v>0.12</v>
      </c>
      <c r="Z57" s="44">
        <v>0</v>
      </c>
      <c r="AA57" s="45">
        <v>2</v>
      </c>
      <c r="AB57" s="45">
        <v>0</v>
      </c>
      <c r="AC57" s="44">
        <v>0.23</v>
      </c>
      <c r="AD57" s="44">
        <v>0</v>
      </c>
      <c r="AE57" s="44">
        <v>2</v>
      </c>
      <c r="AF57" s="44">
        <v>0</v>
      </c>
      <c r="AG57" s="44">
        <v>0.23</v>
      </c>
      <c r="AH57" s="44">
        <v>0</v>
      </c>
      <c r="AI57" s="44">
        <v>17</v>
      </c>
      <c r="AJ57" s="44">
        <v>15</v>
      </c>
    </row>
    <row r="58" spans="1:36" x14ac:dyDescent="0.35">
      <c r="A58" s="44" t="s">
        <v>301</v>
      </c>
      <c r="B58" s="44" t="s">
        <v>48</v>
      </c>
      <c r="C58" s="44">
        <v>13006</v>
      </c>
      <c r="D58" s="37">
        <v>9686</v>
      </c>
      <c r="E58" s="37">
        <v>9805</v>
      </c>
      <c r="F58" s="37">
        <v>9892</v>
      </c>
      <c r="G58" s="44">
        <v>1</v>
      </c>
      <c r="H58" s="44">
        <v>0</v>
      </c>
      <c r="I58" s="44">
        <v>0.1</v>
      </c>
      <c r="J58" s="44">
        <v>0</v>
      </c>
      <c r="K58" s="44">
        <v>0</v>
      </c>
      <c r="L58" s="44">
        <v>0</v>
      </c>
      <c r="M58" s="44">
        <v>0</v>
      </c>
      <c r="N58" s="44">
        <v>0</v>
      </c>
      <c r="O58" s="44">
        <v>0</v>
      </c>
      <c r="P58" s="44">
        <v>0</v>
      </c>
      <c r="Q58" s="44">
        <v>-1</v>
      </c>
      <c r="R58" s="44">
        <v>-0.1</v>
      </c>
      <c r="S58" s="44">
        <v>0</v>
      </c>
      <c r="T58" s="44">
        <v>0</v>
      </c>
      <c r="U58" s="44">
        <v>0</v>
      </c>
      <c r="V58" s="44">
        <v>0</v>
      </c>
      <c r="W58" s="44">
        <v>0</v>
      </c>
      <c r="X58" s="44">
        <v>0</v>
      </c>
      <c r="Y58" s="44">
        <v>0</v>
      </c>
      <c r="Z58" s="44">
        <v>0</v>
      </c>
      <c r="AA58" s="45">
        <v>1</v>
      </c>
      <c r="AB58" s="45">
        <v>0</v>
      </c>
      <c r="AC58" s="44">
        <v>0.1</v>
      </c>
      <c r="AD58" s="44">
        <v>0</v>
      </c>
      <c r="AE58" s="44">
        <v>1</v>
      </c>
      <c r="AF58" s="44">
        <v>0</v>
      </c>
      <c r="AG58" s="44">
        <v>0.1</v>
      </c>
      <c r="AH58" s="44">
        <v>0</v>
      </c>
      <c r="AI58" s="44">
        <v>20</v>
      </c>
      <c r="AJ58" s="44">
        <v>19</v>
      </c>
    </row>
    <row r="59" spans="1:36" x14ac:dyDescent="0.35">
      <c r="A59" s="44" t="s">
        <v>71</v>
      </c>
      <c r="B59" s="44" t="s">
        <v>50</v>
      </c>
      <c r="C59" s="44">
        <v>44013</v>
      </c>
      <c r="D59" s="37">
        <v>18856</v>
      </c>
      <c r="E59" s="37">
        <v>19097</v>
      </c>
      <c r="F59" s="37">
        <v>19110</v>
      </c>
      <c r="G59" s="44">
        <v>11</v>
      </c>
      <c r="H59" s="44">
        <v>0</v>
      </c>
      <c r="I59" s="44">
        <v>0.57999999999999996</v>
      </c>
      <c r="J59" s="44">
        <v>13</v>
      </c>
      <c r="K59" s="44">
        <v>1</v>
      </c>
      <c r="L59" s="44">
        <v>0.69</v>
      </c>
      <c r="M59" s="44">
        <v>16</v>
      </c>
      <c r="N59" s="44">
        <v>4</v>
      </c>
      <c r="O59" s="44">
        <v>0.84</v>
      </c>
      <c r="P59" s="44">
        <v>0.21</v>
      </c>
      <c r="Q59" s="44">
        <v>5</v>
      </c>
      <c r="R59" s="44">
        <v>0.25</v>
      </c>
      <c r="S59" s="44">
        <v>3</v>
      </c>
      <c r="T59" s="44">
        <v>0.15</v>
      </c>
      <c r="U59" s="44">
        <v>12</v>
      </c>
      <c r="V59" s="44">
        <v>0.63</v>
      </c>
      <c r="W59" s="44">
        <v>16</v>
      </c>
      <c r="X59" s="44">
        <v>4</v>
      </c>
      <c r="Y59" s="44">
        <v>0.84</v>
      </c>
      <c r="Z59" s="44">
        <v>0.21</v>
      </c>
      <c r="AA59" s="45">
        <v>17</v>
      </c>
      <c r="AB59" s="45">
        <v>3</v>
      </c>
      <c r="AC59" s="44">
        <v>0.89</v>
      </c>
      <c r="AD59" s="44">
        <v>0.16</v>
      </c>
      <c r="AE59" s="44">
        <v>18</v>
      </c>
      <c r="AF59" s="44">
        <v>4</v>
      </c>
      <c r="AG59" s="44">
        <v>0.94</v>
      </c>
      <c r="AH59" s="44">
        <v>0.21</v>
      </c>
      <c r="AI59" s="44">
        <v>38</v>
      </c>
      <c r="AJ59" s="44">
        <v>20</v>
      </c>
    </row>
    <row r="60" spans="1:36" x14ac:dyDescent="0.35">
      <c r="A60" s="44" t="s">
        <v>309</v>
      </c>
      <c r="B60" s="44" t="s">
        <v>59</v>
      </c>
      <c r="C60" s="44">
        <v>71011</v>
      </c>
      <c r="D60" s="37">
        <v>19241</v>
      </c>
      <c r="E60" s="37">
        <v>19423</v>
      </c>
      <c r="F60" s="37">
        <v>19607</v>
      </c>
      <c r="G60" s="44">
        <v>0</v>
      </c>
      <c r="H60" s="44">
        <v>0</v>
      </c>
      <c r="I60" s="44">
        <v>0</v>
      </c>
      <c r="J60" s="44">
        <v>0</v>
      </c>
      <c r="K60" s="44">
        <v>0</v>
      </c>
      <c r="L60" s="44">
        <v>0</v>
      </c>
      <c r="M60" s="44">
        <v>0</v>
      </c>
      <c r="N60" s="44">
        <v>0</v>
      </c>
      <c r="O60" s="44">
        <v>0</v>
      </c>
      <c r="P60" s="44">
        <v>0</v>
      </c>
      <c r="Q60" s="44">
        <v>0</v>
      </c>
      <c r="R60" s="44">
        <v>0</v>
      </c>
      <c r="S60" s="44">
        <v>0</v>
      </c>
      <c r="T60" s="44">
        <v>0</v>
      </c>
      <c r="U60" s="44">
        <v>0</v>
      </c>
      <c r="V60" s="44">
        <v>0</v>
      </c>
      <c r="W60" s="44">
        <v>1</v>
      </c>
      <c r="X60" s="44">
        <v>0</v>
      </c>
      <c r="Y60" s="44">
        <v>0.05</v>
      </c>
      <c r="Z60" s="44">
        <v>0</v>
      </c>
      <c r="AA60" s="45">
        <v>1</v>
      </c>
      <c r="AB60" s="45">
        <v>1</v>
      </c>
      <c r="AC60" s="44">
        <v>0.05</v>
      </c>
      <c r="AD60" s="44">
        <v>0.05</v>
      </c>
      <c r="AE60" s="44">
        <v>1</v>
      </c>
      <c r="AF60" s="44">
        <v>0</v>
      </c>
      <c r="AG60" s="44">
        <v>0.05</v>
      </c>
      <c r="AH60" s="44">
        <v>0</v>
      </c>
      <c r="AI60" s="44">
        <v>39</v>
      </c>
      <c r="AJ60" s="44">
        <v>38</v>
      </c>
    </row>
    <row r="61" spans="1:36" x14ac:dyDescent="0.35">
      <c r="A61" s="44" t="s">
        <v>88</v>
      </c>
      <c r="B61" s="44" t="s">
        <v>52</v>
      </c>
      <c r="C61" s="44">
        <v>24020</v>
      </c>
      <c r="D61" s="37">
        <v>24516</v>
      </c>
      <c r="E61" s="37">
        <v>24677</v>
      </c>
      <c r="F61" s="37">
        <v>24971</v>
      </c>
      <c r="G61" s="44">
        <v>5</v>
      </c>
      <c r="H61" s="44">
        <v>0</v>
      </c>
      <c r="I61" s="44">
        <v>0.2</v>
      </c>
      <c r="J61" s="44">
        <v>5</v>
      </c>
      <c r="K61" s="44">
        <v>0</v>
      </c>
      <c r="L61" s="44">
        <v>0.2</v>
      </c>
      <c r="M61" s="44">
        <v>4</v>
      </c>
      <c r="N61" s="44">
        <v>0</v>
      </c>
      <c r="O61" s="44">
        <v>0.16</v>
      </c>
      <c r="P61" s="44">
        <v>0</v>
      </c>
      <c r="Q61" s="44">
        <v>-1</v>
      </c>
      <c r="R61" s="44">
        <v>-0.04</v>
      </c>
      <c r="S61" s="44">
        <v>-1</v>
      </c>
      <c r="T61" s="44">
        <v>-0.04</v>
      </c>
      <c r="U61" s="44">
        <v>0</v>
      </c>
      <c r="V61" s="44">
        <v>0</v>
      </c>
      <c r="W61" s="44">
        <v>6</v>
      </c>
      <c r="X61" s="44">
        <v>0</v>
      </c>
      <c r="Y61" s="44">
        <v>0.24</v>
      </c>
      <c r="Z61" s="44">
        <v>0</v>
      </c>
      <c r="AA61" s="45">
        <v>8</v>
      </c>
      <c r="AB61" s="45">
        <v>0</v>
      </c>
      <c r="AC61" s="44">
        <v>0.32</v>
      </c>
      <c r="AD61" s="44">
        <v>0</v>
      </c>
      <c r="AE61" s="44">
        <v>10</v>
      </c>
      <c r="AF61" s="44">
        <v>2</v>
      </c>
      <c r="AG61" s="44">
        <v>0.4</v>
      </c>
      <c r="AH61" s="44">
        <v>0.08</v>
      </c>
      <c r="AI61" s="44">
        <v>50</v>
      </c>
      <c r="AJ61" s="44">
        <v>40</v>
      </c>
    </row>
    <row r="62" spans="1:36" x14ac:dyDescent="0.35">
      <c r="A62" s="44" t="s">
        <v>280</v>
      </c>
      <c r="B62" s="44" t="s">
        <v>55</v>
      </c>
      <c r="C62" s="44">
        <v>32003</v>
      </c>
      <c r="D62" s="37">
        <v>16926</v>
      </c>
      <c r="E62" s="37">
        <v>17174</v>
      </c>
      <c r="F62" s="37">
        <v>17228</v>
      </c>
      <c r="G62" s="44">
        <v>0</v>
      </c>
      <c r="H62" s="44">
        <v>0</v>
      </c>
      <c r="I62" s="44">
        <v>0</v>
      </c>
      <c r="J62" s="44">
        <v>0</v>
      </c>
      <c r="K62" s="44">
        <v>0</v>
      </c>
      <c r="L62" s="44">
        <v>0</v>
      </c>
      <c r="M62" s="44">
        <v>0</v>
      </c>
      <c r="N62" s="44">
        <v>0</v>
      </c>
      <c r="O62" s="44">
        <v>0</v>
      </c>
      <c r="P62" s="44">
        <v>0</v>
      </c>
      <c r="Q62" s="44">
        <v>0</v>
      </c>
      <c r="R62" s="44">
        <v>0</v>
      </c>
      <c r="S62" s="44">
        <v>0</v>
      </c>
      <c r="T62" s="44">
        <v>0</v>
      </c>
      <c r="U62" s="44">
        <v>0</v>
      </c>
      <c r="V62" s="44">
        <v>0</v>
      </c>
      <c r="W62" s="44">
        <v>0</v>
      </c>
      <c r="X62" s="44">
        <v>0</v>
      </c>
      <c r="Y62" s="44">
        <v>0</v>
      </c>
      <c r="Z62" s="44">
        <v>0</v>
      </c>
      <c r="AA62" s="45">
        <v>1</v>
      </c>
      <c r="AB62" s="45">
        <v>0</v>
      </c>
      <c r="AC62" s="44">
        <v>0.06</v>
      </c>
      <c r="AD62" s="44">
        <v>0</v>
      </c>
      <c r="AE62" s="44">
        <v>1</v>
      </c>
      <c r="AF62" s="44">
        <v>0</v>
      </c>
      <c r="AG62" s="44">
        <v>0.06</v>
      </c>
      <c r="AH62" s="44">
        <v>0</v>
      </c>
      <c r="AI62" s="44">
        <v>34</v>
      </c>
      <c r="AJ62" s="44">
        <v>33</v>
      </c>
    </row>
    <row r="63" spans="1:36" x14ac:dyDescent="0.35">
      <c r="A63" s="44" t="s">
        <v>85</v>
      </c>
      <c r="B63" s="44" t="s">
        <v>52</v>
      </c>
      <c r="C63" s="44">
        <v>23016</v>
      </c>
      <c r="D63" s="37">
        <v>44095</v>
      </c>
      <c r="E63" s="37">
        <v>44650</v>
      </c>
      <c r="F63" s="37">
        <v>44878</v>
      </c>
      <c r="G63" s="44">
        <v>1</v>
      </c>
      <c r="H63" s="44">
        <v>0</v>
      </c>
      <c r="I63" s="44">
        <v>0.02</v>
      </c>
      <c r="J63" s="44">
        <v>0</v>
      </c>
      <c r="K63" s="44">
        <v>0</v>
      </c>
      <c r="L63" s="44">
        <v>0</v>
      </c>
      <c r="M63" s="44">
        <v>1</v>
      </c>
      <c r="N63" s="44">
        <v>1</v>
      </c>
      <c r="O63" s="44">
        <v>0.02</v>
      </c>
      <c r="P63" s="44">
        <v>0.02</v>
      </c>
      <c r="Q63" s="44">
        <v>0</v>
      </c>
      <c r="R63" s="44">
        <v>0</v>
      </c>
      <c r="S63" s="44">
        <v>1</v>
      </c>
      <c r="T63" s="44">
        <v>0.02</v>
      </c>
      <c r="U63" s="44">
        <v>1</v>
      </c>
      <c r="V63" s="44">
        <v>0.02</v>
      </c>
      <c r="W63" s="44">
        <v>4</v>
      </c>
      <c r="X63" s="44">
        <v>4</v>
      </c>
      <c r="Y63" s="44">
        <v>0.09</v>
      </c>
      <c r="Z63" s="44">
        <v>0.09</v>
      </c>
      <c r="AA63" s="45">
        <v>6</v>
      </c>
      <c r="AB63" s="45">
        <v>6</v>
      </c>
      <c r="AC63" s="44">
        <v>0.13</v>
      </c>
      <c r="AD63" s="44">
        <v>0.13</v>
      </c>
      <c r="AE63" s="44">
        <v>9</v>
      </c>
      <c r="AF63" s="44">
        <v>8</v>
      </c>
      <c r="AG63" s="44">
        <v>0.2</v>
      </c>
      <c r="AH63" s="44">
        <v>0.18</v>
      </c>
      <c r="AI63" s="44">
        <v>90</v>
      </c>
      <c r="AJ63" s="44">
        <v>81</v>
      </c>
    </row>
    <row r="64" spans="1:36" x14ac:dyDescent="0.35">
      <c r="A64" s="44" t="s">
        <v>333</v>
      </c>
      <c r="B64" s="44" t="s">
        <v>59</v>
      </c>
      <c r="C64" s="44">
        <v>72041</v>
      </c>
      <c r="D64" s="37">
        <v>20995</v>
      </c>
      <c r="E64" s="37">
        <v>21305</v>
      </c>
      <c r="F64" s="37">
        <v>21346</v>
      </c>
      <c r="G64" s="44">
        <v>0</v>
      </c>
      <c r="H64" s="44">
        <v>0</v>
      </c>
      <c r="I64" s="44">
        <v>0</v>
      </c>
      <c r="J64" s="44">
        <v>0</v>
      </c>
      <c r="K64" s="44">
        <v>0</v>
      </c>
      <c r="L64" s="44">
        <v>0</v>
      </c>
      <c r="M64" s="44">
        <v>0</v>
      </c>
      <c r="N64" s="44">
        <v>0</v>
      </c>
      <c r="O64" s="44">
        <v>0</v>
      </c>
      <c r="P64" s="44">
        <v>0</v>
      </c>
      <c r="Q64" s="44">
        <v>0</v>
      </c>
      <c r="R64" s="44">
        <v>0</v>
      </c>
      <c r="S64" s="44">
        <v>0</v>
      </c>
      <c r="T64" s="44">
        <v>0</v>
      </c>
      <c r="U64" s="44">
        <v>0</v>
      </c>
      <c r="V64" s="44">
        <v>0</v>
      </c>
      <c r="W64" s="44">
        <v>0</v>
      </c>
      <c r="X64" s="44">
        <v>0</v>
      </c>
      <c r="Y64" s="44">
        <v>0</v>
      </c>
      <c r="Z64" s="44">
        <v>0</v>
      </c>
      <c r="AA64" s="45">
        <v>0</v>
      </c>
      <c r="AB64" s="45">
        <v>0</v>
      </c>
      <c r="AC64" s="44">
        <v>0</v>
      </c>
      <c r="AD64" s="44">
        <v>0</v>
      </c>
      <c r="AE64" s="44">
        <v>0</v>
      </c>
      <c r="AF64" s="44">
        <v>0</v>
      </c>
      <c r="AG64" s="44">
        <v>0</v>
      </c>
      <c r="AH64" s="44">
        <v>0</v>
      </c>
      <c r="AI64" s="44">
        <v>43</v>
      </c>
      <c r="AJ64" s="44">
        <v>43</v>
      </c>
    </row>
    <row r="65" spans="1:36" x14ac:dyDescent="0.35">
      <c r="A65" s="44" t="s">
        <v>298</v>
      </c>
      <c r="B65" s="44" t="s">
        <v>52</v>
      </c>
      <c r="C65" s="44">
        <v>23098</v>
      </c>
      <c r="D65" s="37">
        <v>5770</v>
      </c>
      <c r="E65" s="37">
        <v>5851</v>
      </c>
      <c r="F65" s="37">
        <v>5944</v>
      </c>
      <c r="G65" s="44">
        <v>1</v>
      </c>
      <c r="H65" s="44">
        <v>0</v>
      </c>
      <c r="I65" s="44">
        <v>0.17</v>
      </c>
      <c r="J65" s="44">
        <v>0</v>
      </c>
      <c r="K65" s="44">
        <v>0</v>
      </c>
      <c r="L65" s="44">
        <v>0</v>
      </c>
      <c r="M65" s="44">
        <v>0</v>
      </c>
      <c r="N65" s="44">
        <v>0</v>
      </c>
      <c r="O65" s="44">
        <v>0</v>
      </c>
      <c r="P65" s="44">
        <v>0</v>
      </c>
      <c r="Q65" s="44">
        <v>-1</v>
      </c>
      <c r="R65" s="44">
        <v>-0.17</v>
      </c>
      <c r="S65" s="44">
        <v>0</v>
      </c>
      <c r="T65" s="44">
        <v>0</v>
      </c>
      <c r="U65" s="44">
        <v>0</v>
      </c>
      <c r="V65" s="44">
        <v>0</v>
      </c>
      <c r="W65" s="44">
        <v>1</v>
      </c>
      <c r="X65" s="44">
        <v>0</v>
      </c>
      <c r="Y65" s="44">
        <v>0.17</v>
      </c>
      <c r="Z65" s="44">
        <v>0</v>
      </c>
      <c r="AA65" s="45">
        <v>1</v>
      </c>
      <c r="AB65" s="45">
        <v>0</v>
      </c>
      <c r="AC65" s="44">
        <v>0.17</v>
      </c>
      <c r="AD65" s="44">
        <v>0</v>
      </c>
      <c r="AE65" s="44">
        <v>2</v>
      </c>
      <c r="AF65" s="44">
        <v>1</v>
      </c>
      <c r="AG65" s="44">
        <v>0.34</v>
      </c>
      <c r="AH65" s="44">
        <v>0.17</v>
      </c>
      <c r="AI65" s="44">
        <v>12</v>
      </c>
      <c r="AJ65" s="44">
        <v>10</v>
      </c>
    </row>
    <row r="66" spans="1:36" x14ac:dyDescent="0.35">
      <c r="A66" s="44" t="s">
        <v>140</v>
      </c>
      <c r="B66" s="44" t="s">
        <v>48</v>
      </c>
      <c r="C66" s="44">
        <v>12009</v>
      </c>
      <c r="D66" s="37">
        <v>17770</v>
      </c>
      <c r="E66" s="37">
        <v>17982</v>
      </c>
      <c r="F66" s="37">
        <v>18062</v>
      </c>
      <c r="G66" s="44">
        <v>4</v>
      </c>
      <c r="H66" s="44">
        <v>0</v>
      </c>
      <c r="I66" s="44">
        <v>0.23</v>
      </c>
      <c r="J66" s="44">
        <v>4</v>
      </c>
      <c r="K66" s="44">
        <v>0</v>
      </c>
      <c r="L66" s="44">
        <v>0.23</v>
      </c>
      <c r="M66" s="44">
        <v>3</v>
      </c>
      <c r="N66" s="44">
        <v>0</v>
      </c>
      <c r="O66" s="44">
        <v>0.17</v>
      </c>
      <c r="P66" s="44">
        <v>0</v>
      </c>
      <c r="Q66" s="44">
        <v>-1</v>
      </c>
      <c r="R66" s="44">
        <v>-0.06</v>
      </c>
      <c r="S66" s="44">
        <v>-1</v>
      </c>
      <c r="T66" s="44">
        <v>-0.06</v>
      </c>
      <c r="U66" s="44">
        <v>3</v>
      </c>
      <c r="V66" s="44">
        <v>0.17</v>
      </c>
      <c r="W66" s="44">
        <v>5</v>
      </c>
      <c r="X66" s="44">
        <v>0</v>
      </c>
      <c r="Y66" s="44">
        <v>0.28000000000000003</v>
      </c>
      <c r="Z66" s="44">
        <v>0</v>
      </c>
      <c r="AA66" s="45">
        <v>7</v>
      </c>
      <c r="AB66" s="45">
        <v>3</v>
      </c>
      <c r="AC66" s="44">
        <v>0.39</v>
      </c>
      <c r="AD66" s="44">
        <v>0.17</v>
      </c>
      <c r="AE66" s="44">
        <v>4</v>
      </c>
      <c r="AF66" s="44">
        <v>3</v>
      </c>
      <c r="AG66" s="44">
        <v>0.22</v>
      </c>
      <c r="AH66" s="44">
        <v>0.17</v>
      </c>
      <c r="AI66" s="44">
        <v>36</v>
      </c>
      <c r="AJ66" s="44">
        <v>32</v>
      </c>
    </row>
    <row r="67" spans="1:36" x14ac:dyDescent="0.35">
      <c r="A67" s="44" t="s">
        <v>123</v>
      </c>
      <c r="B67" s="44" t="s">
        <v>48</v>
      </c>
      <c r="C67" s="44">
        <v>11013</v>
      </c>
      <c r="D67" s="37">
        <v>22386</v>
      </c>
      <c r="E67" s="37">
        <v>22761</v>
      </c>
      <c r="F67" s="37">
        <v>23009</v>
      </c>
      <c r="G67" s="44">
        <v>10</v>
      </c>
      <c r="H67" s="44">
        <v>0</v>
      </c>
      <c r="I67" s="44">
        <v>0.45</v>
      </c>
      <c r="J67" s="44">
        <v>16</v>
      </c>
      <c r="K67" s="44">
        <v>0</v>
      </c>
      <c r="L67" s="44">
        <v>0.71</v>
      </c>
      <c r="M67" s="44">
        <v>21</v>
      </c>
      <c r="N67" s="44">
        <v>0</v>
      </c>
      <c r="O67" s="44">
        <v>0.92</v>
      </c>
      <c r="P67" s="44">
        <v>0</v>
      </c>
      <c r="Q67" s="44">
        <v>11</v>
      </c>
      <c r="R67" s="44">
        <v>0.48</v>
      </c>
      <c r="S67" s="44">
        <v>5</v>
      </c>
      <c r="T67" s="44">
        <v>0.21</v>
      </c>
      <c r="U67" s="44">
        <v>6</v>
      </c>
      <c r="V67" s="44">
        <v>0.26</v>
      </c>
      <c r="W67" s="44">
        <v>27</v>
      </c>
      <c r="X67" s="44">
        <v>2</v>
      </c>
      <c r="Y67" s="44">
        <v>1.19</v>
      </c>
      <c r="Z67" s="44">
        <v>0.09</v>
      </c>
      <c r="AA67" s="45">
        <v>41</v>
      </c>
      <c r="AB67" s="45">
        <v>2</v>
      </c>
      <c r="AC67" s="44">
        <v>1.78</v>
      </c>
      <c r="AD67" s="44">
        <v>0.09</v>
      </c>
      <c r="AE67" s="44">
        <v>9</v>
      </c>
      <c r="AF67" s="44">
        <v>2</v>
      </c>
      <c r="AG67" s="44">
        <v>0.39</v>
      </c>
      <c r="AH67" s="44">
        <v>0.09</v>
      </c>
      <c r="AI67" s="44">
        <v>46</v>
      </c>
      <c r="AJ67" s="44">
        <v>37</v>
      </c>
    </row>
    <row r="68" spans="1:36" x14ac:dyDescent="0.35">
      <c r="A68" s="44" t="s">
        <v>118</v>
      </c>
      <c r="B68" s="44" t="s">
        <v>50</v>
      </c>
      <c r="C68" s="44">
        <v>43005</v>
      </c>
      <c r="D68" s="37">
        <v>21775</v>
      </c>
      <c r="E68" s="37">
        <v>22140</v>
      </c>
      <c r="F68" s="37">
        <v>22401</v>
      </c>
      <c r="G68" s="44">
        <v>3</v>
      </c>
      <c r="H68" s="44">
        <v>1</v>
      </c>
      <c r="I68" s="44">
        <v>0.14000000000000001</v>
      </c>
      <c r="J68" s="44">
        <v>3</v>
      </c>
      <c r="K68" s="44">
        <v>1</v>
      </c>
      <c r="L68" s="44">
        <v>0.14000000000000001</v>
      </c>
      <c r="M68" s="44">
        <v>4</v>
      </c>
      <c r="N68" s="44">
        <v>1</v>
      </c>
      <c r="O68" s="44">
        <v>0.18</v>
      </c>
      <c r="P68" s="44">
        <v>0.05</v>
      </c>
      <c r="Q68" s="44">
        <v>1</v>
      </c>
      <c r="R68" s="44">
        <v>0.04</v>
      </c>
      <c r="S68" s="44">
        <v>1</v>
      </c>
      <c r="T68" s="44">
        <v>0.04</v>
      </c>
      <c r="U68" s="44">
        <v>1</v>
      </c>
      <c r="V68" s="44">
        <v>0.05</v>
      </c>
      <c r="W68" s="44">
        <v>8</v>
      </c>
      <c r="X68" s="44">
        <v>1</v>
      </c>
      <c r="Y68" s="44">
        <v>0.36</v>
      </c>
      <c r="Z68" s="44">
        <v>0.05</v>
      </c>
      <c r="AA68" s="45">
        <v>8</v>
      </c>
      <c r="AB68" s="45">
        <v>2</v>
      </c>
      <c r="AC68" s="44">
        <v>0.36</v>
      </c>
      <c r="AD68" s="44">
        <v>0.09</v>
      </c>
      <c r="AE68" s="44">
        <v>8</v>
      </c>
      <c r="AF68" s="44">
        <v>2</v>
      </c>
      <c r="AG68" s="44">
        <v>0.36</v>
      </c>
      <c r="AH68" s="44">
        <v>0.09</v>
      </c>
      <c r="AI68" s="44">
        <v>45</v>
      </c>
      <c r="AJ68" s="44">
        <v>37</v>
      </c>
    </row>
    <row r="69" spans="1:36" x14ac:dyDescent="0.35">
      <c r="A69" s="44" t="s">
        <v>116</v>
      </c>
      <c r="B69" s="44" t="s">
        <v>50</v>
      </c>
      <c r="C69" s="44">
        <v>41082</v>
      </c>
      <c r="D69" s="37">
        <v>20606</v>
      </c>
      <c r="E69" s="37">
        <v>20843</v>
      </c>
      <c r="F69" s="37">
        <v>21013</v>
      </c>
      <c r="G69" s="44">
        <v>2</v>
      </c>
      <c r="H69" s="44">
        <v>0</v>
      </c>
      <c r="I69" s="44">
        <v>0.1</v>
      </c>
      <c r="J69" s="44">
        <v>2</v>
      </c>
      <c r="K69" s="44">
        <v>0</v>
      </c>
      <c r="L69" s="44">
        <v>0.1</v>
      </c>
      <c r="M69" s="44">
        <v>2</v>
      </c>
      <c r="N69" s="44">
        <v>2</v>
      </c>
      <c r="O69" s="44">
        <v>0.1</v>
      </c>
      <c r="P69" s="44">
        <v>0.1</v>
      </c>
      <c r="Q69" s="44">
        <v>0</v>
      </c>
      <c r="R69" s="44">
        <v>0</v>
      </c>
      <c r="S69" s="44">
        <v>0</v>
      </c>
      <c r="T69" s="44">
        <v>0</v>
      </c>
      <c r="U69" s="44">
        <v>0</v>
      </c>
      <c r="V69" s="44">
        <v>0</v>
      </c>
      <c r="W69" s="44">
        <v>2</v>
      </c>
      <c r="X69" s="44">
        <v>2</v>
      </c>
      <c r="Y69" s="44">
        <v>0.1</v>
      </c>
      <c r="Z69" s="44">
        <v>0.1</v>
      </c>
      <c r="AA69" s="45">
        <v>4</v>
      </c>
      <c r="AB69" s="45">
        <v>4</v>
      </c>
      <c r="AC69" s="44">
        <v>0.19</v>
      </c>
      <c r="AD69" s="44">
        <v>0.19</v>
      </c>
      <c r="AE69" s="44">
        <v>7</v>
      </c>
      <c r="AF69" s="44">
        <v>6</v>
      </c>
      <c r="AG69" s="44">
        <v>0.33</v>
      </c>
      <c r="AH69" s="44">
        <v>0.28999999999999998</v>
      </c>
      <c r="AI69" s="44">
        <v>42</v>
      </c>
      <c r="AJ69" s="44">
        <v>35</v>
      </c>
    </row>
    <row r="70" spans="1:36" x14ac:dyDescent="0.35">
      <c r="A70" s="44" t="s">
        <v>180</v>
      </c>
      <c r="B70" s="44" t="s">
        <v>48</v>
      </c>
      <c r="C70" s="44">
        <v>11016</v>
      </c>
      <c r="D70" s="37">
        <v>19341</v>
      </c>
      <c r="E70" s="37">
        <v>19629</v>
      </c>
      <c r="F70" s="37">
        <v>19630</v>
      </c>
      <c r="G70" s="44">
        <v>1</v>
      </c>
      <c r="H70" s="44">
        <v>0</v>
      </c>
      <c r="I70" s="44">
        <v>0.05</v>
      </c>
      <c r="J70" s="44">
        <v>0</v>
      </c>
      <c r="K70" s="44">
        <v>0</v>
      </c>
      <c r="L70" s="44">
        <v>0</v>
      </c>
      <c r="M70" s="44">
        <v>1</v>
      </c>
      <c r="N70" s="44">
        <v>0</v>
      </c>
      <c r="O70" s="44">
        <v>0.05</v>
      </c>
      <c r="P70" s="44">
        <v>0</v>
      </c>
      <c r="Q70" s="44">
        <v>0</v>
      </c>
      <c r="R70" s="44">
        <v>0</v>
      </c>
      <c r="S70" s="44">
        <v>1</v>
      </c>
      <c r="T70" s="44">
        <v>0.05</v>
      </c>
      <c r="U70" s="44">
        <v>1</v>
      </c>
      <c r="V70" s="44">
        <v>0.05</v>
      </c>
      <c r="W70" s="44">
        <v>2</v>
      </c>
      <c r="X70" s="44">
        <v>0</v>
      </c>
      <c r="Y70" s="44">
        <v>0.1</v>
      </c>
      <c r="Z70" s="44">
        <v>0</v>
      </c>
      <c r="AA70" s="45">
        <v>4</v>
      </c>
      <c r="AB70" s="45">
        <v>2</v>
      </c>
      <c r="AC70" s="44">
        <v>0.2</v>
      </c>
      <c r="AD70" s="44">
        <v>0.1</v>
      </c>
      <c r="AE70" s="44">
        <v>4</v>
      </c>
      <c r="AF70" s="44">
        <v>2</v>
      </c>
      <c r="AG70" s="44">
        <v>0.2</v>
      </c>
      <c r="AH70" s="44">
        <v>0.1</v>
      </c>
      <c r="AI70" s="44">
        <v>39</v>
      </c>
      <c r="AJ70" s="44">
        <v>35</v>
      </c>
    </row>
    <row r="71" spans="1:36" x14ac:dyDescent="0.35">
      <c r="A71" s="44" t="s">
        <v>90</v>
      </c>
      <c r="B71" s="44" t="s">
        <v>50</v>
      </c>
      <c r="C71" s="44">
        <v>44019</v>
      </c>
      <c r="D71" s="37">
        <v>36087</v>
      </c>
      <c r="E71" s="37">
        <v>36557</v>
      </c>
      <c r="F71" s="37">
        <v>36860</v>
      </c>
      <c r="G71" s="44">
        <v>6</v>
      </c>
      <c r="H71" s="44">
        <v>0</v>
      </c>
      <c r="I71" s="44">
        <v>0.17</v>
      </c>
      <c r="J71" s="44">
        <v>3</v>
      </c>
      <c r="K71" s="44">
        <v>0</v>
      </c>
      <c r="L71" s="44">
        <v>0.08</v>
      </c>
      <c r="M71" s="44">
        <v>3</v>
      </c>
      <c r="N71" s="44">
        <v>2</v>
      </c>
      <c r="O71" s="44">
        <v>0.08</v>
      </c>
      <c r="P71" s="44">
        <v>0.05</v>
      </c>
      <c r="Q71" s="44">
        <v>-3</v>
      </c>
      <c r="R71" s="44">
        <v>-0.08</v>
      </c>
      <c r="S71" s="44">
        <v>0</v>
      </c>
      <c r="T71" s="44">
        <v>0</v>
      </c>
      <c r="U71" s="44">
        <v>1</v>
      </c>
      <c r="V71" s="44">
        <v>0.03</v>
      </c>
      <c r="W71" s="44">
        <v>4</v>
      </c>
      <c r="X71" s="44">
        <v>2</v>
      </c>
      <c r="Y71" s="44">
        <v>0.11</v>
      </c>
      <c r="Z71" s="44">
        <v>0.05</v>
      </c>
      <c r="AA71" s="45">
        <v>5</v>
      </c>
      <c r="AB71" s="45">
        <v>3</v>
      </c>
      <c r="AC71" s="44">
        <v>0.14000000000000001</v>
      </c>
      <c r="AD71" s="44">
        <v>0.08</v>
      </c>
      <c r="AE71" s="44">
        <v>7</v>
      </c>
      <c r="AF71" s="44">
        <v>5</v>
      </c>
      <c r="AG71" s="44">
        <v>0.19</v>
      </c>
      <c r="AH71" s="44">
        <v>0.14000000000000001</v>
      </c>
      <c r="AI71" s="44">
        <v>74</v>
      </c>
      <c r="AJ71" s="44">
        <v>67</v>
      </c>
    </row>
    <row r="72" spans="1:36" x14ac:dyDescent="0.35">
      <c r="A72" s="44" t="s">
        <v>342</v>
      </c>
      <c r="B72" s="44" t="s">
        <v>52</v>
      </c>
      <c r="C72" s="44">
        <v>23023</v>
      </c>
      <c r="D72" s="37">
        <v>8806</v>
      </c>
      <c r="E72" s="37">
        <v>8912</v>
      </c>
      <c r="F72" s="37">
        <v>8931</v>
      </c>
      <c r="G72" s="44">
        <v>0</v>
      </c>
      <c r="H72" s="44">
        <v>0</v>
      </c>
      <c r="I72" s="44">
        <v>0</v>
      </c>
      <c r="J72" s="44">
        <v>0</v>
      </c>
      <c r="K72" s="44">
        <v>0</v>
      </c>
      <c r="L72" s="44">
        <v>0</v>
      </c>
      <c r="M72" s="44">
        <v>0</v>
      </c>
      <c r="N72" s="44">
        <v>0</v>
      </c>
      <c r="O72" s="44">
        <v>0</v>
      </c>
      <c r="P72" s="44">
        <v>0</v>
      </c>
      <c r="Q72" s="44">
        <v>0</v>
      </c>
      <c r="R72" s="44">
        <v>0</v>
      </c>
      <c r="S72" s="44">
        <v>0</v>
      </c>
      <c r="T72" s="44">
        <v>0</v>
      </c>
      <c r="U72" s="44">
        <v>0</v>
      </c>
      <c r="V72" s="44">
        <v>0</v>
      </c>
      <c r="W72" s="44">
        <v>0</v>
      </c>
      <c r="X72" s="44">
        <v>0</v>
      </c>
      <c r="Y72" s="44">
        <v>0</v>
      </c>
      <c r="Z72" s="44">
        <v>0</v>
      </c>
      <c r="AA72" s="45">
        <v>1</v>
      </c>
      <c r="AB72" s="45">
        <v>1</v>
      </c>
      <c r="AC72" s="44">
        <v>0.11</v>
      </c>
      <c r="AD72" s="44">
        <v>0.11</v>
      </c>
      <c r="AE72" s="44">
        <v>1</v>
      </c>
      <c r="AF72" s="44">
        <v>1</v>
      </c>
      <c r="AG72" s="44">
        <v>0.11</v>
      </c>
      <c r="AH72" s="44">
        <v>0.11</v>
      </c>
      <c r="AI72" s="44">
        <v>18</v>
      </c>
      <c r="AJ72" s="44">
        <v>17</v>
      </c>
    </row>
    <row r="73" spans="1:36" x14ac:dyDescent="0.35">
      <c r="A73" s="44" t="s">
        <v>209</v>
      </c>
      <c r="B73" s="44" t="s">
        <v>50</v>
      </c>
      <c r="C73" s="44">
        <v>44020</v>
      </c>
      <c r="D73" s="37">
        <v>13205</v>
      </c>
      <c r="E73" s="37">
        <v>13217</v>
      </c>
      <c r="F73" s="37">
        <v>13311</v>
      </c>
      <c r="G73" s="44">
        <v>0</v>
      </c>
      <c r="H73" s="44">
        <v>0</v>
      </c>
      <c r="I73" s="44">
        <v>0</v>
      </c>
      <c r="J73" s="44">
        <v>0</v>
      </c>
      <c r="K73" s="44">
        <v>0</v>
      </c>
      <c r="L73" s="44">
        <v>0</v>
      </c>
      <c r="M73" s="44">
        <v>0</v>
      </c>
      <c r="N73" s="44">
        <v>0</v>
      </c>
      <c r="O73" s="44">
        <v>0</v>
      </c>
      <c r="P73" s="44">
        <v>0</v>
      </c>
      <c r="Q73" s="44">
        <v>0</v>
      </c>
      <c r="R73" s="44">
        <v>0</v>
      </c>
      <c r="S73" s="44">
        <v>0</v>
      </c>
      <c r="T73" s="44">
        <v>0</v>
      </c>
      <c r="U73" s="44">
        <v>0</v>
      </c>
      <c r="V73" s="44">
        <v>0</v>
      </c>
      <c r="W73" s="44">
        <v>0</v>
      </c>
      <c r="X73" s="44">
        <v>0</v>
      </c>
      <c r="Y73" s="44">
        <v>0</v>
      </c>
      <c r="Z73" s="44">
        <v>0</v>
      </c>
      <c r="AA73" s="45">
        <v>0</v>
      </c>
      <c r="AB73" s="45">
        <v>0</v>
      </c>
      <c r="AC73" s="44">
        <v>0</v>
      </c>
      <c r="AD73" s="44">
        <v>0</v>
      </c>
      <c r="AE73" s="44">
        <v>3</v>
      </c>
      <c r="AF73" s="44">
        <v>2</v>
      </c>
      <c r="AG73" s="44">
        <v>0.23</v>
      </c>
      <c r="AH73" s="44">
        <v>0.15</v>
      </c>
      <c r="AI73" s="44">
        <v>27</v>
      </c>
      <c r="AJ73" s="44">
        <v>24</v>
      </c>
    </row>
    <row r="74" spans="1:36" x14ac:dyDescent="0.35">
      <c r="A74" s="44" t="s">
        <v>91</v>
      </c>
      <c r="B74" s="44" t="s">
        <v>48</v>
      </c>
      <c r="C74" s="44">
        <v>13008</v>
      </c>
      <c r="D74" s="37">
        <v>41146</v>
      </c>
      <c r="E74" s="37">
        <v>41828</v>
      </c>
      <c r="F74" s="37">
        <v>42331</v>
      </c>
      <c r="G74" s="44">
        <v>2</v>
      </c>
      <c r="H74" s="44">
        <v>0</v>
      </c>
      <c r="I74" s="44">
        <v>0.05</v>
      </c>
      <c r="J74" s="44">
        <v>4</v>
      </c>
      <c r="K74" s="44">
        <v>0</v>
      </c>
      <c r="L74" s="44">
        <v>0.1</v>
      </c>
      <c r="M74" s="44">
        <v>7</v>
      </c>
      <c r="N74" s="44">
        <v>3</v>
      </c>
      <c r="O74" s="44">
        <v>0.17</v>
      </c>
      <c r="P74" s="44">
        <v>7.0000000000000007E-2</v>
      </c>
      <c r="Q74" s="44">
        <v>5</v>
      </c>
      <c r="R74" s="44">
        <v>0.12</v>
      </c>
      <c r="S74" s="44">
        <v>3</v>
      </c>
      <c r="T74" s="44">
        <v>7.0000000000000007E-2</v>
      </c>
      <c r="U74" s="44">
        <v>1</v>
      </c>
      <c r="V74" s="44">
        <v>0.02</v>
      </c>
      <c r="W74" s="44">
        <v>8</v>
      </c>
      <c r="X74" s="44">
        <v>3</v>
      </c>
      <c r="Y74" s="44">
        <v>0.19</v>
      </c>
      <c r="Z74" s="44">
        <v>7.0000000000000007E-2</v>
      </c>
      <c r="AA74" s="45">
        <v>9</v>
      </c>
      <c r="AB74" s="45">
        <v>3</v>
      </c>
      <c r="AC74" s="44">
        <v>0.21</v>
      </c>
      <c r="AD74" s="44">
        <v>7.0000000000000007E-2</v>
      </c>
      <c r="AE74" s="44">
        <v>9</v>
      </c>
      <c r="AF74" s="44">
        <v>4</v>
      </c>
      <c r="AG74" s="44">
        <v>0.21</v>
      </c>
      <c r="AH74" s="44">
        <v>0.09</v>
      </c>
      <c r="AI74" s="44">
        <v>85</v>
      </c>
      <c r="AJ74" s="44">
        <v>76</v>
      </c>
    </row>
    <row r="75" spans="1:36" x14ac:dyDescent="0.35">
      <c r="A75" s="44" t="s">
        <v>245</v>
      </c>
      <c r="B75" s="44" t="s">
        <v>52</v>
      </c>
      <c r="C75" s="44">
        <v>24028</v>
      </c>
      <c r="D75" s="37">
        <v>6201</v>
      </c>
      <c r="E75" s="37">
        <v>6263</v>
      </c>
      <c r="F75" s="37">
        <v>6261</v>
      </c>
      <c r="G75" s="44">
        <v>0</v>
      </c>
      <c r="H75" s="44">
        <v>0</v>
      </c>
      <c r="I75" s="44">
        <v>0</v>
      </c>
      <c r="J75" s="44">
        <v>0</v>
      </c>
      <c r="K75" s="44">
        <v>0</v>
      </c>
      <c r="L75" s="44">
        <v>0</v>
      </c>
      <c r="M75" s="44">
        <v>0</v>
      </c>
      <c r="N75" s="44">
        <v>0</v>
      </c>
      <c r="O75" s="44">
        <v>0</v>
      </c>
      <c r="P75" s="44">
        <v>0</v>
      </c>
      <c r="Q75" s="44">
        <v>0</v>
      </c>
      <c r="R75" s="44">
        <v>0</v>
      </c>
      <c r="S75" s="44">
        <v>0</v>
      </c>
      <c r="T75" s="44">
        <v>0</v>
      </c>
      <c r="U75" s="44">
        <v>0</v>
      </c>
      <c r="V75" s="44">
        <v>0</v>
      </c>
      <c r="W75" s="44">
        <v>0</v>
      </c>
      <c r="X75" s="44">
        <v>0</v>
      </c>
      <c r="Y75" s="44">
        <v>0</v>
      </c>
      <c r="Z75" s="44">
        <v>0</v>
      </c>
      <c r="AA75" s="45">
        <v>0</v>
      </c>
      <c r="AB75" s="45">
        <v>0</v>
      </c>
      <c r="AC75" s="44">
        <v>0</v>
      </c>
      <c r="AD75" s="44">
        <v>0</v>
      </c>
      <c r="AE75" s="44">
        <v>1</v>
      </c>
      <c r="AF75" s="44">
        <v>0</v>
      </c>
      <c r="AG75" s="44">
        <v>0.16</v>
      </c>
      <c r="AH75" s="44">
        <v>0</v>
      </c>
      <c r="AI75" s="44">
        <v>13</v>
      </c>
      <c r="AJ75" s="44">
        <v>12</v>
      </c>
    </row>
    <row r="76" spans="1:36" x14ac:dyDescent="0.35">
      <c r="A76" s="44" t="s">
        <v>95</v>
      </c>
      <c r="B76" s="44" t="s">
        <v>59</v>
      </c>
      <c r="C76" s="44">
        <v>71016</v>
      </c>
      <c r="D76" s="37">
        <v>67009</v>
      </c>
      <c r="E76" s="37">
        <v>67573</v>
      </c>
      <c r="F76" s="37">
        <v>67877</v>
      </c>
      <c r="G76" s="44">
        <v>5</v>
      </c>
      <c r="H76" s="44">
        <v>0</v>
      </c>
      <c r="I76" s="44">
        <v>7.0000000000000007E-2</v>
      </c>
      <c r="J76" s="44">
        <v>5</v>
      </c>
      <c r="K76" s="44">
        <v>0</v>
      </c>
      <c r="L76" s="44">
        <v>7.0000000000000007E-2</v>
      </c>
      <c r="M76" s="44">
        <v>9</v>
      </c>
      <c r="N76" s="44">
        <v>0</v>
      </c>
      <c r="O76" s="44">
        <v>0.13</v>
      </c>
      <c r="P76" s="44">
        <v>0</v>
      </c>
      <c r="Q76" s="44">
        <v>4</v>
      </c>
      <c r="R76" s="44">
        <v>0.06</v>
      </c>
      <c r="S76" s="44">
        <v>4</v>
      </c>
      <c r="T76" s="44">
        <v>0.06</v>
      </c>
      <c r="U76" s="44">
        <v>2</v>
      </c>
      <c r="V76" s="44">
        <v>0.03</v>
      </c>
      <c r="W76" s="44">
        <v>9</v>
      </c>
      <c r="X76" s="44">
        <v>1</v>
      </c>
      <c r="Y76" s="44">
        <v>0.13</v>
      </c>
      <c r="Z76" s="44">
        <v>0.01</v>
      </c>
      <c r="AA76" s="45">
        <v>9</v>
      </c>
      <c r="AB76" s="45">
        <v>1</v>
      </c>
      <c r="AC76" s="44">
        <v>0.13</v>
      </c>
      <c r="AD76" s="44">
        <v>0.01</v>
      </c>
      <c r="AE76" s="44">
        <v>8</v>
      </c>
      <c r="AF76" s="44">
        <v>1</v>
      </c>
      <c r="AG76" s="44">
        <v>0.12</v>
      </c>
      <c r="AH76" s="44">
        <v>0.01</v>
      </c>
      <c r="AI76" s="44">
        <v>136</v>
      </c>
      <c r="AJ76" s="44">
        <v>128</v>
      </c>
    </row>
    <row r="77" spans="1:36" x14ac:dyDescent="0.35">
      <c r="A77" s="44" t="s">
        <v>49</v>
      </c>
      <c r="B77" s="44" t="s">
        <v>50</v>
      </c>
      <c r="C77" s="44">
        <v>44021</v>
      </c>
      <c r="D77" s="37">
        <v>265086</v>
      </c>
      <c r="E77" s="37">
        <v>268122</v>
      </c>
      <c r="F77" s="37">
        <v>269597</v>
      </c>
      <c r="G77" s="44">
        <v>734</v>
      </c>
      <c r="H77" s="44">
        <v>144</v>
      </c>
      <c r="I77" s="44">
        <v>2.77</v>
      </c>
      <c r="J77" s="44">
        <v>884</v>
      </c>
      <c r="K77" s="44">
        <v>128</v>
      </c>
      <c r="L77" s="44">
        <v>3.33</v>
      </c>
      <c r="M77" s="44">
        <v>1066</v>
      </c>
      <c r="N77" s="44">
        <v>240</v>
      </c>
      <c r="O77" s="44">
        <v>3.98</v>
      </c>
      <c r="P77" s="44">
        <v>0.9</v>
      </c>
      <c r="Q77" s="44">
        <v>332</v>
      </c>
      <c r="R77" s="44">
        <v>1.21</v>
      </c>
      <c r="S77" s="44">
        <v>182</v>
      </c>
      <c r="T77" s="44">
        <v>0.64</v>
      </c>
      <c r="U77" s="44">
        <v>360</v>
      </c>
      <c r="V77" s="44">
        <v>1.34</v>
      </c>
      <c r="W77" s="44">
        <v>890</v>
      </c>
      <c r="X77" s="44">
        <v>202</v>
      </c>
      <c r="Y77" s="44">
        <v>3.32</v>
      </c>
      <c r="Z77" s="44">
        <v>0.75</v>
      </c>
      <c r="AA77" s="45">
        <v>1027</v>
      </c>
      <c r="AB77" s="45">
        <v>249</v>
      </c>
      <c r="AC77" s="44">
        <v>3.81</v>
      </c>
      <c r="AD77" s="44">
        <v>0.92</v>
      </c>
      <c r="AE77" s="44">
        <v>1103</v>
      </c>
      <c r="AF77" s="44">
        <v>325</v>
      </c>
      <c r="AG77" s="44">
        <v>4.09</v>
      </c>
      <c r="AH77" s="44">
        <v>1.21</v>
      </c>
      <c r="AI77" s="44">
        <v>539</v>
      </c>
      <c r="AJ77" s="44">
        <v>-564</v>
      </c>
    </row>
    <row r="78" spans="1:36" x14ac:dyDescent="0.35">
      <c r="A78" s="44" t="s">
        <v>144</v>
      </c>
      <c r="B78" s="44" t="s">
        <v>50</v>
      </c>
      <c r="C78" s="44">
        <v>41018</v>
      </c>
      <c r="D78" s="37">
        <v>34328</v>
      </c>
      <c r="E78" s="37">
        <v>34724</v>
      </c>
      <c r="F78" s="37">
        <v>34999</v>
      </c>
      <c r="G78" s="44">
        <v>2</v>
      </c>
      <c r="H78" s="44">
        <v>0</v>
      </c>
      <c r="I78" s="44">
        <v>0.06</v>
      </c>
      <c r="J78" s="44">
        <v>2</v>
      </c>
      <c r="K78" s="44">
        <v>0</v>
      </c>
      <c r="L78" s="44">
        <v>0.06</v>
      </c>
      <c r="M78" s="44">
        <v>5</v>
      </c>
      <c r="N78" s="44">
        <v>4</v>
      </c>
      <c r="O78" s="44">
        <v>0.14000000000000001</v>
      </c>
      <c r="P78" s="44">
        <v>0.12</v>
      </c>
      <c r="Q78" s="44">
        <v>3</v>
      </c>
      <c r="R78" s="44">
        <v>0.09</v>
      </c>
      <c r="S78" s="44">
        <v>3</v>
      </c>
      <c r="T78" s="44">
        <v>0.09</v>
      </c>
      <c r="U78" s="44">
        <v>1</v>
      </c>
      <c r="V78" s="44">
        <v>0.03</v>
      </c>
      <c r="W78" s="44">
        <v>4</v>
      </c>
      <c r="X78" s="44">
        <v>4</v>
      </c>
      <c r="Y78" s="44">
        <v>0.12</v>
      </c>
      <c r="Z78" s="44">
        <v>0.12</v>
      </c>
      <c r="AA78" s="45">
        <v>5</v>
      </c>
      <c r="AB78" s="45">
        <v>5</v>
      </c>
      <c r="AC78" s="44">
        <v>0.14000000000000001</v>
      </c>
      <c r="AD78" s="44">
        <v>0.14000000000000001</v>
      </c>
      <c r="AE78" s="44">
        <v>5</v>
      </c>
      <c r="AF78" s="44">
        <v>5</v>
      </c>
      <c r="AG78" s="44">
        <v>0.14000000000000001</v>
      </c>
      <c r="AH78" s="44">
        <v>0.14000000000000001</v>
      </c>
      <c r="AI78" s="44">
        <v>70</v>
      </c>
      <c r="AJ78" s="44">
        <v>65</v>
      </c>
    </row>
    <row r="79" spans="1:36" x14ac:dyDescent="0.35">
      <c r="A79" s="44" t="s">
        <v>323</v>
      </c>
      <c r="B79" s="44" t="s">
        <v>59</v>
      </c>
      <c r="C79" s="44">
        <v>71017</v>
      </c>
      <c r="D79" s="37">
        <v>8483</v>
      </c>
      <c r="E79" s="37">
        <v>8670</v>
      </c>
      <c r="F79" s="37">
        <v>8732</v>
      </c>
      <c r="G79" s="44">
        <v>0</v>
      </c>
      <c r="H79" s="44">
        <v>0</v>
      </c>
      <c r="I79" s="44">
        <v>0</v>
      </c>
      <c r="J79" s="44">
        <v>0</v>
      </c>
      <c r="K79" s="44">
        <v>0</v>
      </c>
      <c r="L79" s="44">
        <v>0</v>
      </c>
      <c r="M79" s="44">
        <v>0</v>
      </c>
      <c r="N79" s="44">
        <v>0</v>
      </c>
      <c r="O79" s="44">
        <v>0</v>
      </c>
      <c r="P79" s="44">
        <v>0</v>
      </c>
      <c r="Q79" s="44">
        <v>0</v>
      </c>
      <c r="R79" s="44">
        <v>0</v>
      </c>
      <c r="S79" s="44">
        <v>0</v>
      </c>
      <c r="T79" s="44">
        <v>0</v>
      </c>
      <c r="U79" s="44">
        <v>0</v>
      </c>
      <c r="V79" s="44">
        <v>0</v>
      </c>
      <c r="W79" s="44">
        <v>0</v>
      </c>
      <c r="X79" s="44">
        <v>0</v>
      </c>
      <c r="Y79" s="44">
        <v>0</v>
      </c>
      <c r="Z79" s="44">
        <v>0</v>
      </c>
      <c r="AA79" s="45">
        <v>0</v>
      </c>
      <c r="AB79" s="45">
        <v>0</v>
      </c>
      <c r="AC79" s="44">
        <v>0</v>
      </c>
      <c r="AD79" s="44">
        <v>0</v>
      </c>
      <c r="AE79" s="44">
        <v>0</v>
      </c>
      <c r="AF79" s="44">
        <v>0</v>
      </c>
      <c r="AG79" s="44">
        <v>0</v>
      </c>
      <c r="AH79" s="44">
        <v>0</v>
      </c>
      <c r="AI79" s="44">
        <v>17</v>
      </c>
      <c r="AJ79" s="44">
        <v>17</v>
      </c>
    </row>
    <row r="80" spans="1:36" x14ac:dyDescent="0.35">
      <c r="A80" s="44" t="s">
        <v>206</v>
      </c>
      <c r="B80" s="44" t="s">
        <v>55</v>
      </c>
      <c r="C80" s="44">
        <v>35005</v>
      </c>
      <c r="D80" s="37">
        <v>12106</v>
      </c>
      <c r="E80" s="37">
        <v>12265</v>
      </c>
      <c r="F80" s="37">
        <v>12244</v>
      </c>
      <c r="G80" s="44">
        <v>0</v>
      </c>
      <c r="H80" s="44">
        <v>0</v>
      </c>
      <c r="I80" s="44">
        <v>0</v>
      </c>
      <c r="J80" s="44">
        <v>0</v>
      </c>
      <c r="K80" s="44">
        <v>0</v>
      </c>
      <c r="L80" s="44">
        <v>0</v>
      </c>
      <c r="M80" s="44">
        <v>0</v>
      </c>
      <c r="N80" s="44">
        <v>0</v>
      </c>
      <c r="O80" s="44">
        <v>0</v>
      </c>
      <c r="P80" s="44">
        <v>0</v>
      </c>
      <c r="Q80" s="44">
        <v>0</v>
      </c>
      <c r="R80" s="44">
        <v>0</v>
      </c>
      <c r="S80" s="44">
        <v>0</v>
      </c>
      <c r="T80" s="44">
        <v>0</v>
      </c>
      <c r="U80" s="44">
        <v>0</v>
      </c>
      <c r="V80" s="44">
        <v>0</v>
      </c>
      <c r="W80" s="44">
        <v>1</v>
      </c>
      <c r="X80" s="44">
        <v>0</v>
      </c>
      <c r="Y80" s="44">
        <v>0.08</v>
      </c>
      <c r="Z80" s="44">
        <v>0</v>
      </c>
      <c r="AA80" s="45">
        <v>1</v>
      </c>
      <c r="AB80" s="45">
        <v>0</v>
      </c>
      <c r="AC80" s="44">
        <v>0.08</v>
      </c>
      <c r="AD80" s="44">
        <v>0</v>
      </c>
      <c r="AE80" s="44">
        <v>2</v>
      </c>
      <c r="AF80" s="44">
        <v>1</v>
      </c>
      <c r="AG80" s="44">
        <v>0.16</v>
      </c>
      <c r="AH80" s="44">
        <v>0.08</v>
      </c>
      <c r="AI80" s="44">
        <v>24</v>
      </c>
      <c r="AJ80" s="44">
        <v>22</v>
      </c>
    </row>
    <row r="81" spans="1:36" x14ac:dyDescent="0.35">
      <c r="A81" s="44" t="s">
        <v>243</v>
      </c>
      <c r="B81" s="44" t="s">
        <v>52</v>
      </c>
      <c r="C81" s="44">
        <v>24137</v>
      </c>
      <c r="D81" s="37">
        <v>5344</v>
      </c>
      <c r="E81" s="37">
        <v>5426</v>
      </c>
      <c r="F81" s="37">
        <v>5425</v>
      </c>
      <c r="G81" s="44">
        <v>2</v>
      </c>
      <c r="H81" s="44">
        <v>0</v>
      </c>
      <c r="I81" s="44">
        <v>0.37</v>
      </c>
      <c r="J81" s="44">
        <v>2</v>
      </c>
      <c r="K81" s="44">
        <v>0</v>
      </c>
      <c r="L81" s="44">
        <v>0.37</v>
      </c>
      <c r="M81" s="44">
        <v>2</v>
      </c>
      <c r="N81" s="44">
        <v>0</v>
      </c>
      <c r="O81" s="44">
        <v>0.37</v>
      </c>
      <c r="P81" s="44">
        <v>0</v>
      </c>
      <c r="Q81" s="44">
        <v>0</v>
      </c>
      <c r="R81" s="44">
        <v>-0.01</v>
      </c>
      <c r="S81" s="44">
        <v>0</v>
      </c>
      <c r="T81" s="44">
        <v>-0.01</v>
      </c>
      <c r="U81" s="44">
        <v>0</v>
      </c>
      <c r="V81" s="44">
        <v>0</v>
      </c>
      <c r="W81" s="44">
        <v>1</v>
      </c>
      <c r="X81" s="44">
        <v>0</v>
      </c>
      <c r="Y81" s="44">
        <v>0.18</v>
      </c>
      <c r="Z81" s="44">
        <v>0</v>
      </c>
      <c r="AA81" s="45">
        <v>1</v>
      </c>
      <c r="AB81" s="45">
        <v>0</v>
      </c>
      <c r="AC81" s="44">
        <v>0.18</v>
      </c>
      <c r="AD81" s="44">
        <v>0</v>
      </c>
      <c r="AE81" s="44">
        <v>2</v>
      </c>
      <c r="AF81" s="44">
        <v>0</v>
      </c>
      <c r="AG81" s="44">
        <v>0.37</v>
      </c>
      <c r="AH81" s="44">
        <v>0</v>
      </c>
      <c r="AI81" s="44">
        <v>11</v>
      </c>
      <c r="AJ81" s="44">
        <v>9</v>
      </c>
    </row>
    <row r="82" spans="1:36" x14ac:dyDescent="0.35">
      <c r="A82" s="44" t="s">
        <v>343</v>
      </c>
      <c r="B82" s="44" t="s">
        <v>52</v>
      </c>
      <c r="C82" s="44">
        <v>23024</v>
      </c>
      <c r="D82" s="37">
        <v>9392</v>
      </c>
      <c r="E82" s="37">
        <v>9428</v>
      </c>
      <c r="F82" s="37">
        <v>9527</v>
      </c>
      <c r="G82" s="44">
        <v>0</v>
      </c>
      <c r="H82" s="44">
        <v>0</v>
      </c>
      <c r="I82" s="44">
        <v>0</v>
      </c>
      <c r="J82" s="44">
        <v>0</v>
      </c>
      <c r="K82" s="44">
        <v>0</v>
      </c>
      <c r="L82" s="44">
        <v>0</v>
      </c>
      <c r="M82" s="44">
        <v>0</v>
      </c>
      <c r="N82" s="44">
        <v>0</v>
      </c>
      <c r="O82" s="44">
        <v>0</v>
      </c>
      <c r="P82" s="44">
        <v>0</v>
      </c>
      <c r="Q82" s="44">
        <v>0</v>
      </c>
      <c r="R82" s="44">
        <v>0</v>
      </c>
      <c r="S82" s="44">
        <v>0</v>
      </c>
      <c r="T82" s="44">
        <v>0</v>
      </c>
      <c r="U82" s="44">
        <v>0</v>
      </c>
      <c r="V82" s="44">
        <v>0</v>
      </c>
      <c r="W82" s="44">
        <v>0</v>
      </c>
      <c r="X82" s="44">
        <v>0</v>
      </c>
      <c r="Y82" s="44">
        <v>0</v>
      </c>
      <c r="Z82" s="44">
        <v>0</v>
      </c>
      <c r="AA82" s="45">
        <v>0</v>
      </c>
      <c r="AB82" s="45">
        <v>0</v>
      </c>
      <c r="AC82" s="44">
        <v>0</v>
      </c>
      <c r="AD82" s="44">
        <v>0</v>
      </c>
      <c r="AE82" s="44">
        <v>0</v>
      </c>
      <c r="AF82" s="44">
        <v>0</v>
      </c>
      <c r="AG82" s="44">
        <v>0</v>
      </c>
      <c r="AH82" s="44">
        <v>0</v>
      </c>
      <c r="AI82" s="44">
        <v>19</v>
      </c>
      <c r="AJ82" s="44">
        <v>19</v>
      </c>
    </row>
    <row r="83" spans="1:36" x14ac:dyDescent="0.35">
      <c r="A83" s="44" t="s">
        <v>107</v>
      </c>
      <c r="B83" s="44" t="s">
        <v>52</v>
      </c>
      <c r="C83" s="44">
        <v>23025</v>
      </c>
      <c r="D83" s="37">
        <v>38539</v>
      </c>
      <c r="E83" s="37">
        <v>39368</v>
      </c>
      <c r="F83" s="37">
        <v>39860</v>
      </c>
      <c r="G83" s="44">
        <v>6</v>
      </c>
      <c r="H83" s="44">
        <v>0</v>
      </c>
      <c r="I83" s="44">
        <v>0.16</v>
      </c>
      <c r="J83" s="44">
        <v>6</v>
      </c>
      <c r="K83" s="44">
        <v>0</v>
      </c>
      <c r="L83" s="44">
        <v>0.16</v>
      </c>
      <c r="M83" s="44">
        <v>6</v>
      </c>
      <c r="N83" s="44">
        <v>2</v>
      </c>
      <c r="O83" s="44">
        <v>0.15</v>
      </c>
      <c r="P83" s="44">
        <v>0.05</v>
      </c>
      <c r="Q83" s="44">
        <v>0</v>
      </c>
      <c r="R83" s="44">
        <v>0</v>
      </c>
      <c r="S83" s="44">
        <v>0</v>
      </c>
      <c r="T83" s="44">
        <v>0</v>
      </c>
      <c r="U83" s="44">
        <v>4</v>
      </c>
      <c r="V83" s="44">
        <v>0.1</v>
      </c>
      <c r="W83" s="44">
        <v>7</v>
      </c>
      <c r="X83" s="44">
        <v>4</v>
      </c>
      <c r="Y83" s="44">
        <v>0.18</v>
      </c>
      <c r="Z83" s="44">
        <v>0.1</v>
      </c>
      <c r="AA83" s="45">
        <v>8</v>
      </c>
      <c r="AB83" s="45">
        <v>4</v>
      </c>
      <c r="AC83" s="44">
        <v>0.2</v>
      </c>
      <c r="AD83" s="44">
        <v>0.1</v>
      </c>
      <c r="AE83" s="44">
        <v>10</v>
      </c>
      <c r="AF83" s="44">
        <v>4</v>
      </c>
      <c r="AG83" s="44">
        <v>0.25</v>
      </c>
      <c r="AH83" s="44">
        <v>0.1</v>
      </c>
      <c r="AI83" s="44">
        <v>80</v>
      </c>
      <c r="AJ83" s="44">
        <v>70</v>
      </c>
    </row>
    <row r="84" spans="1:36" x14ac:dyDescent="0.35">
      <c r="A84" s="44" t="s">
        <v>303</v>
      </c>
      <c r="B84" s="44" t="s">
        <v>48</v>
      </c>
      <c r="C84" s="44">
        <v>13010</v>
      </c>
      <c r="D84" s="37">
        <v>11442</v>
      </c>
      <c r="E84" s="37">
        <v>11519</v>
      </c>
      <c r="F84" s="37">
        <v>11607</v>
      </c>
      <c r="G84" s="44">
        <v>1</v>
      </c>
      <c r="H84" s="44">
        <v>0</v>
      </c>
      <c r="I84" s="44">
        <v>0.09</v>
      </c>
      <c r="J84" s="44">
        <v>0</v>
      </c>
      <c r="K84" s="44">
        <v>0</v>
      </c>
      <c r="L84" s="44">
        <v>0</v>
      </c>
      <c r="M84" s="44">
        <v>0</v>
      </c>
      <c r="N84" s="44">
        <v>0</v>
      </c>
      <c r="O84" s="44">
        <v>0</v>
      </c>
      <c r="P84" s="44">
        <v>0</v>
      </c>
      <c r="Q84" s="44">
        <v>-1</v>
      </c>
      <c r="R84" s="44">
        <v>-0.09</v>
      </c>
      <c r="S84" s="44">
        <v>0</v>
      </c>
      <c r="T84" s="44">
        <v>0</v>
      </c>
      <c r="U84" s="44">
        <v>0</v>
      </c>
      <c r="V84" s="44">
        <v>0</v>
      </c>
      <c r="W84" s="44">
        <v>2</v>
      </c>
      <c r="X84" s="44">
        <v>0</v>
      </c>
      <c r="Y84" s="44">
        <v>0.17</v>
      </c>
      <c r="Z84" s="44">
        <v>0</v>
      </c>
      <c r="AA84" s="45">
        <v>2</v>
      </c>
      <c r="AB84" s="45">
        <v>0</v>
      </c>
      <c r="AC84" s="44">
        <v>0.17</v>
      </c>
      <c r="AD84" s="44">
        <v>0</v>
      </c>
      <c r="AE84" s="44">
        <v>1</v>
      </c>
      <c r="AF84" s="44">
        <v>0</v>
      </c>
      <c r="AG84" s="44">
        <v>0.09</v>
      </c>
      <c r="AH84" s="44">
        <v>0</v>
      </c>
      <c r="AI84" s="44">
        <v>23</v>
      </c>
      <c r="AJ84" s="44">
        <v>22</v>
      </c>
    </row>
    <row r="85" spans="1:36" x14ac:dyDescent="0.35">
      <c r="A85" s="44" t="s">
        <v>92</v>
      </c>
      <c r="B85" s="44" t="s">
        <v>52</v>
      </c>
      <c r="C85" s="44">
        <v>24033</v>
      </c>
      <c r="D85" s="37">
        <v>15264</v>
      </c>
      <c r="E85" s="37">
        <v>15425</v>
      </c>
      <c r="F85" s="37">
        <v>15516</v>
      </c>
      <c r="G85" s="44">
        <v>5</v>
      </c>
      <c r="H85" s="44">
        <v>0</v>
      </c>
      <c r="I85" s="44">
        <v>0.33</v>
      </c>
      <c r="J85" s="44">
        <v>4</v>
      </c>
      <c r="K85" s="44">
        <v>0</v>
      </c>
      <c r="L85" s="44">
        <v>0.26</v>
      </c>
      <c r="M85" s="44">
        <v>4</v>
      </c>
      <c r="N85" s="44">
        <v>1</v>
      </c>
      <c r="O85" s="44">
        <v>0.26</v>
      </c>
      <c r="P85" s="44">
        <v>0.06</v>
      </c>
      <c r="Q85" s="44">
        <v>-1</v>
      </c>
      <c r="R85" s="44">
        <v>-7.0000000000000007E-2</v>
      </c>
      <c r="S85" s="44">
        <v>0</v>
      </c>
      <c r="T85" s="44">
        <v>0</v>
      </c>
      <c r="U85" s="44">
        <v>2</v>
      </c>
      <c r="V85" s="44">
        <v>0.13</v>
      </c>
      <c r="W85" s="44">
        <v>4</v>
      </c>
      <c r="X85" s="44">
        <v>2</v>
      </c>
      <c r="Y85" s="44">
        <v>0.26</v>
      </c>
      <c r="Z85" s="44">
        <v>0.13</v>
      </c>
      <c r="AA85" s="45">
        <v>6</v>
      </c>
      <c r="AB85" s="45">
        <v>4</v>
      </c>
      <c r="AC85" s="44">
        <v>0.39</v>
      </c>
      <c r="AD85" s="44">
        <v>0.26</v>
      </c>
      <c r="AE85" s="44">
        <v>11</v>
      </c>
      <c r="AF85" s="44">
        <v>5</v>
      </c>
      <c r="AG85" s="44">
        <v>0.71</v>
      </c>
      <c r="AH85" s="44">
        <v>0.32</v>
      </c>
      <c r="AI85" s="44">
        <v>31</v>
      </c>
      <c r="AJ85" s="44">
        <v>20</v>
      </c>
    </row>
    <row r="86" spans="1:36" x14ac:dyDescent="0.35">
      <c r="A86" s="44" t="s">
        <v>223</v>
      </c>
      <c r="B86" s="44" t="s">
        <v>50</v>
      </c>
      <c r="C86" s="44">
        <v>41024</v>
      </c>
      <c r="D86" s="37">
        <v>18960</v>
      </c>
      <c r="E86" s="37">
        <v>19281</v>
      </c>
      <c r="F86" s="37">
        <v>19402</v>
      </c>
      <c r="G86" s="44">
        <v>1</v>
      </c>
      <c r="H86" s="44">
        <v>0</v>
      </c>
      <c r="I86" s="44">
        <v>0.05</v>
      </c>
      <c r="J86" s="44">
        <v>1</v>
      </c>
      <c r="K86" s="44">
        <v>0</v>
      </c>
      <c r="L86" s="44">
        <v>0.05</v>
      </c>
      <c r="M86" s="44">
        <v>2</v>
      </c>
      <c r="N86" s="44">
        <v>1</v>
      </c>
      <c r="O86" s="44">
        <v>0.1</v>
      </c>
      <c r="P86" s="44">
        <v>0.05</v>
      </c>
      <c r="Q86" s="44">
        <v>1</v>
      </c>
      <c r="R86" s="44">
        <v>0.05</v>
      </c>
      <c r="S86" s="44">
        <v>1</v>
      </c>
      <c r="T86" s="44">
        <v>0.05</v>
      </c>
      <c r="U86" s="44">
        <v>1</v>
      </c>
      <c r="V86" s="44">
        <v>0.05</v>
      </c>
      <c r="W86" s="44">
        <v>2</v>
      </c>
      <c r="X86" s="44">
        <v>1</v>
      </c>
      <c r="Y86" s="44">
        <v>0.1</v>
      </c>
      <c r="Z86" s="44">
        <v>0.05</v>
      </c>
      <c r="AA86" s="45">
        <v>2</v>
      </c>
      <c r="AB86" s="45">
        <v>1</v>
      </c>
      <c r="AC86" s="44">
        <v>0.1</v>
      </c>
      <c r="AD86" s="44">
        <v>0.05</v>
      </c>
      <c r="AE86" s="44">
        <v>3</v>
      </c>
      <c r="AF86" s="44">
        <v>3</v>
      </c>
      <c r="AG86" s="44">
        <v>0.15</v>
      </c>
      <c r="AH86" s="44">
        <v>0.15</v>
      </c>
      <c r="AI86" s="44">
        <v>39</v>
      </c>
      <c r="AJ86" s="44">
        <v>36</v>
      </c>
    </row>
    <row r="87" spans="1:36" x14ac:dyDescent="0.35">
      <c r="A87" s="44" t="s">
        <v>324</v>
      </c>
      <c r="B87" s="44" t="s">
        <v>59</v>
      </c>
      <c r="C87" s="44">
        <v>71020</v>
      </c>
      <c r="D87" s="37">
        <v>9475</v>
      </c>
      <c r="E87" s="37">
        <v>9557</v>
      </c>
      <c r="F87" s="37">
        <v>9545</v>
      </c>
      <c r="G87" s="44">
        <v>0</v>
      </c>
      <c r="H87" s="44">
        <v>0</v>
      </c>
      <c r="I87" s="44">
        <v>0</v>
      </c>
      <c r="J87" s="44">
        <v>0</v>
      </c>
      <c r="K87" s="44">
        <v>0</v>
      </c>
      <c r="L87" s="44">
        <v>0</v>
      </c>
      <c r="M87" s="44">
        <v>0</v>
      </c>
      <c r="N87" s="44">
        <v>0</v>
      </c>
      <c r="O87" s="44">
        <v>0</v>
      </c>
      <c r="P87" s="44">
        <v>0</v>
      </c>
      <c r="Q87" s="44">
        <v>0</v>
      </c>
      <c r="R87" s="44">
        <v>0</v>
      </c>
      <c r="S87" s="44">
        <v>0</v>
      </c>
      <c r="T87" s="44">
        <v>0</v>
      </c>
      <c r="U87" s="44">
        <v>0</v>
      </c>
      <c r="V87" s="44">
        <v>0</v>
      </c>
      <c r="W87" s="44">
        <v>0</v>
      </c>
      <c r="X87" s="44">
        <v>0</v>
      </c>
      <c r="Y87" s="44">
        <v>0</v>
      </c>
      <c r="Z87" s="44">
        <v>0</v>
      </c>
      <c r="AA87" s="45">
        <v>0</v>
      </c>
      <c r="AB87" s="45">
        <v>0</v>
      </c>
      <c r="AC87" s="44">
        <v>0</v>
      </c>
      <c r="AD87" s="44">
        <v>0</v>
      </c>
      <c r="AE87" s="44">
        <v>0</v>
      </c>
      <c r="AF87" s="44">
        <v>0</v>
      </c>
      <c r="AG87" s="44">
        <v>0</v>
      </c>
      <c r="AH87" s="44">
        <v>0</v>
      </c>
      <c r="AI87" s="44">
        <v>19</v>
      </c>
      <c r="AJ87" s="44">
        <v>19</v>
      </c>
    </row>
    <row r="88" spans="1:36" x14ac:dyDescent="0.35">
      <c r="A88" s="44" t="s">
        <v>70</v>
      </c>
      <c r="B88" s="44" t="s">
        <v>52</v>
      </c>
      <c r="C88" s="44">
        <v>23027</v>
      </c>
      <c r="D88" s="37">
        <v>41284</v>
      </c>
      <c r="E88" s="37">
        <v>42047</v>
      </c>
      <c r="F88" s="37">
        <v>42595</v>
      </c>
      <c r="G88" s="44">
        <v>18</v>
      </c>
      <c r="H88" s="44">
        <v>1</v>
      </c>
      <c r="I88" s="44">
        <v>0.44</v>
      </c>
      <c r="J88" s="44">
        <v>13</v>
      </c>
      <c r="K88" s="44">
        <v>1</v>
      </c>
      <c r="L88" s="44">
        <v>0.31</v>
      </c>
      <c r="M88" s="44">
        <v>15</v>
      </c>
      <c r="N88" s="44">
        <v>5</v>
      </c>
      <c r="O88" s="44">
        <v>0.36</v>
      </c>
      <c r="P88" s="44">
        <v>0.12</v>
      </c>
      <c r="Q88" s="44">
        <v>-3</v>
      </c>
      <c r="R88" s="44">
        <v>-0.08</v>
      </c>
      <c r="S88" s="44">
        <v>2</v>
      </c>
      <c r="T88" s="44">
        <v>0.04</v>
      </c>
      <c r="U88" s="44">
        <v>9</v>
      </c>
      <c r="V88" s="44">
        <v>0.21</v>
      </c>
      <c r="W88" s="44">
        <v>17</v>
      </c>
      <c r="X88" s="44">
        <v>4</v>
      </c>
      <c r="Y88" s="44">
        <v>0.4</v>
      </c>
      <c r="Z88" s="44">
        <v>0.1</v>
      </c>
      <c r="AA88" s="45">
        <v>18</v>
      </c>
      <c r="AB88" s="45">
        <v>4</v>
      </c>
      <c r="AC88" s="44">
        <v>0.42</v>
      </c>
      <c r="AD88" s="44">
        <v>0.09</v>
      </c>
      <c r="AE88" s="44">
        <v>21</v>
      </c>
      <c r="AF88" s="44">
        <v>3</v>
      </c>
      <c r="AG88" s="44">
        <v>0.49</v>
      </c>
      <c r="AH88" s="44">
        <v>7.0000000000000007E-2</v>
      </c>
      <c r="AI88" s="44">
        <v>85</v>
      </c>
      <c r="AJ88" s="44">
        <v>64</v>
      </c>
    </row>
    <row r="89" spans="1:36" x14ac:dyDescent="0.35">
      <c r="A89" s="44" t="s">
        <v>344</v>
      </c>
      <c r="B89" s="44" t="s">
        <v>59</v>
      </c>
      <c r="C89" s="44">
        <v>71069</v>
      </c>
      <c r="D89" s="37">
        <v>11163</v>
      </c>
      <c r="E89" s="37">
        <v>11337</v>
      </c>
      <c r="F89" s="37">
        <v>11338</v>
      </c>
      <c r="G89" s="44">
        <v>0</v>
      </c>
      <c r="H89" s="44">
        <v>0</v>
      </c>
      <c r="I89" s="44">
        <v>0</v>
      </c>
      <c r="J89" s="44">
        <v>0</v>
      </c>
      <c r="K89" s="44">
        <v>0</v>
      </c>
      <c r="L89" s="44">
        <v>0</v>
      </c>
      <c r="M89" s="44">
        <v>0</v>
      </c>
      <c r="N89" s="44">
        <v>0</v>
      </c>
      <c r="O89" s="44">
        <v>0</v>
      </c>
      <c r="P89" s="44">
        <v>0</v>
      </c>
      <c r="Q89" s="44">
        <v>0</v>
      </c>
      <c r="R89" s="44">
        <v>0</v>
      </c>
      <c r="S89" s="44">
        <v>0</v>
      </c>
      <c r="T89" s="44">
        <v>0</v>
      </c>
      <c r="U89" s="44">
        <v>0</v>
      </c>
      <c r="V89" s="44">
        <v>0</v>
      </c>
      <c r="W89" s="44">
        <v>2</v>
      </c>
      <c r="X89" s="44">
        <v>0</v>
      </c>
      <c r="Y89" s="44">
        <v>0.18</v>
      </c>
      <c r="Z89" s="44">
        <v>0</v>
      </c>
      <c r="AA89" s="45">
        <v>2</v>
      </c>
      <c r="AB89" s="45">
        <v>0</v>
      </c>
      <c r="AC89" s="44">
        <v>0.18</v>
      </c>
      <c r="AD89" s="44">
        <v>0</v>
      </c>
      <c r="AE89" s="44">
        <v>2</v>
      </c>
      <c r="AF89" s="44">
        <v>0</v>
      </c>
      <c r="AG89" s="44">
        <v>0.18</v>
      </c>
      <c r="AH89" s="44">
        <v>0</v>
      </c>
      <c r="AI89" s="44">
        <v>23</v>
      </c>
      <c r="AJ89" s="44">
        <v>21</v>
      </c>
    </row>
    <row r="90" spans="1:36" x14ac:dyDescent="0.35">
      <c r="A90" s="44" t="s">
        <v>127</v>
      </c>
      <c r="B90" s="44" t="s">
        <v>50</v>
      </c>
      <c r="C90" s="44">
        <v>42008</v>
      </c>
      <c r="D90" s="37">
        <v>25141</v>
      </c>
      <c r="E90" s="37">
        <v>25368</v>
      </c>
      <c r="F90" s="37">
        <v>25554</v>
      </c>
      <c r="G90" s="44">
        <v>2</v>
      </c>
      <c r="H90" s="44">
        <v>0</v>
      </c>
      <c r="I90" s="44">
        <v>0.08</v>
      </c>
      <c r="J90" s="44">
        <v>2</v>
      </c>
      <c r="K90" s="44">
        <v>0</v>
      </c>
      <c r="L90" s="44">
        <v>0.08</v>
      </c>
      <c r="M90" s="44">
        <v>4</v>
      </c>
      <c r="N90" s="44">
        <v>3</v>
      </c>
      <c r="O90" s="44">
        <v>0.16</v>
      </c>
      <c r="P90" s="44">
        <v>0.12</v>
      </c>
      <c r="Q90" s="44">
        <v>2</v>
      </c>
      <c r="R90" s="44">
        <v>0.08</v>
      </c>
      <c r="S90" s="44">
        <v>2</v>
      </c>
      <c r="T90" s="44">
        <v>0.08</v>
      </c>
      <c r="U90" s="44">
        <v>1</v>
      </c>
      <c r="V90" s="44">
        <v>0.04</v>
      </c>
      <c r="W90" s="44">
        <v>4</v>
      </c>
      <c r="X90" s="44">
        <v>3</v>
      </c>
      <c r="Y90" s="44">
        <v>0.16</v>
      </c>
      <c r="Z90" s="44">
        <v>0.12</v>
      </c>
      <c r="AA90" s="45">
        <v>6</v>
      </c>
      <c r="AB90" s="45">
        <v>5</v>
      </c>
      <c r="AC90" s="44">
        <v>0.23</v>
      </c>
      <c r="AD90" s="44">
        <v>0.2</v>
      </c>
      <c r="AE90" s="44">
        <v>5</v>
      </c>
      <c r="AF90" s="44">
        <v>4</v>
      </c>
      <c r="AG90" s="44">
        <v>0.2</v>
      </c>
      <c r="AH90" s="44">
        <v>0.16</v>
      </c>
      <c r="AI90" s="44">
        <v>51</v>
      </c>
      <c r="AJ90" s="44">
        <v>46</v>
      </c>
    </row>
    <row r="91" spans="1:36" x14ac:dyDescent="0.35">
      <c r="A91" s="44" t="s">
        <v>331</v>
      </c>
      <c r="B91" s="44" t="s">
        <v>59</v>
      </c>
      <c r="C91" s="44">
        <v>72037</v>
      </c>
      <c r="D91" s="37">
        <v>14375</v>
      </c>
      <c r="E91" s="37">
        <v>14458</v>
      </c>
      <c r="F91" s="37">
        <v>14507</v>
      </c>
      <c r="G91" s="44">
        <v>0</v>
      </c>
      <c r="H91" s="44">
        <v>0</v>
      </c>
      <c r="I91" s="44">
        <v>0</v>
      </c>
      <c r="J91" s="44">
        <v>0</v>
      </c>
      <c r="K91" s="44">
        <v>0</v>
      </c>
      <c r="L91" s="44">
        <v>0</v>
      </c>
      <c r="M91" s="44">
        <v>1</v>
      </c>
      <c r="N91" s="44">
        <v>0</v>
      </c>
      <c r="O91" s="44">
        <v>7.0000000000000007E-2</v>
      </c>
      <c r="P91" s="44">
        <v>0</v>
      </c>
      <c r="Q91" s="44">
        <v>1</v>
      </c>
      <c r="R91" s="44">
        <v>7.0000000000000007E-2</v>
      </c>
      <c r="S91" s="44">
        <v>1</v>
      </c>
      <c r="T91" s="44">
        <v>7.0000000000000007E-2</v>
      </c>
      <c r="U91" s="44">
        <v>1</v>
      </c>
      <c r="V91" s="44">
        <v>7.0000000000000007E-2</v>
      </c>
      <c r="W91" s="44">
        <v>1</v>
      </c>
      <c r="X91" s="44">
        <v>0</v>
      </c>
      <c r="Y91" s="44">
        <v>7.0000000000000007E-2</v>
      </c>
      <c r="Z91" s="44">
        <v>0</v>
      </c>
      <c r="AA91" s="45">
        <v>1</v>
      </c>
      <c r="AB91" s="45">
        <v>0</v>
      </c>
      <c r="AC91" s="44">
        <v>7.0000000000000007E-2</v>
      </c>
      <c r="AD91" s="44">
        <v>0</v>
      </c>
      <c r="AE91" s="44">
        <v>0</v>
      </c>
      <c r="AF91" s="44">
        <v>0</v>
      </c>
      <c r="AG91" s="44">
        <v>0</v>
      </c>
      <c r="AH91" s="44">
        <v>0</v>
      </c>
      <c r="AI91" s="44">
        <v>29</v>
      </c>
      <c r="AJ91" s="44">
        <v>29</v>
      </c>
    </row>
    <row r="92" spans="1:36" x14ac:dyDescent="0.35">
      <c r="A92" s="44" t="s">
        <v>73</v>
      </c>
      <c r="B92" s="44" t="s">
        <v>55</v>
      </c>
      <c r="C92" s="44">
        <v>34013</v>
      </c>
      <c r="D92" s="37">
        <v>29095</v>
      </c>
      <c r="E92" s="37">
        <v>29574</v>
      </c>
      <c r="F92" s="37">
        <v>29904</v>
      </c>
      <c r="G92" s="44">
        <v>14</v>
      </c>
      <c r="H92" s="44">
        <v>2</v>
      </c>
      <c r="I92" s="44">
        <v>0.48</v>
      </c>
      <c r="J92" s="44">
        <v>16</v>
      </c>
      <c r="K92" s="44">
        <v>2</v>
      </c>
      <c r="L92" s="44">
        <v>0.55000000000000004</v>
      </c>
      <c r="M92" s="44">
        <v>16</v>
      </c>
      <c r="N92" s="44">
        <v>12</v>
      </c>
      <c r="O92" s="44">
        <v>0.54</v>
      </c>
      <c r="P92" s="44">
        <v>0.41</v>
      </c>
      <c r="Q92" s="44">
        <v>2</v>
      </c>
      <c r="R92" s="44">
        <v>0.06</v>
      </c>
      <c r="S92" s="44">
        <v>0</v>
      </c>
      <c r="T92" s="44">
        <v>-0.01</v>
      </c>
      <c r="U92" s="44">
        <v>2</v>
      </c>
      <c r="V92" s="44">
        <v>7.0000000000000007E-2</v>
      </c>
      <c r="W92" s="44">
        <v>17</v>
      </c>
      <c r="X92" s="44">
        <v>12</v>
      </c>
      <c r="Y92" s="44">
        <v>0.56999999999999995</v>
      </c>
      <c r="Z92" s="44">
        <v>0.41</v>
      </c>
      <c r="AA92" s="45">
        <v>17</v>
      </c>
      <c r="AB92" s="45">
        <v>12</v>
      </c>
      <c r="AC92" s="44">
        <v>0.56999999999999995</v>
      </c>
      <c r="AD92" s="44">
        <v>0.4</v>
      </c>
      <c r="AE92" s="44">
        <v>20</v>
      </c>
      <c r="AF92" s="44">
        <v>14</v>
      </c>
      <c r="AG92" s="44">
        <v>0.67</v>
      </c>
      <c r="AH92" s="44">
        <v>0.47</v>
      </c>
      <c r="AI92" s="44">
        <v>60</v>
      </c>
      <c r="AJ92" s="44">
        <v>40</v>
      </c>
    </row>
    <row r="93" spans="1:36" x14ac:dyDescent="0.35">
      <c r="A93" s="44" t="s">
        <v>58</v>
      </c>
      <c r="B93" s="44" t="s">
        <v>59</v>
      </c>
      <c r="C93" s="44">
        <v>71022</v>
      </c>
      <c r="D93" s="37">
        <v>79524</v>
      </c>
      <c r="E93" s="37">
        <v>80351</v>
      </c>
      <c r="F93" s="37">
        <v>80828</v>
      </c>
      <c r="G93" s="44">
        <v>30</v>
      </c>
      <c r="H93" s="44">
        <v>0</v>
      </c>
      <c r="I93" s="44">
        <v>0.38</v>
      </c>
      <c r="J93" s="44">
        <v>39</v>
      </c>
      <c r="K93" s="44">
        <v>0</v>
      </c>
      <c r="L93" s="44">
        <v>0.49</v>
      </c>
      <c r="M93" s="44">
        <v>42</v>
      </c>
      <c r="N93" s="44">
        <v>8</v>
      </c>
      <c r="O93" s="44">
        <v>0.52</v>
      </c>
      <c r="P93" s="44">
        <v>0.1</v>
      </c>
      <c r="Q93" s="44">
        <v>12</v>
      </c>
      <c r="R93" s="44">
        <v>0.15</v>
      </c>
      <c r="S93" s="44">
        <v>3</v>
      </c>
      <c r="T93" s="44">
        <v>0.03</v>
      </c>
      <c r="U93" s="44">
        <v>5</v>
      </c>
      <c r="V93" s="44">
        <v>0.06</v>
      </c>
      <c r="W93" s="44">
        <v>44</v>
      </c>
      <c r="X93" s="44">
        <v>9</v>
      </c>
      <c r="Y93" s="44">
        <v>0.55000000000000004</v>
      </c>
      <c r="Z93" s="44">
        <v>0.11</v>
      </c>
      <c r="AA93" s="45">
        <v>49</v>
      </c>
      <c r="AB93" s="45">
        <v>11</v>
      </c>
      <c r="AC93" s="44">
        <v>0.61</v>
      </c>
      <c r="AD93" s="44">
        <v>0.14000000000000001</v>
      </c>
      <c r="AE93" s="44">
        <v>50</v>
      </c>
      <c r="AF93" s="44">
        <v>10</v>
      </c>
      <c r="AG93" s="44">
        <v>0.62</v>
      </c>
      <c r="AH93" s="44">
        <v>0.12</v>
      </c>
      <c r="AI93" s="44">
        <v>162</v>
      </c>
      <c r="AJ93" s="44">
        <v>112</v>
      </c>
    </row>
    <row r="94" spans="1:36" x14ac:dyDescent="0.35">
      <c r="A94" s="44" t="s">
        <v>265</v>
      </c>
      <c r="B94" s="44" t="s">
        <v>59</v>
      </c>
      <c r="C94" s="44">
        <v>72038</v>
      </c>
      <c r="D94" s="37">
        <v>12760</v>
      </c>
      <c r="E94" s="37">
        <v>12914</v>
      </c>
      <c r="F94" s="37">
        <v>12965</v>
      </c>
      <c r="G94" s="44">
        <v>1</v>
      </c>
      <c r="H94" s="44">
        <v>0</v>
      </c>
      <c r="I94" s="44">
        <v>0.08</v>
      </c>
      <c r="J94" s="44">
        <v>0</v>
      </c>
      <c r="K94" s="44">
        <v>0</v>
      </c>
      <c r="L94" s="44">
        <v>0</v>
      </c>
      <c r="M94" s="44">
        <v>0</v>
      </c>
      <c r="N94" s="44">
        <v>0</v>
      </c>
      <c r="O94" s="44">
        <v>0</v>
      </c>
      <c r="P94" s="44">
        <v>0</v>
      </c>
      <c r="Q94" s="44">
        <v>-1</v>
      </c>
      <c r="R94" s="44">
        <v>-0.08</v>
      </c>
      <c r="S94" s="44">
        <v>0</v>
      </c>
      <c r="T94" s="44">
        <v>0</v>
      </c>
      <c r="U94" s="44">
        <v>0</v>
      </c>
      <c r="V94" s="44">
        <v>0</v>
      </c>
      <c r="W94" s="44">
        <v>0</v>
      </c>
      <c r="X94" s="44">
        <v>0</v>
      </c>
      <c r="Y94" s="44">
        <v>0</v>
      </c>
      <c r="Z94" s="44">
        <v>0</v>
      </c>
      <c r="AA94" s="45">
        <v>0</v>
      </c>
      <c r="AB94" s="45">
        <v>0</v>
      </c>
      <c r="AC94" s="44">
        <v>0</v>
      </c>
      <c r="AD94" s="44">
        <v>0</v>
      </c>
      <c r="AE94" s="44">
        <v>0</v>
      </c>
      <c r="AF94" s="44">
        <v>0</v>
      </c>
      <c r="AG94" s="44">
        <v>0</v>
      </c>
      <c r="AH94" s="44">
        <v>0</v>
      </c>
      <c r="AI94" s="44">
        <v>26</v>
      </c>
      <c r="AJ94" s="44">
        <v>26</v>
      </c>
    </row>
    <row r="95" spans="1:36" x14ac:dyDescent="0.35">
      <c r="A95" s="44" t="s">
        <v>300</v>
      </c>
      <c r="B95" s="44" t="s">
        <v>59</v>
      </c>
      <c r="C95" s="44">
        <v>73022</v>
      </c>
      <c r="D95" s="37">
        <v>7457</v>
      </c>
      <c r="E95" s="37">
        <v>7554</v>
      </c>
      <c r="F95" s="37">
        <v>7593</v>
      </c>
      <c r="G95" s="44">
        <v>0</v>
      </c>
      <c r="H95" s="44">
        <v>0</v>
      </c>
      <c r="I95" s="44">
        <v>0</v>
      </c>
      <c r="J95" s="44">
        <v>0</v>
      </c>
      <c r="K95" s="44">
        <v>0</v>
      </c>
      <c r="L95" s="44">
        <v>0</v>
      </c>
      <c r="M95" s="44">
        <v>0</v>
      </c>
      <c r="N95" s="44">
        <v>0</v>
      </c>
      <c r="O95" s="44">
        <v>0</v>
      </c>
      <c r="P95" s="44">
        <v>0</v>
      </c>
      <c r="Q95" s="44">
        <v>0</v>
      </c>
      <c r="R95" s="44">
        <v>0</v>
      </c>
      <c r="S95" s="44">
        <v>0</v>
      </c>
      <c r="T95" s="44">
        <v>0</v>
      </c>
      <c r="U95" s="44">
        <v>0</v>
      </c>
      <c r="V95" s="44">
        <v>0</v>
      </c>
      <c r="W95" s="44">
        <v>0</v>
      </c>
      <c r="X95" s="44">
        <v>0</v>
      </c>
      <c r="Y95" s="44">
        <v>0</v>
      </c>
      <c r="Z95" s="44">
        <v>0</v>
      </c>
      <c r="AA95" s="45">
        <v>0</v>
      </c>
      <c r="AB95" s="45">
        <v>0</v>
      </c>
      <c r="AC95" s="44">
        <v>0</v>
      </c>
      <c r="AD95" s="44">
        <v>0</v>
      </c>
      <c r="AE95" s="44">
        <v>0</v>
      </c>
      <c r="AF95" s="44">
        <v>0</v>
      </c>
      <c r="AG95" s="44">
        <v>0</v>
      </c>
      <c r="AH95" s="44">
        <v>0</v>
      </c>
      <c r="AI95" s="44">
        <v>15</v>
      </c>
      <c r="AJ95" s="44">
        <v>15</v>
      </c>
    </row>
    <row r="96" spans="1:36" x14ac:dyDescent="0.35">
      <c r="A96" s="44" t="s">
        <v>108</v>
      </c>
      <c r="B96" s="44" t="s">
        <v>48</v>
      </c>
      <c r="C96" s="44">
        <v>12014</v>
      </c>
      <c r="D96" s="37">
        <v>43594</v>
      </c>
      <c r="E96" s="37">
        <v>44226</v>
      </c>
      <c r="F96" s="37">
        <v>44505</v>
      </c>
      <c r="G96" s="44">
        <v>2</v>
      </c>
      <c r="H96" s="44">
        <v>0</v>
      </c>
      <c r="I96" s="44">
        <v>0.05</v>
      </c>
      <c r="J96" s="44">
        <v>2</v>
      </c>
      <c r="K96" s="44">
        <v>0</v>
      </c>
      <c r="L96" s="44">
        <v>0.05</v>
      </c>
      <c r="M96" s="44">
        <v>2</v>
      </c>
      <c r="N96" s="44">
        <v>0</v>
      </c>
      <c r="O96" s="44">
        <v>0.05</v>
      </c>
      <c r="P96" s="44">
        <v>0</v>
      </c>
      <c r="Q96" s="44">
        <v>0</v>
      </c>
      <c r="R96" s="44">
        <v>0</v>
      </c>
      <c r="S96" s="44">
        <v>0</v>
      </c>
      <c r="T96" s="44">
        <v>0</v>
      </c>
      <c r="U96" s="44">
        <v>0</v>
      </c>
      <c r="V96" s="44">
        <v>0</v>
      </c>
      <c r="W96" s="44">
        <v>3</v>
      </c>
      <c r="X96" s="44">
        <v>0</v>
      </c>
      <c r="Y96" s="44">
        <v>7.0000000000000007E-2</v>
      </c>
      <c r="Z96" s="44">
        <v>0</v>
      </c>
      <c r="AA96" s="45">
        <v>3</v>
      </c>
      <c r="AB96" s="45">
        <v>0</v>
      </c>
      <c r="AC96" s="44">
        <v>7.0000000000000007E-2</v>
      </c>
      <c r="AD96" s="44">
        <v>0</v>
      </c>
      <c r="AE96" s="44">
        <v>1</v>
      </c>
      <c r="AF96" s="44">
        <v>0</v>
      </c>
      <c r="AG96" s="44">
        <v>0.02</v>
      </c>
      <c r="AH96" s="44">
        <v>0</v>
      </c>
      <c r="AI96" s="44">
        <v>89</v>
      </c>
      <c r="AJ96" s="44">
        <v>88</v>
      </c>
    </row>
    <row r="97" spans="1:36" x14ac:dyDescent="0.35">
      <c r="A97" s="44" t="s">
        <v>266</v>
      </c>
      <c r="B97" s="44" t="s">
        <v>48</v>
      </c>
      <c r="C97" s="44">
        <v>11018</v>
      </c>
      <c r="D97" s="37">
        <v>11812</v>
      </c>
      <c r="E97" s="37">
        <v>12105</v>
      </c>
      <c r="F97" s="37">
        <v>12396</v>
      </c>
      <c r="G97" s="44">
        <v>1</v>
      </c>
      <c r="H97" s="44">
        <v>0</v>
      </c>
      <c r="I97" s="44">
        <v>0.08</v>
      </c>
      <c r="J97" s="44">
        <v>1</v>
      </c>
      <c r="K97" s="44">
        <v>1</v>
      </c>
      <c r="L97" s="44">
        <v>0.08</v>
      </c>
      <c r="M97" s="44">
        <v>1</v>
      </c>
      <c r="N97" s="44">
        <v>1</v>
      </c>
      <c r="O97" s="44">
        <v>0.08</v>
      </c>
      <c r="P97" s="44">
        <v>0.08</v>
      </c>
      <c r="Q97" s="44">
        <v>0</v>
      </c>
      <c r="R97" s="44">
        <v>0</v>
      </c>
      <c r="S97" s="44">
        <v>0</v>
      </c>
      <c r="T97" s="44">
        <v>0</v>
      </c>
      <c r="U97" s="44">
        <v>0</v>
      </c>
      <c r="V97" s="44">
        <v>0</v>
      </c>
      <c r="W97" s="44">
        <v>1</v>
      </c>
      <c r="X97" s="44">
        <v>0</v>
      </c>
      <c r="Y97" s="44">
        <v>0.08</v>
      </c>
      <c r="Z97" s="44">
        <v>0</v>
      </c>
      <c r="AA97" s="45">
        <v>1</v>
      </c>
      <c r="AB97" s="45">
        <v>0</v>
      </c>
      <c r="AC97" s="44">
        <v>0.08</v>
      </c>
      <c r="AD97" s="44">
        <v>0</v>
      </c>
      <c r="AE97" s="44">
        <v>1</v>
      </c>
      <c r="AF97" s="44">
        <v>0</v>
      </c>
      <c r="AG97" s="44">
        <v>0.08</v>
      </c>
      <c r="AH97" s="44">
        <v>0</v>
      </c>
      <c r="AI97" s="44">
        <v>25</v>
      </c>
      <c r="AJ97" s="44">
        <v>24</v>
      </c>
    </row>
    <row r="98" spans="1:36" x14ac:dyDescent="0.35">
      <c r="A98" s="44" t="s">
        <v>69</v>
      </c>
      <c r="B98" s="44" t="s">
        <v>52</v>
      </c>
      <c r="C98" s="44">
        <v>24038</v>
      </c>
      <c r="D98" s="37">
        <v>22430</v>
      </c>
      <c r="E98" s="37">
        <v>22723</v>
      </c>
      <c r="F98" s="37">
        <v>23007</v>
      </c>
      <c r="G98" s="44">
        <v>16</v>
      </c>
      <c r="H98" s="44">
        <v>0</v>
      </c>
      <c r="I98" s="44">
        <v>0.71</v>
      </c>
      <c r="J98" s="44">
        <v>14</v>
      </c>
      <c r="K98" s="44">
        <v>0</v>
      </c>
      <c r="L98" s="44">
        <v>0.62</v>
      </c>
      <c r="M98" s="44">
        <v>16</v>
      </c>
      <c r="N98" s="44">
        <v>4</v>
      </c>
      <c r="O98" s="44">
        <v>0.7</v>
      </c>
      <c r="P98" s="44">
        <v>0.18</v>
      </c>
      <c r="Q98" s="44">
        <v>0</v>
      </c>
      <c r="R98" s="44">
        <v>-0.01</v>
      </c>
      <c r="S98" s="44">
        <v>2</v>
      </c>
      <c r="T98" s="44">
        <v>0.08</v>
      </c>
      <c r="U98" s="44">
        <v>10</v>
      </c>
      <c r="V98" s="44">
        <v>0.44</v>
      </c>
      <c r="W98" s="44">
        <v>17</v>
      </c>
      <c r="X98" s="44">
        <v>4</v>
      </c>
      <c r="Y98" s="44">
        <v>0.75</v>
      </c>
      <c r="Z98" s="44">
        <v>0.18</v>
      </c>
      <c r="AA98" s="45">
        <v>19</v>
      </c>
      <c r="AB98" s="45">
        <v>6</v>
      </c>
      <c r="AC98" s="44">
        <v>0.83</v>
      </c>
      <c r="AD98" s="44">
        <v>0.26</v>
      </c>
      <c r="AE98" s="44">
        <v>25</v>
      </c>
      <c r="AF98" s="44">
        <v>8</v>
      </c>
      <c r="AG98" s="44">
        <v>1.0900000000000001</v>
      </c>
      <c r="AH98" s="44">
        <v>0.35</v>
      </c>
      <c r="AI98" s="44">
        <v>46</v>
      </c>
      <c r="AJ98" s="44">
        <v>21</v>
      </c>
    </row>
    <row r="99" spans="1:36" x14ac:dyDescent="0.35">
      <c r="A99" s="44" t="s">
        <v>83</v>
      </c>
      <c r="B99" s="44" t="s">
        <v>48</v>
      </c>
      <c r="C99" s="44">
        <v>13011</v>
      </c>
      <c r="D99" s="37">
        <v>28455</v>
      </c>
      <c r="E99" s="37">
        <v>28575</v>
      </c>
      <c r="F99" s="37">
        <v>28865</v>
      </c>
      <c r="G99" s="44">
        <v>4</v>
      </c>
      <c r="H99" s="44">
        <v>0</v>
      </c>
      <c r="I99" s="44">
        <v>0.14000000000000001</v>
      </c>
      <c r="J99" s="44">
        <v>2</v>
      </c>
      <c r="K99" s="44">
        <v>0</v>
      </c>
      <c r="L99" s="44">
        <v>7.0000000000000007E-2</v>
      </c>
      <c r="M99" s="44">
        <v>7</v>
      </c>
      <c r="N99" s="44">
        <v>4</v>
      </c>
      <c r="O99" s="44">
        <v>0.24</v>
      </c>
      <c r="P99" s="44">
        <v>0.14000000000000001</v>
      </c>
      <c r="Q99" s="44">
        <v>3</v>
      </c>
      <c r="R99" s="44">
        <v>0.1</v>
      </c>
      <c r="S99" s="44">
        <v>5</v>
      </c>
      <c r="T99" s="44">
        <v>0.17</v>
      </c>
      <c r="U99" s="44">
        <v>3</v>
      </c>
      <c r="V99" s="44">
        <v>0.1</v>
      </c>
      <c r="W99" s="44">
        <v>7</v>
      </c>
      <c r="X99" s="44">
        <v>4</v>
      </c>
      <c r="Y99" s="44">
        <v>0.24</v>
      </c>
      <c r="Z99" s="44">
        <v>0.14000000000000001</v>
      </c>
      <c r="AA99" s="45">
        <v>6</v>
      </c>
      <c r="AB99" s="45">
        <v>4</v>
      </c>
      <c r="AC99" s="44">
        <v>0.21</v>
      </c>
      <c r="AD99" s="44">
        <v>0.14000000000000001</v>
      </c>
      <c r="AE99" s="44">
        <v>8</v>
      </c>
      <c r="AF99" s="44">
        <v>5</v>
      </c>
      <c r="AG99" s="44">
        <v>0.28000000000000003</v>
      </c>
      <c r="AH99" s="44">
        <v>0.17</v>
      </c>
      <c r="AI99" s="44">
        <v>58</v>
      </c>
      <c r="AJ99" s="44">
        <v>50</v>
      </c>
    </row>
    <row r="100" spans="1:36" x14ac:dyDescent="0.35">
      <c r="A100" s="44" t="s">
        <v>326</v>
      </c>
      <c r="B100" s="44" t="s">
        <v>48</v>
      </c>
      <c r="C100" s="44">
        <v>13012</v>
      </c>
      <c r="D100" s="37">
        <v>9287</v>
      </c>
      <c r="E100" s="37">
        <v>9417</v>
      </c>
      <c r="F100" s="37">
        <v>9454</v>
      </c>
      <c r="G100" s="44">
        <v>1</v>
      </c>
      <c r="H100" s="44">
        <v>0</v>
      </c>
      <c r="I100" s="44">
        <v>0.11</v>
      </c>
      <c r="J100" s="44">
        <v>0</v>
      </c>
      <c r="K100" s="44">
        <v>0</v>
      </c>
      <c r="L100" s="44">
        <v>0</v>
      </c>
      <c r="M100" s="44">
        <v>0</v>
      </c>
      <c r="N100" s="44">
        <v>0</v>
      </c>
      <c r="O100" s="44">
        <v>0</v>
      </c>
      <c r="P100" s="44">
        <v>0</v>
      </c>
      <c r="Q100" s="44">
        <v>-1</v>
      </c>
      <c r="R100" s="44">
        <v>-0.11</v>
      </c>
      <c r="S100" s="44">
        <v>0</v>
      </c>
      <c r="T100" s="44">
        <v>0</v>
      </c>
      <c r="U100" s="44">
        <v>0</v>
      </c>
      <c r="V100" s="44">
        <v>0</v>
      </c>
      <c r="W100" s="44">
        <v>0</v>
      </c>
      <c r="X100" s="44">
        <v>0</v>
      </c>
      <c r="Y100" s="44">
        <v>0</v>
      </c>
      <c r="Z100" s="44">
        <v>0</v>
      </c>
      <c r="AA100" s="45">
        <v>0</v>
      </c>
      <c r="AB100" s="45">
        <v>0</v>
      </c>
      <c r="AC100" s="44">
        <v>0</v>
      </c>
      <c r="AD100" s="44">
        <v>0</v>
      </c>
      <c r="AE100" s="44">
        <v>0</v>
      </c>
      <c r="AF100" s="44">
        <v>0</v>
      </c>
      <c r="AG100" s="44">
        <v>0</v>
      </c>
      <c r="AH100" s="44">
        <v>0</v>
      </c>
      <c r="AI100" s="44">
        <v>19</v>
      </c>
      <c r="AJ100" s="44">
        <v>19</v>
      </c>
    </row>
    <row r="101" spans="1:36" x14ac:dyDescent="0.35">
      <c r="A101" s="44" t="s">
        <v>187</v>
      </c>
      <c r="B101" s="44" t="s">
        <v>59</v>
      </c>
      <c r="C101" s="44">
        <v>71024</v>
      </c>
      <c r="D101" s="37">
        <v>12756</v>
      </c>
      <c r="E101" s="37">
        <v>12817</v>
      </c>
      <c r="F101" s="37">
        <v>12841</v>
      </c>
      <c r="G101" s="44">
        <v>1</v>
      </c>
      <c r="H101" s="44">
        <v>0</v>
      </c>
      <c r="I101" s="44">
        <v>0.08</v>
      </c>
      <c r="J101" s="44">
        <v>1</v>
      </c>
      <c r="K101" s="44">
        <v>0</v>
      </c>
      <c r="L101" s="44">
        <v>0.08</v>
      </c>
      <c r="M101" s="44">
        <v>2</v>
      </c>
      <c r="N101" s="44">
        <v>2</v>
      </c>
      <c r="O101" s="44">
        <v>0.16</v>
      </c>
      <c r="P101" s="44">
        <v>0.16</v>
      </c>
      <c r="Q101" s="44">
        <v>1</v>
      </c>
      <c r="R101" s="44">
        <v>0.08</v>
      </c>
      <c r="S101" s="44">
        <v>1</v>
      </c>
      <c r="T101" s="44">
        <v>0.08</v>
      </c>
      <c r="U101" s="44">
        <v>0</v>
      </c>
      <c r="V101" s="44">
        <v>0</v>
      </c>
      <c r="W101" s="44">
        <v>1</v>
      </c>
      <c r="X101" s="44">
        <v>1</v>
      </c>
      <c r="Y101" s="44">
        <v>0.08</v>
      </c>
      <c r="Z101" s="44">
        <v>0.08</v>
      </c>
      <c r="AA101" s="45">
        <v>3</v>
      </c>
      <c r="AB101" s="45">
        <v>1</v>
      </c>
      <c r="AC101" s="44">
        <v>0.23</v>
      </c>
      <c r="AD101" s="44">
        <v>0.08</v>
      </c>
      <c r="AE101" s="44">
        <v>3</v>
      </c>
      <c r="AF101" s="44">
        <v>1</v>
      </c>
      <c r="AG101" s="44">
        <v>0.23</v>
      </c>
      <c r="AH101" s="44">
        <v>0.08</v>
      </c>
      <c r="AI101" s="44">
        <v>26</v>
      </c>
      <c r="AJ101" s="44">
        <v>23</v>
      </c>
    </row>
    <row r="102" spans="1:36" x14ac:dyDescent="0.35">
      <c r="A102" s="44" t="s">
        <v>345</v>
      </c>
      <c r="B102" s="44" t="s">
        <v>52</v>
      </c>
      <c r="C102" s="44">
        <v>23032</v>
      </c>
      <c r="D102" s="37">
        <v>6743</v>
      </c>
      <c r="E102" s="37">
        <v>6763</v>
      </c>
      <c r="F102" s="37">
        <v>6825</v>
      </c>
      <c r="G102" s="44">
        <v>0</v>
      </c>
      <c r="H102" s="44">
        <v>0</v>
      </c>
      <c r="I102" s="44">
        <v>0</v>
      </c>
      <c r="J102" s="44">
        <v>0</v>
      </c>
      <c r="K102" s="44">
        <v>0</v>
      </c>
      <c r="L102" s="44">
        <v>0</v>
      </c>
      <c r="M102" s="44">
        <v>0</v>
      </c>
      <c r="N102" s="44">
        <v>0</v>
      </c>
      <c r="O102" s="44">
        <v>0</v>
      </c>
      <c r="P102" s="44">
        <v>0</v>
      </c>
      <c r="Q102" s="44">
        <v>0</v>
      </c>
      <c r="R102" s="44">
        <v>0</v>
      </c>
      <c r="S102" s="44">
        <v>0</v>
      </c>
      <c r="T102" s="44">
        <v>0</v>
      </c>
      <c r="U102" s="44">
        <v>0</v>
      </c>
      <c r="V102" s="44">
        <v>0</v>
      </c>
      <c r="W102" s="44">
        <v>0</v>
      </c>
      <c r="X102" s="44">
        <v>0</v>
      </c>
      <c r="Y102" s="44">
        <v>0</v>
      </c>
      <c r="Z102" s="44">
        <v>0</v>
      </c>
      <c r="AA102" s="45">
        <v>0</v>
      </c>
      <c r="AB102" s="45">
        <v>0</v>
      </c>
      <c r="AC102" s="44">
        <v>0</v>
      </c>
      <c r="AD102" s="44">
        <v>0</v>
      </c>
      <c r="AE102" s="44">
        <v>1</v>
      </c>
      <c r="AF102" s="44">
        <v>1</v>
      </c>
      <c r="AG102" s="44">
        <v>0.15</v>
      </c>
      <c r="AH102" s="44">
        <v>0.15</v>
      </c>
      <c r="AI102" s="44">
        <v>14</v>
      </c>
      <c r="AJ102" s="44">
        <v>13</v>
      </c>
    </row>
    <row r="103" spans="1:36" x14ac:dyDescent="0.35">
      <c r="A103" s="44" t="s">
        <v>272</v>
      </c>
      <c r="B103" s="44" t="s">
        <v>48</v>
      </c>
      <c r="C103" s="44">
        <v>13013</v>
      </c>
      <c r="D103" s="37">
        <v>14731</v>
      </c>
      <c r="E103" s="37">
        <v>14805</v>
      </c>
      <c r="F103" s="37">
        <v>14838</v>
      </c>
      <c r="G103" s="44">
        <v>0</v>
      </c>
      <c r="H103" s="44">
        <v>0</v>
      </c>
      <c r="I103" s="44">
        <v>0</v>
      </c>
      <c r="J103" s="44">
        <v>0</v>
      </c>
      <c r="K103" s="44">
        <v>0</v>
      </c>
      <c r="L103" s="44">
        <v>0</v>
      </c>
      <c r="M103" s="44">
        <v>0</v>
      </c>
      <c r="N103" s="44">
        <v>0</v>
      </c>
      <c r="O103" s="44">
        <v>0</v>
      </c>
      <c r="P103" s="44">
        <v>0</v>
      </c>
      <c r="Q103" s="44">
        <v>0</v>
      </c>
      <c r="R103" s="44">
        <v>0</v>
      </c>
      <c r="S103" s="44">
        <v>0</v>
      </c>
      <c r="T103" s="44">
        <v>0</v>
      </c>
      <c r="U103" s="44">
        <v>0</v>
      </c>
      <c r="V103" s="44">
        <v>0</v>
      </c>
      <c r="W103" s="44">
        <v>2</v>
      </c>
      <c r="X103" s="44">
        <v>2</v>
      </c>
      <c r="Y103" s="44">
        <v>0.14000000000000001</v>
      </c>
      <c r="Z103" s="44">
        <v>0.14000000000000001</v>
      </c>
      <c r="AA103" s="45">
        <v>2</v>
      </c>
      <c r="AB103" s="45">
        <v>2</v>
      </c>
      <c r="AC103" s="44">
        <v>0.13</v>
      </c>
      <c r="AD103" s="44">
        <v>0.13</v>
      </c>
      <c r="AE103" s="44">
        <v>2</v>
      </c>
      <c r="AF103" s="44">
        <v>2</v>
      </c>
      <c r="AG103" s="44">
        <v>0.13</v>
      </c>
      <c r="AH103" s="44">
        <v>0.13</v>
      </c>
      <c r="AI103" s="44">
        <v>30</v>
      </c>
      <c r="AJ103" s="44">
        <v>28</v>
      </c>
    </row>
    <row r="104" spans="1:36" x14ac:dyDescent="0.35">
      <c r="A104" s="44" t="s">
        <v>313</v>
      </c>
      <c r="B104" s="44" t="s">
        <v>59</v>
      </c>
      <c r="C104" s="44">
        <v>73028</v>
      </c>
      <c r="D104" s="44">
        <v>79</v>
      </c>
      <c r="E104" s="44">
        <v>77</v>
      </c>
      <c r="F104" s="44">
        <v>76</v>
      </c>
      <c r="G104" s="44">
        <v>0</v>
      </c>
      <c r="H104" s="44">
        <v>0</v>
      </c>
      <c r="I104" s="44">
        <v>0</v>
      </c>
      <c r="J104" s="44">
        <v>0</v>
      </c>
      <c r="K104" s="44">
        <v>0</v>
      </c>
      <c r="L104" s="44">
        <v>0</v>
      </c>
      <c r="M104" s="44">
        <v>0</v>
      </c>
      <c r="N104" s="44">
        <v>0</v>
      </c>
      <c r="O104" s="44">
        <v>0</v>
      </c>
      <c r="P104" s="44">
        <v>0</v>
      </c>
      <c r="Q104" s="44">
        <v>0</v>
      </c>
      <c r="R104" s="44">
        <v>0</v>
      </c>
      <c r="S104" s="44">
        <v>0</v>
      </c>
      <c r="T104" s="44">
        <v>0</v>
      </c>
      <c r="U104" s="44">
        <v>0</v>
      </c>
      <c r="V104" s="44">
        <v>0</v>
      </c>
      <c r="W104" s="44">
        <v>0</v>
      </c>
      <c r="X104" s="44">
        <v>0</v>
      </c>
      <c r="Y104" s="44">
        <v>0</v>
      </c>
      <c r="Z104" s="44">
        <v>0</v>
      </c>
      <c r="AA104" s="45">
        <v>0</v>
      </c>
      <c r="AB104" s="45">
        <v>0</v>
      </c>
      <c r="AC104" s="44">
        <v>0</v>
      </c>
      <c r="AD104" s="44">
        <v>0</v>
      </c>
      <c r="AE104" s="44">
        <v>0</v>
      </c>
      <c r="AF104" s="44">
        <v>0</v>
      </c>
      <c r="AG104" s="44">
        <v>0</v>
      </c>
      <c r="AH104" s="44">
        <v>0</v>
      </c>
      <c r="AI104" s="44">
        <v>0</v>
      </c>
      <c r="AJ104" s="44">
        <v>0</v>
      </c>
    </row>
    <row r="105" spans="1:36" x14ac:dyDescent="0.35">
      <c r="A105" s="44" t="s">
        <v>113</v>
      </c>
      <c r="B105" s="44" t="s">
        <v>50</v>
      </c>
      <c r="C105" s="44">
        <v>41027</v>
      </c>
      <c r="D105" s="37">
        <v>18489</v>
      </c>
      <c r="E105" s="37">
        <v>18715</v>
      </c>
      <c r="F105" s="37">
        <v>18928</v>
      </c>
      <c r="G105" s="44">
        <v>4</v>
      </c>
      <c r="H105" s="44">
        <v>0</v>
      </c>
      <c r="I105" s="44">
        <v>0.22</v>
      </c>
      <c r="J105" s="44">
        <v>3</v>
      </c>
      <c r="K105" s="44">
        <v>0</v>
      </c>
      <c r="L105" s="44">
        <v>0.16</v>
      </c>
      <c r="M105" s="44">
        <v>3</v>
      </c>
      <c r="N105" s="44">
        <v>3</v>
      </c>
      <c r="O105" s="44">
        <v>0.16</v>
      </c>
      <c r="P105" s="44">
        <v>0.16</v>
      </c>
      <c r="Q105" s="44">
        <v>-1</v>
      </c>
      <c r="R105" s="44">
        <v>-0.06</v>
      </c>
      <c r="S105" s="44">
        <v>0</v>
      </c>
      <c r="T105" s="44">
        <v>0</v>
      </c>
      <c r="U105" s="44">
        <v>0</v>
      </c>
      <c r="V105" s="44">
        <v>0</v>
      </c>
      <c r="W105" s="44">
        <v>4</v>
      </c>
      <c r="X105" s="44">
        <v>3</v>
      </c>
      <c r="Y105" s="44">
        <v>0.21</v>
      </c>
      <c r="Z105" s="44">
        <v>0.16</v>
      </c>
      <c r="AA105" s="45">
        <v>5</v>
      </c>
      <c r="AB105" s="45">
        <v>4</v>
      </c>
      <c r="AC105" s="44">
        <v>0.26</v>
      </c>
      <c r="AD105" s="44">
        <v>0.21</v>
      </c>
      <c r="AE105" s="44">
        <v>5</v>
      </c>
      <c r="AF105" s="44">
        <v>4</v>
      </c>
      <c r="AG105" s="44">
        <v>0.26</v>
      </c>
      <c r="AH105" s="44">
        <v>0.21</v>
      </c>
      <c r="AI105" s="44">
        <v>38</v>
      </c>
      <c r="AJ105" s="44">
        <v>33</v>
      </c>
    </row>
    <row r="106" spans="1:36" x14ac:dyDescent="0.35">
      <c r="A106" s="44" t="s">
        <v>190</v>
      </c>
      <c r="B106" s="44" t="s">
        <v>59</v>
      </c>
      <c r="C106" s="44">
        <v>71070</v>
      </c>
      <c r="D106" s="37">
        <v>34243</v>
      </c>
      <c r="E106" s="37">
        <v>34623</v>
      </c>
      <c r="F106" s="37">
        <v>35017</v>
      </c>
      <c r="G106" s="44">
        <v>0</v>
      </c>
      <c r="H106" s="44">
        <v>0</v>
      </c>
      <c r="I106" s="44">
        <v>0</v>
      </c>
      <c r="J106" s="44">
        <v>1</v>
      </c>
      <c r="K106" s="44">
        <v>0</v>
      </c>
      <c r="L106" s="44">
        <v>0.03</v>
      </c>
      <c r="M106" s="44">
        <v>1</v>
      </c>
      <c r="N106" s="44">
        <v>0</v>
      </c>
      <c r="O106" s="44">
        <v>0.03</v>
      </c>
      <c r="P106" s="44">
        <v>0</v>
      </c>
      <c r="Q106" s="44">
        <v>1</v>
      </c>
      <c r="R106" s="44">
        <v>0.03</v>
      </c>
      <c r="S106" s="44">
        <v>0</v>
      </c>
      <c r="T106" s="44">
        <v>0</v>
      </c>
      <c r="U106" s="44">
        <v>1</v>
      </c>
      <c r="V106" s="44">
        <v>0.03</v>
      </c>
      <c r="W106" s="44">
        <v>1</v>
      </c>
      <c r="X106" s="44">
        <v>0</v>
      </c>
      <c r="Y106" s="44">
        <v>0.03</v>
      </c>
      <c r="Z106" s="44">
        <v>0</v>
      </c>
      <c r="AA106" s="45">
        <v>4</v>
      </c>
      <c r="AB106" s="45">
        <v>2</v>
      </c>
      <c r="AC106" s="44">
        <v>0.11</v>
      </c>
      <c r="AD106" s="44">
        <v>0.06</v>
      </c>
      <c r="AE106" s="44">
        <v>4</v>
      </c>
      <c r="AF106" s="44">
        <v>2</v>
      </c>
      <c r="AG106" s="44">
        <v>0.11</v>
      </c>
      <c r="AH106" s="44">
        <v>0.06</v>
      </c>
      <c r="AI106" s="44">
        <v>70</v>
      </c>
      <c r="AJ106" s="44">
        <v>66</v>
      </c>
    </row>
    <row r="107" spans="1:36" x14ac:dyDescent="0.35">
      <c r="A107" s="44" t="s">
        <v>167</v>
      </c>
      <c r="B107" s="44" t="s">
        <v>55</v>
      </c>
      <c r="C107" s="44">
        <v>33039</v>
      </c>
      <c r="D107" s="37">
        <v>7991</v>
      </c>
      <c r="E107" s="37">
        <v>7958</v>
      </c>
      <c r="F107" s="37">
        <v>7969</v>
      </c>
      <c r="G107" s="44">
        <v>0</v>
      </c>
      <c r="H107" s="44">
        <v>0</v>
      </c>
      <c r="I107" s="44">
        <v>0</v>
      </c>
      <c r="J107" s="44">
        <v>0</v>
      </c>
      <c r="K107" s="44">
        <v>0</v>
      </c>
      <c r="L107" s="44">
        <v>0</v>
      </c>
      <c r="M107" s="44">
        <v>1</v>
      </c>
      <c r="N107" s="44">
        <v>0</v>
      </c>
      <c r="O107" s="44">
        <v>0.13</v>
      </c>
      <c r="P107" s="44">
        <v>0</v>
      </c>
      <c r="Q107" s="44">
        <v>1</v>
      </c>
      <c r="R107" s="44">
        <v>0.13</v>
      </c>
      <c r="S107" s="44">
        <v>1</v>
      </c>
      <c r="T107" s="44">
        <v>0.13</v>
      </c>
      <c r="U107" s="44">
        <v>0</v>
      </c>
      <c r="V107" s="44">
        <v>0</v>
      </c>
      <c r="W107" s="44">
        <v>1</v>
      </c>
      <c r="X107" s="44">
        <v>0</v>
      </c>
      <c r="Y107" s="44">
        <v>0.13</v>
      </c>
      <c r="Z107" s="44">
        <v>0</v>
      </c>
      <c r="AA107" s="45">
        <v>2</v>
      </c>
      <c r="AB107" s="45">
        <v>0</v>
      </c>
      <c r="AC107" s="44">
        <v>0.25</v>
      </c>
      <c r="AD107" s="44">
        <v>0</v>
      </c>
      <c r="AE107" s="44">
        <v>3</v>
      </c>
      <c r="AF107" s="44">
        <v>1</v>
      </c>
      <c r="AG107" s="44">
        <v>0.38</v>
      </c>
      <c r="AH107" s="44">
        <v>0.13</v>
      </c>
      <c r="AI107" s="44">
        <v>16</v>
      </c>
      <c r="AJ107" s="44">
        <v>13</v>
      </c>
    </row>
    <row r="108" spans="1:36" x14ac:dyDescent="0.35">
      <c r="A108" s="44" t="s">
        <v>192</v>
      </c>
      <c r="B108" s="44" t="s">
        <v>52</v>
      </c>
      <c r="C108" s="44">
        <v>24041</v>
      </c>
      <c r="D108" s="37">
        <v>6811</v>
      </c>
      <c r="E108" s="37">
        <v>6797</v>
      </c>
      <c r="F108" s="37">
        <v>6873</v>
      </c>
      <c r="G108" s="44">
        <v>1</v>
      </c>
      <c r="H108" s="44">
        <v>0</v>
      </c>
      <c r="I108" s="44">
        <v>0.15</v>
      </c>
      <c r="J108" s="44">
        <v>2</v>
      </c>
      <c r="K108" s="44">
        <v>0</v>
      </c>
      <c r="L108" s="44">
        <v>0.28999999999999998</v>
      </c>
      <c r="M108" s="44">
        <v>2</v>
      </c>
      <c r="N108" s="44">
        <v>0</v>
      </c>
      <c r="O108" s="44">
        <v>0.28999999999999998</v>
      </c>
      <c r="P108" s="44">
        <v>0</v>
      </c>
      <c r="Q108" s="44">
        <v>1</v>
      </c>
      <c r="R108" s="44">
        <v>0.15</v>
      </c>
      <c r="S108" s="44">
        <v>0</v>
      </c>
      <c r="T108" s="44">
        <v>0</v>
      </c>
      <c r="U108" s="44">
        <v>2</v>
      </c>
      <c r="V108" s="44">
        <v>0.28999999999999998</v>
      </c>
      <c r="W108" s="44">
        <v>1</v>
      </c>
      <c r="X108" s="44">
        <v>0</v>
      </c>
      <c r="Y108" s="44">
        <v>0.15</v>
      </c>
      <c r="Z108" s="44">
        <v>0</v>
      </c>
      <c r="AA108" s="45">
        <v>1</v>
      </c>
      <c r="AB108" s="45">
        <v>0</v>
      </c>
      <c r="AC108" s="44">
        <v>0.15</v>
      </c>
      <c r="AD108" s="44">
        <v>0</v>
      </c>
      <c r="AE108" s="44">
        <v>3</v>
      </c>
      <c r="AF108" s="44">
        <v>1</v>
      </c>
      <c r="AG108" s="44">
        <v>0.44</v>
      </c>
      <c r="AH108" s="44">
        <v>0.15</v>
      </c>
      <c r="AI108" s="44">
        <v>14</v>
      </c>
      <c r="AJ108" s="44">
        <v>11</v>
      </c>
    </row>
    <row r="109" spans="1:36" x14ac:dyDescent="0.35">
      <c r="A109" s="44" t="s">
        <v>153</v>
      </c>
      <c r="B109" s="44" t="s">
        <v>52</v>
      </c>
      <c r="C109" s="44">
        <v>23033</v>
      </c>
      <c r="D109" s="37">
        <v>11433</v>
      </c>
      <c r="E109" s="37">
        <v>11537</v>
      </c>
      <c r="F109" s="37">
        <v>11636</v>
      </c>
      <c r="G109" s="44">
        <v>0</v>
      </c>
      <c r="H109" s="44">
        <v>0</v>
      </c>
      <c r="I109" s="44">
        <v>0</v>
      </c>
      <c r="J109" s="44">
        <v>2</v>
      </c>
      <c r="K109" s="44">
        <v>0</v>
      </c>
      <c r="L109" s="44">
        <v>0.17</v>
      </c>
      <c r="M109" s="44">
        <v>2</v>
      </c>
      <c r="N109" s="44">
        <v>1</v>
      </c>
      <c r="O109" s="44">
        <v>0.17</v>
      </c>
      <c r="P109" s="44">
        <v>0.09</v>
      </c>
      <c r="Q109" s="44">
        <v>2</v>
      </c>
      <c r="R109" s="44">
        <v>0.17</v>
      </c>
      <c r="S109" s="44">
        <v>0</v>
      </c>
      <c r="T109" s="44">
        <v>0</v>
      </c>
      <c r="U109" s="44">
        <v>0</v>
      </c>
      <c r="V109" s="44">
        <v>0</v>
      </c>
      <c r="W109" s="44">
        <v>4</v>
      </c>
      <c r="X109" s="44">
        <v>2</v>
      </c>
      <c r="Y109" s="44">
        <v>0.35</v>
      </c>
      <c r="Z109" s="44">
        <v>0.17</v>
      </c>
      <c r="AA109" s="45">
        <v>4</v>
      </c>
      <c r="AB109" s="45">
        <v>2</v>
      </c>
      <c r="AC109" s="44">
        <v>0.34</v>
      </c>
      <c r="AD109" s="44">
        <v>0.17</v>
      </c>
      <c r="AE109" s="44">
        <v>5</v>
      </c>
      <c r="AF109" s="44">
        <v>2</v>
      </c>
      <c r="AG109" s="44">
        <v>0.43</v>
      </c>
      <c r="AH109" s="44">
        <v>0.17</v>
      </c>
      <c r="AI109" s="44">
        <v>23</v>
      </c>
      <c r="AJ109" s="44">
        <v>18</v>
      </c>
    </row>
    <row r="110" spans="1:36" x14ac:dyDescent="0.35">
      <c r="A110" s="44" t="s">
        <v>346</v>
      </c>
      <c r="B110" s="44" t="s">
        <v>59</v>
      </c>
      <c r="C110" s="44">
        <v>73032</v>
      </c>
      <c r="D110" s="37">
        <v>9833</v>
      </c>
      <c r="E110" s="37">
        <v>9921</v>
      </c>
      <c r="F110" s="37">
        <v>10080</v>
      </c>
      <c r="G110" s="44">
        <v>1</v>
      </c>
      <c r="H110" s="44">
        <v>0</v>
      </c>
      <c r="I110" s="44">
        <v>0.1</v>
      </c>
      <c r="J110" s="44">
        <v>1</v>
      </c>
      <c r="K110" s="44">
        <v>0</v>
      </c>
      <c r="L110" s="44">
        <v>0.1</v>
      </c>
      <c r="M110" s="44">
        <v>0</v>
      </c>
      <c r="N110" s="44">
        <v>0</v>
      </c>
      <c r="O110" s="44">
        <v>0</v>
      </c>
      <c r="P110" s="44">
        <v>0</v>
      </c>
      <c r="Q110" s="44">
        <v>-1</v>
      </c>
      <c r="R110" s="44">
        <v>-0.1</v>
      </c>
      <c r="S110" s="44">
        <v>-1</v>
      </c>
      <c r="T110" s="44">
        <v>-0.1</v>
      </c>
      <c r="U110" s="44">
        <v>0</v>
      </c>
      <c r="V110" s="44">
        <v>0</v>
      </c>
      <c r="W110" s="44">
        <v>0</v>
      </c>
      <c r="X110" s="44">
        <v>0</v>
      </c>
      <c r="Y110" s="44">
        <v>0</v>
      </c>
      <c r="Z110" s="44">
        <v>0</v>
      </c>
      <c r="AA110" s="45">
        <v>0</v>
      </c>
      <c r="AB110" s="45">
        <v>0</v>
      </c>
      <c r="AC110" s="44">
        <v>0</v>
      </c>
      <c r="AD110" s="44">
        <v>0</v>
      </c>
      <c r="AE110" s="44">
        <v>0</v>
      </c>
      <c r="AF110" s="44">
        <v>0</v>
      </c>
      <c r="AG110" s="44">
        <v>0</v>
      </c>
      <c r="AH110" s="44">
        <v>0</v>
      </c>
      <c r="AI110" s="44">
        <v>20</v>
      </c>
      <c r="AJ110" s="44">
        <v>20</v>
      </c>
    </row>
    <row r="111" spans="1:36" x14ac:dyDescent="0.35">
      <c r="A111" s="44" t="s">
        <v>86</v>
      </c>
      <c r="B111" s="44" t="s">
        <v>52</v>
      </c>
      <c r="C111" s="44">
        <v>24043</v>
      </c>
      <c r="D111" s="37">
        <v>10110</v>
      </c>
      <c r="E111" s="37">
        <v>10158</v>
      </c>
      <c r="F111" s="37">
        <v>10207</v>
      </c>
      <c r="G111" s="44">
        <v>3</v>
      </c>
      <c r="H111" s="44">
        <v>0</v>
      </c>
      <c r="I111" s="44">
        <v>0.3</v>
      </c>
      <c r="J111" s="44">
        <v>3</v>
      </c>
      <c r="K111" s="44">
        <v>0</v>
      </c>
      <c r="L111" s="44">
        <v>0.3</v>
      </c>
      <c r="M111" s="44">
        <v>2</v>
      </c>
      <c r="N111" s="44">
        <v>1</v>
      </c>
      <c r="O111" s="44">
        <v>0.2</v>
      </c>
      <c r="P111" s="44">
        <v>0.1</v>
      </c>
      <c r="Q111" s="44">
        <v>-1</v>
      </c>
      <c r="R111" s="44">
        <v>-0.1</v>
      </c>
      <c r="S111" s="44">
        <v>-1</v>
      </c>
      <c r="T111" s="44">
        <v>-0.1</v>
      </c>
      <c r="U111" s="44">
        <v>2</v>
      </c>
      <c r="V111" s="44">
        <v>0.2</v>
      </c>
      <c r="W111" s="44">
        <v>2</v>
      </c>
      <c r="X111" s="44">
        <v>1</v>
      </c>
      <c r="Y111" s="44">
        <v>0.2</v>
      </c>
      <c r="Z111" s="44">
        <v>0.1</v>
      </c>
      <c r="AA111" s="45">
        <v>5</v>
      </c>
      <c r="AB111" s="45">
        <v>1</v>
      </c>
      <c r="AC111" s="44">
        <v>0.49</v>
      </c>
      <c r="AD111" s="44">
        <v>0.1</v>
      </c>
      <c r="AE111" s="44">
        <v>11</v>
      </c>
      <c r="AF111" s="44">
        <v>5</v>
      </c>
      <c r="AG111" s="44">
        <v>1.08</v>
      </c>
      <c r="AH111" s="44">
        <v>0.49</v>
      </c>
      <c r="AI111" s="44">
        <v>20</v>
      </c>
      <c r="AJ111" s="44">
        <v>9</v>
      </c>
    </row>
    <row r="112" spans="1:36" x14ac:dyDescent="0.35">
      <c r="A112" s="44" t="s">
        <v>150</v>
      </c>
      <c r="B112" s="44" t="s">
        <v>55</v>
      </c>
      <c r="C112" s="44">
        <v>36006</v>
      </c>
      <c r="D112" s="37">
        <v>10003</v>
      </c>
      <c r="E112" s="37">
        <v>10142</v>
      </c>
      <c r="F112" s="37">
        <v>10235</v>
      </c>
      <c r="G112" s="44">
        <v>2</v>
      </c>
      <c r="H112" s="44">
        <v>0</v>
      </c>
      <c r="I112" s="44">
        <v>0.2</v>
      </c>
      <c r="J112" s="44">
        <v>2</v>
      </c>
      <c r="K112" s="44">
        <v>0</v>
      </c>
      <c r="L112" s="44">
        <v>0.2</v>
      </c>
      <c r="M112" s="44">
        <v>1</v>
      </c>
      <c r="N112" s="44">
        <v>1</v>
      </c>
      <c r="O112" s="44">
        <v>0.1</v>
      </c>
      <c r="P112" s="44">
        <v>0.1</v>
      </c>
      <c r="Q112" s="44">
        <v>-1</v>
      </c>
      <c r="R112" s="44">
        <v>-0.1</v>
      </c>
      <c r="S112" s="44">
        <v>-1</v>
      </c>
      <c r="T112" s="44">
        <v>-0.1</v>
      </c>
      <c r="U112" s="44">
        <v>0</v>
      </c>
      <c r="V112" s="44">
        <v>0</v>
      </c>
      <c r="W112" s="44">
        <v>2</v>
      </c>
      <c r="X112" s="44">
        <v>2</v>
      </c>
      <c r="Y112" s="44">
        <v>0.2</v>
      </c>
      <c r="Z112" s="44">
        <v>0.2</v>
      </c>
      <c r="AA112" s="45">
        <v>3</v>
      </c>
      <c r="AB112" s="45">
        <v>2</v>
      </c>
      <c r="AC112" s="44">
        <v>0.28999999999999998</v>
      </c>
      <c r="AD112" s="44">
        <v>0.2</v>
      </c>
      <c r="AE112" s="44">
        <v>3</v>
      </c>
      <c r="AF112" s="44">
        <v>2</v>
      </c>
      <c r="AG112" s="44">
        <v>0.28999999999999998</v>
      </c>
      <c r="AH112" s="44">
        <v>0.2</v>
      </c>
      <c r="AI112" s="44">
        <v>20</v>
      </c>
      <c r="AJ112" s="44">
        <v>17</v>
      </c>
    </row>
    <row r="113" spans="1:36" x14ac:dyDescent="0.35">
      <c r="A113" s="44" t="s">
        <v>185</v>
      </c>
      <c r="B113" s="44" t="s">
        <v>48</v>
      </c>
      <c r="C113" s="44">
        <v>13014</v>
      </c>
      <c r="D113" s="37">
        <v>21895</v>
      </c>
      <c r="E113" s="37">
        <v>22245</v>
      </c>
      <c r="F113" s="37">
        <v>22278</v>
      </c>
      <c r="G113" s="44">
        <v>0</v>
      </c>
      <c r="H113" s="44">
        <v>0</v>
      </c>
      <c r="I113" s="44">
        <v>0</v>
      </c>
      <c r="J113" s="44">
        <v>0</v>
      </c>
      <c r="K113" s="44">
        <v>0</v>
      </c>
      <c r="L113" s="44">
        <v>0</v>
      </c>
      <c r="M113" s="44">
        <v>0</v>
      </c>
      <c r="N113" s="44">
        <v>0</v>
      </c>
      <c r="O113" s="44">
        <v>0</v>
      </c>
      <c r="P113" s="44">
        <v>0</v>
      </c>
      <c r="Q113" s="44">
        <v>0</v>
      </c>
      <c r="R113" s="44">
        <v>0</v>
      </c>
      <c r="S113" s="44">
        <v>0</v>
      </c>
      <c r="T113" s="44">
        <v>0</v>
      </c>
      <c r="U113" s="44">
        <v>0</v>
      </c>
      <c r="V113" s="44">
        <v>0</v>
      </c>
      <c r="W113" s="44">
        <v>0</v>
      </c>
      <c r="X113" s="44">
        <v>0</v>
      </c>
      <c r="Y113" s="44">
        <v>0</v>
      </c>
      <c r="Z113" s="44">
        <v>0</v>
      </c>
      <c r="AA113" s="45">
        <v>0</v>
      </c>
      <c r="AB113" s="45">
        <v>0</v>
      </c>
      <c r="AC113" s="44">
        <v>0</v>
      </c>
      <c r="AD113" s="44">
        <v>0</v>
      </c>
      <c r="AE113" s="44">
        <v>4</v>
      </c>
      <c r="AF113" s="44">
        <v>4</v>
      </c>
      <c r="AG113" s="44">
        <v>0.18</v>
      </c>
      <c r="AH113" s="44">
        <v>0.18</v>
      </c>
      <c r="AI113" s="44">
        <v>45</v>
      </c>
      <c r="AJ113" s="44">
        <v>41</v>
      </c>
    </row>
    <row r="114" spans="1:36" x14ac:dyDescent="0.35">
      <c r="A114" s="44" t="s">
        <v>297</v>
      </c>
      <c r="B114" s="44" t="s">
        <v>50</v>
      </c>
      <c r="C114" s="44">
        <v>45062</v>
      </c>
      <c r="D114" s="37">
        <v>2023</v>
      </c>
      <c r="E114" s="37">
        <v>2036</v>
      </c>
      <c r="F114" s="37">
        <v>2012</v>
      </c>
      <c r="G114" s="44">
        <v>0</v>
      </c>
      <c r="H114" s="44">
        <v>0</v>
      </c>
      <c r="I114" s="44">
        <v>0</v>
      </c>
      <c r="J114" s="44">
        <v>0</v>
      </c>
      <c r="K114" s="44">
        <v>0</v>
      </c>
      <c r="L114" s="44">
        <v>0</v>
      </c>
      <c r="M114" s="44">
        <v>0</v>
      </c>
      <c r="N114" s="44">
        <v>0</v>
      </c>
      <c r="O114" s="44">
        <v>0</v>
      </c>
      <c r="P114" s="44">
        <v>0</v>
      </c>
      <c r="Q114" s="44">
        <v>0</v>
      </c>
      <c r="R114" s="44">
        <v>0</v>
      </c>
      <c r="S114" s="44">
        <v>0</v>
      </c>
      <c r="T114" s="44">
        <v>0</v>
      </c>
      <c r="U114" s="44">
        <v>0</v>
      </c>
      <c r="V114" s="44">
        <v>0</v>
      </c>
      <c r="W114" s="44">
        <v>0</v>
      </c>
      <c r="X114" s="44">
        <v>0</v>
      </c>
      <c r="Y114" s="44">
        <v>0</v>
      </c>
      <c r="Z114" s="44">
        <v>0</v>
      </c>
      <c r="AA114" s="45">
        <v>0</v>
      </c>
      <c r="AB114" s="45">
        <v>0</v>
      </c>
      <c r="AC114" s="44">
        <v>0</v>
      </c>
      <c r="AD114" s="44">
        <v>0</v>
      </c>
      <c r="AE114" s="44">
        <v>0</v>
      </c>
      <c r="AF114" s="44">
        <v>0</v>
      </c>
      <c r="AG114" s="44">
        <v>0</v>
      </c>
      <c r="AH114" s="44">
        <v>0</v>
      </c>
      <c r="AI114" s="44">
        <v>4</v>
      </c>
      <c r="AJ114" s="44">
        <v>4</v>
      </c>
    </row>
    <row r="115" spans="1:36" x14ac:dyDescent="0.35">
      <c r="A115" s="44" t="s">
        <v>296</v>
      </c>
      <c r="B115" s="44" t="s">
        <v>59</v>
      </c>
      <c r="C115" s="44">
        <v>72039</v>
      </c>
      <c r="D115" s="37">
        <v>30844</v>
      </c>
      <c r="E115" s="37">
        <v>30960</v>
      </c>
      <c r="F115" s="37">
        <v>30896</v>
      </c>
      <c r="G115" s="44">
        <v>1</v>
      </c>
      <c r="H115" s="44">
        <v>0</v>
      </c>
      <c r="I115" s="44">
        <v>0.03</v>
      </c>
      <c r="J115" s="44">
        <v>0</v>
      </c>
      <c r="K115" s="44">
        <v>0</v>
      </c>
      <c r="L115" s="44">
        <v>0</v>
      </c>
      <c r="M115" s="44">
        <v>0</v>
      </c>
      <c r="N115" s="44">
        <v>0</v>
      </c>
      <c r="O115" s="44">
        <v>0</v>
      </c>
      <c r="P115" s="44">
        <v>0</v>
      </c>
      <c r="Q115" s="44">
        <v>-1</v>
      </c>
      <c r="R115" s="44">
        <v>-0.03</v>
      </c>
      <c r="S115" s="44">
        <v>0</v>
      </c>
      <c r="T115" s="44">
        <v>0</v>
      </c>
      <c r="U115" s="44">
        <v>0</v>
      </c>
      <c r="V115" s="44">
        <v>0</v>
      </c>
      <c r="W115" s="44">
        <v>1</v>
      </c>
      <c r="X115" s="44">
        <v>1</v>
      </c>
      <c r="Y115" s="44">
        <v>0.03</v>
      </c>
      <c r="Z115" s="44">
        <v>0.03</v>
      </c>
      <c r="AA115" s="45">
        <v>3</v>
      </c>
      <c r="AB115" s="45">
        <v>1</v>
      </c>
      <c r="AC115" s="44">
        <v>0.1</v>
      </c>
      <c r="AD115" s="44">
        <v>0.03</v>
      </c>
      <c r="AE115" s="44">
        <v>3</v>
      </c>
      <c r="AF115" s="44">
        <v>1</v>
      </c>
      <c r="AG115" s="44">
        <v>0.1</v>
      </c>
      <c r="AH115" s="44">
        <v>0.03</v>
      </c>
      <c r="AI115" s="44">
        <v>62</v>
      </c>
      <c r="AJ115" s="44">
        <v>59</v>
      </c>
    </row>
    <row r="116" spans="1:36" x14ac:dyDescent="0.35">
      <c r="A116" s="44" t="s">
        <v>261</v>
      </c>
      <c r="B116" s="44" t="s">
        <v>55</v>
      </c>
      <c r="C116" s="44">
        <v>32006</v>
      </c>
      <c r="D116" s="37">
        <v>10267</v>
      </c>
      <c r="E116" s="37">
        <v>10332</v>
      </c>
      <c r="F116" s="37">
        <v>10464</v>
      </c>
      <c r="G116" s="44">
        <v>0</v>
      </c>
      <c r="H116" s="44">
        <v>0</v>
      </c>
      <c r="I116" s="44">
        <v>0</v>
      </c>
      <c r="J116" s="44">
        <v>0</v>
      </c>
      <c r="K116" s="44">
        <v>0</v>
      </c>
      <c r="L116" s="44">
        <v>0</v>
      </c>
      <c r="M116" s="44">
        <v>0</v>
      </c>
      <c r="N116" s="44">
        <v>0</v>
      </c>
      <c r="O116" s="44">
        <v>0</v>
      </c>
      <c r="P116" s="44">
        <v>0</v>
      </c>
      <c r="Q116" s="44">
        <v>0</v>
      </c>
      <c r="R116" s="44">
        <v>0</v>
      </c>
      <c r="S116" s="44">
        <v>0</v>
      </c>
      <c r="T116" s="44">
        <v>0</v>
      </c>
      <c r="U116" s="44">
        <v>0</v>
      </c>
      <c r="V116" s="44">
        <v>0</v>
      </c>
      <c r="W116" s="44">
        <v>0</v>
      </c>
      <c r="X116" s="44">
        <v>0</v>
      </c>
      <c r="Y116" s="44">
        <v>0</v>
      </c>
      <c r="Z116" s="44">
        <v>0</v>
      </c>
      <c r="AA116" s="45">
        <v>1</v>
      </c>
      <c r="AB116" s="45">
        <v>0</v>
      </c>
      <c r="AC116" s="44">
        <v>0.1</v>
      </c>
      <c r="AD116" s="44">
        <v>0</v>
      </c>
      <c r="AE116" s="44">
        <v>2</v>
      </c>
      <c r="AF116" s="44">
        <v>1</v>
      </c>
      <c r="AG116" s="44">
        <v>0.19</v>
      </c>
      <c r="AH116" s="44">
        <v>0.1</v>
      </c>
      <c r="AI116" s="44">
        <v>21</v>
      </c>
      <c r="AJ116" s="44">
        <v>19</v>
      </c>
    </row>
    <row r="117" spans="1:36" x14ac:dyDescent="0.35">
      <c r="A117" s="44" t="s">
        <v>196</v>
      </c>
      <c r="B117" s="44" t="s">
        <v>48</v>
      </c>
      <c r="C117" s="44">
        <v>11021</v>
      </c>
      <c r="D117" s="37">
        <v>8311</v>
      </c>
      <c r="E117" s="37">
        <v>8444</v>
      </c>
      <c r="F117" s="37">
        <v>8406</v>
      </c>
      <c r="G117" s="44">
        <v>0</v>
      </c>
      <c r="H117" s="44">
        <v>0</v>
      </c>
      <c r="I117" s="44">
        <v>0</v>
      </c>
      <c r="J117" s="44">
        <v>0</v>
      </c>
      <c r="K117" s="44">
        <v>0</v>
      </c>
      <c r="L117" s="44">
        <v>0</v>
      </c>
      <c r="M117" s="44">
        <v>0</v>
      </c>
      <c r="N117" s="44">
        <v>0</v>
      </c>
      <c r="O117" s="44">
        <v>0</v>
      </c>
      <c r="P117" s="44">
        <v>0</v>
      </c>
      <c r="Q117" s="44">
        <v>0</v>
      </c>
      <c r="R117" s="44">
        <v>0</v>
      </c>
      <c r="S117" s="44">
        <v>0</v>
      </c>
      <c r="T117" s="44">
        <v>0</v>
      </c>
      <c r="U117" s="44">
        <v>0</v>
      </c>
      <c r="V117" s="44">
        <v>0</v>
      </c>
      <c r="W117" s="44">
        <v>2</v>
      </c>
      <c r="X117" s="44">
        <v>1</v>
      </c>
      <c r="Y117" s="44">
        <v>0.24</v>
      </c>
      <c r="Z117" s="44">
        <v>0.12</v>
      </c>
      <c r="AA117" s="45">
        <v>2</v>
      </c>
      <c r="AB117" s="45">
        <v>1</v>
      </c>
      <c r="AC117" s="44">
        <v>0.24</v>
      </c>
      <c r="AD117" s="44">
        <v>0.12</v>
      </c>
      <c r="AE117" s="44">
        <v>3</v>
      </c>
      <c r="AF117" s="44">
        <v>1</v>
      </c>
      <c r="AG117" s="44">
        <v>0.36</v>
      </c>
      <c r="AH117" s="44">
        <v>0.12</v>
      </c>
      <c r="AI117" s="44">
        <v>17</v>
      </c>
      <c r="AJ117" s="44">
        <v>14</v>
      </c>
    </row>
    <row r="118" spans="1:36" x14ac:dyDescent="0.35">
      <c r="A118" s="44" t="s">
        <v>134</v>
      </c>
      <c r="B118" s="44" t="s">
        <v>52</v>
      </c>
      <c r="C118" s="44">
        <v>24045</v>
      </c>
      <c r="D118" s="37">
        <v>10017</v>
      </c>
      <c r="E118" s="37">
        <v>10080</v>
      </c>
      <c r="F118" s="37">
        <v>10083</v>
      </c>
      <c r="G118" s="44">
        <v>3</v>
      </c>
      <c r="H118" s="44">
        <v>0</v>
      </c>
      <c r="I118" s="44">
        <v>0.3</v>
      </c>
      <c r="J118" s="44">
        <v>2</v>
      </c>
      <c r="K118" s="44">
        <v>0</v>
      </c>
      <c r="L118" s="44">
        <v>0.2</v>
      </c>
      <c r="M118" s="44">
        <v>2</v>
      </c>
      <c r="N118" s="44">
        <v>2</v>
      </c>
      <c r="O118" s="44">
        <v>0.2</v>
      </c>
      <c r="P118" s="44">
        <v>0.2</v>
      </c>
      <c r="Q118" s="44">
        <v>-1</v>
      </c>
      <c r="R118" s="44">
        <v>-0.1</v>
      </c>
      <c r="S118" s="44">
        <v>0</v>
      </c>
      <c r="T118" s="44">
        <v>0</v>
      </c>
      <c r="U118" s="44">
        <v>0</v>
      </c>
      <c r="V118" s="44">
        <v>0</v>
      </c>
      <c r="W118" s="44">
        <v>2</v>
      </c>
      <c r="X118" s="44">
        <v>2</v>
      </c>
      <c r="Y118" s="44">
        <v>0.2</v>
      </c>
      <c r="Z118" s="44">
        <v>0.2</v>
      </c>
      <c r="AA118" s="45">
        <v>4</v>
      </c>
      <c r="AB118" s="45">
        <v>4</v>
      </c>
      <c r="AC118" s="44">
        <v>0.4</v>
      </c>
      <c r="AD118" s="44">
        <v>0.4</v>
      </c>
      <c r="AE118" s="44">
        <v>6</v>
      </c>
      <c r="AF118" s="44">
        <v>5</v>
      </c>
      <c r="AG118" s="44">
        <v>0.6</v>
      </c>
      <c r="AH118" s="44">
        <v>0.5</v>
      </c>
      <c r="AI118" s="44">
        <v>20</v>
      </c>
      <c r="AJ118" s="44">
        <v>14</v>
      </c>
    </row>
    <row r="119" spans="1:36" x14ac:dyDescent="0.35">
      <c r="A119" s="44" t="s">
        <v>173</v>
      </c>
      <c r="B119" s="44" t="s">
        <v>48</v>
      </c>
      <c r="C119" s="44">
        <v>13016</v>
      </c>
      <c r="D119" s="37">
        <v>10560</v>
      </c>
      <c r="E119" s="37">
        <v>10564</v>
      </c>
      <c r="F119" s="37">
        <v>10594</v>
      </c>
      <c r="G119" s="44">
        <v>4</v>
      </c>
      <c r="H119" s="44">
        <v>0</v>
      </c>
      <c r="I119" s="44">
        <v>0.38</v>
      </c>
      <c r="J119" s="44">
        <v>4</v>
      </c>
      <c r="K119" s="44">
        <v>0</v>
      </c>
      <c r="L119" s="44">
        <v>0.38</v>
      </c>
      <c r="M119" s="44">
        <v>4</v>
      </c>
      <c r="N119" s="44">
        <v>0</v>
      </c>
      <c r="O119" s="44">
        <v>0.38</v>
      </c>
      <c r="P119" s="44">
        <v>0</v>
      </c>
      <c r="Q119" s="44">
        <v>0</v>
      </c>
      <c r="R119" s="44">
        <v>0</v>
      </c>
      <c r="S119" s="44">
        <v>0</v>
      </c>
      <c r="T119" s="44">
        <v>0</v>
      </c>
      <c r="U119" s="44">
        <v>0</v>
      </c>
      <c r="V119" s="44">
        <v>0</v>
      </c>
      <c r="W119" s="44">
        <v>4</v>
      </c>
      <c r="X119" s="44">
        <v>0</v>
      </c>
      <c r="Y119" s="44">
        <v>0.38</v>
      </c>
      <c r="Z119" s="44">
        <v>0</v>
      </c>
      <c r="AA119" s="45">
        <v>4</v>
      </c>
      <c r="AB119" s="45">
        <v>0</v>
      </c>
      <c r="AC119" s="44">
        <v>0.38</v>
      </c>
      <c r="AD119" s="44">
        <v>0</v>
      </c>
      <c r="AE119" s="44">
        <v>4</v>
      </c>
      <c r="AF119" s="44">
        <v>0</v>
      </c>
      <c r="AG119" s="44">
        <v>0.38</v>
      </c>
      <c r="AH119" s="44">
        <v>0</v>
      </c>
      <c r="AI119" s="44">
        <v>21</v>
      </c>
      <c r="AJ119" s="44">
        <v>17</v>
      </c>
    </row>
    <row r="120" spans="1:36" x14ac:dyDescent="0.35">
      <c r="A120" s="44" t="s">
        <v>212</v>
      </c>
      <c r="B120" s="44" t="s">
        <v>55</v>
      </c>
      <c r="C120" s="44">
        <v>35006</v>
      </c>
      <c r="D120" s="37">
        <v>14139</v>
      </c>
      <c r="E120" s="37">
        <v>14355</v>
      </c>
      <c r="F120" s="37">
        <v>14516</v>
      </c>
      <c r="G120" s="44">
        <v>0</v>
      </c>
      <c r="H120" s="44">
        <v>0</v>
      </c>
      <c r="I120" s="44">
        <v>0</v>
      </c>
      <c r="J120" s="44">
        <v>1</v>
      </c>
      <c r="K120" s="44">
        <v>1</v>
      </c>
      <c r="L120" s="44">
        <v>7.0000000000000007E-2</v>
      </c>
      <c r="M120" s="44">
        <v>1</v>
      </c>
      <c r="N120" s="44">
        <v>1</v>
      </c>
      <c r="O120" s="44">
        <v>7.0000000000000007E-2</v>
      </c>
      <c r="P120" s="44">
        <v>7.0000000000000007E-2</v>
      </c>
      <c r="Q120" s="44">
        <v>1</v>
      </c>
      <c r="R120" s="44">
        <v>7.0000000000000007E-2</v>
      </c>
      <c r="S120" s="44">
        <v>0</v>
      </c>
      <c r="T120" s="44">
        <v>0</v>
      </c>
      <c r="U120" s="44">
        <v>0</v>
      </c>
      <c r="V120" s="44">
        <v>0</v>
      </c>
      <c r="W120" s="44">
        <v>1</v>
      </c>
      <c r="X120" s="44">
        <v>1</v>
      </c>
      <c r="Y120" s="44">
        <v>7.0000000000000007E-2</v>
      </c>
      <c r="Z120" s="44">
        <v>7.0000000000000007E-2</v>
      </c>
      <c r="AA120" s="45">
        <v>1</v>
      </c>
      <c r="AB120" s="45">
        <v>1</v>
      </c>
      <c r="AC120" s="44">
        <v>7.0000000000000007E-2</v>
      </c>
      <c r="AD120" s="44">
        <v>7.0000000000000007E-2</v>
      </c>
      <c r="AE120" s="44">
        <v>1</v>
      </c>
      <c r="AF120" s="44">
        <v>1</v>
      </c>
      <c r="AG120" s="44">
        <v>7.0000000000000007E-2</v>
      </c>
      <c r="AH120" s="44">
        <v>7.0000000000000007E-2</v>
      </c>
      <c r="AI120" s="44">
        <v>29</v>
      </c>
      <c r="AJ120" s="44">
        <v>28</v>
      </c>
    </row>
    <row r="121" spans="1:36" x14ac:dyDescent="0.35">
      <c r="A121" s="44" t="s">
        <v>76</v>
      </c>
      <c r="B121" s="44" t="s">
        <v>55</v>
      </c>
      <c r="C121" s="44">
        <v>33011</v>
      </c>
      <c r="D121" s="37">
        <v>35039</v>
      </c>
      <c r="E121" s="37">
        <v>35387</v>
      </c>
      <c r="F121" s="37">
        <v>35550</v>
      </c>
      <c r="G121" s="44">
        <v>9</v>
      </c>
      <c r="H121" s="44">
        <v>0</v>
      </c>
      <c r="I121" s="44">
        <v>0.26</v>
      </c>
      <c r="J121" s="44">
        <v>6</v>
      </c>
      <c r="K121" s="44">
        <v>0</v>
      </c>
      <c r="L121" s="44">
        <v>0.17</v>
      </c>
      <c r="M121" s="44">
        <v>9</v>
      </c>
      <c r="N121" s="44">
        <v>0</v>
      </c>
      <c r="O121" s="44">
        <v>0.25</v>
      </c>
      <c r="P121" s="44">
        <v>0</v>
      </c>
      <c r="Q121" s="44">
        <v>0</v>
      </c>
      <c r="R121" s="44">
        <v>0</v>
      </c>
      <c r="S121" s="44">
        <v>3</v>
      </c>
      <c r="T121" s="44">
        <v>0.08</v>
      </c>
      <c r="U121" s="44">
        <v>2</v>
      </c>
      <c r="V121" s="44">
        <v>0.06</v>
      </c>
      <c r="W121" s="44">
        <v>12</v>
      </c>
      <c r="X121" s="44">
        <v>0</v>
      </c>
      <c r="Y121" s="44">
        <v>0.34</v>
      </c>
      <c r="Z121" s="44">
        <v>0</v>
      </c>
      <c r="AA121" s="45">
        <v>14</v>
      </c>
      <c r="AB121" s="45">
        <v>1</v>
      </c>
      <c r="AC121" s="44">
        <v>0.39</v>
      </c>
      <c r="AD121" s="44">
        <v>0.03</v>
      </c>
      <c r="AE121" s="44">
        <v>15</v>
      </c>
      <c r="AF121" s="44">
        <v>1</v>
      </c>
      <c r="AG121" s="44">
        <v>0.42</v>
      </c>
      <c r="AH121" s="44">
        <v>0.03</v>
      </c>
      <c r="AI121" s="44">
        <v>71</v>
      </c>
      <c r="AJ121" s="44">
        <v>56</v>
      </c>
    </row>
    <row r="122" spans="1:36" x14ac:dyDescent="0.35">
      <c r="A122" s="44" t="s">
        <v>263</v>
      </c>
      <c r="B122" s="44" t="s">
        <v>55</v>
      </c>
      <c r="C122" s="44">
        <v>36007</v>
      </c>
      <c r="D122" s="37">
        <v>11294</v>
      </c>
      <c r="E122" s="37">
        <v>11454</v>
      </c>
      <c r="F122" s="37">
        <v>11537</v>
      </c>
      <c r="G122" s="44">
        <v>0</v>
      </c>
      <c r="H122" s="44">
        <v>0</v>
      </c>
      <c r="I122" s="44">
        <v>0</v>
      </c>
      <c r="J122" s="44">
        <v>0</v>
      </c>
      <c r="K122" s="44">
        <v>0</v>
      </c>
      <c r="L122" s="44">
        <v>0</v>
      </c>
      <c r="M122" s="44">
        <v>1</v>
      </c>
      <c r="N122" s="44">
        <v>0</v>
      </c>
      <c r="O122" s="44">
        <v>0.09</v>
      </c>
      <c r="P122" s="44">
        <v>0</v>
      </c>
      <c r="Q122" s="44">
        <v>1</v>
      </c>
      <c r="R122" s="44">
        <v>0.09</v>
      </c>
      <c r="S122" s="44">
        <v>1</v>
      </c>
      <c r="T122" s="44">
        <v>0.09</v>
      </c>
      <c r="U122" s="44">
        <v>0</v>
      </c>
      <c r="V122" s="44">
        <v>0</v>
      </c>
      <c r="W122" s="44">
        <v>0</v>
      </c>
      <c r="X122" s="44">
        <v>0</v>
      </c>
      <c r="Y122" s="44">
        <v>0</v>
      </c>
      <c r="Z122" s="44">
        <v>0</v>
      </c>
      <c r="AA122" s="45">
        <v>2</v>
      </c>
      <c r="AB122" s="45">
        <v>0</v>
      </c>
      <c r="AC122" s="44">
        <v>0.17</v>
      </c>
      <c r="AD122" s="44">
        <v>0</v>
      </c>
      <c r="AE122" s="44">
        <v>1</v>
      </c>
      <c r="AF122" s="44">
        <v>0</v>
      </c>
      <c r="AG122" s="44">
        <v>0.09</v>
      </c>
      <c r="AH122" s="44">
        <v>0</v>
      </c>
      <c r="AI122" s="44">
        <v>23</v>
      </c>
      <c r="AJ122" s="44">
        <v>22</v>
      </c>
    </row>
    <row r="123" spans="1:36" x14ac:dyDescent="0.35">
      <c r="A123" s="44" t="s">
        <v>129</v>
      </c>
      <c r="B123" s="44" t="s">
        <v>55</v>
      </c>
      <c r="C123" s="44">
        <v>36008</v>
      </c>
      <c r="D123" s="37">
        <v>28845</v>
      </c>
      <c r="E123" s="37">
        <v>29013</v>
      </c>
      <c r="F123" s="37">
        <v>29227</v>
      </c>
      <c r="G123" s="44">
        <v>0</v>
      </c>
      <c r="H123" s="44">
        <v>0</v>
      </c>
      <c r="I123" s="44">
        <v>0</v>
      </c>
      <c r="J123" s="44">
        <v>2</v>
      </c>
      <c r="K123" s="44">
        <v>0</v>
      </c>
      <c r="L123" s="44">
        <v>7.0000000000000007E-2</v>
      </c>
      <c r="M123" s="44">
        <v>2</v>
      </c>
      <c r="N123" s="44">
        <v>0</v>
      </c>
      <c r="O123" s="44">
        <v>7.0000000000000007E-2</v>
      </c>
      <c r="P123" s="44">
        <v>0</v>
      </c>
      <c r="Q123" s="44">
        <v>2</v>
      </c>
      <c r="R123" s="44">
        <v>7.0000000000000007E-2</v>
      </c>
      <c r="S123" s="44">
        <v>0</v>
      </c>
      <c r="T123" s="44">
        <v>0</v>
      </c>
      <c r="U123" s="44">
        <v>0</v>
      </c>
      <c r="V123" s="44">
        <v>0</v>
      </c>
      <c r="W123" s="44">
        <v>6</v>
      </c>
      <c r="X123" s="44">
        <v>0</v>
      </c>
      <c r="Y123" s="44">
        <v>0.21</v>
      </c>
      <c r="Z123" s="44">
        <v>0</v>
      </c>
      <c r="AA123" s="45">
        <v>7</v>
      </c>
      <c r="AB123" s="45">
        <v>1</v>
      </c>
      <c r="AC123" s="44">
        <v>0.24</v>
      </c>
      <c r="AD123" s="44">
        <v>0.03</v>
      </c>
      <c r="AE123" s="44">
        <v>6</v>
      </c>
      <c r="AF123" s="44">
        <v>2</v>
      </c>
      <c r="AG123" s="44">
        <v>0.21</v>
      </c>
      <c r="AH123" s="44">
        <v>7.0000000000000007E-2</v>
      </c>
      <c r="AI123" s="44">
        <v>58</v>
      </c>
      <c r="AJ123" s="44">
        <v>52</v>
      </c>
    </row>
    <row r="124" spans="1:36" x14ac:dyDescent="0.35">
      <c r="A124" s="44" t="s">
        <v>273</v>
      </c>
      <c r="B124" s="44" t="s">
        <v>55</v>
      </c>
      <c r="C124" s="44">
        <v>31012</v>
      </c>
      <c r="D124" s="37">
        <v>14222</v>
      </c>
      <c r="E124" s="37">
        <v>14539</v>
      </c>
      <c r="F124" s="37">
        <v>14832</v>
      </c>
      <c r="G124" s="44">
        <v>0</v>
      </c>
      <c r="H124" s="44">
        <v>0</v>
      </c>
      <c r="I124" s="44">
        <v>0</v>
      </c>
      <c r="J124" s="44">
        <v>0</v>
      </c>
      <c r="K124" s="44">
        <v>0</v>
      </c>
      <c r="L124" s="44">
        <v>0</v>
      </c>
      <c r="M124" s="44">
        <v>0</v>
      </c>
      <c r="N124" s="44">
        <v>0</v>
      </c>
      <c r="O124" s="44">
        <v>0</v>
      </c>
      <c r="P124" s="44">
        <v>0</v>
      </c>
      <c r="Q124" s="44">
        <v>0</v>
      </c>
      <c r="R124" s="44">
        <v>0</v>
      </c>
      <c r="S124" s="44">
        <v>0</v>
      </c>
      <c r="T124" s="44">
        <v>0</v>
      </c>
      <c r="U124" s="44">
        <v>0</v>
      </c>
      <c r="V124" s="44">
        <v>0</v>
      </c>
      <c r="W124" s="44">
        <v>0</v>
      </c>
      <c r="X124" s="44">
        <v>0</v>
      </c>
      <c r="Y124" s="44">
        <v>0</v>
      </c>
      <c r="Z124" s="44">
        <v>0</v>
      </c>
      <c r="AA124" s="45">
        <v>0</v>
      </c>
      <c r="AB124" s="45">
        <v>0</v>
      </c>
      <c r="AC124" s="44">
        <v>0</v>
      </c>
      <c r="AD124" s="44">
        <v>0</v>
      </c>
      <c r="AE124" s="44">
        <v>1</v>
      </c>
      <c r="AF124" s="44">
        <v>1</v>
      </c>
      <c r="AG124" s="44">
        <v>7.0000000000000007E-2</v>
      </c>
      <c r="AH124" s="44">
        <v>7.0000000000000007E-2</v>
      </c>
      <c r="AI124" s="44">
        <v>30</v>
      </c>
      <c r="AJ124" s="44">
        <v>29</v>
      </c>
    </row>
    <row r="125" spans="1:36" x14ac:dyDescent="0.35">
      <c r="A125" s="44" t="s">
        <v>163</v>
      </c>
      <c r="B125" s="44" t="s">
        <v>48</v>
      </c>
      <c r="C125" s="44">
        <v>11022</v>
      </c>
      <c r="D125" s="37">
        <v>19179</v>
      </c>
      <c r="E125" s="37">
        <v>19422</v>
      </c>
      <c r="F125" s="37">
        <v>19672</v>
      </c>
      <c r="G125" s="44">
        <v>6</v>
      </c>
      <c r="H125" s="44">
        <v>0</v>
      </c>
      <c r="I125" s="44">
        <v>0.31</v>
      </c>
      <c r="J125" s="44">
        <v>5</v>
      </c>
      <c r="K125" s="44">
        <v>0</v>
      </c>
      <c r="L125" s="44">
        <v>0.26</v>
      </c>
      <c r="M125" s="44">
        <v>3</v>
      </c>
      <c r="N125" s="44">
        <v>2</v>
      </c>
      <c r="O125" s="44">
        <v>0.15</v>
      </c>
      <c r="P125" s="44">
        <v>0.1</v>
      </c>
      <c r="Q125" s="44">
        <v>-3</v>
      </c>
      <c r="R125" s="44">
        <v>-0.16</v>
      </c>
      <c r="S125" s="44">
        <v>-2</v>
      </c>
      <c r="T125" s="44">
        <v>-0.11</v>
      </c>
      <c r="U125" s="44">
        <v>1</v>
      </c>
      <c r="V125" s="44">
        <v>0.05</v>
      </c>
      <c r="W125" s="44">
        <v>4</v>
      </c>
      <c r="X125" s="44">
        <v>2</v>
      </c>
      <c r="Y125" s="44">
        <v>0.21</v>
      </c>
      <c r="Z125" s="44">
        <v>0.1</v>
      </c>
      <c r="AA125" s="45">
        <v>5</v>
      </c>
      <c r="AB125" s="45">
        <v>3</v>
      </c>
      <c r="AC125" s="44">
        <v>0.25</v>
      </c>
      <c r="AD125" s="44">
        <v>0.15</v>
      </c>
      <c r="AE125" s="44">
        <v>6</v>
      </c>
      <c r="AF125" s="44">
        <v>4</v>
      </c>
      <c r="AG125" s="44">
        <v>0.31</v>
      </c>
      <c r="AH125" s="44">
        <v>0.2</v>
      </c>
      <c r="AI125" s="44">
        <v>39</v>
      </c>
      <c r="AJ125" s="44">
        <v>33</v>
      </c>
    </row>
    <row r="126" spans="1:36" x14ac:dyDescent="0.35">
      <c r="A126" s="44" t="s">
        <v>207</v>
      </c>
      <c r="B126" s="44" t="s">
        <v>52</v>
      </c>
      <c r="C126" s="44">
        <v>23038</v>
      </c>
      <c r="D126" s="37">
        <v>12350</v>
      </c>
      <c r="E126" s="37">
        <v>12445</v>
      </c>
      <c r="F126" s="37">
        <v>12528</v>
      </c>
      <c r="G126" s="44">
        <v>3</v>
      </c>
      <c r="H126" s="44">
        <v>0</v>
      </c>
      <c r="I126" s="44">
        <v>0.24</v>
      </c>
      <c r="J126" s="44">
        <v>2</v>
      </c>
      <c r="K126" s="44">
        <v>0</v>
      </c>
      <c r="L126" s="44">
        <v>0.16</v>
      </c>
      <c r="M126" s="44">
        <v>2</v>
      </c>
      <c r="N126" s="44">
        <v>0</v>
      </c>
      <c r="O126" s="44">
        <v>0.16</v>
      </c>
      <c r="P126" s="44">
        <v>0</v>
      </c>
      <c r="Q126" s="44">
        <v>-1</v>
      </c>
      <c r="R126" s="44">
        <v>-0.08</v>
      </c>
      <c r="S126" s="44">
        <v>0</v>
      </c>
      <c r="T126" s="44">
        <v>0</v>
      </c>
      <c r="U126" s="44">
        <v>0</v>
      </c>
      <c r="V126" s="44">
        <v>0</v>
      </c>
      <c r="W126" s="44">
        <v>2</v>
      </c>
      <c r="X126" s="44">
        <v>0</v>
      </c>
      <c r="Y126" s="44">
        <v>0.16</v>
      </c>
      <c r="Z126" s="44">
        <v>0</v>
      </c>
      <c r="AA126" s="45">
        <v>2</v>
      </c>
      <c r="AB126" s="45">
        <v>2</v>
      </c>
      <c r="AC126" s="44">
        <v>0.16</v>
      </c>
      <c r="AD126" s="44">
        <v>0.16</v>
      </c>
      <c r="AE126" s="44">
        <v>4</v>
      </c>
      <c r="AF126" s="44">
        <v>2</v>
      </c>
      <c r="AG126" s="44">
        <v>0.32</v>
      </c>
      <c r="AH126" s="44">
        <v>0.16</v>
      </c>
      <c r="AI126" s="44">
        <v>25</v>
      </c>
      <c r="AJ126" s="44">
        <v>21</v>
      </c>
    </row>
    <row r="127" spans="1:36" x14ac:dyDescent="0.35">
      <c r="A127" s="44" t="s">
        <v>258</v>
      </c>
      <c r="B127" s="44" t="s">
        <v>52</v>
      </c>
      <c r="C127" s="44">
        <v>23039</v>
      </c>
      <c r="D127" s="37">
        <v>9610</v>
      </c>
      <c r="E127" s="37">
        <v>9659</v>
      </c>
      <c r="F127" s="37">
        <v>9703</v>
      </c>
      <c r="G127" s="44">
        <v>0</v>
      </c>
      <c r="H127" s="44">
        <v>0</v>
      </c>
      <c r="I127" s="44">
        <v>0</v>
      </c>
      <c r="J127" s="44">
        <v>0</v>
      </c>
      <c r="K127" s="44">
        <v>0</v>
      </c>
      <c r="L127" s="44">
        <v>0</v>
      </c>
      <c r="M127" s="44">
        <v>0</v>
      </c>
      <c r="N127" s="44">
        <v>0</v>
      </c>
      <c r="O127" s="44">
        <v>0</v>
      </c>
      <c r="P127" s="44">
        <v>0</v>
      </c>
      <c r="Q127" s="44">
        <v>0</v>
      </c>
      <c r="R127" s="44">
        <v>0</v>
      </c>
      <c r="S127" s="44">
        <v>0</v>
      </c>
      <c r="T127" s="44">
        <v>0</v>
      </c>
      <c r="U127" s="44">
        <v>0</v>
      </c>
      <c r="V127" s="44">
        <v>0</v>
      </c>
      <c r="W127" s="44">
        <v>0</v>
      </c>
      <c r="X127" s="44">
        <v>0</v>
      </c>
      <c r="Y127" s="44">
        <v>0</v>
      </c>
      <c r="Z127" s="44">
        <v>0</v>
      </c>
      <c r="AA127" s="45">
        <v>0</v>
      </c>
      <c r="AB127" s="45">
        <v>0</v>
      </c>
      <c r="AC127" s="44">
        <v>0</v>
      </c>
      <c r="AD127" s="44">
        <v>0</v>
      </c>
      <c r="AE127" s="44">
        <v>2</v>
      </c>
      <c r="AF127" s="44">
        <v>0</v>
      </c>
      <c r="AG127" s="44">
        <v>0.21</v>
      </c>
      <c r="AH127" s="44">
        <v>0</v>
      </c>
      <c r="AI127" s="44">
        <v>19</v>
      </c>
      <c r="AJ127" s="44">
        <v>17</v>
      </c>
    </row>
    <row r="128" spans="1:36" x14ac:dyDescent="0.35">
      <c r="A128" s="44" t="s">
        <v>312</v>
      </c>
      <c r="B128" s="44" t="s">
        <v>48</v>
      </c>
      <c r="C128" s="44">
        <v>11023</v>
      </c>
      <c r="D128" s="37">
        <v>27442</v>
      </c>
      <c r="E128" s="37">
        <v>27743</v>
      </c>
      <c r="F128" s="37">
        <v>27782</v>
      </c>
      <c r="G128" s="44">
        <v>21</v>
      </c>
      <c r="H128" s="44">
        <v>0</v>
      </c>
      <c r="I128" s="44">
        <v>0.77</v>
      </c>
      <c r="J128" s="44">
        <v>10</v>
      </c>
      <c r="K128" s="44">
        <v>0</v>
      </c>
      <c r="L128" s="44">
        <v>0.36</v>
      </c>
      <c r="M128" s="44">
        <v>1</v>
      </c>
      <c r="N128" s="44">
        <v>0</v>
      </c>
      <c r="O128" s="44">
        <v>0.04</v>
      </c>
      <c r="P128" s="44">
        <v>0</v>
      </c>
      <c r="Q128" s="44">
        <v>-20</v>
      </c>
      <c r="R128" s="44">
        <v>-0.73</v>
      </c>
      <c r="S128" s="44">
        <v>-9</v>
      </c>
      <c r="T128" s="44">
        <v>-0.33</v>
      </c>
      <c r="U128" s="44">
        <v>1</v>
      </c>
      <c r="V128" s="44">
        <v>0.04</v>
      </c>
      <c r="W128" s="44">
        <v>2</v>
      </c>
      <c r="X128" s="44">
        <v>0</v>
      </c>
      <c r="Y128" s="44">
        <v>7.0000000000000007E-2</v>
      </c>
      <c r="Z128" s="44">
        <v>0</v>
      </c>
      <c r="AA128" s="45">
        <v>2</v>
      </c>
      <c r="AB128" s="45">
        <v>0</v>
      </c>
      <c r="AC128" s="44">
        <v>7.0000000000000007E-2</v>
      </c>
      <c r="AD128" s="44">
        <v>0</v>
      </c>
      <c r="AE128" s="44">
        <v>2</v>
      </c>
      <c r="AF128" s="44">
        <v>0</v>
      </c>
      <c r="AG128" s="44">
        <v>7.0000000000000007E-2</v>
      </c>
      <c r="AH128" s="44">
        <v>0</v>
      </c>
      <c r="AI128" s="44">
        <v>56</v>
      </c>
      <c r="AJ128" s="44">
        <v>54</v>
      </c>
    </row>
    <row r="129" spans="1:36" x14ac:dyDescent="0.35">
      <c r="A129" s="44" t="s">
        <v>247</v>
      </c>
      <c r="B129" s="44" t="s">
        <v>50</v>
      </c>
      <c r="C129" s="44">
        <v>43007</v>
      </c>
      <c r="D129" s="37">
        <v>6539</v>
      </c>
      <c r="E129" s="37">
        <v>6587</v>
      </c>
      <c r="F129" s="37">
        <v>6660</v>
      </c>
      <c r="G129" s="44">
        <v>1</v>
      </c>
      <c r="H129" s="44">
        <v>0</v>
      </c>
      <c r="I129" s="44">
        <v>0.15</v>
      </c>
      <c r="J129" s="44">
        <v>0</v>
      </c>
      <c r="K129" s="44">
        <v>0</v>
      </c>
      <c r="L129" s="44">
        <v>0</v>
      </c>
      <c r="M129" s="44">
        <v>0</v>
      </c>
      <c r="N129" s="44">
        <v>0</v>
      </c>
      <c r="O129" s="44">
        <v>0</v>
      </c>
      <c r="P129" s="44">
        <v>0</v>
      </c>
      <c r="Q129" s="44">
        <v>-1</v>
      </c>
      <c r="R129" s="44">
        <v>-0.15</v>
      </c>
      <c r="S129" s="44">
        <v>0</v>
      </c>
      <c r="T129" s="44">
        <v>0</v>
      </c>
      <c r="U129" s="44">
        <v>0</v>
      </c>
      <c r="V129" s="44">
        <v>0</v>
      </c>
      <c r="W129" s="44">
        <v>1</v>
      </c>
      <c r="X129" s="44">
        <v>0</v>
      </c>
      <c r="Y129" s="44">
        <v>0.15</v>
      </c>
      <c r="Z129" s="44">
        <v>0</v>
      </c>
      <c r="AA129" s="45">
        <v>1</v>
      </c>
      <c r="AB129" s="45">
        <v>0</v>
      </c>
      <c r="AC129" s="44">
        <v>0.15</v>
      </c>
      <c r="AD129" s="44">
        <v>0</v>
      </c>
      <c r="AE129" s="44">
        <v>2</v>
      </c>
      <c r="AF129" s="44">
        <v>0</v>
      </c>
      <c r="AG129" s="44">
        <v>0.3</v>
      </c>
      <c r="AH129" s="44">
        <v>0</v>
      </c>
      <c r="AI129" s="44">
        <v>13</v>
      </c>
      <c r="AJ129" s="44">
        <v>11</v>
      </c>
    </row>
    <row r="130" spans="1:36" x14ac:dyDescent="0.35">
      <c r="A130" s="44" t="s">
        <v>181</v>
      </c>
      <c r="B130" s="44" t="s">
        <v>48</v>
      </c>
      <c r="C130" s="44">
        <v>13017</v>
      </c>
      <c r="D130" s="37">
        <v>19140</v>
      </c>
      <c r="E130" s="37">
        <v>19478</v>
      </c>
      <c r="F130" s="37">
        <v>19648</v>
      </c>
      <c r="G130" s="44">
        <v>0</v>
      </c>
      <c r="H130" s="44">
        <v>0</v>
      </c>
      <c r="I130" s="44">
        <v>0</v>
      </c>
      <c r="J130" s="44">
        <v>0</v>
      </c>
      <c r="K130" s="44">
        <v>0</v>
      </c>
      <c r="L130" s="44">
        <v>0</v>
      </c>
      <c r="M130" s="44">
        <v>1</v>
      </c>
      <c r="N130" s="44">
        <v>0</v>
      </c>
      <c r="O130" s="44">
        <v>0.05</v>
      </c>
      <c r="P130" s="44">
        <v>0</v>
      </c>
      <c r="Q130" s="44">
        <v>1</v>
      </c>
      <c r="R130" s="44">
        <v>0.05</v>
      </c>
      <c r="S130" s="44">
        <v>1</v>
      </c>
      <c r="T130" s="44">
        <v>0.05</v>
      </c>
      <c r="U130" s="44">
        <v>1</v>
      </c>
      <c r="V130" s="44">
        <v>0.05</v>
      </c>
      <c r="W130" s="44">
        <v>3</v>
      </c>
      <c r="X130" s="44">
        <v>2</v>
      </c>
      <c r="Y130" s="44">
        <v>0.15</v>
      </c>
      <c r="Z130" s="44">
        <v>0.1</v>
      </c>
      <c r="AA130" s="45">
        <v>3</v>
      </c>
      <c r="AB130" s="45">
        <v>2</v>
      </c>
      <c r="AC130" s="44">
        <v>0.15</v>
      </c>
      <c r="AD130" s="44">
        <v>0.1</v>
      </c>
      <c r="AE130" s="44">
        <v>2</v>
      </c>
      <c r="AF130" s="44">
        <v>2</v>
      </c>
      <c r="AG130" s="44">
        <v>0.1</v>
      </c>
      <c r="AH130" s="44">
        <v>0.1</v>
      </c>
      <c r="AI130" s="44">
        <v>39</v>
      </c>
      <c r="AJ130" s="44">
        <v>37</v>
      </c>
    </row>
    <row r="131" spans="1:36" x14ac:dyDescent="0.35">
      <c r="A131" s="44" t="s">
        <v>176</v>
      </c>
      <c r="B131" s="44" t="s">
        <v>52</v>
      </c>
      <c r="C131" s="44">
        <v>24048</v>
      </c>
      <c r="D131" s="37">
        <v>13118</v>
      </c>
      <c r="E131" s="37">
        <v>13196</v>
      </c>
      <c r="F131" s="37">
        <v>13298</v>
      </c>
      <c r="G131" s="44">
        <v>0</v>
      </c>
      <c r="H131" s="44">
        <v>0</v>
      </c>
      <c r="I131" s="44">
        <v>0</v>
      </c>
      <c r="J131" s="44">
        <v>0</v>
      </c>
      <c r="K131" s="44">
        <v>0</v>
      </c>
      <c r="L131" s="44">
        <v>0</v>
      </c>
      <c r="M131" s="44">
        <v>0</v>
      </c>
      <c r="N131" s="44">
        <v>0</v>
      </c>
      <c r="O131" s="44">
        <v>0</v>
      </c>
      <c r="P131" s="44">
        <v>0</v>
      </c>
      <c r="Q131" s="44">
        <v>0</v>
      </c>
      <c r="R131" s="44">
        <v>0</v>
      </c>
      <c r="S131" s="44">
        <v>0</v>
      </c>
      <c r="T131" s="44">
        <v>0</v>
      </c>
      <c r="U131" s="44">
        <v>0</v>
      </c>
      <c r="V131" s="44">
        <v>0</v>
      </c>
      <c r="W131" s="44">
        <v>0</v>
      </c>
      <c r="X131" s="44">
        <v>0</v>
      </c>
      <c r="Y131" s="44">
        <v>0</v>
      </c>
      <c r="Z131" s="44">
        <v>0</v>
      </c>
      <c r="AA131" s="45">
        <v>2</v>
      </c>
      <c r="AB131" s="45">
        <v>2</v>
      </c>
      <c r="AC131" s="44">
        <v>0.15</v>
      </c>
      <c r="AD131" s="44">
        <v>0.15</v>
      </c>
      <c r="AE131" s="44">
        <v>4</v>
      </c>
      <c r="AF131" s="44">
        <v>2</v>
      </c>
      <c r="AG131" s="44">
        <v>0.3</v>
      </c>
      <c r="AH131" s="44">
        <v>0.15</v>
      </c>
      <c r="AI131" s="44">
        <v>27</v>
      </c>
      <c r="AJ131" s="44">
        <v>23</v>
      </c>
    </row>
    <row r="132" spans="1:36" x14ac:dyDescent="0.35">
      <c r="A132" s="44" t="s">
        <v>325</v>
      </c>
      <c r="B132" s="44" t="s">
        <v>59</v>
      </c>
      <c r="C132" s="44">
        <v>72018</v>
      </c>
      <c r="D132" s="37">
        <v>12258</v>
      </c>
      <c r="E132" s="37">
        <v>12330</v>
      </c>
      <c r="F132" s="37">
        <v>12406</v>
      </c>
      <c r="G132" s="44">
        <v>0</v>
      </c>
      <c r="H132" s="44">
        <v>0</v>
      </c>
      <c r="I132" s="44">
        <v>0</v>
      </c>
      <c r="J132" s="44">
        <v>0</v>
      </c>
      <c r="K132" s="44">
        <v>0</v>
      </c>
      <c r="L132" s="44">
        <v>0</v>
      </c>
      <c r="M132" s="44">
        <v>0</v>
      </c>
      <c r="N132" s="44">
        <v>0</v>
      </c>
      <c r="O132" s="44">
        <v>0</v>
      </c>
      <c r="P132" s="44">
        <v>0</v>
      </c>
      <c r="Q132" s="44">
        <v>0</v>
      </c>
      <c r="R132" s="44">
        <v>0</v>
      </c>
      <c r="S132" s="44">
        <v>0</v>
      </c>
      <c r="T132" s="44">
        <v>0</v>
      </c>
      <c r="U132" s="44">
        <v>0</v>
      </c>
      <c r="V132" s="44">
        <v>0</v>
      </c>
      <c r="W132" s="44">
        <v>0</v>
      </c>
      <c r="X132" s="44">
        <v>0</v>
      </c>
      <c r="Y132" s="44">
        <v>0</v>
      </c>
      <c r="Z132" s="44">
        <v>0</v>
      </c>
      <c r="AA132" s="45">
        <v>0</v>
      </c>
      <c r="AB132" s="45">
        <v>0</v>
      </c>
      <c r="AC132" s="44">
        <v>0</v>
      </c>
      <c r="AD132" s="44">
        <v>0</v>
      </c>
      <c r="AE132" s="44">
        <v>0</v>
      </c>
      <c r="AF132" s="44">
        <v>0</v>
      </c>
      <c r="AG132" s="44">
        <v>0</v>
      </c>
      <c r="AH132" s="44">
        <v>0</v>
      </c>
      <c r="AI132" s="44">
        <v>25</v>
      </c>
      <c r="AJ132" s="44">
        <v>25</v>
      </c>
    </row>
    <row r="133" spans="1:36" x14ac:dyDescent="0.35">
      <c r="A133" s="44" t="s">
        <v>191</v>
      </c>
      <c r="B133" s="44" t="s">
        <v>50</v>
      </c>
      <c r="C133" s="44">
        <v>45060</v>
      </c>
      <c r="D133" s="37">
        <v>6791</v>
      </c>
      <c r="E133" s="37">
        <v>6874</v>
      </c>
      <c r="F133" s="37">
        <v>6888</v>
      </c>
      <c r="G133" s="44">
        <v>1</v>
      </c>
      <c r="H133" s="44">
        <v>0</v>
      </c>
      <c r="I133" s="44">
        <v>0.15</v>
      </c>
      <c r="J133" s="44">
        <v>1</v>
      </c>
      <c r="K133" s="44">
        <v>0</v>
      </c>
      <c r="L133" s="44">
        <v>0.15</v>
      </c>
      <c r="M133" s="44">
        <v>1</v>
      </c>
      <c r="N133" s="44">
        <v>1</v>
      </c>
      <c r="O133" s="44">
        <v>0.15</v>
      </c>
      <c r="P133" s="44">
        <v>0.15</v>
      </c>
      <c r="Q133" s="44">
        <v>0</v>
      </c>
      <c r="R133" s="44">
        <v>0</v>
      </c>
      <c r="S133" s="44">
        <v>0</v>
      </c>
      <c r="T133" s="44">
        <v>0</v>
      </c>
      <c r="U133" s="44">
        <v>0</v>
      </c>
      <c r="V133" s="44">
        <v>0</v>
      </c>
      <c r="W133" s="44">
        <v>1</v>
      </c>
      <c r="X133" s="44">
        <v>1</v>
      </c>
      <c r="Y133" s="44">
        <v>0.15</v>
      </c>
      <c r="Z133" s="44">
        <v>0.15</v>
      </c>
      <c r="AA133" s="45">
        <v>2</v>
      </c>
      <c r="AB133" s="45">
        <v>2</v>
      </c>
      <c r="AC133" s="44">
        <v>0.28999999999999998</v>
      </c>
      <c r="AD133" s="44">
        <v>0.28999999999999998</v>
      </c>
      <c r="AE133" s="44">
        <v>2</v>
      </c>
      <c r="AF133" s="44">
        <v>2</v>
      </c>
      <c r="AG133" s="44">
        <v>0.28999999999999998</v>
      </c>
      <c r="AH133" s="44">
        <v>0.28999999999999998</v>
      </c>
      <c r="AI133" s="44">
        <v>14</v>
      </c>
      <c r="AJ133" s="44">
        <v>12</v>
      </c>
    </row>
    <row r="134" spans="1:36" x14ac:dyDescent="0.35">
      <c r="A134" s="44" t="s">
        <v>103</v>
      </c>
      <c r="B134" s="44" t="s">
        <v>55</v>
      </c>
      <c r="C134" s="44">
        <v>31043</v>
      </c>
      <c r="D134" s="37">
        <v>32875</v>
      </c>
      <c r="E134" s="37">
        <v>32645</v>
      </c>
      <c r="F134" s="37">
        <v>32514</v>
      </c>
      <c r="G134" s="44">
        <v>2</v>
      </c>
      <c r="H134" s="44">
        <v>1</v>
      </c>
      <c r="I134" s="44">
        <v>0.06</v>
      </c>
      <c r="J134" s="44">
        <v>2</v>
      </c>
      <c r="K134" s="44">
        <v>1</v>
      </c>
      <c r="L134" s="44">
        <v>0.06</v>
      </c>
      <c r="M134" s="44">
        <v>2</v>
      </c>
      <c r="N134" s="44">
        <v>1</v>
      </c>
      <c r="O134" s="44">
        <v>0.06</v>
      </c>
      <c r="P134" s="44">
        <v>0.03</v>
      </c>
      <c r="Q134" s="44">
        <v>0</v>
      </c>
      <c r="R134" s="44">
        <v>0</v>
      </c>
      <c r="S134" s="44">
        <v>0</v>
      </c>
      <c r="T134" s="44">
        <v>0</v>
      </c>
      <c r="U134" s="44">
        <v>1</v>
      </c>
      <c r="V134" s="44">
        <v>0.03</v>
      </c>
      <c r="W134" s="44">
        <v>9</v>
      </c>
      <c r="X134" s="44">
        <v>8</v>
      </c>
      <c r="Y134" s="44">
        <v>0.28000000000000003</v>
      </c>
      <c r="Z134" s="44">
        <v>0.25</v>
      </c>
      <c r="AA134" s="45">
        <v>8</v>
      </c>
      <c r="AB134" s="45">
        <v>8</v>
      </c>
      <c r="AC134" s="44">
        <v>0.25</v>
      </c>
      <c r="AD134" s="44">
        <v>0.25</v>
      </c>
      <c r="AE134" s="44">
        <v>8</v>
      </c>
      <c r="AF134" s="44">
        <v>8</v>
      </c>
      <c r="AG134" s="44">
        <v>0.25</v>
      </c>
      <c r="AH134" s="44">
        <v>0.25</v>
      </c>
      <c r="AI134" s="44">
        <v>65</v>
      </c>
      <c r="AJ134" s="44">
        <v>57</v>
      </c>
    </row>
    <row r="135" spans="1:36" x14ac:dyDescent="0.35">
      <c r="A135" s="44" t="s">
        <v>256</v>
      </c>
      <c r="B135" s="44" t="s">
        <v>55</v>
      </c>
      <c r="C135" s="44">
        <v>32010</v>
      </c>
      <c r="D135" s="37">
        <v>8769</v>
      </c>
      <c r="E135" s="37">
        <v>8870</v>
      </c>
      <c r="F135" s="37">
        <v>8827</v>
      </c>
      <c r="G135" s="44">
        <v>0</v>
      </c>
      <c r="H135" s="44">
        <v>0</v>
      </c>
      <c r="I135" s="44">
        <v>0</v>
      </c>
      <c r="J135" s="44">
        <v>0</v>
      </c>
      <c r="K135" s="44">
        <v>0</v>
      </c>
      <c r="L135" s="44">
        <v>0</v>
      </c>
      <c r="M135" s="44">
        <v>0</v>
      </c>
      <c r="N135" s="44">
        <v>0</v>
      </c>
      <c r="O135" s="44">
        <v>0</v>
      </c>
      <c r="P135" s="44">
        <v>0</v>
      </c>
      <c r="Q135" s="44">
        <v>0</v>
      </c>
      <c r="R135" s="44">
        <v>0</v>
      </c>
      <c r="S135" s="44">
        <v>0</v>
      </c>
      <c r="T135" s="44">
        <v>0</v>
      </c>
      <c r="U135" s="44">
        <v>0</v>
      </c>
      <c r="V135" s="44">
        <v>0</v>
      </c>
      <c r="W135" s="44">
        <v>0</v>
      </c>
      <c r="X135" s="44">
        <v>0</v>
      </c>
      <c r="Y135" s="44">
        <v>0</v>
      </c>
      <c r="Z135" s="44">
        <v>0</v>
      </c>
      <c r="AA135" s="45">
        <v>1</v>
      </c>
      <c r="AB135" s="45">
        <v>0</v>
      </c>
      <c r="AC135" s="44">
        <v>0.11</v>
      </c>
      <c r="AD135" s="44">
        <v>0</v>
      </c>
      <c r="AE135" s="44">
        <v>2</v>
      </c>
      <c r="AF135" s="44">
        <v>1</v>
      </c>
      <c r="AG135" s="44">
        <v>0.23</v>
      </c>
      <c r="AH135" s="44">
        <v>0.11</v>
      </c>
      <c r="AI135" s="44">
        <v>18</v>
      </c>
      <c r="AJ135" s="44">
        <v>16</v>
      </c>
    </row>
    <row r="136" spans="1:36" x14ac:dyDescent="0.35">
      <c r="A136" s="44" t="s">
        <v>100</v>
      </c>
      <c r="B136" s="44" t="s">
        <v>55</v>
      </c>
      <c r="C136" s="44">
        <v>38014</v>
      </c>
      <c r="D136" s="37">
        <v>21851</v>
      </c>
      <c r="E136" s="37">
        <v>21664</v>
      </c>
      <c r="F136" s="37">
        <v>21546</v>
      </c>
      <c r="G136" s="44">
        <v>0</v>
      </c>
      <c r="H136" s="44">
        <v>0</v>
      </c>
      <c r="I136" s="44">
        <v>0</v>
      </c>
      <c r="J136" s="44">
        <v>0</v>
      </c>
      <c r="K136" s="44">
        <v>0</v>
      </c>
      <c r="L136" s="44">
        <v>0</v>
      </c>
      <c r="M136" s="44">
        <v>7</v>
      </c>
      <c r="N136" s="44">
        <v>0</v>
      </c>
      <c r="O136" s="44">
        <v>0.32</v>
      </c>
      <c r="P136" s="44">
        <v>0</v>
      </c>
      <c r="Q136" s="44">
        <v>7</v>
      </c>
      <c r="R136" s="44">
        <v>0.32</v>
      </c>
      <c r="S136" s="44">
        <v>7</v>
      </c>
      <c r="T136" s="44">
        <v>0.32</v>
      </c>
      <c r="U136" s="44">
        <v>0</v>
      </c>
      <c r="V136" s="44">
        <v>0</v>
      </c>
      <c r="W136" s="44">
        <v>7</v>
      </c>
      <c r="X136" s="44">
        <v>0</v>
      </c>
      <c r="Y136" s="44">
        <v>0.32</v>
      </c>
      <c r="Z136" s="44">
        <v>0</v>
      </c>
      <c r="AA136" s="45">
        <v>9</v>
      </c>
      <c r="AB136" s="45">
        <v>0</v>
      </c>
      <c r="AC136" s="44">
        <v>0.42</v>
      </c>
      <c r="AD136" s="44">
        <v>0</v>
      </c>
      <c r="AE136" s="44">
        <v>8</v>
      </c>
      <c r="AF136" s="44">
        <v>3</v>
      </c>
      <c r="AG136" s="44">
        <v>0.37</v>
      </c>
      <c r="AH136" s="44">
        <v>0.14000000000000001</v>
      </c>
      <c r="AI136" s="44">
        <v>43</v>
      </c>
      <c r="AJ136" s="44">
        <v>35</v>
      </c>
    </row>
    <row r="137" spans="1:36" x14ac:dyDescent="0.35">
      <c r="A137" s="44" t="s">
        <v>288</v>
      </c>
      <c r="B137" s="44" t="s">
        <v>48</v>
      </c>
      <c r="C137" s="44">
        <v>11024</v>
      </c>
      <c r="D137" s="37">
        <v>21340</v>
      </c>
      <c r="E137" s="37">
        <v>21624</v>
      </c>
      <c r="F137" s="37">
        <v>21693</v>
      </c>
      <c r="G137" s="44">
        <v>6</v>
      </c>
      <c r="H137" s="44">
        <v>0</v>
      </c>
      <c r="I137" s="44">
        <v>0.28000000000000003</v>
      </c>
      <c r="J137" s="44">
        <v>11</v>
      </c>
      <c r="K137" s="44">
        <v>0</v>
      </c>
      <c r="L137" s="44">
        <v>0.52</v>
      </c>
      <c r="M137" s="44">
        <v>21</v>
      </c>
      <c r="N137" s="44">
        <v>0</v>
      </c>
      <c r="O137" s="44">
        <v>0.97</v>
      </c>
      <c r="P137" s="44">
        <v>0</v>
      </c>
      <c r="Q137" s="44">
        <v>15</v>
      </c>
      <c r="R137" s="44">
        <v>0.69</v>
      </c>
      <c r="S137" s="44">
        <v>10</v>
      </c>
      <c r="T137" s="44">
        <v>0.46</v>
      </c>
      <c r="U137" s="44">
        <v>1</v>
      </c>
      <c r="V137" s="44">
        <v>0.05</v>
      </c>
      <c r="W137" s="44">
        <v>28</v>
      </c>
      <c r="X137" s="44">
        <v>0</v>
      </c>
      <c r="Y137" s="44">
        <v>1.29</v>
      </c>
      <c r="Z137" s="44">
        <v>0</v>
      </c>
      <c r="AA137" s="45">
        <v>28</v>
      </c>
      <c r="AB137" s="45">
        <v>0</v>
      </c>
      <c r="AC137" s="44">
        <v>1.29</v>
      </c>
      <c r="AD137" s="44">
        <v>0</v>
      </c>
      <c r="AE137" s="44">
        <v>2</v>
      </c>
      <c r="AF137" s="44">
        <v>0</v>
      </c>
      <c r="AG137" s="44">
        <v>0.09</v>
      </c>
      <c r="AH137" s="44">
        <v>0</v>
      </c>
      <c r="AI137" s="44">
        <v>43</v>
      </c>
      <c r="AJ137" s="44">
        <v>41</v>
      </c>
    </row>
    <row r="138" spans="1:36" x14ac:dyDescent="0.35">
      <c r="A138" s="44" t="s">
        <v>138</v>
      </c>
      <c r="B138" s="44" t="s">
        <v>55</v>
      </c>
      <c r="C138" s="44">
        <v>32011</v>
      </c>
      <c r="D138" s="37">
        <v>12803</v>
      </c>
      <c r="E138" s="37">
        <v>12873</v>
      </c>
      <c r="F138" s="37">
        <v>12815</v>
      </c>
      <c r="G138" s="44">
        <v>1</v>
      </c>
      <c r="H138" s="44">
        <v>0</v>
      </c>
      <c r="I138" s="44">
        <v>0.08</v>
      </c>
      <c r="J138" s="44">
        <v>1</v>
      </c>
      <c r="K138" s="44">
        <v>0</v>
      </c>
      <c r="L138" s="44">
        <v>0.08</v>
      </c>
      <c r="M138" s="44">
        <v>1</v>
      </c>
      <c r="N138" s="44">
        <v>0</v>
      </c>
      <c r="O138" s="44">
        <v>0.08</v>
      </c>
      <c r="P138" s="44">
        <v>0</v>
      </c>
      <c r="Q138" s="44">
        <v>0</v>
      </c>
      <c r="R138" s="44">
        <v>0</v>
      </c>
      <c r="S138" s="44">
        <v>0</v>
      </c>
      <c r="T138" s="44">
        <v>0</v>
      </c>
      <c r="U138" s="44">
        <v>1</v>
      </c>
      <c r="V138" s="44">
        <v>0.08</v>
      </c>
      <c r="W138" s="44">
        <v>1</v>
      </c>
      <c r="X138" s="44">
        <v>0</v>
      </c>
      <c r="Y138" s="44">
        <v>0.08</v>
      </c>
      <c r="Z138" s="44">
        <v>0</v>
      </c>
      <c r="AA138" s="45">
        <v>3</v>
      </c>
      <c r="AB138" s="45">
        <v>0</v>
      </c>
      <c r="AC138" s="44">
        <v>0.23</v>
      </c>
      <c r="AD138" s="44">
        <v>0</v>
      </c>
      <c r="AE138" s="44">
        <v>4</v>
      </c>
      <c r="AF138" s="44">
        <v>1</v>
      </c>
      <c r="AG138" s="44">
        <v>0.31</v>
      </c>
      <c r="AH138" s="44">
        <v>0.08</v>
      </c>
      <c r="AI138" s="44">
        <v>26</v>
      </c>
      <c r="AJ138" s="44">
        <v>22</v>
      </c>
    </row>
    <row r="139" spans="1:36" x14ac:dyDescent="0.35">
      <c r="A139" s="44" t="s">
        <v>252</v>
      </c>
      <c r="B139" s="44" t="s">
        <v>52</v>
      </c>
      <c r="C139" s="44">
        <v>24054</v>
      </c>
      <c r="D139" s="37">
        <v>7916</v>
      </c>
      <c r="E139" s="37">
        <v>7970</v>
      </c>
      <c r="F139" s="37">
        <v>7949</v>
      </c>
      <c r="G139" s="44">
        <v>0</v>
      </c>
      <c r="H139" s="44">
        <v>0</v>
      </c>
      <c r="I139" s="44">
        <v>0</v>
      </c>
      <c r="J139" s="44">
        <v>0</v>
      </c>
      <c r="K139" s="44">
        <v>0</v>
      </c>
      <c r="L139" s="44">
        <v>0</v>
      </c>
      <c r="M139" s="44">
        <v>0</v>
      </c>
      <c r="N139" s="44">
        <v>0</v>
      </c>
      <c r="O139" s="44">
        <v>0</v>
      </c>
      <c r="P139" s="44">
        <v>0</v>
      </c>
      <c r="Q139" s="44">
        <v>0</v>
      </c>
      <c r="R139" s="44">
        <v>0</v>
      </c>
      <c r="S139" s="44">
        <v>0</v>
      </c>
      <c r="T139" s="44">
        <v>0</v>
      </c>
      <c r="U139" s="44">
        <v>0</v>
      </c>
      <c r="V139" s="44">
        <v>0</v>
      </c>
      <c r="W139" s="44">
        <v>0</v>
      </c>
      <c r="X139" s="44">
        <v>0</v>
      </c>
      <c r="Y139" s="44">
        <v>0</v>
      </c>
      <c r="Z139" s="44">
        <v>0</v>
      </c>
      <c r="AA139" s="45">
        <v>0</v>
      </c>
      <c r="AB139" s="45">
        <v>0</v>
      </c>
      <c r="AC139" s="44">
        <v>0</v>
      </c>
      <c r="AD139" s="44">
        <v>0</v>
      </c>
      <c r="AE139" s="44">
        <v>2</v>
      </c>
      <c r="AF139" s="44">
        <v>0</v>
      </c>
      <c r="AG139" s="44">
        <v>0.25</v>
      </c>
      <c r="AH139" s="44">
        <v>0</v>
      </c>
      <c r="AI139" s="44">
        <v>16</v>
      </c>
      <c r="AJ139" s="44">
        <v>14</v>
      </c>
    </row>
    <row r="140" spans="1:36" x14ac:dyDescent="0.35">
      <c r="A140" s="44" t="s">
        <v>117</v>
      </c>
      <c r="B140" s="44" t="s">
        <v>52</v>
      </c>
      <c r="C140" s="44">
        <v>24055</v>
      </c>
      <c r="D140" s="37">
        <v>20462</v>
      </c>
      <c r="E140" s="37">
        <v>20920</v>
      </c>
      <c r="F140" s="37">
        <v>21165</v>
      </c>
      <c r="G140" s="44">
        <v>1</v>
      </c>
      <c r="H140" s="44">
        <v>0</v>
      </c>
      <c r="I140" s="44">
        <v>0.05</v>
      </c>
      <c r="J140" s="44">
        <v>3</v>
      </c>
      <c r="K140" s="44">
        <v>0</v>
      </c>
      <c r="L140" s="44">
        <v>0.15</v>
      </c>
      <c r="M140" s="44">
        <v>12</v>
      </c>
      <c r="N140" s="44">
        <v>0</v>
      </c>
      <c r="O140" s="44">
        <v>0.56999999999999995</v>
      </c>
      <c r="P140" s="44">
        <v>0</v>
      </c>
      <c r="Q140" s="44">
        <v>11</v>
      </c>
      <c r="R140" s="44">
        <v>0.52</v>
      </c>
      <c r="S140" s="44">
        <v>9</v>
      </c>
      <c r="T140" s="44">
        <v>0.43</v>
      </c>
      <c r="U140" s="44">
        <v>3</v>
      </c>
      <c r="V140" s="44">
        <v>0.14000000000000001</v>
      </c>
      <c r="W140" s="44">
        <v>4</v>
      </c>
      <c r="X140" s="44">
        <v>0</v>
      </c>
      <c r="Y140" s="44">
        <v>0.19</v>
      </c>
      <c r="Z140" s="44">
        <v>0</v>
      </c>
      <c r="AA140" s="45">
        <v>6</v>
      </c>
      <c r="AB140" s="45">
        <v>0</v>
      </c>
      <c r="AC140" s="44">
        <v>0.28000000000000003</v>
      </c>
      <c r="AD140" s="44">
        <v>0</v>
      </c>
      <c r="AE140" s="44">
        <v>9</v>
      </c>
      <c r="AF140" s="44">
        <v>1</v>
      </c>
      <c r="AG140" s="44">
        <v>0.43</v>
      </c>
      <c r="AH140" s="44">
        <v>0.05</v>
      </c>
      <c r="AI140" s="44">
        <v>42</v>
      </c>
      <c r="AJ140" s="44">
        <v>33</v>
      </c>
    </row>
    <row r="141" spans="1:36" x14ac:dyDescent="0.35">
      <c r="A141" s="44" t="s">
        <v>347</v>
      </c>
      <c r="B141" s="44" t="s">
        <v>59</v>
      </c>
      <c r="C141" s="44">
        <v>73040</v>
      </c>
      <c r="D141" s="37">
        <v>8595</v>
      </c>
      <c r="E141" s="37">
        <v>8726</v>
      </c>
      <c r="F141" s="37">
        <v>8757</v>
      </c>
      <c r="G141" s="44">
        <v>0</v>
      </c>
      <c r="H141" s="44">
        <v>0</v>
      </c>
      <c r="I141" s="44">
        <v>0</v>
      </c>
      <c r="J141" s="44">
        <v>0</v>
      </c>
      <c r="K141" s="44">
        <v>0</v>
      </c>
      <c r="L141" s="44">
        <v>0</v>
      </c>
      <c r="M141" s="44">
        <v>0</v>
      </c>
      <c r="N141" s="44">
        <v>0</v>
      </c>
      <c r="O141" s="44">
        <v>0</v>
      </c>
      <c r="P141" s="44">
        <v>0</v>
      </c>
      <c r="Q141" s="44">
        <v>0</v>
      </c>
      <c r="R141" s="44">
        <v>0</v>
      </c>
      <c r="S141" s="44">
        <v>0</v>
      </c>
      <c r="T141" s="44">
        <v>0</v>
      </c>
      <c r="U141" s="44">
        <v>0</v>
      </c>
      <c r="V141" s="44">
        <v>0</v>
      </c>
      <c r="W141" s="44">
        <v>0</v>
      </c>
      <c r="X141" s="44">
        <v>0</v>
      </c>
      <c r="Y141" s="44">
        <v>0</v>
      </c>
      <c r="Z141" s="44">
        <v>0</v>
      </c>
      <c r="AA141" s="45">
        <v>0</v>
      </c>
      <c r="AB141" s="45">
        <v>0</v>
      </c>
      <c r="AC141" s="44">
        <v>0</v>
      </c>
      <c r="AD141" s="44">
        <v>0</v>
      </c>
      <c r="AE141" s="44">
        <v>0</v>
      </c>
      <c r="AF141" s="44">
        <v>0</v>
      </c>
      <c r="AG141" s="44">
        <v>0</v>
      </c>
      <c r="AH141" s="44">
        <v>0</v>
      </c>
      <c r="AI141" s="44">
        <v>18</v>
      </c>
      <c r="AJ141" s="44">
        <v>18</v>
      </c>
    </row>
    <row r="142" spans="1:36" x14ac:dyDescent="0.35">
      <c r="A142" s="44" t="s">
        <v>56</v>
      </c>
      <c r="B142" s="44" t="s">
        <v>55</v>
      </c>
      <c r="C142" s="44">
        <v>34022</v>
      </c>
      <c r="D142" s="37">
        <v>77741</v>
      </c>
      <c r="E142" s="37">
        <v>78944</v>
      </c>
      <c r="F142" s="37">
        <v>80032</v>
      </c>
      <c r="G142" s="44">
        <v>27</v>
      </c>
      <c r="H142" s="44">
        <v>0</v>
      </c>
      <c r="I142" s="44">
        <v>0.35</v>
      </c>
      <c r="J142" s="44">
        <v>31</v>
      </c>
      <c r="K142" s="44">
        <v>0</v>
      </c>
      <c r="L142" s="44">
        <v>0.4</v>
      </c>
      <c r="M142" s="44">
        <v>32</v>
      </c>
      <c r="N142" s="44">
        <v>4</v>
      </c>
      <c r="O142" s="44">
        <v>0.41</v>
      </c>
      <c r="P142" s="44">
        <v>0.05</v>
      </c>
      <c r="Q142" s="44">
        <v>5</v>
      </c>
      <c r="R142" s="44">
        <v>0.06</v>
      </c>
      <c r="S142" s="44">
        <v>1</v>
      </c>
      <c r="T142" s="44">
        <v>0.01</v>
      </c>
      <c r="U142" s="44">
        <v>15</v>
      </c>
      <c r="V142" s="44">
        <v>0.19</v>
      </c>
      <c r="W142" s="44">
        <v>43</v>
      </c>
      <c r="X142" s="44">
        <v>8</v>
      </c>
      <c r="Y142" s="44">
        <v>0.54</v>
      </c>
      <c r="Z142" s="44">
        <v>0.1</v>
      </c>
      <c r="AA142" s="45">
        <v>49</v>
      </c>
      <c r="AB142" s="45">
        <v>7</v>
      </c>
      <c r="AC142" s="44">
        <v>0.61</v>
      </c>
      <c r="AD142" s="44">
        <v>0.09</v>
      </c>
      <c r="AE142" s="44">
        <v>52</v>
      </c>
      <c r="AF142" s="44">
        <v>7</v>
      </c>
      <c r="AG142" s="44">
        <v>0.65</v>
      </c>
      <c r="AH142" s="44">
        <v>0.09</v>
      </c>
      <c r="AI142" s="44">
        <v>160</v>
      </c>
      <c r="AJ142" s="44">
        <v>108</v>
      </c>
    </row>
    <row r="143" spans="1:36" x14ac:dyDescent="0.35">
      <c r="A143" s="44" t="s">
        <v>270</v>
      </c>
      <c r="B143" s="44" t="s">
        <v>52</v>
      </c>
      <c r="C143" s="44">
        <v>23099</v>
      </c>
      <c r="D143" s="37">
        <v>13928</v>
      </c>
      <c r="E143" s="37">
        <v>14051</v>
      </c>
      <c r="F143" s="37">
        <v>13962</v>
      </c>
      <c r="G143" s="44">
        <v>0</v>
      </c>
      <c r="H143" s="44">
        <v>0</v>
      </c>
      <c r="I143" s="44">
        <v>0</v>
      </c>
      <c r="J143" s="44">
        <v>0</v>
      </c>
      <c r="K143" s="44">
        <v>0</v>
      </c>
      <c r="L143" s="44">
        <v>0</v>
      </c>
      <c r="M143" s="44">
        <v>1</v>
      </c>
      <c r="N143" s="44">
        <v>1</v>
      </c>
      <c r="O143" s="44">
        <v>7.0000000000000007E-2</v>
      </c>
      <c r="P143" s="44">
        <v>7.0000000000000007E-2</v>
      </c>
      <c r="Q143" s="44">
        <v>1</v>
      </c>
      <c r="R143" s="44">
        <v>7.0000000000000007E-2</v>
      </c>
      <c r="S143" s="44">
        <v>1</v>
      </c>
      <c r="T143" s="44">
        <v>7.0000000000000007E-2</v>
      </c>
      <c r="U143" s="44">
        <v>0</v>
      </c>
      <c r="V143" s="44">
        <v>0</v>
      </c>
      <c r="W143" s="44">
        <v>2</v>
      </c>
      <c r="X143" s="44">
        <v>0</v>
      </c>
      <c r="Y143" s="44">
        <v>0.14000000000000001</v>
      </c>
      <c r="Z143" s="44">
        <v>0</v>
      </c>
      <c r="AA143" s="45">
        <v>4</v>
      </c>
      <c r="AB143" s="45">
        <v>2</v>
      </c>
      <c r="AC143" s="44">
        <v>0.28999999999999998</v>
      </c>
      <c r="AD143" s="44">
        <v>0.14000000000000001</v>
      </c>
      <c r="AE143" s="44">
        <v>2</v>
      </c>
      <c r="AF143" s="44">
        <v>2</v>
      </c>
      <c r="AG143" s="44">
        <v>0.14000000000000001</v>
      </c>
      <c r="AH143" s="44">
        <v>0.14000000000000001</v>
      </c>
      <c r="AI143" s="44">
        <v>28</v>
      </c>
      <c r="AJ143" s="44">
        <v>26</v>
      </c>
    </row>
    <row r="144" spans="1:36" x14ac:dyDescent="0.35">
      <c r="A144" s="44" t="s">
        <v>348</v>
      </c>
      <c r="B144" s="44" t="s">
        <v>50</v>
      </c>
      <c r="C144" s="44">
        <v>46013</v>
      </c>
      <c r="D144" s="37">
        <v>16980</v>
      </c>
      <c r="E144" s="37">
        <v>17056</v>
      </c>
      <c r="F144" s="37">
        <v>17072</v>
      </c>
      <c r="G144" s="44">
        <v>3</v>
      </c>
      <c r="H144" s="44">
        <v>0</v>
      </c>
      <c r="I144" s="44">
        <v>0.18</v>
      </c>
      <c r="J144" s="44">
        <v>3</v>
      </c>
      <c r="K144" s="44">
        <v>0</v>
      </c>
      <c r="L144" s="44">
        <v>0.18</v>
      </c>
      <c r="M144" s="44">
        <v>3</v>
      </c>
      <c r="N144" s="44">
        <v>2</v>
      </c>
      <c r="O144" s="44">
        <v>0.18</v>
      </c>
      <c r="P144" s="44">
        <v>0.12</v>
      </c>
      <c r="Q144" s="44">
        <v>0</v>
      </c>
      <c r="R144" s="44">
        <v>0</v>
      </c>
      <c r="S144" s="44">
        <v>0</v>
      </c>
      <c r="T144" s="44">
        <v>0</v>
      </c>
      <c r="U144" s="44">
        <v>1</v>
      </c>
      <c r="V144" s="44">
        <v>0.06</v>
      </c>
      <c r="W144" s="44">
        <v>5</v>
      </c>
      <c r="X144" s="44">
        <v>3</v>
      </c>
      <c r="Y144" s="44">
        <v>0.28999999999999998</v>
      </c>
      <c r="Z144" s="44">
        <v>0.18</v>
      </c>
      <c r="AA144" s="45">
        <v>5</v>
      </c>
      <c r="AB144" s="45">
        <v>3</v>
      </c>
      <c r="AC144" s="44">
        <v>0.28999999999999998</v>
      </c>
      <c r="AD144" s="44">
        <v>0.18</v>
      </c>
      <c r="AE144" s="44">
        <v>4</v>
      </c>
      <c r="AF144" s="44">
        <v>3</v>
      </c>
      <c r="AG144" s="44">
        <v>0.23</v>
      </c>
      <c r="AH144" s="44">
        <v>0.18</v>
      </c>
      <c r="AI144" s="44">
        <v>34</v>
      </c>
      <c r="AJ144" s="44">
        <v>30</v>
      </c>
    </row>
    <row r="145" spans="1:36" x14ac:dyDescent="0.35">
      <c r="A145" s="44" t="s">
        <v>122</v>
      </c>
      <c r="B145" s="44" t="s">
        <v>50</v>
      </c>
      <c r="C145" s="44">
        <v>45068</v>
      </c>
      <c r="D145" s="37">
        <v>15876</v>
      </c>
      <c r="E145" s="37">
        <v>15952</v>
      </c>
      <c r="F145" s="37">
        <v>15961</v>
      </c>
      <c r="G145" s="44">
        <v>5</v>
      </c>
      <c r="H145" s="44">
        <v>1</v>
      </c>
      <c r="I145" s="44">
        <v>0.31</v>
      </c>
      <c r="J145" s="44">
        <v>4</v>
      </c>
      <c r="K145" s="44">
        <v>1</v>
      </c>
      <c r="L145" s="44">
        <v>0.25</v>
      </c>
      <c r="M145" s="44">
        <v>3</v>
      </c>
      <c r="N145" s="44">
        <v>3</v>
      </c>
      <c r="O145" s="44">
        <v>0.19</v>
      </c>
      <c r="P145" s="44">
        <v>0.19</v>
      </c>
      <c r="Q145" s="44">
        <v>-2</v>
      </c>
      <c r="R145" s="44">
        <v>-0.13</v>
      </c>
      <c r="S145" s="44">
        <v>-1</v>
      </c>
      <c r="T145" s="44">
        <v>-0.06</v>
      </c>
      <c r="U145" s="44">
        <v>0</v>
      </c>
      <c r="V145" s="44">
        <v>0</v>
      </c>
      <c r="W145" s="44">
        <v>3</v>
      </c>
      <c r="X145" s="44">
        <v>3</v>
      </c>
      <c r="Y145" s="44">
        <v>0.19</v>
      </c>
      <c r="Z145" s="44">
        <v>0.19</v>
      </c>
      <c r="AA145" s="45">
        <v>5</v>
      </c>
      <c r="AB145" s="45">
        <v>5</v>
      </c>
      <c r="AC145" s="44">
        <v>0.31</v>
      </c>
      <c r="AD145" s="44">
        <v>0.31</v>
      </c>
      <c r="AE145" s="44">
        <v>9</v>
      </c>
      <c r="AF145" s="44">
        <v>8</v>
      </c>
      <c r="AG145" s="44">
        <v>0.56000000000000005</v>
      </c>
      <c r="AH145" s="44">
        <v>0.5</v>
      </c>
      <c r="AI145" s="44">
        <v>32</v>
      </c>
      <c r="AJ145" s="44">
        <v>23</v>
      </c>
    </row>
    <row r="146" spans="1:36" x14ac:dyDescent="0.35">
      <c r="A146" s="44" t="s">
        <v>158</v>
      </c>
      <c r="B146" s="44" t="s">
        <v>55</v>
      </c>
      <c r="C146" s="44">
        <v>34023</v>
      </c>
      <c r="D146" s="37">
        <v>13975</v>
      </c>
      <c r="E146" s="37">
        <v>14033</v>
      </c>
      <c r="F146" s="37">
        <v>14145</v>
      </c>
      <c r="G146" s="44">
        <v>4</v>
      </c>
      <c r="H146" s="44">
        <v>0</v>
      </c>
      <c r="I146" s="44">
        <v>0.28999999999999998</v>
      </c>
      <c r="J146" s="44">
        <v>5</v>
      </c>
      <c r="K146" s="44">
        <v>0</v>
      </c>
      <c r="L146" s="44">
        <v>0.36</v>
      </c>
      <c r="M146" s="44">
        <v>6</v>
      </c>
      <c r="N146" s="44">
        <v>3</v>
      </c>
      <c r="O146" s="44">
        <v>0.43</v>
      </c>
      <c r="P146" s="44">
        <v>0.21</v>
      </c>
      <c r="Q146" s="44">
        <v>2</v>
      </c>
      <c r="R146" s="44">
        <v>0.14000000000000001</v>
      </c>
      <c r="S146" s="44">
        <v>1</v>
      </c>
      <c r="T146" s="44">
        <v>7.0000000000000007E-2</v>
      </c>
      <c r="U146" s="44">
        <v>3</v>
      </c>
      <c r="V146" s="44">
        <v>0.21</v>
      </c>
      <c r="W146" s="44">
        <v>10</v>
      </c>
      <c r="X146" s="44">
        <v>4</v>
      </c>
      <c r="Y146" s="44">
        <v>0.71</v>
      </c>
      <c r="Z146" s="44">
        <v>0.28999999999999998</v>
      </c>
      <c r="AA146" s="45">
        <v>8</v>
      </c>
      <c r="AB146" s="45">
        <v>2</v>
      </c>
      <c r="AC146" s="44">
        <v>0.56999999999999995</v>
      </c>
      <c r="AD146" s="44">
        <v>0.14000000000000001</v>
      </c>
      <c r="AE146" s="44">
        <v>5</v>
      </c>
      <c r="AF146" s="44">
        <v>1</v>
      </c>
      <c r="AG146" s="44">
        <v>0.35</v>
      </c>
      <c r="AH146" s="44">
        <v>7.0000000000000007E-2</v>
      </c>
      <c r="AI146" s="44">
        <v>28</v>
      </c>
      <c r="AJ146" s="44">
        <v>23</v>
      </c>
    </row>
    <row r="147" spans="1:36" x14ac:dyDescent="0.35">
      <c r="A147" s="44" t="s">
        <v>218</v>
      </c>
      <c r="B147" s="44" t="s">
        <v>48</v>
      </c>
      <c r="C147" s="44">
        <v>13053</v>
      </c>
      <c r="D147" s="37">
        <v>16464</v>
      </c>
      <c r="E147" s="37">
        <v>16707</v>
      </c>
      <c r="F147" s="37">
        <v>16753</v>
      </c>
      <c r="G147" s="44">
        <v>0</v>
      </c>
      <c r="H147" s="44">
        <v>0</v>
      </c>
      <c r="I147" s="44">
        <v>0</v>
      </c>
      <c r="J147" s="44">
        <v>1</v>
      </c>
      <c r="K147" s="44">
        <v>0</v>
      </c>
      <c r="L147" s="44">
        <v>0.06</v>
      </c>
      <c r="M147" s="44">
        <v>0</v>
      </c>
      <c r="N147" s="44">
        <v>0</v>
      </c>
      <c r="O147" s="44">
        <v>0</v>
      </c>
      <c r="P147" s="44">
        <v>0</v>
      </c>
      <c r="Q147" s="44">
        <v>0</v>
      </c>
      <c r="R147" s="44">
        <v>0</v>
      </c>
      <c r="S147" s="44">
        <v>-1</v>
      </c>
      <c r="T147" s="44">
        <v>-0.06</v>
      </c>
      <c r="U147" s="44">
        <v>0</v>
      </c>
      <c r="V147" s="44">
        <v>0</v>
      </c>
      <c r="W147" s="44">
        <v>2</v>
      </c>
      <c r="X147" s="44">
        <v>2</v>
      </c>
      <c r="Y147" s="44">
        <v>0.12</v>
      </c>
      <c r="Z147" s="44">
        <v>0.12</v>
      </c>
      <c r="AA147" s="45">
        <v>2</v>
      </c>
      <c r="AB147" s="45">
        <v>2</v>
      </c>
      <c r="AC147" s="44">
        <v>0.12</v>
      </c>
      <c r="AD147" s="44">
        <v>0.12</v>
      </c>
      <c r="AE147" s="44">
        <v>4</v>
      </c>
      <c r="AF147" s="44">
        <v>4</v>
      </c>
      <c r="AG147" s="44">
        <v>0.24</v>
      </c>
      <c r="AH147" s="44">
        <v>0.24</v>
      </c>
      <c r="AI147" s="44">
        <v>34</v>
      </c>
      <c r="AJ147" s="44">
        <v>30</v>
      </c>
    </row>
    <row r="148" spans="1:36" x14ac:dyDescent="0.35">
      <c r="A148" s="44" t="s">
        <v>155</v>
      </c>
      <c r="B148" s="44" t="s">
        <v>50</v>
      </c>
      <c r="C148" s="44">
        <v>42010</v>
      </c>
      <c r="D148" s="37">
        <v>12518</v>
      </c>
      <c r="E148" s="37">
        <v>12528</v>
      </c>
      <c r="F148" s="37">
        <v>12532</v>
      </c>
      <c r="G148" s="44">
        <v>3</v>
      </c>
      <c r="H148" s="44">
        <v>0</v>
      </c>
      <c r="I148" s="44">
        <v>0.24</v>
      </c>
      <c r="J148" s="44">
        <v>2</v>
      </c>
      <c r="K148" s="44">
        <v>0</v>
      </c>
      <c r="L148" s="44">
        <v>0.16</v>
      </c>
      <c r="M148" s="44">
        <v>3</v>
      </c>
      <c r="N148" s="44">
        <v>3</v>
      </c>
      <c r="O148" s="44">
        <v>0.24</v>
      </c>
      <c r="P148" s="44">
        <v>0.24</v>
      </c>
      <c r="Q148" s="44">
        <v>0</v>
      </c>
      <c r="R148" s="44">
        <v>0</v>
      </c>
      <c r="S148" s="44">
        <v>1</v>
      </c>
      <c r="T148" s="44">
        <v>0.08</v>
      </c>
      <c r="U148" s="44">
        <v>0</v>
      </c>
      <c r="V148" s="44">
        <v>0</v>
      </c>
      <c r="W148" s="44">
        <v>5</v>
      </c>
      <c r="X148" s="44">
        <v>3</v>
      </c>
      <c r="Y148" s="44">
        <v>0.4</v>
      </c>
      <c r="Z148" s="44">
        <v>0.24</v>
      </c>
      <c r="AA148" s="45">
        <v>4</v>
      </c>
      <c r="AB148" s="45">
        <v>2</v>
      </c>
      <c r="AC148" s="44">
        <v>0.32</v>
      </c>
      <c r="AD148" s="44">
        <v>0.16</v>
      </c>
      <c r="AE148" s="44">
        <v>5</v>
      </c>
      <c r="AF148" s="44">
        <v>3</v>
      </c>
      <c r="AG148" s="44">
        <v>0.4</v>
      </c>
      <c r="AH148" s="44">
        <v>0.24</v>
      </c>
      <c r="AI148" s="44">
        <v>25</v>
      </c>
      <c r="AJ148" s="44">
        <v>20</v>
      </c>
    </row>
    <row r="149" spans="1:36" x14ac:dyDescent="0.35">
      <c r="A149" s="44" t="s">
        <v>295</v>
      </c>
      <c r="B149" s="44" t="s">
        <v>59</v>
      </c>
      <c r="C149" s="44">
        <v>73042</v>
      </c>
      <c r="D149" s="37">
        <v>26172</v>
      </c>
      <c r="E149" s="37">
        <v>26270</v>
      </c>
      <c r="F149" s="37">
        <v>26366</v>
      </c>
      <c r="G149" s="44">
        <v>0</v>
      </c>
      <c r="H149" s="44">
        <v>0</v>
      </c>
      <c r="I149" s="44">
        <v>0</v>
      </c>
      <c r="J149" s="44">
        <v>0</v>
      </c>
      <c r="K149" s="44">
        <v>0</v>
      </c>
      <c r="L149" s="44">
        <v>0</v>
      </c>
      <c r="M149" s="44">
        <v>1</v>
      </c>
      <c r="N149" s="44">
        <v>0</v>
      </c>
      <c r="O149" s="44">
        <v>0.04</v>
      </c>
      <c r="P149" s="44">
        <v>0</v>
      </c>
      <c r="Q149" s="44">
        <v>1</v>
      </c>
      <c r="R149" s="44">
        <v>0.04</v>
      </c>
      <c r="S149" s="44">
        <v>1</v>
      </c>
      <c r="T149" s="44">
        <v>0.04</v>
      </c>
      <c r="U149" s="44">
        <v>0</v>
      </c>
      <c r="V149" s="44">
        <v>0</v>
      </c>
      <c r="W149" s="44">
        <v>3</v>
      </c>
      <c r="X149" s="44">
        <v>1</v>
      </c>
      <c r="Y149" s="44">
        <v>0.11</v>
      </c>
      <c r="Z149" s="44">
        <v>0.04</v>
      </c>
      <c r="AA149" s="45">
        <v>3</v>
      </c>
      <c r="AB149" s="45">
        <v>1</v>
      </c>
      <c r="AC149" s="44">
        <v>0.11</v>
      </c>
      <c r="AD149" s="44">
        <v>0.04</v>
      </c>
      <c r="AE149" s="44">
        <v>3</v>
      </c>
      <c r="AF149" s="44">
        <v>1</v>
      </c>
      <c r="AG149" s="44">
        <v>0.11</v>
      </c>
      <c r="AH149" s="44">
        <v>0.04</v>
      </c>
      <c r="AI149" s="44">
        <v>53</v>
      </c>
      <c r="AJ149" s="44">
        <v>50</v>
      </c>
    </row>
    <row r="150" spans="1:36" x14ac:dyDescent="0.35">
      <c r="A150" s="44" t="s">
        <v>81</v>
      </c>
      <c r="B150" s="44" t="s">
        <v>52</v>
      </c>
      <c r="C150" s="44">
        <v>24059</v>
      </c>
      <c r="D150" s="37">
        <v>16149</v>
      </c>
      <c r="E150" s="37">
        <v>16284</v>
      </c>
      <c r="F150" s="37">
        <v>16390</v>
      </c>
      <c r="G150" s="44">
        <v>2</v>
      </c>
      <c r="H150" s="44">
        <v>0</v>
      </c>
      <c r="I150" s="44">
        <v>0.12</v>
      </c>
      <c r="J150" s="44">
        <v>5</v>
      </c>
      <c r="K150" s="44">
        <v>0</v>
      </c>
      <c r="L150" s="44">
        <v>0.31</v>
      </c>
      <c r="M150" s="44">
        <v>5</v>
      </c>
      <c r="N150" s="44">
        <v>0</v>
      </c>
      <c r="O150" s="44">
        <v>0.31</v>
      </c>
      <c r="P150" s="44">
        <v>0</v>
      </c>
      <c r="Q150" s="44">
        <v>3</v>
      </c>
      <c r="R150" s="44">
        <v>0.18</v>
      </c>
      <c r="S150" s="44">
        <v>0</v>
      </c>
      <c r="T150" s="44">
        <v>0</v>
      </c>
      <c r="U150" s="44">
        <v>3</v>
      </c>
      <c r="V150" s="44">
        <v>0.18</v>
      </c>
      <c r="W150" s="44">
        <v>10</v>
      </c>
      <c r="X150" s="44">
        <v>4</v>
      </c>
      <c r="Y150" s="44">
        <v>0.61</v>
      </c>
      <c r="Z150" s="44">
        <v>0.25</v>
      </c>
      <c r="AA150" s="45">
        <v>9</v>
      </c>
      <c r="AB150" s="45">
        <v>4</v>
      </c>
      <c r="AC150" s="44">
        <v>0.55000000000000004</v>
      </c>
      <c r="AD150" s="44">
        <v>0.24</v>
      </c>
      <c r="AE150" s="44">
        <v>12</v>
      </c>
      <c r="AF150" s="44">
        <v>8</v>
      </c>
      <c r="AG150" s="44">
        <v>0.73</v>
      </c>
      <c r="AH150" s="44">
        <v>0.49</v>
      </c>
      <c r="AI150" s="44">
        <v>33</v>
      </c>
      <c r="AJ150" s="44">
        <v>21</v>
      </c>
    </row>
    <row r="151" spans="1:36" x14ac:dyDescent="0.35">
      <c r="A151" s="44" t="s">
        <v>253</v>
      </c>
      <c r="B151" s="44" t="s">
        <v>55</v>
      </c>
      <c r="C151" s="44">
        <v>33040</v>
      </c>
      <c r="D151" s="37">
        <v>7926</v>
      </c>
      <c r="E151" s="37">
        <v>8015</v>
      </c>
      <c r="F151" s="37">
        <v>8100</v>
      </c>
      <c r="G151" s="44">
        <v>0</v>
      </c>
      <c r="H151" s="44">
        <v>0</v>
      </c>
      <c r="I151" s="44">
        <v>0</v>
      </c>
      <c r="J151" s="44">
        <v>0</v>
      </c>
      <c r="K151" s="44">
        <v>0</v>
      </c>
      <c r="L151" s="44">
        <v>0</v>
      </c>
      <c r="M151" s="44">
        <v>0</v>
      </c>
      <c r="N151" s="44">
        <v>0</v>
      </c>
      <c r="O151" s="44">
        <v>0</v>
      </c>
      <c r="P151" s="44">
        <v>0</v>
      </c>
      <c r="Q151" s="44">
        <v>0</v>
      </c>
      <c r="R151" s="44">
        <v>0</v>
      </c>
      <c r="S151" s="44">
        <v>0</v>
      </c>
      <c r="T151" s="44">
        <v>0</v>
      </c>
      <c r="U151" s="44">
        <v>0</v>
      </c>
      <c r="V151" s="44">
        <v>0</v>
      </c>
      <c r="W151" s="44">
        <v>0</v>
      </c>
      <c r="X151" s="44">
        <v>0</v>
      </c>
      <c r="Y151" s="44">
        <v>0</v>
      </c>
      <c r="Z151" s="44">
        <v>0</v>
      </c>
      <c r="AA151" s="45">
        <v>1</v>
      </c>
      <c r="AB151" s="45">
        <v>0</v>
      </c>
      <c r="AC151" s="44">
        <v>0.12</v>
      </c>
      <c r="AD151" s="44">
        <v>0</v>
      </c>
      <c r="AE151" s="44">
        <v>2</v>
      </c>
      <c r="AF151" s="44">
        <v>1</v>
      </c>
      <c r="AG151" s="44">
        <v>0.25</v>
      </c>
      <c r="AH151" s="44">
        <v>0.12</v>
      </c>
      <c r="AI151" s="44">
        <v>16</v>
      </c>
      <c r="AJ151" s="44">
        <v>14</v>
      </c>
    </row>
    <row r="152" spans="1:36" x14ac:dyDescent="0.35">
      <c r="A152" s="44" t="s">
        <v>114</v>
      </c>
      <c r="B152" s="44" t="s">
        <v>50</v>
      </c>
      <c r="C152" s="44">
        <v>42011</v>
      </c>
      <c r="D152" s="37">
        <v>19719</v>
      </c>
      <c r="E152" s="37">
        <v>19925</v>
      </c>
      <c r="F152" s="37">
        <v>20059</v>
      </c>
      <c r="G152" s="44">
        <v>4</v>
      </c>
      <c r="H152" s="44">
        <v>0</v>
      </c>
      <c r="I152" s="44">
        <v>0.2</v>
      </c>
      <c r="J152" s="44">
        <v>4</v>
      </c>
      <c r="K152" s="44">
        <v>0</v>
      </c>
      <c r="L152" s="44">
        <v>0.2</v>
      </c>
      <c r="M152" s="44">
        <v>3</v>
      </c>
      <c r="N152" s="44">
        <v>3</v>
      </c>
      <c r="O152" s="44">
        <v>0.15</v>
      </c>
      <c r="P152" s="44">
        <v>0.15</v>
      </c>
      <c r="Q152" s="44">
        <v>-1</v>
      </c>
      <c r="R152" s="44">
        <v>-0.05</v>
      </c>
      <c r="S152" s="44">
        <v>-1</v>
      </c>
      <c r="T152" s="44">
        <v>-0.05</v>
      </c>
      <c r="U152" s="44">
        <v>0</v>
      </c>
      <c r="V152" s="44">
        <v>0</v>
      </c>
      <c r="W152" s="44">
        <v>4</v>
      </c>
      <c r="X152" s="44">
        <v>3</v>
      </c>
      <c r="Y152" s="44">
        <v>0.2</v>
      </c>
      <c r="Z152" s="44">
        <v>0.15</v>
      </c>
      <c r="AA152" s="45">
        <v>5</v>
      </c>
      <c r="AB152" s="45">
        <v>4</v>
      </c>
      <c r="AC152" s="44">
        <v>0.25</v>
      </c>
      <c r="AD152" s="44">
        <v>0.2</v>
      </c>
      <c r="AE152" s="44">
        <v>6</v>
      </c>
      <c r="AF152" s="44">
        <v>5</v>
      </c>
      <c r="AG152" s="44">
        <v>0.3</v>
      </c>
      <c r="AH152" s="44">
        <v>0.25</v>
      </c>
      <c r="AI152" s="44">
        <v>40</v>
      </c>
      <c r="AJ152" s="44">
        <v>34</v>
      </c>
    </row>
    <row r="153" spans="1:36" x14ac:dyDescent="0.35">
      <c r="A153" s="44" t="s">
        <v>179</v>
      </c>
      <c r="B153" s="44" t="s">
        <v>50</v>
      </c>
      <c r="C153" s="44">
        <v>41034</v>
      </c>
      <c r="D153" s="37">
        <v>19054</v>
      </c>
      <c r="E153" s="37">
        <v>19160</v>
      </c>
      <c r="F153" s="37">
        <v>19310</v>
      </c>
      <c r="G153" s="44">
        <v>3</v>
      </c>
      <c r="H153" s="44">
        <v>0</v>
      </c>
      <c r="I153" s="44">
        <v>0.16</v>
      </c>
      <c r="J153" s="44">
        <v>2</v>
      </c>
      <c r="K153" s="44">
        <v>0</v>
      </c>
      <c r="L153" s="44">
        <v>0.1</v>
      </c>
      <c r="M153" s="44">
        <v>2</v>
      </c>
      <c r="N153" s="44">
        <v>2</v>
      </c>
      <c r="O153" s="44">
        <v>0.1</v>
      </c>
      <c r="P153" s="44">
        <v>0.1</v>
      </c>
      <c r="Q153" s="44">
        <v>-1</v>
      </c>
      <c r="R153" s="44">
        <v>-0.05</v>
      </c>
      <c r="S153" s="44">
        <v>0</v>
      </c>
      <c r="T153" s="44">
        <v>0</v>
      </c>
      <c r="U153" s="44">
        <v>0</v>
      </c>
      <c r="V153" s="44">
        <v>0</v>
      </c>
      <c r="W153" s="44">
        <v>2</v>
      </c>
      <c r="X153" s="44">
        <v>2</v>
      </c>
      <c r="Y153" s="44">
        <v>0.1</v>
      </c>
      <c r="Z153" s="44">
        <v>0.1</v>
      </c>
      <c r="AA153" s="45">
        <v>4</v>
      </c>
      <c r="AB153" s="45">
        <v>4</v>
      </c>
      <c r="AC153" s="44">
        <v>0.21</v>
      </c>
      <c r="AD153" s="44">
        <v>0.21</v>
      </c>
      <c r="AE153" s="44">
        <v>4</v>
      </c>
      <c r="AF153" s="44">
        <v>4</v>
      </c>
      <c r="AG153" s="44">
        <v>0.21</v>
      </c>
      <c r="AH153" s="44">
        <v>0.21</v>
      </c>
      <c r="AI153" s="44">
        <v>39</v>
      </c>
      <c r="AJ153" s="44">
        <v>35</v>
      </c>
    </row>
    <row r="154" spans="1:36" x14ac:dyDescent="0.35">
      <c r="A154" s="44" t="s">
        <v>171</v>
      </c>
      <c r="B154" s="44" t="s">
        <v>55</v>
      </c>
      <c r="C154" s="44">
        <v>36010</v>
      </c>
      <c r="D154" s="37">
        <v>9738</v>
      </c>
      <c r="E154" s="37">
        <v>9770</v>
      </c>
      <c r="F154" s="37">
        <v>9779</v>
      </c>
      <c r="G154" s="44">
        <v>1</v>
      </c>
      <c r="H154" s="44">
        <v>0</v>
      </c>
      <c r="I154" s="44">
        <v>0.1</v>
      </c>
      <c r="J154" s="44">
        <v>1</v>
      </c>
      <c r="K154" s="44">
        <v>0</v>
      </c>
      <c r="L154" s="44">
        <v>0.1</v>
      </c>
      <c r="M154" s="44">
        <v>2</v>
      </c>
      <c r="N154" s="44">
        <v>0</v>
      </c>
      <c r="O154" s="44">
        <v>0.2</v>
      </c>
      <c r="P154" s="44">
        <v>0</v>
      </c>
      <c r="Q154" s="44">
        <v>1</v>
      </c>
      <c r="R154" s="44">
        <v>0.1</v>
      </c>
      <c r="S154" s="44">
        <v>1</v>
      </c>
      <c r="T154" s="44">
        <v>0.1</v>
      </c>
      <c r="U154" s="44">
        <v>0</v>
      </c>
      <c r="V154" s="44">
        <v>0</v>
      </c>
      <c r="W154" s="44">
        <v>2</v>
      </c>
      <c r="X154" s="44">
        <v>0</v>
      </c>
      <c r="Y154" s="44">
        <v>0.2</v>
      </c>
      <c r="Z154" s="44">
        <v>0</v>
      </c>
      <c r="AA154" s="45">
        <v>3</v>
      </c>
      <c r="AB154" s="45">
        <v>0</v>
      </c>
      <c r="AC154" s="44">
        <v>0.31</v>
      </c>
      <c r="AD154" s="44">
        <v>0</v>
      </c>
      <c r="AE154" s="44">
        <v>3</v>
      </c>
      <c r="AF154" s="44">
        <v>0</v>
      </c>
      <c r="AG154" s="44">
        <v>0.31</v>
      </c>
      <c r="AH154" s="44">
        <v>0</v>
      </c>
      <c r="AI154" s="44">
        <v>20</v>
      </c>
      <c r="AJ154" s="44">
        <v>17</v>
      </c>
    </row>
    <row r="155" spans="1:36" x14ac:dyDescent="0.35">
      <c r="A155" s="44" t="s">
        <v>320</v>
      </c>
      <c r="B155" s="44" t="s">
        <v>55</v>
      </c>
      <c r="C155" s="44">
        <v>34025</v>
      </c>
      <c r="D155" s="37">
        <v>5803</v>
      </c>
      <c r="E155" s="37">
        <v>5863</v>
      </c>
      <c r="F155" s="37">
        <v>5881</v>
      </c>
      <c r="G155" s="44">
        <v>0</v>
      </c>
      <c r="H155" s="44">
        <v>0</v>
      </c>
      <c r="I155" s="44">
        <v>0</v>
      </c>
      <c r="J155" s="44">
        <v>0</v>
      </c>
      <c r="K155" s="44">
        <v>0</v>
      </c>
      <c r="L155" s="44">
        <v>0</v>
      </c>
      <c r="M155" s="44">
        <v>0</v>
      </c>
      <c r="N155" s="44">
        <v>0</v>
      </c>
      <c r="O155" s="44">
        <v>0</v>
      </c>
      <c r="P155" s="44">
        <v>0</v>
      </c>
      <c r="Q155" s="44">
        <v>0</v>
      </c>
      <c r="R155" s="44">
        <v>0</v>
      </c>
      <c r="S155" s="44">
        <v>0</v>
      </c>
      <c r="T155" s="44">
        <v>0</v>
      </c>
      <c r="U155" s="44">
        <v>0</v>
      </c>
      <c r="V155" s="44">
        <v>0</v>
      </c>
      <c r="W155" s="44">
        <v>0</v>
      </c>
      <c r="X155" s="44">
        <v>0</v>
      </c>
      <c r="Y155" s="44">
        <v>0</v>
      </c>
      <c r="Z155" s="44">
        <v>0</v>
      </c>
      <c r="AA155" s="45">
        <v>0</v>
      </c>
      <c r="AB155" s="45">
        <v>0</v>
      </c>
      <c r="AC155" s="44">
        <v>0</v>
      </c>
      <c r="AD155" s="44">
        <v>0</v>
      </c>
      <c r="AE155" s="44">
        <v>0</v>
      </c>
      <c r="AF155" s="44">
        <v>0</v>
      </c>
      <c r="AG155" s="44">
        <v>0</v>
      </c>
      <c r="AH155" s="44">
        <v>0</v>
      </c>
      <c r="AI155" s="44">
        <v>12</v>
      </c>
      <c r="AJ155" s="44">
        <v>12</v>
      </c>
    </row>
    <row r="156" spans="1:36" x14ac:dyDescent="0.35">
      <c r="A156" s="44" t="s">
        <v>257</v>
      </c>
      <c r="B156" s="44" t="s">
        <v>52</v>
      </c>
      <c r="C156" s="44">
        <v>23104</v>
      </c>
      <c r="D156" s="37">
        <v>9312</v>
      </c>
      <c r="E156" s="37">
        <v>9431</v>
      </c>
      <c r="F156" s="37">
        <v>9471</v>
      </c>
      <c r="G156" s="44">
        <v>0</v>
      </c>
      <c r="H156" s="44">
        <v>0</v>
      </c>
      <c r="I156" s="44">
        <v>0</v>
      </c>
      <c r="J156" s="44">
        <v>0</v>
      </c>
      <c r="K156" s="44">
        <v>0</v>
      </c>
      <c r="L156" s="44">
        <v>0</v>
      </c>
      <c r="M156" s="44">
        <v>1</v>
      </c>
      <c r="N156" s="44">
        <v>0</v>
      </c>
      <c r="O156" s="44">
        <v>0.11</v>
      </c>
      <c r="P156" s="44">
        <v>0</v>
      </c>
      <c r="Q156" s="44">
        <v>1</v>
      </c>
      <c r="R156" s="44">
        <v>0.11</v>
      </c>
      <c r="S156" s="44">
        <v>1</v>
      </c>
      <c r="T156" s="44">
        <v>0.11</v>
      </c>
      <c r="U156" s="44">
        <v>1</v>
      </c>
      <c r="V156" s="44">
        <v>0.11</v>
      </c>
      <c r="W156" s="44">
        <v>2</v>
      </c>
      <c r="X156" s="44">
        <v>0</v>
      </c>
      <c r="Y156" s="44">
        <v>0.21</v>
      </c>
      <c r="Z156" s="44">
        <v>0</v>
      </c>
      <c r="AA156" s="45">
        <v>2</v>
      </c>
      <c r="AB156" s="45">
        <v>0</v>
      </c>
      <c r="AC156" s="44">
        <v>0.21</v>
      </c>
      <c r="AD156" s="44">
        <v>0</v>
      </c>
      <c r="AE156" s="44">
        <v>1</v>
      </c>
      <c r="AF156" s="44">
        <v>0</v>
      </c>
      <c r="AG156" s="44">
        <v>0.11</v>
      </c>
      <c r="AH156" s="44">
        <v>0</v>
      </c>
      <c r="AI156" s="44">
        <v>19</v>
      </c>
      <c r="AJ156" s="44">
        <v>18</v>
      </c>
    </row>
    <row r="157" spans="1:36" x14ac:dyDescent="0.35">
      <c r="A157" s="44" t="s">
        <v>308</v>
      </c>
      <c r="B157" s="44" t="s">
        <v>59</v>
      </c>
      <c r="C157" s="44">
        <v>71034</v>
      </c>
      <c r="D157" s="37">
        <v>16125</v>
      </c>
      <c r="E157" s="37">
        <v>16407</v>
      </c>
      <c r="F157" s="37">
        <v>16607</v>
      </c>
      <c r="G157" s="44">
        <v>0</v>
      </c>
      <c r="H157" s="44">
        <v>0</v>
      </c>
      <c r="I157" s="44">
        <v>0</v>
      </c>
      <c r="J157" s="44">
        <v>0</v>
      </c>
      <c r="K157" s="44">
        <v>0</v>
      </c>
      <c r="L157" s="44">
        <v>0</v>
      </c>
      <c r="M157" s="44">
        <v>0</v>
      </c>
      <c r="N157" s="44">
        <v>0</v>
      </c>
      <c r="O157" s="44">
        <v>0</v>
      </c>
      <c r="P157" s="44">
        <v>0</v>
      </c>
      <c r="Q157" s="44">
        <v>0</v>
      </c>
      <c r="R157" s="44">
        <v>0</v>
      </c>
      <c r="S157" s="44">
        <v>0</v>
      </c>
      <c r="T157" s="44">
        <v>0</v>
      </c>
      <c r="U157" s="44">
        <v>0</v>
      </c>
      <c r="V157" s="44">
        <v>0</v>
      </c>
      <c r="W157" s="44">
        <v>0</v>
      </c>
      <c r="X157" s="44">
        <v>0</v>
      </c>
      <c r="Y157" s="44">
        <v>0</v>
      </c>
      <c r="Z157" s="44">
        <v>0</v>
      </c>
      <c r="AA157" s="45">
        <v>0</v>
      </c>
      <c r="AB157" s="45">
        <v>0</v>
      </c>
      <c r="AC157" s="44">
        <v>0</v>
      </c>
      <c r="AD157" s="44">
        <v>0</v>
      </c>
      <c r="AE157" s="44">
        <v>1</v>
      </c>
      <c r="AF157" s="44">
        <v>1</v>
      </c>
      <c r="AG157" s="44">
        <v>0.06</v>
      </c>
      <c r="AH157" s="44">
        <v>0.06</v>
      </c>
      <c r="AI157" s="44">
        <v>33</v>
      </c>
      <c r="AJ157" s="44">
        <v>32</v>
      </c>
    </row>
    <row r="158" spans="1:36" x14ac:dyDescent="0.35">
      <c r="A158" s="44" t="s">
        <v>51</v>
      </c>
      <c r="B158" s="44" t="s">
        <v>52</v>
      </c>
      <c r="C158" s="44">
        <v>24062</v>
      </c>
      <c r="D158" s="37">
        <v>102236</v>
      </c>
      <c r="E158" s="37">
        <v>103009</v>
      </c>
      <c r="F158" s="37">
        <v>104009</v>
      </c>
      <c r="G158" s="44">
        <v>201</v>
      </c>
      <c r="H158" s="44">
        <v>5</v>
      </c>
      <c r="I158" s="44">
        <v>1.97</v>
      </c>
      <c r="J158" s="44">
        <v>211</v>
      </c>
      <c r="K158" s="44">
        <v>5</v>
      </c>
      <c r="L158" s="44">
        <v>2.06</v>
      </c>
      <c r="M158" s="44">
        <v>218</v>
      </c>
      <c r="N158" s="44">
        <v>27</v>
      </c>
      <c r="O158" s="44">
        <v>2.12</v>
      </c>
      <c r="P158" s="44">
        <v>0.26</v>
      </c>
      <c r="Q158" s="44">
        <v>17</v>
      </c>
      <c r="R158" s="44">
        <v>0.15</v>
      </c>
      <c r="S158" s="44">
        <v>7</v>
      </c>
      <c r="T158" s="44">
        <v>0.05</v>
      </c>
      <c r="U158" s="44">
        <v>53</v>
      </c>
      <c r="V158" s="44">
        <v>0.51</v>
      </c>
      <c r="W158" s="44">
        <v>230</v>
      </c>
      <c r="X158" s="44">
        <v>27</v>
      </c>
      <c r="Y158" s="44">
        <v>2.23</v>
      </c>
      <c r="Z158" s="44">
        <v>0.26</v>
      </c>
      <c r="AA158" s="45">
        <v>249</v>
      </c>
      <c r="AB158" s="45">
        <v>30</v>
      </c>
      <c r="AC158" s="44">
        <v>2.39</v>
      </c>
      <c r="AD158" s="44">
        <v>0.28999999999999998</v>
      </c>
      <c r="AE158" s="44">
        <v>248</v>
      </c>
      <c r="AF158" s="44">
        <v>34</v>
      </c>
      <c r="AG158" s="44">
        <v>2.38</v>
      </c>
      <c r="AH158" s="44">
        <v>0.33</v>
      </c>
      <c r="AI158" s="44">
        <v>208</v>
      </c>
      <c r="AJ158" s="44">
        <v>-40</v>
      </c>
    </row>
    <row r="159" spans="1:36" x14ac:dyDescent="0.35">
      <c r="A159" s="44" t="s">
        <v>198</v>
      </c>
      <c r="B159" s="44" t="s">
        <v>55</v>
      </c>
      <c r="C159" s="44">
        <v>36011</v>
      </c>
      <c r="D159" s="37">
        <v>9018</v>
      </c>
      <c r="E159" s="37">
        <v>9166</v>
      </c>
      <c r="F159" s="37">
        <v>9319</v>
      </c>
      <c r="G159" s="44">
        <v>0</v>
      </c>
      <c r="H159" s="44">
        <v>0</v>
      </c>
      <c r="I159" s="44">
        <v>0</v>
      </c>
      <c r="J159" s="44">
        <v>0</v>
      </c>
      <c r="K159" s="44">
        <v>0</v>
      </c>
      <c r="L159" s="44">
        <v>0</v>
      </c>
      <c r="M159" s="44">
        <v>1</v>
      </c>
      <c r="N159" s="44">
        <v>0</v>
      </c>
      <c r="O159" s="44">
        <v>0.11</v>
      </c>
      <c r="P159" s="44">
        <v>0</v>
      </c>
      <c r="Q159" s="44">
        <v>1</v>
      </c>
      <c r="R159" s="44">
        <v>0.11</v>
      </c>
      <c r="S159" s="44">
        <v>1</v>
      </c>
      <c r="T159" s="44">
        <v>0.11</v>
      </c>
      <c r="U159" s="44">
        <v>1</v>
      </c>
      <c r="V159" s="44">
        <v>0.11</v>
      </c>
      <c r="W159" s="44">
        <v>0</v>
      </c>
      <c r="X159" s="44">
        <v>0</v>
      </c>
      <c r="Y159" s="44">
        <v>0</v>
      </c>
      <c r="Z159" s="44">
        <v>0</v>
      </c>
      <c r="AA159" s="45">
        <v>1</v>
      </c>
      <c r="AB159" s="45">
        <v>0</v>
      </c>
      <c r="AC159" s="44">
        <v>0.11</v>
      </c>
      <c r="AD159" s="44">
        <v>0</v>
      </c>
      <c r="AE159" s="44">
        <v>2</v>
      </c>
      <c r="AF159" s="44">
        <v>1</v>
      </c>
      <c r="AG159" s="44">
        <v>0.21</v>
      </c>
      <c r="AH159" s="44">
        <v>0.11</v>
      </c>
      <c r="AI159" s="44">
        <v>19</v>
      </c>
      <c r="AJ159" s="44">
        <v>17</v>
      </c>
    </row>
    <row r="160" spans="1:36" x14ac:dyDescent="0.35">
      <c r="A160" s="44" t="s">
        <v>334</v>
      </c>
      <c r="B160" s="44" t="s">
        <v>52</v>
      </c>
      <c r="C160" s="44">
        <v>23044</v>
      </c>
      <c r="D160" s="37">
        <v>13651</v>
      </c>
      <c r="E160" s="37">
        <v>13877</v>
      </c>
      <c r="F160" s="37">
        <v>14013</v>
      </c>
      <c r="G160" s="44">
        <v>2</v>
      </c>
      <c r="H160" s="44">
        <v>0</v>
      </c>
      <c r="I160" s="44">
        <v>0.15</v>
      </c>
      <c r="J160" s="44">
        <v>0</v>
      </c>
      <c r="K160" s="44">
        <v>0</v>
      </c>
      <c r="L160" s="44">
        <v>0</v>
      </c>
      <c r="M160" s="44">
        <v>1</v>
      </c>
      <c r="N160" s="44">
        <v>0</v>
      </c>
      <c r="O160" s="44">
        <v>7.0000000000000007E-2</v>
      </c>
      <c r="P160" s="44">
        <v>0</v>
      </c>
      <c r="Q160" s="44">
        <v>-1</v>
      </c>
      <c r="R160" s="44">
        <v>-7.0000000000000007E-2</v>
      </c>
      <c r="S160" s="44">
        <v>1</v>
      </c>
      <c r="T160" s="44">
        <v>7.0000000000000007E-2</v>
      </c>
      <c r="U160" s="44">
        <v>1</v>
      </c>
      <c r="V160" s="44">
        <v>7.0000000000000007E-2</v>
      </c>
      <c r="W160" s="44">
        <v>1</v>
      </c>
      <c r="X160" s="44">
        <v>0</v>
      </c>
      <c r="Y160" s="44">
        <v>7.0000000000000007E-2</v>
      </c>
      <c r="Z160" s="44">
        <v>0</v>
      </c>
      <c r="AA160" s="45">
        <v>0</v>
      </c>
      <c r="AB160" s="45">
        <v>0</v>
      </c>
      <c r="AC160" s="44">
        <v>0</v>
      </c>
      <c r="AD160" s="44">
        <v>0</v>
      </c>
      <c r="AE160" s="44">
        <v>0</v>
      </c>
      <c r="AF160" s="44">
        <v>0</v>
      </c>
      <c r="AG160" s="44">
        <v>0</v>
      </c>
      <c r="AH160" s="44">
        <v>0</v>
      </c>
      <c r="AI160" s="44">
        <v>28</v>
      </c>
      <c r="AJ160" s="44">
        <v>28</v>
      </c>
    </row>
    <row r="161" spans="1:36" x14ac:dyDescent="0.35">
      <c r="A161" s="44" t="s">
        <v>68</v>
      </c>
      <c r="B161" s="44" t="s">
        <v>48</v>
      </c>
      <c r="C161" s="44">
        <v>12021</v>
      </c>
      <c r="D161" s="37">
        <v>37309</v>
      </c>
      <c r="E161" s="37">
        <v>37909</v>
      </c>
      <c r="F161" s="37">
        <v>38210</v>
      </c>
      <c r="G161" s="44">
        <v>19</v>
      </c>
      <c r="H161" s="44">
        <v>0</v>
      </c>
      <c r="I161" s="44">
        <v>0.51</v>
      </c>
      <c r="J161" s="44">
        <v>21</v>
      </c>
      <c r="K161" s="44">
        <v>0</v>
      </c>
      <c r="L161" s="44">
        <v>0.56000000000000005</v>
      </c>
      <c r="M161" s="44">
        <v>28</v>
      </c>
      <c r="N161" s="44">
        <v>2</v>
      </c>
      <c r="O161" s="44">
        <v>0.74</v>
      </c>
      <c r="P161" s="44">
        <v>0.05</v>
      </c>
      <c r="Q161" s="44">
        <v>9</v>
      </c>
      <c r="R161" s="44">
        <v>0.23</v>
      </c>
      <c r="S161" s="44">
        <v>7</v>
      </c>
      <c r="T161" s="44">
        <v>0.18</v>
      </c>
      <c r="U161" s="44">
        <v>8</v>
      </c>
      <c r="V161" s="44">
        <v>0.21</v>
      </c>
      <c r="W161" s="44">
        <v>29</v>
      </c>
      <c r="X161" s="44">
        <v>1</v>
      </c>
      <c r="Y161" s="44">
        <v>0.76</v>
      </c>
      <c r="Z161" s="44">
        <v>0.03</v>
      </c>
      <c r="AA161" s="45">
        <v>32</v>
      </c>
      <c r="AB161" s="45">
        <v>1</v>
      </c>
      <c r="AC161" s="44">
        <v>0.84</v>
      </c>
      <c r="AD161" s="44">
        <v>0.03</v>
      </c>
      <c r="AE161" s="44">
        <v>32</v>
      </c>
      <c r="AF161" s="44">
        <v>1</v>
      </c>
      <c r="AG161" s="44">
        <v>0.84</v>
      </c>
      <c r="AH161" s="44">
        <v>0.03</v>
      </c>
      <c r="AI161" s="44">
        <v>76</v>
      </c>
      <c r="AJ161" s="44">
        <v>44</v>
      </c>
    </row>
    <row r="162" spans="1:36" x14ac:dyDescent="0.35">
      <c r="A162" s="44" t="s">
        <v>248</v>
      </c>
      <c r="B162" s="44" t="s">
        <v>50</v>
      </c>
      <c r="C162" s="44">
        <v>45063</v>
      </c>
      <c r="D162" s="37">
        <v>6689</v>
      </c>
      <c r="E162" s="37">
        <v>6805</v>
      </c>
      <c r="F162" s="37">
        <v>6874</v>
      </c>
      <c r="G162" s="44">
        <v>3</v>
      </c>
      <c r="H162" s="44">
        <v>0</v>
      </c>
      <c r="I162" s="44">
        <v>0.45</v>
      </c>
      <c r="J162" s="44">
        <v>3</v>
      </c>
      <c r="K162" s="44">
        <v>0</v>
      </c>
      <c r="L162" s="44">
        <v>0.45</v>
      </c>
      <c r="M162" s="44">
        <v>3</v>
      </c>
      <c r="N162" s="44">
        <v>3</v>
      </c>
      <c r="O162" s="44">
        <v>0.44</v>
      </c>
      <c r="P162" s="44">
        <v>0.44</v>
      </c>
      <c r="Q162" s="44">
        <v>0</v>
      </c>
      <c r="R162" s="44">
        <v>-0.01</v>
      </c>
      <c r="S162" s="44">
        <v>0</v>
      </c>
      <c r="T162" s="44">
        <v>-0.01</v>
      </c>
      <c r="U162" s="44">
        <v>0</v>
      </c>
      <c r="V162" s="44">
        <v>0</v>
      </c>
      <c r="W162" s="44">
        <v>3</v>
      </c>
      <c r="X162" s="44">
        <v>3</v>
      </c>
      <c r="Y162" s="44">
        <v>0.44</v>
      </c>
      <c r="Z162" s="44">
        <v>0.44</v>
      </c>
      <c r="AA162" s="45">
        <v>2</v>
      </c>
      <c r="AB162" s="45">
        <v>2</v>
      </c>
      <c r="AC162" s="44">
        <v>0.28999999999999998</v>
      </c>
      <c r="AD162" s="44">
        <v>0.28999999999999998</v>
      </c>
      <c r="AE162" s="44">
        <v>2</v>
      </c>
      <c r="AF162" s="44">
        <v>2</v>
      </c>
      <c r="AG162" s="44">
        <v>0.28999999999999998</v>
      </c>
      <c r="AH162" s="44">
        <v>0.28999999999999998</v>
      </c>
      <c r="AI162" s="44">
        <v>14</v>
      </c>
      <c r="AJ162" s="44">
        <v>12</v>
      </c>
    </row>
    <row r="163" spans="1:36" x14ac:dyDescent="0.35">
      <c r="A163" s="44" t="s">
        <v>82</v>
      </c>
      <c r="B163" s="44" t="s">
        <v>50</v>
      </c>
      <c r="C163" s="44">
        <v>44085</v>
      </c>
      <c r="D163" s="37">
        <v>26657</v>
      </c>
      <c r="E163" s="37">
        <v>26979</v>
      </c>
      <c r="F163" s="37">
        <v>27225</v>
      </c>
      <c r="G163" s="44">
        <v>9</v>
      </c>
      <c r="H163" s="44">
        <v>0</v>
      </c>
      <c r="I163" s="44">
        <v>0.34</v>
      </c>
      <c r="J163" s="44">
        <v>10</v>
      </c>
      <c r="K163" s="44">
        <v>1</v>
      </c>
      <c r="L163" s="44">
        <v>0.38</v>
      </c>
      <c r="M163" s="44">
        <v>10</v>
      </c>
      <c r="N163" s="44">
        <v>4</v>
      </c>
      <c r="O163" s="44">
        <v>0.37</v>
      </c>
      <c r="P163" s="44">
        <v>0.15</v>
      </c>
      <c r="Q163" s="44">
        <v>1</v>
      </c>
      <c r="R163" s="44">
        <v>0.03</v>
      </c>
      <c r="S163" s="44">
        <v>0</v>
      </c>
      <c r="T163" s="44">
        <v>0</v>
      </c>
      <c r="U163" s="44">
        <v>9</v>
      </c>
      <c r="V163" s="44">
        <v>0.33</v>
      </c>
      <c r="W163" s="44">
        <v>8</v>
      </c>
      <c r="X163" s="44">
        <v>4</v>
      </c>
      <c r="Y163" s="44">
        <v>0.3</v>
      </c>
      <c r="Z163" s="44">
        <v>0.15</v>
      </c>
      <c r="AA163" s="45">
        <v>8</v>
      </c>
      <c r="AB163" s="45">
        <v>4</v>
      </c>
      <c r="AC163" s="44">
        <v>0.28999999999999998</v>
      </c>
      <c r="AD163" s="44">
        <v>0.15</v>
      </c>
      <c r="AE163" s="44">
        <v>11</v>
      </c>
      <c r="AF163" s="44">
        <v>6</v>
      </c>
      <c r="AG163" s="44">
        <v>0.4</v>
      </c>
      <c r="AH163" s="44">
        <v>0.22</v>
      </c>
      <c r="AI163" s="44">
        <v>54</v>
      </c>
      <c r="AJ163" s="44">
        <v>43</v>
      </c>
    </row>
    <row r="164" spans="1:36" x14ac:dyDescent="0.35">
      <c r="A164" s="44" t="s">
        <v>161</v>
      </c>
      <c r="B164" s="44" t="s">
        <v>48</v>
      </c>
      <c r="C164" s="44">
        <v>13019</v>
      </c>
      <c r="D164" s="37">
        <v>16688</v>
      </c>
      <c r="E164" s="37">
        <v>16871</v>
      </c>
      <c r="F164" s="37">
        <v>17026</v>
      </c>
      <c r="G164" s="44">
        <v>1</v>
      </c>
      <c r="H164" s="44">
        <v>0</v>
      </c>
      <c r="I164" s="44">
        <v>0.06</v>
      </c>
      <c r="J164" s="44">
        <v>1</v>
      </c>
      <c r="K164" s="44">
        <v>0</v>
      </c>
      <c r="L164" s="44">
        <v>0.06</v>
      </c>
      <c r="M164" s="44">
        <v>0</v>
      </c>
      <c r="N164" s="44">
        <v>0</v>
      </c>
      <c r="O164" s="44">
        <v>0</v>
      </c>
      <c r="P164" s="44">
        <v>0</v>
      </c>
      <c r="Q164" s="44">
        <v>-1</v>
      </c>
      <c r="R164" s="44">
        <v>-0.06</v>
      </c>
      <c r="S164" s="44">
        <v>-1</v>
      </c>
      <c r="T164" s="44">
        <v>-0.06</v>
      </c>
      <c r="U164" s="44">
        <v>0</v>
      </c>
      <c r="V164" s="44">
        <v>0</v>
      </c>
      <c r="W164" s="44">
        <v>1</v>
      </c>
      <c r="X164" s="44">
        <v>0</v>
      </c>
      <c r="Y164" s="44">
        <v>0.06</v>
      </c>
      <c r="Z164" s="44">
        <v>0</v>
      </c>
      <c r="AA164" s="45">
        <v>1</v>
      </c>
      <c r="AB164" s="45">
        <v>0</v>
      </c>
      <c r="AC164" s="44">
        <v>0.06</v>
      </c>
      <c r="AD164" s="44">
        <v>0</v>
      </c>
      <c r="AE164" s="44">
        <v>4</v>
      </c>
      <c r="AF164" s="44">
        <v>2</v>
      </c>
      <c r="AG164" s="44">
        <v>0.23</v>
      </c>
      <c r="AH164" s="44">
        <v>0.12</v>
      </c>
      <c r="AI164" s="44">
        <v>34</v>
      </c>
      <c r="AJ164" s="44">
        <v>30</v>
      </c>
    </row>
    <row r="165" spans="1:36" x14ac:dyDescent="0.35">
      <c r="A165" s="44" t="s">
        <v>319</v>
      </c>
      <c r="B165" s="44" t="s">
        <v>52</v>
      </c>
      <c r="C165" s="44">
        <v>23100</v>
      </c>
      <c r="D165" s="37">
        <v>4709</v>
      </c>
      <c r="E165" s="37">
        <v>4640</v>
      </c>
      <c r="F165" s="37">
        <v>4674</v>
      </c>
      <c r="G165" s="44">
        <v>0</v>
      </c>
      <c r="H165" s="44">
        <v>0</v>
      </c>
      <c r="I165" s="44">
        <v>0</v>
      </c>
      <c r="J165" s="44">
        <v>0</v>
      </c>
      <c r="K165" s="44">
        <v>0</v>
      </c>
      <c r="L165" s="44">
        <v>0</v>
      </c>
      <c r="M165" s="44">
        <v>0</v>
      </c>
      <c r="N165" s="44">
        <v>0</v>
      </c>
      <c r="O165" s="44">
        <v>0</v>
      </c>
      <c r="P165" s="44">
        <v>0</v>
      </c>
      <c r="Q165" s="44">
        <v>0</v>
      </c>
      <c r="R165" s="44">
        <v>0</v>
      </c>
      <c r="S165" s="44">
        <v>0</v>
      </c>
      <c r="T165" s="44">
        <v>0</v>
      </c>
      <c r="U165" s="44">
        <v>0</v>
      </c>
      <c r="V165" s="44">
        <v>0</v>
      </c>
      <c r="W165" s="44">
        <v>0</v>
      </c>
      <c r="X165" s="44">
        <v>0</v>
      </c>
      <c r="Y165" s="44">
        <v>0</v>
      </c>
      <c r="Z165" s="44">
        <v>0</v>
      </c>
      <c r="AA165" s="45">
        <v>0</v>
      </c>
      <c r="AB165" s="45">
        <v>0</v>
      </c>
      <c r="AC165" s="44">
        <v>0</v>
      </c>
      <c r="AD165" s="44">
        <v>0</v>
      </c>
      <c r="AE165" s="44">
        <v>0</v>
      </c>
      <c r="AF165" s="44">
        <v>0</v>
      </c>
      <c r="AG165" s="44">
        <v>0</v>
      </c>
      <c r="AH165" s="44">
        <v>0</v>
      </c>
      <c r="AI165" s="44">
        <v>9</v>
      </c>
      <c r="AJ165" s="44">
        <v>9</v>
      </c>
    </row>
    <row r="166" spans="1:36" x14ac:dyDescent="0.35">
      <c r="A166" s="44" t="s">
        <v>254</v>
      </c>
      <c r="B166" s="44" t="s">
        <v>48</v>
      </c>
      <c r="C166" s="44">
        <v>11025</v>
      </c>
      <c r="D166" s="37">
        <v>8553</v>
      </c>
      <c r="E166" s="37">
        <v>8548</v>
      </c>
      <c r="F166" s="37">
        <v>8505</v>
      </c>
      <c r="G166" s="44">
        <v>1</v>
      </c>
      <c r="H166" s="44">
        <v>1</v>
      </c>
      <c r="I166" s="44">
        <v>0.12</v>
      </c>
      <c r="J166" s="44">
        <v>1</v>
      </c>
      <c r="K166" s="44">
        <v>1</v>
      </c>
      <c r="L166" s="44">
        <v>0.12</v>
      </c>
      <c r="M166" s="44">
        <v>1</v>
      </c>
      <c r="N166" s="44">
        <v>1</v>
      </c>
      <c r="O166" s="44">
        <v>0.12</v>
      </c>
      <c r="P166" s="44">
        <v>0.12</v>
      </c>
      <c r="Q166" s="44">
        <v>0</v>
      </c>
      <c r="R166" s="44">
        <v>0</v>
      </c>
      <c r="S166" s="44">
        <v>0</v>
      </c>
      <c r="T166" s="44">
        <v>0</v>
      </c>
      <c r="U166" s="44">
        <v>0</v>
      </c>
      <c r="V166" s="44">
        <v>0</v>
      </c>
      <c r="W166" s="44">
        <v>0</v>
      </c>
      <c r="X166" s="44">
        <v>0</v>
      </c>
      <c r="Y166" s="44">
        <v>0</v>
      </c>
      <c r="Z166" s="44">
        <v>0</v>
      </c>
      <c r="AA166" s="45">
        <v>2</v>
      </c>
      <c r="AB166" s="45">
        <v>1</v>
      </c>
      <c r="AC166" s="44">
        <v>0.24</v>
      </c>
      <c r="AD166" s="44">
        <v>0.12</v>
      </c>
      <c r="AE166" s="44">
        <v>2</v>
      </c>
      <c r="AF166" s="44">
        <v>1</v>
      </c>
      <c r="AG166" s="44">
        <v>0.24</v>
      </c>
      <c r="AH166" s="44">
        <v>0.12</v>
      </c>
      <c r="AI166" s="44">
        <v>17</v>
      </c>
      <c r="AJ166" s="44">
        <v>15</v>
      </c>
    </row>
    <row r="167" spans="1:36" x14ac:dyDescent="0.35">
      <c r="A167" s="44" t="s">
        <v>193</v>
      </c>
      <c r="B167" s="44" t="s">
        <v>52</v>
      </c>
      <c r="C167" s="44">
        <v>24133</v>
      </c>
      <c r="D167" s="37">
        <v>7276</v>
      </c>
      <c r="E167" s="37">
        <v>7317</v>
      </c>
      <c r="F167" s="37">
        <v>7323</v>
      </c>
      <c r="G167" s="44">
        <v>1</v>
      </c>
      <c r="H167" s="44">
        <v>0</v>
      </c>
      <c r="I167" s="44">
        <v>0.14000000000000001</v>
      </c>
      <c r="J167" s="44">
        <v>1</v>
      </c>
      <c r="K167" s="44">
        <v>0</v>
      </c>
      <c r="L167" s="44">
        <v>0.14000000000000001</v>
      </c>
      <c r="M167" s="44">
        <v>1</v>
      </c>
      <c r="N167" s="44">
        <v>0</v>
      </c>
      <c r="O167" s="44">
        <v>0.14000000000000001</v>
      </c>
      <c r="P167" s="44">
        <v>0</v>
      </c>
      <c r="Q167" s="44">
        <v>0</v>
      </c>
      <c r="R167" s="44">
        <v>0</v>
      </c>
      <c r="S167" s="44">
        <v>0</v>
      </c>
      <c r="T167" s="44">
        <v>0</v>
      </c>
      <c r="U167" s="44">
        <v>1</v>
      </c>
      <c r="V167" s="44">
        <v>0.14000000000000001</v>
      </c>
      <c r="W167" s="44">
        <v>1</v>
      </c>
      <c r="X167" s="44">
        <v>0</v>
      </c>
      <c r="Y167" s="44">
        <v>0.14000000000000001</v>
      </c>
      <c r="Z167" s="44">
        <v>0</v>
      </c>
      <c r="AA167" s="45">
        <v>1</v>
      </c>
      <c r="AB167" s="45">
        <v>0</v>
      </c>
      <c r="AC167" s="44">
        <v>0.14000000000000001</v>
      </c>
      <c r="AD167" s="44">
        <v>0</v>
      </c>
      <c r="AE167" s="44">
        <v>3</v>
      </c>
      <c r="AF167" s="44">
        <v>0</v>
      </c>
      <c r="AG167" s="44">
        <v>0.41</v>
      </c>
      <c r="AH167" s="44">
        <v>0</v>
      </c>
      <c r="AI167" s="44">
        <v>15</v>
      </c>
      <c r="AJ167" s="44">
        <v>12</v>
      </c>
    </row>
    <row r="168" spans="1:36" x14ac:dyDescent="0.35">
      <c r="A168" s="44" t="s">
        <v>239</v>
      </c>
      <c r="B168" s="44" t="s">
        <v>55</v>
      </c>
      <c r="C168" s="44">
        <v>32030</v>
      </c>
      <c r="D168" s="37">
        <v>3217</v>
      </c>
      <c r="E168" s="37">
        <v>3237</v>
      </c>
      <c r="F168" s="37">
        <v>3216</v>
      </c>
      <c r="G168" s="44">
        <v>0</v>
      </c>
      <c r="H168" s="44">
        <v>0</v>
      </c>
      <c r="I168" s="44">
        <v>0</v>
      </c>
      <c r="J168" s="44">
        <v>0</v>
      </c>
      <c r="K168" s="44">
        <v>0</v>
      </c>
      <c r="L168" s="44">
        <v>0</v>
      </c>
      <c r="M168" s="44">
        <v>0</v>
      </c>
      <c r="N168" s="44">
        <v>0</v>
      </c>
      <c r="O168" s="44">
        <v>0</v>
      </c>
      <c r="P168" s="44">
        <v>0</v>
      </c>
      <c r="Q168" s="44">
        <v>0</v>
      </c>
      <c r="R168" s="44">
        <v>0</v>
      </c>
      <c r="S168" s="44">
        <v>0</v>
      </c>
      <c r="T168" s="44">
        <v>0</v>
      </c>
      <c r="U168" s="44">
        <v>0</v>
      </c>
      <c r="V168" s="44">
        <v>0</v>
      </c>
      <c r="W168" s="44">
        <v>0</v>
      </c>
      <c r="X168" s="44">
        <v>0</v>
      </c>
      <c r="Y168" s="44">
        <v>0</v>
      </c>
      <c r="Z168" s="44">
        <v>0</v>
      </c>
      <c r="AA168" s="45">
        <v>1</v>
      </c>
      <c r="AB168" s="45">
        <v>0</v>
      </c>
      <c r="AC168" s="44">
        <v>0.31</v>
      </c>
      <c r="AD168" s="44">
        <v>0</v>
      </c>
      <c r="AE168" s="44">
        <v>2</v>
      </c>
      <c r="AF168" s="44">
        <v>1</v>
      </c>
      <c r="AG168" s="44">
        <v>0.62</v>
      </c>
      <c r="AH168" s="44">
        <v>0.31</v>
      </c>
      <c r="AI168" s="44">
        <v>6</v>
      </c>
      <c r="AJ168" s="44">
        <v>4</v>
      </c>
    </row>
    <row r="169" spans="1:36" x14ac:dyDescent="0.35">
      <c r="A169" s="44" t="s">
        <v>233</v>
      </c>
      <c r="B169" s="44" t="s">
        <v>50</v>
      </c>
      <c r="C169" s="44">
        <v>44034</v>
      </c>
      <c r="D169" s="37">
        <v>22897</v>
      </c>
      <c r="E169" s="37">
        <v>23073</v>
      </c>
      <c r="F169" s="37">
        <v>23028</v>
      </c>
      <c r="G169" s="44">
        <v>1</v>
      </c>
      <c r="H169" s="44">
        <v>0</v>
      </c>
      <c r="I169" s="44">
        <v>0.04</v>
      </c>
      <c r="J169" s="44">
        <v>2</v>
      </c>
      <c r="K169" s="44">
        <v>1</v>
      </c>
      <c r="L169" s="44">
        <v>0.09</v>
      </c>
      <c r="M169" s="44">
        <v>2</v>
      </c>
      <c r="N169" s="44">
        <v>1</v>
      </c>
      <c r="O169" s="44">
        <v>0.09</v>
      </c>
      <c r="P169" s="44">
        <v>0.04</v>
      </c>
      <c r="Q169" s="44">
        <v>1</v>
      </c>
      <c r="R169" s="44">
        <v>0.04</v>
      </c>
      <c r="S169" s="44">
        <v>0</v>
      </c>
      <c r="T169" s="44">
        <v>0</v>
      </c>
      <c r="U169" s="44">
        <v>1</v>
      </c>
      <c r="V169" s="44">
        <v>0.04</v>
      </c>
      <c r="W169" s="44">
        <v>2</v>
      </c>
      <c r="X169" s="44">
        <v>1</v>
      </c>
      <c r="Y169" s="44">
        <v>0.09</v>
      </c>
      <c r="Z169" s="44">
        <v>0.04</v>
      </c>
      <c r="AA169" s="45">
        <v>2</v>
      </c>
      <c r="AB169" s="45">
        <v>1</v>
      </c>
      <c r="AC169" s="44">
        <v>0.09</v>
      </c>
      <c r="AD169" s="44">
        <v>0.04</v>
      </c>
      <c r="AE169" s="44">
        <v>3</v>
      </c>
      <c r="AF169" s="44">
        <v>2</v>
      </c>
      <c r="AG169" s="44">
        <v>0.13</v>
      </c>
      <c r="AH169" s="44">
        <v>0.09</v>
      </c>
      <c r="AI169" s="44">
        <v>46</v>
      </c>
      <c r="AJ169" s="44">
        <v>43</v>
      </c>
    </row>
    <row r="170" spans="1:36" x14ac:dyDescent="0.35">
      <c r="A170" s="44" t="s">
        <v>72</v>
      </c>
      <c r="B170" s="44" t="s">
        <v>50</v>
      </c>
      <c r="C170" s="44">
        <v>46014</v>
      </c>
      <c r="D170" s="37">
        <v>42703</v>
      </c>
      <c r="E170" s="37">
        <v>43064</v>
      </c>
      <c r="F170" s="37">
        <v>43554</v>
      </c>
      <c r="G170" s="44">
        <v>9</v>
      </c>
      <c r="H170" s="44">
        <v>0</v>
      </c>
      <c r="I170" s="44">
        <v>0.21</v>
      </c>
      <c r="J170" s="44">
        <v>10</v>
      </c>
      <c r="K170" s="44">
        <v>0</v>
      </c>
      <c r="L170" s="44">
        <v>0.23</v>
      </c>
      <c r="M170" s="44">
        <v>10</v>
      </c>
      <c r="N170" s="44">
        <v>5</v>
      </c>
      <c r="O170" s="44">
        <v>0.23</v>
      </c>
      <c r="P170" s="44">
        <v>0.12</v>
      </c>
      <c r="Q170" s="44">
        <v>1</v>
      </c>
      <c r="R170" s="44">
        <v>0.02</v>
      </c>
      <c r="S170" s="44">
        <v>0</v>
      </c>
      <c r="T170" s="44">
        <v>0</v>
      </c>
      <c r="U170" s="44">
        <v>2</v>
      </c>
      <c r="V170" s="44">
        <v>0.05</v>
      </c>
      <c r="W170" s="44">
        <v>16</v>
      </c>
      <c r="X170" s="44">
        <v>5</v>
      </c>
      <c r="Y170" s="44">
        <v>0.37</v>
      </c>
      <c r="Z170" s="44">
        <v>0.12</v>
      </c>
      <c r="AA170" s="45">
        <v>17</v>
      </c>
      <c r="AB170" s="45">
        <v>5</v>
      </c>
      <c r="AC170" s="44">
        <v>0.39</v>
      </c>
      <c r="AD170" s="44">
        <v>0.11</v>
      </c>
      <c r="AE170" s="44">
        <v>14</v>
      </c>
      <c r="AF170" s="44">
        <v>3</v>
      </c>
      <c r="AG170" s="44">
        <v>0.32</v>
      </c>
      <c r="AH170" s="44">
        <v>7.0000000000000007E-2</v>
      </c>
      <c r="AI170" s="44">
        <v>87</v>
      </c>
      <c r="AJ170" s="44">
        <v>73</v>
      </c>
    </row>
    <row r="171" spans="1:36" x14ac:dyDescent="0.35">
      <c r="A171" s="44" t="s">
        <v>126</v>
      </c>
      <c r="B171" s="44" t="s">
        <v>59</v>
      </c>
      <c r="C171" s="44">
        <v>72020</v>
      </c>
      <c r="D171" s="37">
        <v>34396</v>
      </c>
      <c r="E171" s="37">
        <v>34826</v>
      </c>
      <c r="F171" s="37">
        <v>34913</v>
      </c>
      <c r="G171" s="44">
        <v>2</v>
      </c>
      <c r="H171" s="44">
        <v>0</v>
      </c>
      <c r="I171" s="44">
        <v>0.06</v>
      </c>
      <c r="J171" s="44">
        <v>3</v>
      </c>
      <c r="K171" s="44">
        <v>0</v>
      </c>
      <c r="L171" s="44">
        <v>0.09</v>
      </c>
      <c r="M171" s="44">
        <v>2</v>
      </c>
      <c r="N171" s="44">
        <v>2</v>
      </c>
      <c r="O171" s="44">
        <v>0.06</v>
      </c>
      <c r="P171" s="44">
        <v>0.06</v>
      </c>
      <c r="Q171" s="44">
        <v>0</v>
      </c>
      <c r="R171" s="44">
        <v>0</v>
      </c>
      <c r="S171" s="44">
        <v>-1</v>
      </c>
      <c r="T171" s="44">
        <v>-0.03</v>
      </c>
      <c r="U171" s="44">
        <v>0</v>
      </c>
      <c r="V171" s="44">
        <v>0</v>
      </c>
      <c r="W171" s="44">
        <v>2</v>
      </c>
      <c r="X171" s="44">
        <v>2</v>
      </c>
      <c r="Y171" s="44">
        <v>0.06</v>
      </c>
      <c r="Z171" s="44">
        <v>0.06</v>
      </c>
      <c r="AA171" s="45">
        <v>2</v>
      </c>
      <c r="AB171" s="45">
        <v>2</v>
      </c>
      <c r="AC171" s="44">
        <v>0.06</v>
      </c>
      <c r="AD171" s="44">
        <v>0.06</v>
      </c>
      <c r="AE171" s="44">
        <v>2</v>
      </c>
      <c r="AF171" s="44">
        <v>2</v>
      </c>
      <c r="AG171" s="44">
        <v>0.06</v>
      </c>
      <c r="AH171" s="44">
        <v>0.06</v>
      </c>
      <c r="AI171" s="44">
        <v>70</v>
      </c>
      <c r="AJ171" s="44">
        <v>68</v>
      </c>
    </row>
    <row r="172" spans="1:36" x14ac:dyDescent="0.35">
      <c r="A172" s="44" t="s">
        <v>283</v>
      </c>
      <c r="B172" s="44" t="s">
        <v>52</v>
      </c>
      <c r="C172" s="44">
        <v>23045</v>
      </c>
      <c r="D172" s="37">
        <v>19136</v>
      </c>
      <c r="E172" s="37">
        <v>19288</v>
      </c>
      <c r="F172" s="37">
        <v>19404</v>
      </c>
      <c r="G172" s="44">
        <v>1</v>
      </c>
      <c r="H172" s="44">
        <v>0</v>
      </c>
      <c r="I172" s="44">
        <v>0.05</v>
      </c>
      <c r="J172" s="44">
        <v>0</v>
      </c>
      <c r="K172" s="44">
        <v>0</v>
      </c>
      <c r="L172" s="44">
        <v>0</v>
      </c>
      <c r="M172" s="44">
        <v>0</v>
      </c>
      <c r="N172" s="44">
        <v>0</v>
      </c>
      <c r="O172" s="44">
        <v>0</v>
      </c>
      <c r="P172" s="44">
        <v>0</v>
      </c>
      <c r="Q172" s="44">
        <v>-1</v>
      </c>
      <c r="R172" s="44">
        <v>-0.05</v>
      </c>
      <c r="S172" s="44">
        <v>0</v>
      </c>
      <c r="T172" s="44">
        <v>0</v>
      </c>
      <c r="U172" s="44">
        <v>0</v>
      </c>
      <c r="V172" s="44">
        <v>0</v>
      </c>
      <c r="W172" s="44">
        <v>1</v>
      </c>
      <c r="X172" s="44">
        <v>0</v>
      </c>
      <c r="Y172" s="44">
        <v>0.05</v>
      </c>
      <c r="Z172" s="44">
        <v>0</v>
      </c>
      <c r="AA172" s="45">
        <v>1</v>
      </c>
      <c r="AB172" s="45">
        <v>0</v>
      </c>
      <c r="AC172" s="44">
        <v>0.05</v>
      </c>
      <c r="AD172" s="44">
        <v>0</v>
      </c>
      <c r="AE172" s="44">
        <v>1</v>
      </c>
      <c r="AF172" s="44">
        <v>0</v>
      </c>
      <c r="AG172" s="44">
        <v>0.05</v>
      </c>
      <c r="AH172" s="44">
        <v>0</v>
      </c>
      <c r="AI172" s="44">
        <v>39</v>
      </c>
      <c r="AJ172" s="44">
        <v>38</v>
      </c>
    </row>
    <row r="173" spans="1:36" x14ac:dyDescent="0.35">
      <c r="A173" s="44" t="s">
        <v>139</v>
      </c>
      <c r="B173" s="44" t="s">
        <v>52</v>
      </c>
      <c r="C173" s="44">
        <v>24066</v>
      </c>
      <c r="D173" s="37">
        <v>14776</v>
      </c>
      <c r="E173" s="37">
        <v>14911</v>
      </c>
      <c r="F173" s="37">
        <v>15124</v>
      </c>
      <c r="G173" s="44">
        <v>1</v>
      </c>
      <c r="H173" s="44">
        <v>0</v>
      </c>
      <c r="I173" s="44">
        <v>7.0000000000000007E-2</v>
      </c>
      <c r="J173" s="44">
        <v>0</v>
      </c>
      <c r="K173" s="44">
        <v>0</v>
      </c>
      <c r="L173" s="44">
        <v>0</v>
      </c>
      <c r="M173" s="44">
        <v>0</v>
      </c>
      <c r="N173" s="44">
        <v>0</v>
      </c>
      <c r="O173" s="44">
        <v>0</v>
      </c>
      <c r="P173" s="44">
        <v>0</v>
      </c>
      <c r="Q173" s="44">
        <v>-1</v>
      </c>
      <c r="R173" s="44">
        <v>-7.0000000000000007E-2</v>
      </c>
      <c r="S173" s="44">
        <v>0</v>
      </c>
      <c r="T173" s="44">
        <v>0</v>
      </c>
      <c r="U173" s="44">
        <v>0</v>
      </c>
      <c r="V173" s="44">
        <v>0</v>
      </c>
      <c r="W173" s="44">
        <v>1</v>
      </c>
      <c r="X173" s="44">
        <v>0</v>
      </c>
      <c r="Y173" s="44">
        <v>7.0000000000000007E-2</v>
      </c>
      <c r="Z173" s="44">
        <v>0</v>
      </c>
      <c r="AA173" s="45">
        <v>3</v>
      </c>
      <c r="AB173" s="45">
        <v>1</v>
      </c>
      <c r="AC173" s="44">
        <v>0.2</v>
      </c>
      <c r="AD173" s="44">
        <v>7.0000000000000007E-2</v>
      </c>
      <c r="AE173" s="44">
        <v>5</v>
      </c>
      <c r="AF173" s="44">
        <v>3</v>
      </c>
      <c r="AG173" s="44">
        <v>0.33</v>
      </c>
      <c r="AH173" s="44">
        <v>0.2</v>
      </c>
      <c r="AI173" s="44">
        <v>30</v>
      </c>
      <c r="AJ173" s="44">
        <v>25</v>
      </c>
    </row>
    <row r="174" spans="1:36" x14ac:dyDescent="0.35">
      <c r="A174" s="44" t="s">
        <v>286</v>
      </c>
      <c r="B174" s="44" t="s">
        <v>59</v>
      </c>
      <c r="C174" s="44">
        <v>71037</v>
      </c>
      <c r="D174" s="37">
        <v>15172</v>
      </c>
      <c r="E174" s="37">
        <v>15366</v>
      </c>
      <c r="F174" s="37">
        <v>15320</v>
      </c>
      <c r="G174" s="44">
        <v>0</v>
      </c>
      <c r="H174" s="44">
        <v>0</v>
      </c>
      <c r="I174" s="44">
        <v>0</v>
      </c>
      <c r="J174" s="44">
        <v>0</v>
      </c>
      <c r="K174" s="44">
        <v>0</v>
      </c>
      <c r="L174" s="44">
        <v>0</v>
      </c>
      <c r="M174" s="44">
        <v>2</v>
      </c>
      <c r="N174" s="44">
        <v>2</v>
      </c>
      <c r="O174" s="44">
        <v>0.13</v>
      </c>
      <c r="P174" s="44">
        <v>0.13</v>
      </c>
      <c r="Q174" s="44">
        <v>2</v>
      </c>
      <c r="R174" s="44">
        <v>0.13</v>
      </c>
      <c r="S174" s="44">
        <v>2</v>
      </c>
      <c r="T174" s="44">
        <v>0.13</v>
      </c>
      <c r="U174" s="44">
        <v>0</v>
      </c>
      <c r="V174" s="44">
        <v>0</v>
      </c>
      <c r="W174" s="44">
        <v>3</v>
      </c>
      <c r="X174" s="44">
        <v>2</v>
      </c>
      <c r="Y174" s="44">
        <v>0.2</v>
      </c>
      <c r="Z174" s="44">
        <v>0.13</v>
      </c>
      <c r="AA174" s="45">
        <v>4</v>
      </c>
      <c r="AB174" s="45">
        <v>3</v>
      </c>
      <c r="AC174" s="44">
        <v>0.26</v>
      </c>
      <c r="AD174" s="44">
        <v>0.2</v>
      </c>
      <c r="AE174" s="44">
        <v>2</v>
      </c>
      <c r="AF174" s="44">
        <v>1</v>
      </c>
      <c r="AG174" s="44">
        <v>0.13</v>
      </c>
      <c r="AH174" s="44">
        <v>7.0000000000000007E-2</v>
      </c>
      <c r="AI174" s="44">
        <v>31</v>
      </c>
      <c r="AJ174" s="44">
        <v>29</v>
      </c>
    </row>
    <row r="175" spans="1:36" x14ac:dyDescent="0.35">
      <c r="A175" s="44" t="s">
        <v>244</v>
      </c>
      <c r="B175" s="44" t="s">
        <v>50</v>
      </c>
      <c r="C175" s="44">
        <v>45064</v>
      </c>
      <c r="D175" s="37">
        <v>6386</v>
      </c>
      <c r="E175" s="37">
        <v>6340</v>
      </c>
      <c r="F175" s="37">
        <v>6323</v>
      </c>
      <c r="G175" s="44">
        <v>2</v>
      </c>
      <c r="H175" s="44">
        <v>0</v>
      </c>
      <c r="I175" s="44">
        <v>0.31</v>
      </c>
      <c r="J175" s="44">
        <v>2</v>
      </c>
      <c r="K175" s="44">
        <v>0</v>
      </c>
      <c r="L175" s="44">
        <v>0.31</v>
      </c>
      <c r="M175" s="44">
        <v>2</v>
      </c>
      <c r="N175" s="44">
        <v>2</v>
      </c>
      <c r="O175" s="44">
        <v>0.32</v>
      </c>
      <c r="P175" s="44">
        <v>0.32</v>
      </c>
      <c r="Q175" s="44">
        <v>0</v>
      </c>
      <c r="R175" s="44">
        <v>0</v>
      </c>
      <c r="S175" s="44">
        <v>0</v>
      </c>
      <c r="T175" s="44">
        <v>0</v>
      </c>
      <c r="U175" s="44">
        <v>0</v>
      </c>
      <c r="V175" s="44">
        <v>0</v>
      </c>
      <c r="W175" s="44">
        <v>2</v>
      </c>
      <c r="X175" s="44">
        <v>2</v>
      </c>
      <c r="Y175" s="44">
        <v>0.32</v>
      </c>
      <c r="Z175" s="44">
        <v>0.32</v>
      </c>
      <c r="AA175" s="45">
        <v>2</v>
      </c>
      <c r="AB175" s="45">
        <v>2</v>
      </c>
      <c r="AC175" s="44">
        <v>0.32</v>
      </c>
      <c r="AD175" s="44">
        <v>0.32</v>
      </c>
      <c r="AE175" s="44">
        <v>2</v>
      </c>
      <c r="AF175" s="44">
        <v>2</v>
      </c>
      <c r="AG175" s="44">
        <v>0.32</v>
      </c>
      <c r="AH175" s="44">
        <v>0.32</v>
      </c>
      <c r="AI175" s="44">
        <v>13</v>
      </c>
      <c r="AJ175" s="44">
        <v>11</v>
      </c>
    </row>
    <row r="176" spans="1:36" x14ac:dyDescent="0.35">
      <c r="A176" s="44" t="s">
        <v>211</v>
      </c>
      <c r="B176" s="44" t="s">
        <v>59</v>
      </c>
      <c r="C176" s="44">
        <v>72021</v>
      </c>
      <c r="D176" s="37">
        <v>25524</v>
      </c>
      <c r="E176" s="37">
        <v>25737</v>
      </c>
      <c r="F176" s="37">
        <v>25823</v>
      </c>
      <c r="G176" s="44">
        <v>0</v>
      </c>
      <c r="H176" s="44">
        <v>0</v>
      </c>
      <c r="I176" s="44">
        <v>0</v>
      </c>
      <c r="J176" s="44">
        <v>0</v>
      </c>
      <c r="K176" s="44">
        <v>0</v>
      </c>
      <c r="L176" s="44">
        <v>0</v>
      </c>
      <c r="M176" s="44">
        <v>0</v>
      </c>
      <c r="N176" s="44">
        <v>0</v>
      </c>
      <c r="O176" s="44">
        <v>0</v>
      </c>
      <c r="P176" s="44">
        <v>0</v>
      </c>
      <c r="Q176" s="44">
        <v>0</v>
      </c>
      <c r="R176" s="44">
        <v>0</v>
      </c>
      <c r="S176" s="44">
        <v>0</v>
      </c>
      <c r="T176" s="44">
        <v>0</v>
      </c>
      <c r="U176" s="44">
        <v>0</v>
      </c>
      <c r="V176" s="44">
        <v>0</v>
      </c>
      <c r="W176" s="44">
        <v>0</v>
      </c>
      <c r="X176" s="44">
        <v>0</v>
      </c>
      <c r="Y176" s="44">
        <v>0</v>
      </c>
      <c r="Z176" s="44">
        <v>0</v>
      </c>
      <c r="AA176" s="45">
        <v>0</v>
      </c>
      <c r="AB176" s="45">
        <v>0</v>
      </c>
      <c r="AC176" s="44">
        <v>0</v>
      </c>
      <c r="AD176" s="44">
        <v>0</v>
      </c>
      <c r="AE176" s="44">
        <v>0</v>
      </c>
      <c r="AF176" s="44">
        <v>0</v>
      </c>
      <c r="AG176" s="44">
        <v>0</v>
      </c>
      <c r="AH176" s="44">
        <v>0</v>
      </c>
      <c r="AI176" s="44">
        <v>52</v>
      </c>
      <c r="AJ176" s="44">
        <v>52</v>
      </c>
    </row>
    <row r="177" spans="1:36" x14ac:dyDescent="0.35">
      <c r="A177" s="44" t="s">
        <v>229</v>
      </c>
      <c r="B177" s="44" t="s">
        <v>59</v>
      </c>
      <c r="C177" s="44">
        <v>73107</v>
      </c>
      <c r="D177" s="37">
        <v>39409</v>
      </c>
      <c r="E177" s="37">
        <v>39914</v>
      </c>
      <c r="F177" s="37">
        <v>40219</v>
      </c>
      <c r="G177" s="44">
        <v>1</v>
      </c>
      <c r="H177" s="44">
        <v>0</v>
      </c>
      <c r="I177" s="44">
        <v>0.03</v>
      </c>
      <c r="J177" s="44">
        <v>1</v>
      </c>
      <c r="K177" s="44">
        <v>0</v>
      </c>
      <c r="L177" s="44">
        <v>0.03</v>
      </c>
      <c r="M177" s="44">
        <v>2</v>
      </c>
      <c r="N177" s="44">
        <v>2</v>
      </c>
      <c r="O177" s="44">
        <v>0.05</v>
      </c>
      <c r="P177" s="44">
        <v>0.05</v>
      </c>
      <c r="Q177" s="44">
        <v>1</v>
      </c>
      <c r="R177" s="44">
        <v>0.02</v>
      </c>
      <c r="S177" s="44">
        <v>1</v>
      </c>
      <c r="T177" s="44">
        <v>0.02</v>
      </c>
      <c r="U177" s="44">
        <v>0</v>
      </c>
      <c r="V177" s="44">
        <v>0</v>
      </c>
      <c r="W177" s="44">
        <v>2</v>
      </c>
      <c r="X177" s="44">
        <v>2</v>
      </c>
      <c r="Y177" s="44">
        <v>0.05</v>
      </c>
      <c r="Z177" s="44">
        <v>0.05</v>
      </c>
      <c r="AA177" s="45">
        <v>2</v>
      </c>
      <c r="AB177" s="45">
        <v>2</v>
      </c>
      <c r="AC177" s="44">
        <v>0.05</v>
      </c>
      <c r="AD177" s="44">
        <v>0.05</v>
      </c>
      <c r="AE177" s="44">
        <v>2</v>
      </c>
      <c r="AF177" s="44">
        <v>2</v>
      </c>
      <c r="AG177" s="44">
        <v>0.05</v>
      </c>
      <c r="AH177" s="44">
        <v>0.05</v>
      </c>
      <c r="AI177" s="44">
        <v>80</v>
      </c>
      <c r="AJ177" s="44">
        <v>78</v>
      </c>
    </row>
    <row r="178" spans="1:36" x14ac:dyDescent="0.35">
      <c r="A178" s="44" t="s">
        <v>278</v>
      </c>
      <c r="B178" s="44" t="s">
        <v>52</v>
      </c>
      <c r="C178" s="44">
        <v>23047</v>
      </c>
      <c r="D178" s="37">
        <v>16108</v>
      </c>
      <c r="E178" s="37">
        <v>16486</v>
      </c>
      <c r="F178" s="37">
        <v>16576</v>
      </c>
      <c r="G178" s="44">
        <v>3</v>
      </c>
      <c r="H178" s="44">
        <v>0</v>
      </c>
      <c r="I178" s="44">
        <v>0.19</v>
      </c>
      <c r="J178" s="44">
        <v>3</v>
      </c>
      <c r="K178" s="44">
        <v>0</v>
      </c>
      <c r="L178" s="44">
        <v>0.19</v>
      </c>
      <c r="M178" s="44">
        <v>2</v>
      </c>
      <c r="N178" s="44">
        <v>2</v>
      </c>
      <c r="O178" s="44">
        <v>0.12</v>
      </c>
      <c r="P178" s="44">
        <v>0.12</v>
      </c>
      <c r="Q178" s="44">
        <v>-1</v>
      </c>
      <c r="R178" s="44">
        <v>-0.06</v>
      </c>
      <c r="S178" s="44">
        <v>-1</v>
      </c>
      <c r="T178" s="44">
        <v>-0.06</v>
      </c>
      <c r="U178" s="44">
        <v>0</v>
      </c>
      <c r="V178" s="44">
        <v>0</v>
      </c>
      <c r="W178" s="44">
        <v>2</v>
      </c>
      <c r="X178" s="44">
        <v>2</v>
      </c>
      <c r="Y178" s="44">
        <v>0.12</v>
      </c>
      <c r="Z178" s="44">
        <v>0.12</v>
      </c>
      <c r="AA178" s="45">
        <v>2</v>
      </c>
      <c r="AB178" s="45">
        <v>2</v>
      </c>
      <c r="AC178" s="44">
        <v>0.12</v>
      </c>
      <c r="AD178" s="44">
        <v>0.12</v>
      </c>
      <c r="AE178" s="44">
        <v>2</v>
      </c>
      <c r="AF178" s="44">
        <v>2</v>
      </c>
      <c r="AG178" s="44">
        <v>0.12</v>
      </c>
      <c r="AH178" s="44">
        <v>0.12</v>
      </c>
      <c r="AI178" s="44">
        <v>33</v>
      </c>
      <c r="AJ178" s="44">
        <v>31</v>
      </c>
    </row>
    <row r="179" spans="1:36" x14ac:dyDescent="0.35">
      <c r="A179" s="44" t="s">
        <v>165</v>
      </c>
      <c r="B179" s="44" t="s">
        <v>50</v>
      </c>
      <c r="C179" s="44">
        <v>43010</v>
      </c>
      <c r="D179" s="37">
        <v>24409</v>
      </c>
      <c r="E179" s="37">
        <v>24615</v>
      </c>
      <c r="F179" s="37">
        <v>24744</v>
      </c>
      <c r="G179" s="44">
        <v>3</v>
      </c>
      <c r="H179" s="44">
        <v>0</v>
      </c>
      <c r="I179" s="44">
        <v>0.12</v>
      </c>
      <c r="J179" s="44">
        <v>2</v>
      </c>
      <c r="K179" s="44">
        <v>0</v>
      </c>
      <c r="L179" s="44">
        <v>0.08</v>
      </c>
      <c r="M179" s="44">
        <v>5</v>
      </c>
      <c r="N179" s="44">
        <v>0</v>
      </c>
      <c r="O179" s="44">
        <v>0.2</v>
      </c>
      <c r="P179" s="44">
        <v>0</v>
      </c>
      <c r="Q179" s="44">
        <v>2</v>
      </c>
      <c r="R179" s="44">
        <v>0.08</v>
      </c>
      <c r="S179" s="44">
        <v>3</v>
      </c>
      <c r="T179" s="44">
        <v>0.12</v>
      </c>
      <c r="U179" s="44">
        <v>3</v>
      </c>
      <c r="V179" s="44">
        <v>0.12</v>
      </c>
      <c r="W179" s="44">
        <v>2</v>
      </c>
      <c r="X179" s="44">
        <v>0</v>
      </c>
      <c r="Y179" s="44">
        <v>0.08</v>
      </c>
      <c r="Z179" s="44">
        <v>0</v>
      </c>
      <c r="AA179" s="45">
        <v>2</v>
      </c>
      <c r="AB179" s="45">
        <v>0</v>
      </c>
      <c r="AC179" s="44">
        <v>0.08</v>
      </c>
      <c r="AD179" s="44">
        <v>0</v>
      </c>
      <c r="AE179" s="44">
        <v>5</v>
      </c>
      <c r="AF179" s="44">
        <v>1</v>
      </c>
      <c r="AG179" s="44">
        <v>0.2</v>
      </c>
      <c r="AH179" s="44">
        <v>0.04</v>
      </c>
      <c r="AI179" s="44">
        <v>49</v>
      </c>
      <c r="AJ179" s="44">
        <v>44</v>
      </c>
    </row>
    <row r="180" spans="1:36" x14ac:dyDescent="0.35">
      <c r="A180" s="44" t="s">
        <v>178</v>
      </c>
      <c r="B180" s="44" t="s">
        <v>48</v>
      </c>
      <c r="C180" s="44">
        <v>11057</v>
      </c>
      <c r="D180" s="37">
        <v>15756</v>
      </c>
      <c r="E180" s="37">
        <v>16007</v>
      </c>
      <c r="F180" s="37">
        <v>16194</v>
      </c>
      <c r="G180" s="44">
        <v>0</v>
      </c>
      <c r="H180" s="44">
        <v>0</v>
      </c>
      <c r="I180" s="44">
        <v>0</v>
      </c>
      <c r="J180" s="44">
        <v>0</v>
      </c>
      <c r="K180" s="44">
        <v>0</v>
      </c>
      <c r="L180" s="44">
        <v>0</v>
      </c>
      <c r="M180" s="44">
        <v>0</v>
      </c>
      <c r="N180" s="44">
        <v>0</v>
      </c>
      <c r="O180" s="44">
        <v>0</v>
      </c>
      <c r="P180" s="44">
        <v>0</v>
      </c>
      <c r="Q180" s="44">
        <v>0</v>
      </c>
      <c r="R180" s="44">
        <v>0</v>
      </c>
      <c r="S180" s="44">
        <v>0</v>
      </c>
      <c r="T180" s="44">
        <v>0</v>
      </c>
      <c r="U180" s="44">
        <v>0</v>
      </c>
      <c r="V180" s="44">
        <v>0</v>
      </c>
      <c r="W180" s="44">
        <v>0</v>
      </c>
      <c r="X180" s="44">
        <v>0</v>
      </c>
      <c r="Y180" s="44">
        <v>0</v>
      </c>
      <c r="Z180" s="44">
        <v>0</v>
      </c>
      <c r="AA180" s="45">
        <v>0</v>
      </c>
      <c r="AB180" s="45">
        <v>0</v>
      </c>
      <c r="AC180" s="44">
        <v>0</v>
      </c>
      <c r="AD180" s="44">
        <v>0</v>
      </c>
      <c r="AE180" s="44">
        <v>2</v>
      </c>
      <c r="AF180" s="44">
        <v>2</v>
      </c>
      <c r="AG180" s="44">
        <v>0.12</v>
      </c>
      <c r="AH180" s="44">
        <v>0.12</v>
      </c>
      <c r="AI180" s="44">
        <v>32</v>
      </c>
      <c r="AJ180" s="44">
        <v>30</v>
      </c>
    </row>
    <row r="181" spans="1:36" x14ac:dyDescent="0.35">
      <c r="A181" s="44" t="s">
        <v>53</v>
      </c>
      <c r="B181" s="44" t="s">
        <v>48</v>
      </c>
      <c r="C181" s="44">
        <v>12025</v>
      </c>
      <c r="D181" s="37">
        <v>86996</v>
      </c>
      <c r="E181" s="37">
        <v>88614</v>
      </c>
      <c r="F181" s="37">
        <v>89313</v>
      </c>
      <c r="G181" s="44">
        <v>159</v>
      </c>
      <c r="H181" s="44">
        <v>0</v>
      </c>
      <c r="I181" s="44">
        <v>1.83</v>
      </c>
      <c r="J181" s="44">
        <v>204</v>
      </c>
      <c r="K181" s="44">
        <v>4</v>
      </c>
      <c r="L181" s="44">
        <v>2.34</v>
      </c>
      <c r="M181" s="44">
        <v>214</v>
      </c>
      <c r="N181" s="44">
        <v>38</v>
      </c>
      <c r="O181" s="44">
        <v>2.41</v>
      </c>
      <c r="P181" s="44">
        <v>0.43</v>
      </c>
      <c r="Q181" s="44">
        <v>55</v>
      </c>
      <c r="R181" s="44">
        <v>0.59</v>
      </c>
      <c r="S181" s="44">
        <v>10</v>
      </c>
      <c r="T181" s="44">
        <v>7.0000000000000007E-2</v>
      </c>
      <c r="U181" s="44">
        <v>41</v>
      </c>
      <c r="V181" s="44">
        <v>0.46</v>
      </c>
      <c r="W181" s="44">
        <v>162</v>
      </c>
      <c r="X181" s="44">
        <v>39</v>
      </c>
      <c r="Y181" s="44">
        <v>1.83</v>
      </c>
      <c r="Z181" s="44">
        <v>0.44</v>
      </c>
      <c r="AA181" s="45">
        <v>159</v>
      </c>
      <c r="AB181" s="45">
        <v>39</v>
      </c>
      <c r="AC181" s="44">
        <v>1.78</v>
      </c>
      <c r="AD181" s="44">
        <v>0.44</v>
      </c>
      <c r="AE181" s="44">
        <v>160</v>
      </c>
      <c r="AF181" s="44">
        <v>44</v>
      </c>
      <c r="AG181" s="44">
        <v>1.79</v>
      </c>
      <c r="AH181" s="44">
        <v>0.49</v>
      </c>
      <c r="AI181" s="44">
        <v>179</v>
      </c>
      <c r="AJ181" s="44">
        <v>19</v>
      </c>
    </row>
    <row r="182" spans="1:36" x14ac:dyDescent="0.35">
      <c r="A182" s="44" t="s">
        <v>172</v>
      </c>
      <c r="B182" s="44" t="s">
        <v>48</v>
      </c>
      <c r="C182" s="44">
        <v>13021</v>
      </c>
      <c r="D182" s="37">
        <v>10258</v>
      </c>
      <c r="E182" s="37">
        <v>10348</v>
      </c>
      <c r="F182" s="37">
        <v>10396</v>
      </c>
      <c r="G182" s="44">
        <v>2</v>
      </c>
      <c r="H182" s="44">
        <v>0</v>
      </c>
      <c r="I182" s="44">
        <v>0.19</v>
      </c>
      <c r="J182" s="44">
        <v>1</v>
      </c>
      <c r="K182" s="44">
        <v>0</v>
      </c>
      <c r="L182" s="44">
        <v>0.1</v>
      </c>
      <c r="M182" s="44">
        <v>1</v>
      </c>
      <c r="N182" s="44">
        <v>0</v>
      </c>
      <c r="O182" s="44">
        <v>0.1</v>
      </c>
      <c r="P182" s="44">
        <v>0</v>
      </c>
      <c r="Q182" s="44">
        <v>-1</v>
      </c>
      <c r="R182" s="44">
        <v>-0.1</v>
      </c>
      <c r="S182" s="44">
        <v>0</v>
      </c>
      <c r="T182" s="44">
        <v>0</v>
      </c>
      <c r="U182" s="44">
        <v>1</v>
      </c>
      <c r="V182" s="44">
        <v>0.1</v>
      </c>
      <c r="W182" s="44">
        <v>4</v>
      </c>
      <c r="X182" s="44">
        <v>2</v>
      </c>
      <c r="Y182" s="44">
        <v>0.39</v>
      </c>
      <c r="Z182" s="44">
        <v>0.19</v>
      </c>
      <c r="AA182" s="45">
        <v>4</v>
      </c>
      <c r="AB182" s="45">
        <v>2</v>
      </c>
      <c r="AC182" s="44">
        <v>0.38</v>
      </c>
      <c r="AD182" s="44">
        <v>0.19</v>
      </c>
      <c r="AE182" s="44">
        <v>4</v>
      </c>
      <c r="AF182" s="44">
        <v>3</v>
      </c>
      <c r="AG182" s="44">
        <v>0.38</v>
      </c>
      <c r="AH182" s="44">
        <v>0.28999999999999998</v>
      </c>
      <c r="AI182" s="44">
        <v>21</v>
      </c>
      <c r="AJ182" s="44">
        <v>17</v>
      </c>
    </row>
    <row r="183" spans="1:36" x14ac:dyDescent="0.35">
      <c r="A183" s="44" t="s">
        <v>287</v>
      </c>
      <c r="B183" s="44" t="s">
        <v>52</v>
      </c>
      <c r="C183" s="44">
        <v>23050</v>
      </c>
      <c r="D183" s="37">
        <v>19991</v>
      </c>
      <c r="E183" s="37">
        <v>20239</v>
      </c>
      <c r="F183" s="37">
        <v>20299</v>
      </c>
      <c r="G183" s="44">
        <v>2</v>
      </c>
      <c r="H183" s="44">
        <v>0</v>
      </c>
      <c r="I183" s="44">
        <v>0.1</v>
      </c>
      <c r="J183" s="44">
        <v>2</v>
      </c>
      <c r="K183" s="44">
        <v>0</v>
      </c>
      <c r="L183" s="44">
        <v>0.1</v>
      </c>
      <c r="M183" s="44">
        <v>2</v>
      </c>
      <c r="N183" s="44">
        <v>2</v>
      </c>
      <c r="O183" s="44">
        <v>0.1</v>
      </c>
      <c r="P183" s="44">
        <v>0.1</v>
      </c>
      <c r="Q183" s="44">
        <v>0</v>
      </c>
      <c r="R183" s="44">
        <v>0</v>
      </c>
      <c r="S183" s="44">
        <v>0</v>
      </c>
      <c r="T183" s="44">
        <v>0</v>
      </c>
      <c r="U183" s="44">
        <v>0</v>
      </c>
      <c r="V183" s="44">
        <v>0</v>
      </c>
      <c r="W183" s="44">
        <v>3</v>
      </c>
      <c r="X183" s="44">
        <v>3</v>
      </c>
      <c r="Y183" s="44">
        <v>0.15</v>
      </c>
      <c r="Z183" s="44">
        <v>0.15</v>
      </c>
      <c r="AA183" s="45">
        <v>2</v>
      </c>
      <c r="AB183" s="45">
        <v>2</v>
      </c>
      <c r="AC183" s="44">
        <v>0.1</v>
      </c>
      <c r="AD183" s="44">
        <v>0.1</v>
      </c>
      <c r="AE183" s="44">
        <v>2</v>
      </c>
      <c r="AF183" s="44">
        <v>2</v>
      </c>
      <c r="AG183" s="44">
        <v>0.1</v>
      </c>
      <c r="AH183" s="44">
        <v>0.1</v>
      </c>
      <c r="AI183" s="44">
        <v>41</v>
      </c>
      <c r="AJ183" s="44">
        <v>39</v>
      </c>
    </row>
    <row r="184" spans="1:36" x14ac:dyDescent="0.35">
      <c r="A184" s="44" t="s">
        <v>349</v>
      </c>
      <c r="B184" s="44" t="s">
        <v>50</v>
      </c>
      <c r="C184" s="44">
        <v>44040</v>
      </c>
      <c r="D184" s="37">
        <v>11887</v>
      </c>
      <c r="E184" s="37">
        <v>11960</v>
      </c>
      <c r="F184" s="37">
        <v>11981</v>
      </c>
      <c r="G184" s="44">
        <v>7</v>
      </c>
      <c r="H184" s="44">
        <v>1</v>
      </c>
      <c r="I184" s="44">
        <v>0.59</v>
      </c>
      <c r="J184" s="44">
        <v>8</v>
      </c>
      <c r="K184" s="44">
        <v>3</v>
      </c>
      <c r="L184" s="44">
        <v>0.67</v>
      </c>
      <c r="M184" s="44">
        <v>9</v>
      </c>
      <c r="N184" s="44">
        <v>1</v>
      </c>
      <c r="O184" s="44">
        <v>0.75</v>
      </c>
      <c r="P184" s="44">
        <v>0.08</v>
      </c>
      <c r="Q184" s="44">
        <v>2</v>
      </c>
      <c r="R184" s="44">
        <v>0.16</v>
      </c>
      <c r="S184" s="44">
        <v>1</v>
      </c>
      <c r="T184" s="44">
        <v>0.08</v>
      </c>
      <c r="U184" s="44">
        <v>8</v>
      </c>
      <c r="V184" s="44">
        <v>0.67</v>
      </c>
      <c r="W184" s="44">
        <v>9</v>
      </c>
      <c r="X184" s="44">
        <v>1</v>
      </c>
      <c r="Y184" s="44">
        <v>0.75</v>
      </c>
      <c r="Z184" s="44">
        <v>0.08</v>
      </c>
      <c r="AA184" s="45">
        <v>10</v>
      </c>
      <c r="AB184" s="45">
        <v>0</v>
      </c>
      <c r="AC184" s="44">
        <v>0.83</v>
      </c>
      <c r="AD184" s="44">
        <v>0</v>
      </c>
      <c r="AE184" s="44">
        <v>14</v>
      </c>
      <c r="AF184" s="44">
        <v>3</v>
      </c>
      <c r="AG184" s="44">
        <v>1.17</v>
      </c>
      <c r="AH184" s="44">
        <v>0.25</v>
      </c>
      <c r="AI184" s="44">
        <v>24</v>
      </c>
      <c r="AJ184" s="44">
        <v>10</v>
      </c>
    </row>
    <row r="185" spans="1:36" x14ac:dyDescent="0.35">
      <c r="A185" s="44" t="s">
        <v>130</v>
      </c>
      <c r="B185" s="44" t="s">
        <v>55</v>
      </c>
      <c r="C185" s="44">
        <v>34027</v>
      </c>
      <c r="D185" s="37">
        <v>33982</v>
      </c>
      <c r="E185" s="37">
        <v>34322</v>
      </c>
      <c r="F185" s="37">
        <v>34417</v>
      </c>
      <c r="G185" s="44">
        <v>2</v>
      </c>
      <c r="H185" s="44">
        <v>0</v>
      </c>
      <c r="I185" s="44">
        <v>0.06</v>
      </c>
      <c r="J185" s="44">
        <v>2</v>
      </c>
      <c r="K185" s="44">
        <v>0</v>
      </c>
      <c r="L185" s="44">
        <v>0.06</v>
      </c>
      <c r="M185" s="44">
        <v>3</v>
      </c>
      <c r="N185" s="44">
        <v>3</v>
      </c>
      <c r="O185" s="44">
        <v>0.09</v>
      </c>
      <c r="P185" s="44">
        <v>0.09</v>
      </c>
      <c r="Q185" s="44">
        <v>1</v>
      </c>
      <c r="R185" s="44">
        <v>0.03</v>
      </c>
      <c r="S185" s="44">
        <v>1</v>
      </c>
      <c r="T185" s="44">
        <v>0.03</v>
      </c>
      <c r="U185" s="44">
        <v>0</v>
      </c>
      <c r="V185" s="44">
        <v>0</v>
      </c>
      <c r="W185" s="44">
        <v>7</v>
      </c>
      <c r="X185" s="44">
        <v>4</v>
      </c>
      <c r="Y185" s="44">
        <v>0.2</v>
      </c>
      <c r="Z185" s="44">
        <v>0.12</v>
      </c>
      <c r="AA185" s="45">
        <v>6</v>
      </c>
      <c r="AB185" s="45">
        <v>4</v>
      </c>
      <c r="AC185" s="44">
        <v>0.17</v>
      </c>
      <c r="AD185" s="44">
        <v>0.12</v>
      </c>
      <c r="AE185" s="44">
        <v>5</v>
      </c>
      <c r="AF185" s="44">
        <v>4</v>
      </c>
      <c r="AG185" s="44">
        <v>0.15</v>
      </c>
      <c r="AH185" s="44">
        <v>0.12</v>
      </c>
      <c r="AI185" s="44">
        <v>69</v>
      </c>
      <c r="AJ185" s="44">
        <v>64</v>
      </c>
    </row>
    <row r="186" spans="1:36" x14ac:dyDescent="0.35">
      <c r="A186" s="44" t="s">
        <v>281</v>
      </c>
      <c r="B186" s="44" t="s">
        <v>52</v>
      </c>
      <c r="C186" s="44">
        <v>23052</v>
      </c>
      <c r="D186" s="37">
        <v>17507</v>
      </c>
      <c r="E186" s="37">
        <v>17740</v>
      </c>
      <c r="F186" s="37">
        <v>18029</v>
      </c>
      <c r="G186" s="44">
        <v>0</v>
      </c>
      <c r="H186" s="44">
        <v>0</v>
      </c>
      <c r="I186" s="44">
        <v>0</v>
      </c>
      <c r="J186" s="44">
        <v>1</v>
      </c>
      <c r="K186" s="44">
        <v>1</v>
      </c>
      <c r="L186" s="44">
        <v>0.06</v>
      </c>
      <c r="M186" s="44">
        <v>0</v>
      </c>
      <c r="N186" s="44">
        <v>0</v>
      </c>
      <c r="O186" s="44">
        <v>0</v>
      </c>
      <c r="P186" s="44">
        <v>0</v>
      </c>
      <c r="Q186" s="44">
        <v>0</v>
      </c>
      <c r="R186" s="44">
        <v>0</v>
      </c>
      <c r="S186" s="44">
        <v>-1</v>
      </c>
      <c r="T186" s="44">
        <v>-0.06</v>
      </c>
      <c r="U186" s="44">
        <v>0</v>
      </c>
      <c r="V186" s="44">
        <v>0</v>
      </c>
      <c r="W186" s="44">
        <v>0</v>
      </c>
      <c r="X186" s="44">
        <v>0</v>
      </c>
      <c r="Y186" s="44">
        <v>0</v>
      </c>
      <c r="Z186" s="44">
        <v>0</v>
      </c>
      <c r="AA186" s="45">
        <v>2</v>
      </c>
      <c r="AB186" s="45">
        <v>2</v>
      </c>
      <c r="AC186" s="44">
        <v>0.11</v>
      </c>
      <c r="AD186" s="44">
        <v>0.11</v>
      </c>
      <c r="AE186" s="44">
        <v>2</v>
      </c>
      <c r="AF186" s="44">
        <v>2</v>
      </c>
      <c r="AG186" s="44">
        <v>0.11</v>
      </c>
      <c r="AH186" s="44">
        <v>0.11</v>
      </c>
      <c r="AI186" s="44">
        <v>36</v>
      </c>
      <c r="AJ186" s="44">
        <v>34</v>
      </c>
    </row>
    <row r="187" spans="1:36" x14ac:dyDescent="0.35">
      <c r="A187" s="44" t="s">
        <v>350</v>
      </c>
      <c r="B187" s="44" t="s">
        <v>50</v>
      </c>
      <c r="C187" s="44">
        <v>44043</v>
      </c>
      <c r="D187" s="37">
        <v>24886</v>
      </c>
      <c r="E187" s="37">
        <v>25200</v>
      </c>
      <c r="F187" s="37">
        <v>25229</v>
      </c>
      <c r="G187" s="44">
        <v>26</v>
      </c>
      <c r="H187" s="44">
        <v>1</v>
      </c>
      <c r="I187" s="44">
        <v>1.04</v>
      </c>
      <c r="J187" s="44">
        <v>30</v>
      </c>
      <c r="K187" s="44">
        <v>0</v>
      </c>
      <c r="L187" s="44">
        <v>1.21</v>
      </c>
      <c r="M187" s="44">
        <v>28</v>
      </c>
      <c r="N187" s="44">
        <v>6</v>
      </c>
      <c r="O187" s="44">
        <v>1.1100000000000001</v>
      </c>
      <c r="P187" s="44">
        <v>0.24</v>
      </c>
      <c r="Q187" s="44">
        <v>2</v>
      </c>
      <c r="R187" s="44">
        <v>7.0000000000000007E-2</v>
      </c>
      <c r="S187" s="44">
        <v>-2</v>
      </c>
      <c r="T187" s="44">
        <v>-0.09</v>
      </c>
      <c r="U187" s="44">
        <v>19</v>
      </c>
      <c r="V187" s="44">
        <v>0.75</v>
      </c>
      <c r="W187" s="44">
        <v>27</v>
      </c>
      <c r="X187" s="44">
        <v>3</v>
      </c>
      <c r="Y187" s="44">
        <v>1.07</v>
      </c>
      <c r="Z187" s="44">
        <v>0.12</v>
      </c>
      <c r="AA187" s="45">
        <v>32</v>
      </c>
      <c r="AB187" s="45">
        <v>7</v>
      </c>
      <c r="AC187" s="44">
        <v>1.27</v>
      </c>
      <c r="AD187" s="44">
        <v>0.28000000000000003</v>
      </c>
      <c r="AE187" s="44">
        <v>36</v>
      </c>
      <c r="AF187" s="44">
        <v>10</v>
      </c>
      <c r="AG187" s="44">
        <v>1.43</v>
      </c>
      <c r="AH187" s="44">
        <v>0.4</v>
      </c>
      <c r="AI187" s="44">
        <v>50</v>
      </c>
      <c r="AJ187" s="44">
        <v>14</v>
      </c>
    </row>
    <row r="188" spans="1:36" x14ac:dyDescent="0.35">
      <c r="A188" s="44" t="s">
        <v>197</v>
      </c>
      <c r="B188" s="44" t="s">
        <v>48</v>
      </c>
      <c r="C188" s="44">
        <v>13023</v>
      </c>
      <c r="D188" s="37">
        <v>8683</v>
      </c>
      <c r="E188" s="37">
        <v>8799</v>
      </c>
      <c r="F188" s="37">
        <v>8883</v>
      </c>
      <c r="G188" s="44">
        <v>1</v>
      </c>
      <c r="H188" s="44">
        <v>0</v>
      </c>
      <c r="I188" s="44">
        <v>0.12</v>
      </c>
      <c r="J188" s="44">
        <v>2</v>
      </c>
      <c r="K188" s="44">
        <v>0</v>
      </c>
      <c r="L188" s="44">
        <v>0.23</v>
      </c>
      <c r="M188" s="44">
        <v>2</v>
      </c>
      <c r="N188" s="44">
        <v>2</v>
      </c>
      <c r="O188" s="44">
        <v>0.23</v>
      </c>
      <c r="P188" s="44">
        <v>0.23</v>
      </c>
      <c r="Q188" s="44">
        <v>1</v>
      </c>
      <c r="R188" s="44">
        <v>0.11</v>
      </c>
      <c r="S188" s="44">
        <v>0</v>
      </c>
      <c r="T188" s="44">
        <v>0</v>
      </c>
      <c r="U188" s="44">
        <v>0</v>
      </c>
      <c r="V188" s="44">
        <v>0</v>
      </c>
      <c r="W188" s="44">
        <v>2</v>
      </c>
      <c r="X188" s="44">
        <v>2</v>
      </c>
      <c r="Y188" s="44">
        <v>0.23</v>
      </c>
      <c r="Z188" s="44">
        <v>0.23</v>
      </c>
      <c r="AA188" s="45">
        <v>2</v>
      </c>
      <c r="AB188" s="45">
        <v>2</v>
      </c>
      <c r="AC188" s="44">
        <v>0.23</v>
      </c>
      <c r="AD188" s="44">
        <v>0.23</v>
      </c>
      <c r="AE188" s="44">
        <v>3</v>
      </c>
      <c r="AF188" s="44">
        <v>3</v>
      </c>
      <c r="AG188" s="44">
        <v>0.34</v>
      </c>
      <c r="AH188" s="44">
        <v>0.34</v>
      </c>
      <c r="AI188" s="44">
        <v>18</v>
      </c>
      <c r="AJ188" s="44">
        <v>15</v>
      </c>
    </row>
    <row r="189" spans="1:36" x14ac:dyDescent="0.35">
      <c r="A189" s="44" t="s">
        <v>238</v>
      </c>
      <c r="B189" s="44" t="s">
        <v>55</v>
      </c>
      <c r="C189" s="44">
        <v>33016</v>
      </c>
      <c r="D189" s="37">
        <v>1062</v>
      </c>
      <c r="E189" s="37">
        <v>1074</v>
      </c>
      <c r="F189" s="37">
        <v>1075</v>
      </c>
      <c r="G189" s="44">
        <v>2</v>
      </c>
      <c r="H189" s="44">
        <v>0</v>
      </c>
      <c r="I189" s="44">
        <v>1.88</v>
      </c>
      <c r="J189" s="44">
        <v>2</v>
      </c>
      <c r="K189" s="44">
        <v>0</v>
      </c>
      <c r="L189" s="44">
        <v>1.88</v>
      </c>
      <c r="M189" s="44">
        <v>3</v>
      </c>
      <c r="N189" s="44">
        <v>2</v>
      </c>
      <c r="O189" s="44">
        <v>2.79</v>
      </c>
      <c r="P189" s="44">
        <v>1.86</v>
      </c>
      <c r="Q189" s="44">
        <v>1</v>
      </c>
      <c r="R189" s="44">
        <v>0.91</v>
      </c>
      <c r="S189" s="44">
        <v>1</v>
      </c>
      <c r="T189" s="44">
        <v>0.91</v>
      </c>
      <c r="U189" s="44">
        <v>0</v>
      </c>
      <c r="V189" s="44">
        <v>0</v>
      </c>
      <c r="W189" s="44">
        <v>3</v>
      </c>
      <c r="X189" s="44">
        <v>2</v>
      </c>
      <c r="Y189" s="44">
        <v>2.79</v>
      </c>
      <c r="Z189" s="44">
        <v>1.86</v>
      </c>
      <c r="AA189" s="45">
        <v>3</v>
      </c>
      <c r="AB189" s="45">
        <v>1</v>
      </c>
      <c r="AC189" s="44">
        <v>2.79</v>
      </c>
      <c r="AD189" s="44">
        <v>0.93</v>
      </c>
      <c r="AE189" s="44">
        <v>1</v>
      </c>
      <c r="AF189" s="44">
        <v>0</v>
      </c>
      <c r="AG189" s="44">
        <v>0.93</v>
      </c>
      <c r="AH189" s="44">
        <v>0</v>
      </c>
      <c r="AI189" s="44">
        <v>2</v>
      </c>
      <c r="AJ189" s="44">
        <v>1</v>
      </c>
    </row>
    <row r="190" spans="1:36" x14ac:dyDescent="0.35">
      <c r="A190" s="44" t="s">
        <v>351</v>
      </c>
      <c r="B190" s="44" t="s">
        <v>55</v>
      </c>
      <c r="C190" s="44">
        <v>37007</v>
      </c>
      <c r="D190" s="37">
        <v>11010</v>
      </c>
      <c r="E190" s="37">
        <v>11100</v>
      </c>
      <c r="F190" s="37">
        <v>11123</v>
      </c>
      <c r="G190" s="44">
        <v>0</v>
      </c>
      <c r="H190" s="44">
        <v>0</v>
      </c>
      <c r="I190" s="44">
        <v>0</v>
      </c>
      <c r="J190" s="44">
        <v>0</v>
      </c>
      <c r="K190" s="44">
        <v>0</v>
      </c>
      <c r="L190" s="44">
        <v>0</v>
      </c>
      <c r="M190" s="44">
        <v>0</v>
      </c>
      <c r="N190" s="44">
        <v>0</v>
      </c>
      <c r="O190" s="44">
        <v>0</v>
      </c>
      <c r="P190" s="44">
        <v>0</v>
      </c>
      <c r="Q190" s="44">
        <v>0</v>
      </c>
      <c r="R190" s="44">
        <v>0</v>
      </c>
      <c r="S190" s="44">
        <v>0</v>
      </c>
      <c r="T190" s="44">
        <v>0</v>
      </c>
      <c r="U190" s="44">
        <v>0</v>
      </c>
      <c r="V190" s="44">
        <v>0</v>
      </c>
      <c r="W190" s="44">
        <v>0</v>
      </c>
      <c r="X190" s="44">
        <v>0</v>
      </c>
      <c r="Y190" s="44">
        <v>0</v>
      </c>
      <c r="Z190" s="44">
        <v>0</v>
      </c>
      <c r="AA190" s="45">
        <v>2</v>
      </c>
      <c r="AB190" s="45">
        <v>0</v>
      </c>
      <c r="AC190" s="44">
        <v>0.18</v>
      </c>
      <c r="AD190" s="44">
        <v>0</v>
      </c>
      <c r="AE190" s="44">
        <v>3</v>
      </c>
      <c r="AF190" s="44">
        <v>1</v>
      </c>
      <c r="AG190" s="44">
        <v>0.27</v>
      </c>
      <c r="AH190" s="44">
        <v>0.09</v>
      </c>
      <c r="AI190" s="44">
        <v>22</v>
      </c>
      <c r="AJ190" s="44">
        <v>19</v>
      </c>
    </row>
    <row r="191" spans="1:36" x14ac:dyDescent="0.35">
      <c r="A191" s="44" t="s">
        <v>225</v>
      </c>
      <c r="B191" s="44" t="s">
        <v>55</v>
      </c>
      <c r="C191" s="44">
        <v>35011</v>
      </c>
      <c r="D191" s="37">
        <v>19723</v>
      </c>
      <c r="E191" s="37">
        <v>19755</v>
      </c>
      <c r="F191" s="37">
        <v>19855</v>
      </c>
      <c r="G191" s="44">
        <v>1</v>
      </c>
      <c r="H191" s="44">
        <v>0</v>
      </c>
      <c r="I191" s="44">
        <v>0.05</v>
      </c>
      <c r="J191" s="44">
        <v>0</v>
      </c>
      <c r="K191" s="44">
        <v>0</v>
      </c>
      <c r="L191" s="44">
        <v>0</v>
      </c>
      <c r="M191" s="44">
        <v>0</v>
      </c>
      <c r="N191" s="44">
        <v>0</v>
      </c>
      <c r="O191" s="44">
        <v>0</v>
      </c>
      <c r="P191" s="44">
        <v>0</v>
      </c>
      <c r="Q191" s="44">
        <v>-1</v>
      </c>
      <c r="R191" s="44">
        <v>-0.05</v>
      </c>
      <c r="S191" s="44">
        <v>0</v>
      </c>
      <c r="T191" s="44">
        <v>0</v>
      </c>
      <c r="U191" s="44">
        <v>0</v>
      </c>
      <c r="V191" s="44">
        <v>0</v>
      </c>
      <c r="W191" s="44">
        <v>0</v>
      </c>
      <c r="X191" s="44">
        <v>0</v>
      </c>
      <c r="Y191" s="44">
        <v>0</v>
      </c>
      <c r="Z191" s="44">
        <v>0</v>
      </c>
      <c r="AA191" s="45">
        <v>0</v>
      </c>
      <c r="AB191" s="45">
        <v>0</v>
      </c>
      <c r="AC191" s="44">
        <v>0</v>
      </c>
      <c r="AD191" s="44">
        <v>0</v>
      </c>
      <c r="AE191" s="44">
        <v>1</v>
      </c>
      <c r="AF191" s="44">
        <v>1</v>
      </c>
      <c r="AG191" s="44">
        <v>0.05</v>
      </c>
      <c r="AH191" s="44">
        <v>0.05</v>
      </c>
      <c r="AI191" s="44">
        <v>40</v>
      </c>
      <c r="AJ191" s="44">
        <v>39</v>
      </c>
    </row>
    <row r="192" spans="1:36" x14ac:dyDescent="0.35">
      <c r="A192" s="44" t="s">
        <v>352</v>
      </c>
      <c r="B192" s="44" t="s">
        <v>50</v>
      </c>
      <c r="C192" s="44">
        <v>44045</v>
      </c>
      <c r="D192" s="37">
        <v>6685</v>
      </c>
      <c r="E192" s="37">
        <v>6724</v>
      </c>
      <c r="F192" s="37">
        <v>6758</v>
      </c>
      <c r="G192" s="44">
        <v>1</v>
      </c>
      <c r="H192" s="44">
        <v>0</v>
      </c>
      <c r="I192" s="44">
        <v>0.15</v>
      </c>
      <c r="J192" s="44">
        <v>1</v>
      </c>
      <c r="K192" s="44">
        <v>0</v>
      </c>
      <c r="L192" s="44">
        <v>0.15</v>
      </c>
      <c r="M192" s="44">
        <v>1</v>
      </c>
      <c r="N192" s="44">
        <v>1</v>
      </c>
      <c r="O192" s="44">
        <v>0.15</v>
      </c>
      <c r="P192" s="44">
        <v>0.15</v>
      </c>
      <c r="Q192" s="44">
        <v>0</v>
      </c>
      <c r="R192" s="44">
        <v>0</v>
      </c>
      <c r="S192" s="44">
        <v>0</v>
      </c>
      <c r="T192" s="44">
        <v>0</v>
      </c>
      <c r="U192" s="44">
        <v>0</v>
      </c>
      <c r="V192" s="44">
        <v>0</v>
      </c>
      <c r="W192" s="44">
        <v>1</v>
      </c>
      <c r="X192" s="44">
        <v>1</v>
      </c>
      <c r="Y192" s="44">
        <v>0.15</v>
      </c>
      <c r="Z192" s="44">
        <v>0.15</v>
      </c>
      <c r="AA192" s="45">
        <v>2</v>
      </c>
      <c r="AB192" s="45">
        <v>0</v>
      </c>
      <c r="AC192" s="44">
        <v>0.3</v>
      </c>
      <c r="AD192" s="44">
        <v>0</v>
      </c>
      <c r="AE192" s="44">
        <v>2</v>
      </c>
      <c r="AF192" s="44">
        <v>0</v>
      </c>
      <c r="AG192" s="44">
        <v>0.3</v>
      </c>
      <c r="AH192" s="44">
        <v>0</v>
      </c>
      <c r="AI192" s="44">
        <v>14</v>
      </c>
      <c r="AJ192" s="44">
        <v>12</v>
      </c>
    </row>
    <row r="193" spans="1:36" x14ac:dyDescent="0.35">
      <c r="A193" s="44" t="s">
        <v>145</v>
      </c>
      <c r="B193" s="44" t="s">
        <v>48</v>
      </c>
      <c r="C193" s="44">
        <v>13025</v>
      </c>
      <c r="D193" s="37">
        <v>37600</v>
      </c>
      <c r="E193" s="37">
        <v>38159</v>
      </c>
      <c r="F193" s="37">
        <v>38534</v>
      </c>
      <c r="G193" s="44">
        <v>2</v>
      </c>
      <c r="H193" s="44">
        <v>0</v>
      </c>
      <c r="I193" s="44">
        <v>0.05</v>
      </c>
      <c r="J193" s="44">
        <v>1</v>
      </c>
      <c r="K193" s="44">
        <v>0</v>
      </c>
      <c r="L193" s="44">
        <v>0.03</v>
      </c>
      <c r="M193" s="44">
        <v>1</v>
      </c>
      <c r="N193" s="44">
        <v>0</v>
      </c>
      <c r="O193" s="44">
        <v>0.03</v>
      </c>
      <c r="P193" s="44">
        <v>0</v>
      </c>
      <c r="Q193" s="44">
        <v>-1</v>
      </c>
      <c r="R193" s="44">
        <v>-0.03</v>
      </c>
      <c r="S193" s="44">
        <v>0</v>
      </c>
      <c r="T193" s="44">
        <v>0</v>
      </c>
      <c r="U193" s="44">
        <v>1</v>
      </c>
      <c r="V193" s="44">
        <v>0.03</v>
      </c>
      <c r="W193" s="44">
        <v>4</v>
      </c>
      <c r="X193" s="44">
        <v>2</v>
      </c>
      <c r="Y193" s="44">
        <v>0.1</v>
      </c>
      <c r="Z193" s="44">
        <v>0.05</v>
      </c>
      <c r="AA193" s="45">
        <v>4</v>
      </c>
      <c r="AB193" s="45">
        <v>2</v>
      </c>
      <c r="AC193" s="44">
        <v>0.1</v>
      </c>
      <c r="AD193" s="44">
        <v>0.05</v>
      </c>
      <c r="AE193" s="44">
        <v>4</v>
      </c>
      <c r="AF193" s="44">
        <v>2</v>
      </c>
      <c r="AG193" s="44">
        <v>0.1</v>
      </c>
      <c r="AH193" s="44">
        <v>0.05</v>
      </c>
      <c r="AI193" s="44">
        <v>77</v>
      </c>
      <c r="AJ193" s="44">
        <v>73</v>
      </c>
    </row>
    <row r="194" spans="1:36" x14ac:dyDescent="0.35">
      <c r="A194" s="44" t="s">
        <v>174</v>
      </c>
      <c r="B194" s="44" t="s">
        <v>55</v>
      </c>
      <c r="C194" s="44">
        <v>36012</v>
      </c>
      <c r="D194" s="37">
        <v>11386</v>
      </c>
      <c r="E194" s="37">
        <v>11451</v>
      </c>
      <c r="F194" s="37">
        <v>11473</v>
      </c>
      <c r="G194" s="44">
        <v>2</v>
      </c>
      <c r="H194" s="44">
        <v>0</v>
      </c>
      <c r="I194" s="44">
        <v>0.18</v>
      </c>
      <c r="J194" s="44">
        <v>2</v>
      </c>
      <c r="K194" s="44">
        <v>0</v>
      </c>
      <c r="L194" s="44">
        <v>0.18</v>
      </c>
      <c r="M194" s="44">
        <v>2</v>
      </c>
      <c r="N194" s="44">
        <v>0</v>
      </c>
      <c r="O194" s="44">
        <v>0.17</v>
      </c>
      <c r="P194" s="44">
        <v>0</v>
      </c>
      <c r="Q194" s="44">
        <v>0</v>
      </c>
      <c r="R194" s="44">
        <v>0</v>
      </c>
      <c r="S194" s="44">
        <v>0</v>
      </c>
      <c r="T194" s="44">
        <v>0</v>
      </c>
      <c r="U194" s="44">
        <v>0</v>
      </c>
      <c r="V194" s="44">
        <v>0</v>
      </c>
      <c r="W194" s="44">
        <v>2</v>
      </c>
      <c r="X194" s="44">
        <v>0</v>
      </c>
      <c r="Y194" s="44">
        <v>0.17</v>
      </c>
      <c r="Z194" s="44">
        <v>0</v>
      </c>
      <c r="AA194" s="45">
        <v>3</v>
      </c>
      <c r="AB194" s="45">
        <v>0</v>
      </c>
      <c r="AC194" s="44">
        <v>0.26</v>
      </c>
      <c r="AD194" s="44">
        <v>0</v>
      </c>
      <c r="AE194" s="44">
        <v>2</v>
      </c>
      <c r="AF194" s="44">
        <v>0</v>
      </c>
      <c r="AG194" s="44">
        <v>0.17</v>
      </c>
      <c r="AH194" s="44">
        <v>0</v>
      </c>
      <c r="AI194" s="44">
        <v>23</v>
      </c>
      <c r="AJ194" s="44">
        <v>21</v>
      </c>
    </row>
    <row r="195" spans="1:36" x14ac:dyDescent="0.35">
      <c r="A195" s="44" t="s">
        <v>66</v>
      </c>
      <c r="B195" s="44" t="s">
        <v>48</v>
      </c>
      <c r="C195" s="44">
        <v>11029</v>
      </c>
      <c r="D195" s="37">
        <v>26189</v>
      </c>
      <c r="E195" s="37">
        <v>26391</v>
      </c>
      <c r="F195" s="37">
        <v>26588</v>
      </c>
      <c r="G195" s="44">
        <v>26</v>
      </c>
      <c r="H195" s="44">
        <v>4</v>
      </c>
      <c r="I195" s="44">
        <v>0.99</v>
      </c>
      <c r="J195" s="44">
        <v>35</v>
      </c>
      <c r="K195" s="44">
        <v>6</v>
      </c>
      <c r="L195" s="44">
        <v>1.34</v>
      </c>
      <c r="M195" s="44">
        <v>61</v>
      </c>
      <c r="N195" s="44">
        <v>5</v>
      </c>
      <c r="O195" s="44">
        <v>2.31</v>
      </c>
      <c r="P195" s="44">
        <v>0.19</v>
      </c>
      <c r="Q195" s="44">
        <v>35</v>
      </c>
      <c r="R195" s="44">
        <v>1.32</v>
      </c>
      <c r="S195" s="44">
        <v>26</v>
      </c>
      <c r="T195" s="44">
        <v>0.97</v>
      </c>
      <c r="U195" s="44">
        <v>4</v>
      </c>
      <c r="V195" s="44">
        <v>0.15</v>
      </c>
      <c r="W195" s="44">
        <v>63</v>
      </c>
      <c r="X195" s="44">
        <v>1</v>
      </c>
      <c r="Y195" s="44">
        <v>2.39</v>
      </c>
      <c r="Z195" s="44">
        <v>0.04</v>
      </c>
      <c r="AA195" s="45">
        <v>66</v>
      </c>
      <c r="AB195" s="45">
        <v>4</v>
      </c>
      <c r="AC195" s="44">
        <v>2.48</v>
      </c>
      <c r="AD195" s="44">
        <v>0.15</v>
      </c>
      <c r="AE195" s="44">
        <v>36</v>
      </c>
      <c r="AF195" s="44">
        <v>4</v>
      </c>
      <c r="AG195" s="44">
        <v>1.35</v>
      </c>
      <c r="AH195" s="44">
        <v>0.15</v>
      </c>
      <c r="AI195" s="44">
        <v>53</v>
      </c>
      <c r="AJ195" s="44">
        <v>17</v>
      </c>
    </row>
    <row r="196" spans="1:36" x14ac:dyDescent="0.35">
      <c r="A196" s="44" t="s">
        <v>353</v>
      </c>
      <c r="B196" s="44" t="s">
        <v>50</v>
      </c>
      <c r="C196" s="44">
        <v>44048</v>
      </c>
      <c r="D196" s="37">
        <v>12040</v>
      </c>
      <c r="E196" s="37">
        <v>12214</v>
      </c>
      <c r="F196" s="37">
        <v>12305</v>
      </c>
      <c r="G196" s="44">
        <v>1</v>
      </c>
      <c r="H196" s="44">
        <v>0</v>
      </c>
      <c r="I196" s="44">
        <v>0.08</v>
      </c>
      <c r="J196" s="44">
        <v>6</v>
      </c>
      <c r="K196" s="44">
        <v>0</v>
      </c>
      <c r="L196" s="44">
        <v>0.5</v>
      </c>
      <c r="M196" s="44">
        <v>5</v>
      </c>
      <c r="N196" s="44">
        <v>0</v>
      </c>
      <c r="O196" s="44">
        <v>0.41</v>
      </c>
      <c r="P196" s="44">
        <v>0</v>
      </c>
      <c r="Q196" s="44">
        <v>4</v>
      </c>
      <c r="R196" s="44">
        <v>0.33</v>
      </c>
      <c r="S196" s="44">
        <v>-1</v>
      </c>
      <c r="T196" s="44">
        <v>-0.09</v>
      </c>
      <c r="U196" s="44">
        <v>5</v>
      </c>
      <c r="V196" s="44">
        <v>0.41</v>
      </c>
      <c r="W196" s="44">
        <v>5</v>
      </c>
      <c r="X196" s="44">
        <v>2</v>
      </c>
      <c r="Y196" s="44">
        <v>0.41</v>
      </c>
      <c r="Z196" s="44">
        <v>0.16</v>
      </c>
      <c r="AA196" s="45">
        <v>4</v>
      </c>
      <c r="AB196" s="45">
        <v>2</v>
      </c>
      <c r="AC196" s="44">
        <v>0.33</v>
      </c>
      <c r="AD196" s="44">
        <v>0.16</v>
      </c>
      <c r="AE196" s="44">
        <v>8</v>
      </c>
      <c r="AF196" s="44">
        <v>2</v>
      </c>
      <c r="AG196" s="44">
        <v>0.65</v>
      </c>
      <c r="AH196" s="44">
        <v>0.16</v>
      </c>
      <c r="AI196" s="44">
        <v>25</v>
      </c>
      <c r="AJ196" s="44">
        <v>17</v>
      </c>
    </row>
    <row r="197" spans="1:36" x14ac:dyDescent="0.35">
      <c r="A197" s="44" t="s">
        <v>203</v>
      </c>
      <c r="B197" s="44" t="s">
        <v>48</v>
      </c>
      <c r="C197" s="44">
        <v>11030</v>
      </c>
      <c r="D197" s="37">
        <v>10595</v>
      </c>
      <c r="E197" s="37">
        <v>10799</v>
      </c>
      <c r="F197" s="37">
        <v>10966</v>
      </c>
      <c r="G197" s="44">
        <v>3</v>
      </c>
      <c r="H197" s="44">
        <v>0</v>
      </c>
      <c r="I197" s="44">
        <v>0.28000000000000003</v>
      </c>
      <c r="J197" s="44">
        <v>1</v>
      </c>
      <c r="K197" s="44">
        <v>0</v>
      </c>
      <c r="L197" s="44">
        <v>0.09</v>
      </c>
      <c r="M197" s="44">
        <v>0</v>
      </c>
      <c r="N197" s="44">
        <v>0</v>
      </c>
      <c r="O197" s="44">
        <v>0</v>
      </c>
      <c r="P197" s="44">
        <v>0</v>
      </c>
      <c r="Q197" s="44">
        <v>-3</v>
      </c>
      <c r="R197" s="44">
        <v>-0.28000000000000003</v>
      </c>
      <c r="S197" s="44">
        <v>-1</v>
      </c>
      <c r="T197" s="44">
        <v>-0.09</v>
      </c>
      <c r="U197" s="44">
        <v>0</v>
      </c>
      <c r="V197" s="44">
        <v>0</v>
      </c>
      <c r="W197" s="44">
        <v>1</v>
      </c>
      <c r="X197" s="44">
        <v>0</v>
      </c>
      <c r="Y197" s="44">
        <v>0.09</v>
      </c>
      <c r="Z197" s="44">
        <v>0</v>
      </c>
      <c r="AA197" s="45">
        <v>1</v>
      </c>
      <c r="AB197" s="45">
        <v>0</v>
      </c>
      <c r="AC197" s="44">
        <v>0.09</v>
      </c>
      <c r="AD197" s="44">
        <v>0</v>
      </c>
      <c r="AE197" s="44">
        <v>3</v>
      </c>
      <c r="AF197" s="44">
        <v>2</v>
      </c>
      <c r="AG197" s="44">
        <v>0.27</v>
      </c>
      <c r="AH197" s="44">
        <v>0.18</v>
      </c>
      <c r="AI197" s="44">
        <v>22</v>
      </c>
      <c r="AJ197" s="44">
        <v>19</v>
      </c>
    </row>
    <row r="198" spans="1:36" x14ac:dyDescent="0.35">
      <c r="A198" s="44" t="s">
        <v>299</v>
      </c>
      <c r="B198" s="44" t="s">
        <v>59</v>
      </c>
      <c r="C198" s="44">
        <v>71045</v>
      </c>
      <c r="D198" s="37">
        <v>7027</v>
      </c>
      <c r="E198" s="37">
        <v>7190</v>
      </c>
      <c r="F198" s="37">
        <v>7295</v>
      </c>
      <c r="G198" s="44">
        <v>0</v>
      </c>
      <c r="H198" s="44">
        <v>0</v>
      </c>
      <c r="I198" s="44">
        <v>0</v>
      </c>
      <c r="J198" s="44">
        <v>0</v>
      </c>
      <c r="K198" s="44">
        <v>0</v>
      </c>
      <c r="L198" s="44">
        <v>0</v>
      </c>
      <c r="M198" s="44">
        <v>0</v>
      </c>
      <c r="N198" s="44">
        <v>0</v>
      </c>
      <c r="O198" s="44">
        <v>0</v>
      </c>
      <c r="P198" s="44">
        <v>0</v>
      </c>
      <c r="Q198" s="44">
        <v>0</v>
      </c>
      <c r="R198" s="44">
        <v>0</v>
      </c>
      <c r="S198" s="44">
        <v>0</v>
      </c>
      <c r="T198" s="44">
        <v>0</v>
      </c>
      <c r="U198" s="44">
        <v>0</v>
      </c>
      <c r="V198" s="44">
        <v>0</v>
      </c>
      <c r="W198" s="44">
        <v>0</v>
      </c>
      <c r="X198" s="44">
        <v>0</v>
      </c>
      <c r="Y198" s="44">
        <v>0</v>
      </c>
      <c r="Z198" s="44">
        <v>0</v>
      </c>
      <c r="AA198" s="45">
        <v>0</v>
      </c>
      <c r="AB198" s="45">
        <v>0</v>
      </c>
      <c r="AC198" s="44">
        <v>0</v>
      </c>
      <c r="AD198" s="44">
        <v>0</v>
      </c>
      <c r="AE198" s="44">
        <v>0</v>
      </c>
      <c r="AF198" s="44">
        <v>0</v>
      </c>
      <c r="AG198" s="44">
        <v>0</v>
      </c>
      <c r="AH198" s="44">
        <v>0</v>
      </c>
      <c r="AI198" s="44">
        <v>15</v>
      </c>
      <c r="AJ198" s="44">
        <v>15</v>
      </c>
    </row>
    <row r="199" spans="1:36" x14ac:dyDescent="0.35">
      <c r="A199" s="44" t="s">
        <v>152</v>
      </c>
      <c r="B199" s="44" t="s">
        <v>55</v>
      </c>
      <c r="C199" s="44">
        <v>38016</v>
      </c>
      <c r="D199" s="37">
        <v>11488</v>
      </c>
      <c r="E199" s="37">
        <v>11493</v>
      </c>
      <c r="F199" s="37">
        <v>11455</v>
      </c>
      <c r="G199" s="44">
        <v>0</v>
      </c>
      <c r="H199" s="44">
        <v>0</v>
      </c>
      <c r="I199" s="44">
        <v>0</v>
      </c>
      <c r="J199" s="44">
        <v>0</v>
      </c>
      <c r="K199" s="44">
        <v>0</v>
      </c>
      <c r="L199" s="44">
        <v>0</v>
      </c>
      <c r="M199" s="44">
        <v>0</v>
      </c>
      <c r="N199" s="44">
        <v>0</v>
      </c>
      <c r="O199" s="44">
        <v>0</v>
      </c>
      <c r="P199" s="44">
        <v>0</v>
      </c>
      <c r="Q199" s="44">
        <v>0</v>
      </c>
      <c r="R199" s="44">
        <v>0</v>
      </c>
      <c r="S199" s="44">
        <v>0</v>
      </c>
      <c r="T199" s="44">
        <v>0</v>
      </c>
      <c r="U199" s="44">
        <v>0</v>
      </c>
      <c r="V199" s="44">
        <v>0</v>
      </c>
      <c r="W199" s="44">
        <v>1</v>
      </c>
      <c r="X199" s="44">
        <v>0</v>
      </c>
      <c r="Y199" s="44">
        <v>0.09</v>
      </c>
      <c r="Z199" s="44">
        <v>0</v>
      </c>
      <c r="AA199" s="45">
        <v>2</v>
      </c>
      <c r="AB199" s="45">
        <v>1</v>
      </c>
      <c r="AC199" s="44">
        <v>0.17</v>
      </c>
      <c r="AD199" s="44">
        <v>0.09</v>
      </c>
      <c r="AE199" s="44">
        <v>2</v>
      </c>
      <c r="AF199" s="44">
        <v>2</v>
      </c>
      <c r="AG199" s="44">
        <v>0.17</v>
      </c>
      <c r="AH199" s="44">
        <v>0.17</v>
      </c>
      <c r="AI199" s="44">
        <v>23</v>
      </c>
      <c r="AJ199" s="44">
        <v>21</v>
      </c>
    </row>
    <row r="200" spans="1:36" x14ac:dyDescent="0.35">
      <c r="A200" s="44" t="s">
        <v>124</v>
      </c>
      <c r="B200" s="44" t="s">
        <v>48</v>
      </c>
      <c r="C200" s="44">
        <v>12026</v>
      </c>
      <c r="D200" s="37">
        <v>23259</v>
      </c>
      <c r="E200" s="37">
        <v>23409</v>
      </c>
      <c r="F200" s="37">
        <v>23707</v>
      </c>
      <c r="G200" s="44">
        <v>0</v>
      </c>
      <c r="H200" s="44">
        <v>0</v>
      </c>
      <c r="I200" s="44">
        <v>0</v>
      </c>
      <c r="J200" s="44">
        <v>2</v>
      </c>
      <c r="K200" s="44">
        <v>0</v>
      </c>
      <c r="L200" s="44">
        <v>0.09</v>
      </c>
      <c r="M200" s="44">
        <v>2</v>
      </c>
      <c r="N200" s="44">
        <v>0</v>
      </c>
      <c r="O200" s="44">
        <v>0.09</v>
      </c>
      <c r="P200" s="44">
        <v>0</v>
      </c>
      <c r="Q200" s="44">
        <v>2</v>
      </c>
      <c r="R200" s="44">
        <v>0.09</v>
      </c>
      <c r="S200" s="44">
        <v>0</v>
      </c>
      <c r="T200" s="44">
        <v>0</v>
      </c>
      <c r="U200" s="44">
        <v>0</v>
      </c>
      <c r="V200" s="44">
        <v>0</v>
      </c>
      <c r="W200" s="44">
        <v>6</v>
      </c>
      <c r="X200" s="44">
        <v>2</v>
      </c>
      <c r="Y200" s="44">
        <v>0.26</v>
      </c>
      <c r="Z200" s="44">
        <v>0.09</v>
      </c>
      <c r="AA200" s="45">
        <v>6</v>
      </c>
      <c r="AB200" s="45">
        <v>2</v>
      </c>
      <c r="AC200" s="44">
        <v>0.25</v>
      </c>
      <c r="AD200" s="44">
        <v>0.08</v>
      </c>
      <c r="AE200" s="44">
        <v>6</v>
      </c>
      <c r="AF200" s="44">
        <v>3</v>
      </c>
      <c r="AG200" s="44">
        <v>0.25</v>
      </c>
      <c r="AH200" s="44">
        <v>0.13</v>
      </c>
      <c r="AI200" s="44">
        <v>47</v>
      </c>
      <c r="AJ200" s="44">
        <v>41</v>
      </c>
    </row>
    <row r="201" spans="1:36" x14ac:dyDescent="0.35">
      <c r="A201" s="44" t="s">
        <v>236</v>
      </c>
      <c r="B201" s="44" t="s">
        <v>50</v>
      </c>
      <c r="C201" s="44">
        <v>41048</v>
      </c>
      <c r="D201" s="37">
        <v>39626</v>
      </c>
      <c r="E201" s="37">
        <v>40093</v>
      </c>
      <c r="F201" s="37">
        <v>40363</v>
      </c>
      <c r="G201" s="44">
        <v>1</v>
      </c>
      <c r="H201" s="44">
        <v>0</v>
      </c>
      <c r="I201" s="44">
        <v>0.03</v>
      </c>
      <c r="J201" s="44">
        <v>0</v>
      </c>
      <c r="K201" s="44">
        <v>0</v>
      </c>
      <c r="L201" s="44">
        <v>0</v>
      </c>
      <c r="M201" s="44">
        <v>0</v>
      </c>
      <c r="N201" s="44">
        <v>0</v>
      </c>
      <c r="O201" s="44">
        <v>0</v>
      </c>
      <c r="P201" s="44">
        <v>0</v>
      </c>
      <c r="Q201" s="44">
        <v>-1</v>
      </c>
      <c r="R201" s="44">
        <v>-0.03</v>
      </c>
      <c r="S201" s="44">
        <v>0</v>
      </c>
      <c r="T201" s="44">
        <v>0</v>
      </c>
      <c r="U201" s="44">
        <v>0</v>
      </c>
      <c r="V201" s="44">
        <v>0</v>
      </c>
      <c r="W201" s="44">
        <v>2</v>
      </c>
      <c r="X201" s="44">
        <v>2</v>
      </c>
      <c r="Y201" s="44">
        <v>0.05</v>
      </c>
      <c r="Z201" s="44">
        <v>0.05</v>
      </c>
      <c r="AA201" s="45">
        <v>3</v>
      </c>
      <c r="AB201" s="45">
        <v>3</v>
      </c>
      <c r="AC201" s="44">
        <v>7.0000000000000007E-2</v>
      </c>
      <c r="AD201" s="44">
        <v>7.0000000000000007E-2</v>
      </c>
      <c r="AE201" s="44">
        <v>2</v>
      </c>
      <c r="AF201" s="44">
        <v>2</v>
      </c>
      <c r="AG201" s="44">
        <v>0.05</v>
      </c>
      <c r="AH201" s="44">
        <v>0.05</v>
      </c>
      <c r="AI201" s="44">
        <v>81</v>
      </c>
      <c r="AJ201" s="44">
        <v>79</v>
      </c>
    </row>
    <row r="202" spans="1:36" x14ac:dyDescent="0.35">
      <c r="A202" s="44" t="s">
        <v>330</v>
      </c>
      <c r="B202" s="44" t="s">
        <v>48</v>
      </c>
      <c r="C202" s="44">
        <v>13029</v>
      </c>
      <c r="D202" s="37">
        <v>12582</v>
      </c>
      <c r="E202" s="37">
        <v>12689</v>
      </c>
      <c r="F202" s="37">
        <v>12824</v>
      </c>
      <c r="G202" s="44">
        <v>0</v>
      </c>
      <c r="H202" s="44">
        <v>0</v>
      </c>
      <c r="I202" s="44">
        <v>0</v>
      </c>
      <c r="J202" s="44">
        <v>0</v>
      </c>
      <c r="K202" s="44">
        <v>0</v>
      </c>
      <c r="L202" s="44">
        <v>0</v>
      </c>
      <c r="M202" s="44">
        <v>0</v>
      </c>
      <c r="N202" s="44">
        <v>0</v>
      </c>
      <c r="O202" s="44">
        <v>0</v>
      </c>
      <c r="P202" s="44">
        <v>0</v>
      </c>
      <c r="Q202" s="44">
        <v>0</v>
      </c>
      <c r="R202" s="44">
        <v>0</v>
      </c>
      <c r="S202" s="44">
        <v>0</v>
      </c>
      <c r="T202" s="44">
        <v>0</v>
      </c>
      <c r="U202" s="44">
        <v>0</v>
      </c>
      <c r="V202" s="44">
        <v>0</v>
      </c>
      <c r="W202" s="44">
        <v>0</v>
      </c>
      <c r="X202" s="44">
        <v>0</v>
      </c>
      <c r="Y202" s="44">
        <v>0</v>
      </c>
      <c r="Z202" s="44">
        <v>0</v>
      </c>
      <c r="AA202" s="45">
        <v>0</v>
      </c>
      <c r="AB202" s="45">
        <v>0</v>
      </c>
      <c r="AC202" s="44">
        <v>0</v>
      </c>
      <c r="AD202" s="44">
        <v>0</v>
      </c>
      <c r="AE202" s="44">
        <v>0</v>
      </c>
      <c r="AF202" s="44">
        <v>0</v>
      </c>
      <c r="AG202" s="44">
        <v>0</v>
      </c>
      <c r="AH202" s="44">
        <v>0</v>
      </c>
      <c r="AI202" s="44">
        <v>26</v>
      </c>
      <c r="AJ202" s="44">
        <v>26</v>
      </c>
    </row>
    <row r="203" spans="1:36" x14ac:dyDescent="0.35">
      <c r="A203" s="44" t="s">
        <v>64</v>
      </c>
      <c r="B203" s="44" t="s">
        <v>55</v>
      </c>
      <c r="C203" s="44">
        <v>35013</v>
      </c>
      <c r="D203" s="37">
        <v>71557</v>
      </c>
      <c r="E203" s="37">
        <v>72175</v>
      </c>
      <c r="F203" s="37">
        <v>72586</v>
      </c>
      <c r="G203" s="44">
        <v>21</v>
      </c>
      <c r="H203" s="44">
        <v>0</v>
      </c>
      <c r="I203" s="44">
        <v>0.28999999999999998</v>
      </c>
      <c r="J203" s="44">
        <v>23</v>
      </c>
      <c r="K203" s="44">
        <v>0</v>
      </c>
      <c r="L203" s="44">
        <v>0.32</v>
      </c>
      <c r="M203" s="44">
        <v>27</v>
      </c>
      <c r="N203" s="44">
        <v>1</v>
      </c>
      <c r="O203" s="44">
        <v>0.37</v>
      </c>
      <c r="P203" s="44">
        <v>0.01</v>
      </c>
      <c r="Q203" s="44">
        <v>6</v>
      </c>
      <c r="R203" s="44">
        <v>0.08</v>
      </c>
      <c r="S203" s="44">
        <v>4</v>
      </c>
      <c r="T203" s="44">
        <v>0.05</v>
      </c>
      <c r="U203" s="44">
        <v>5</v>
      </c>
      <c r="V203" s="44">
        <v>7.0000000000000007E-2</v>
      </c>
      <c r="W203" s="44">
        <v>32</v>
      </c>
      <c r="X203" s="44">
        <v>1</v>
      </c>
      <c r="Y203" s="44">
        <v>0.44</v>
      </c>
      <c r="Z203" s="44">
        <v>0.01</v>
      </c>
      <c r="AA203" s="45">
        <v>32</v>
      </c>
      <c r="AB203" s="45">
        <v>1</v>
      </c>
      <c r="AC203" s="44">
        <v>0.44</v>
      </c>
      <c r="AD203" s="44">
        <v>0.01</v>
      </c>
      <c r="AE203" s="44">
        <v>36</v>
      </c>
      <c r="AF203" s="44">
        <v>1</v>
      </c>
      <c r="AG203" s="44">
        <v>0.5</v>
      </c>
      <c r="AH203" s="44">
        <v>0.01</v>
      </c>
      <c r="AI203" s="44">
        <v>145</v>
      </c>
      <c r="AJ203" s="44">
        <v>109</v>
      </c>
    </row>
    <row r="204" spans="1:36" x14ac:dyDescent="0.35">
      <c r="A204" s="44" t="s">
        <v>121</v>
      </c>
      <c r="B204" s="44" t="s">
        <v>50</v>
      </c>
      <c r="C204" s="44">
        <v>44052</v>
      </c>
      <c r="D204" s="37">
        <v>13840</v>
      </c>
      <c r="E204" s="37">
        <v>14024</v>
      </c>
      <c r="F204" s="37">
        <v>14062</v>
      </c>
      <c r="G204" s="44">
        <v>5</v>
      </c>
      <c r="H204" s="44">
        <v>0</v>
      </c>
      <c r="I204" s="44">
        <v>0.36</v>
      </c>
      <c r="J204" s="44">
        <v>7</v>
      </c>
      <c r="K204" s="44">
        <v>0</v>
      </c>
      <c r="L204" s="44">
        <v>0.51</v>
      </c>
      <c r="M204" s="44">
        <v>4</v>
      </c>
      <c r="N204" s="44">
        <v>2</v>
      </c>
      <c r="O204" s="44">
        <v>0.28999999999999998</v>
      </c>
      <c r="P204" s="44">
        <v>0.14000000000000001</v>
      </c>
      <c r="Q204" s="44">
        <v>-1</v>
      </c>
      <c r="R204" s="44">
        <v>-0.08</v>
      </c>
      <c r="S204" s="44">
        <v>-3</v>
      </c>
      <c r="T204" s="44">
        <v>-0.22</v>
      </c>
      <c r="U204" s="44">
        <v>2</v>
      </c>
      <c r="V204" s="44">
        <v>0.14000000000000001</v>
      </c>
      <c r="W204" s="44">
        <v>5</v>
      </c>
      <c r="X204" s="44">
        <v>2</v>
      </c>
      <c r="Y204" s="44">
        <v>0.36</v>
      </c>
      <c r="Z204" s="44">
        <v>0.14000000000000001</v>
      </c>
      <c r="AA204" s="45">
        <v>6</v>
      </c>
      <c r="AB204" s="45">
        <v>2</v>
      </c>
      <c r="AC204" s="44">
        <v>0.43</v>
      </c>
      <c r="AD204" s="44">
        <v>0.14000000000000001</v>
      </c>
      <c r="AE204" s="44">
        <v>6</v>
      </c>
      <c r="AF204" s="44">
        <v>3</v>
      </c>
      <c r="AG204" s="44">
        <v>0.43</v>
      </c>
      <c r="AH204" s="44">
        <v>0.21</v>
      </c>
      <c r="AI204" s="44">
        <v>28</v>
      </c>
      <c r="AJ204" s="44">
        <v>22</v>
      </c>
    </row>
    <row r="205" spans="1:36" x14ac:dyDescent="0.35">
      <c r="A205" s="44" t="s">
        <v>79</v>
      </c>
      <c r="B205" s="44" t="s">
        <v>55</v>
      </c>
      <c r="C205" s="44">
        <v>31022</v>
      </c>
      <c r="D205" s="37">
        <v>23998</v>
      </c>
      <c r="E205" s="37">
        <v>24200</v>
      </c>
      <c r="F205" s="37">
        <v>24275</v>
      </c>
      <c r="G205" s="44">
        <v>4</v>
      </c>
      <c r="H205" s="44">
        <v>3</v>
      </c>
      <c r="I205" s="44">
        <v>0.17</v>
      </c>
      <c r="J205" s="44">
        <v>5</v>
      </c>
      <c r="K205" s="44">
        <v>3</v>
      </c>
      <c r="L205" s="44">
        <v>0.21</v>
      </c>
      <c r="M205" s="44">
        <v>7</v>
      </c>
      <c r="N205" s="44">
        <v>4</v>
      </c>
      <c r="O205" s="44">
        <v>0.28999999999999998</v>
      </c>
      <c r="P205" s="44">
        <v>0.17</v>
      </c>
      <c r="Q205" s="44">
        <v>3</v>
      </c>
      <c r="R205" s="44">
        <v>0.12</v>
      </c>
      <c r="S205" s="44">
        <v>2</v>
      </c>
      <c r="T205" s="44">
        <v>0.08</v>
      </c>
      <c r="U205" s="44">
        <v>4</v>
      </c>
      <c r="V205" s="44">
        <v>0.17</v>
      </c>
      <c r="W205" s="44">
        <v>8</v>
      </c>
      <c r="X205" s="44">
        <v>3</v>
      </c>
      <c r="Y205" s="44">
        <v>0.33</v>
      </c>
      <c r="Z205" s="44">
        <v>0.12</v>
      </c>
      <c r="AA205" s="45">
        <v>8</v>
      </c>
      <c r="AB205" s="45">
        <v>3</v>
      </c>
      <c r="AC205" s="44">
        <v>0.33</v>
      </c>
      <c r="AD205" s="44">
        <v>0.12</v>
      </c>
      <c r="AE205" s="44">
        <v>11</v>
      </c>
      <c r="AF205" s="44">
        <v>4</v>
      </c>
      <c r="AG205" s="44">
        <v>0.45</v>
      </c>
      <c r="AH205" s="44">
        <v>0.16</v>
      </c>
      <c r="AI205" s="44">
        <v>49</v>
      </c>
      <c r="AJ205" s="44">
        <v>38</v>
      </c>
    </row>
    <row r="206" spans="1:36" x14ac:dyDescent="0.35">
      <c r="A206" s="44" t="s">
        <v>194</v>
      </c>
      <c r="B206" s="44" t="s">
        <v>55</v>
      </c>
      <c r="C206" s="44">
        <v>37010</v>
      </c>
      <c r="D206" s="37">
        <v>7972</v>
      </c>
      <c r="E206" s="37">
        <v>8021</v>
      </c>
      <c r="F206" s="37">
        <v>8064</v>
      </c>
      <c r="G206" s="44">
        <v>0</v>
      </c>
      <c r="H206" s="44">
        <v>0</v>
      </c>
      <c r="I206" s="44">
        <v>0</v>
      </c>
      <c r="J206" s="44">
        <v>0</v>
      </c>
      <c r="K206" s="44">
        <v>0</v>
      </c>
      <c r="L206" s="44">
        <v>0</v>
      </c>
      <c r="M206" s="44">
        <v>0</v>
      </c>
      <c r="N206" s="44">
        <v>0</v>
      </c>
      <c r="O206" s="44">
        <v>0</v>
      </c>
      <c r="P206" s="44">
        <v>0</v>
      </c>
      <c r="Q206" s="44">
        <v>0</v>
      </c>
      <c r="R206" s="44">
        <v>0</v>
      </c>
      <c r="S206" s="44">
        <v>0</v>
      </c>
      <c r="T206" s="44">
        <v>0</v>
      </c>
      <c r="U206" s="44">
        <v>0</v>
      </c>
      <c r="V206" s="44">
        <v>0</v>
      </c>
      <c r="W206" s="44">
        <v>0</v>
      </c>
      <c r="X206" s="44">
        <v>0</v>
      </c>
      <c r="Y206" s="44">
        <v>0</v>
      </c>
      <c r="Z206" s="44">
        <v>0</v>
      </c>
      <c r="AA206" s="45">
        <v>3</v>
      </c>
      <c r="AB206" s="45">
        <v>2</v>
      </c>
      <c r="AC206" s="44">
        <v>0.37</v>
      </c>
      <c r="AD206" s="44">
        <v>0.25</v>
      </c>
      <c r="AE206" s="44">
        <v>3</v>
      </c>
      <c r="AF206" s="44">
        <v>2</v>
      </c>
      <c r="AG206" s="44">
        <v>0.37</v>
      </c>
      <c r="AH206" s="44">
        <v>0.25</v>
      </c>
      <c r="AI206" s="44">
        <v>16</v>
      </c>
      <c r="AJ206" s="44">
        <v>13</v>
      </c>
    </row>
    <row r="207" spans="1:36" x14ac:dyDescent="0.35">
      <c r="A207" s="44" t="s">
        <v>214</v>
      </c>
      <c r="B207" s="44" t="s">
        <v>52</v>
      </c>
      <c r="C207" s="44">
        <v>23060</v>
      </c>
      <c r="D207" s="37">
        <v>14828</v>
      </c>
      <c r="E207" s="37">
        <v>14890</v>
      </c>
      <c r="F207" s="37">
        <v>14866</v>
      </c>
      <c r="G207" s="44">
        <v>3</v>
      </c>
      <c r="H207" s="44">
        <v>0</v>
      </c>
      <c r="I207" s="44">
        <v>0.2</v>
      </c>
      <c r="J207" s="44">
        <v>3</v>
      </c>
      <c r="K207" s="44">
        <v>0</v>
      </c>
      <c r="L207" s="44">
        <v>0.2</v>
      </c>
      <c r="M207" s="44">
        <v>3</v>
      </c>
      <c r="N207" s="44">
        <v>0</v>
      </c>
      <c r="O207" s="44">
        <v>0.2</v>
      </c>
      <c r="P207" s="44">
        <v>0</v>
      </c>
      <c r="Q207" s="44">
        <v>0</v>
      </c>
      <c r="R207" s="44">
        <v>0</v>
      </c>
      <c r="S207" s="44">
        <v>0</v>
      </c>
      <c r="T207" s="44">
        <v>0</v>
      </c>
      <c r="U207" s="44">
        <v>3</v>
      </c>
      <c r="V207" s="44">
        <v>0.2</v>
      </c>
      <c r="W207" s="44">
        <v>3</v>
      </c>
      <c r="X207" s="44">
        <v>0</v>
      </c>
      <c r="Y207" s="44">
        <v>0.2</v>
      </c>
      <c r="Z207" s="44">
        <v>0</v>
      </c>
      <c r="AA207" s="45">
        <v>2</v>
      </c>
      <c r="AB207" s="45">
        <v>0</v>
      </c>
      <c r="AC207" s="44">
        <v>0.13</v>
      </c>
      <c r="AD207" s="44">
        <v>0</v>
      </c>
      <c r="AE207" s="44">
        <v>4</v>
      </c>
      <c r="AF207" s="44">
        <v>2</v>
      </c>
      <c r="AG207" s="44">
        <v>0.27</v>
      </c>
      <c r="AH207" s="44">
        <v>0.13</v>
      </c>
      <c r="AI207" s="44">
        <v>30</v>
      </c>
      <c r="AJ207" s="44">
        <v>26</v>
      </c>
    </row>
    <row r="208" spans="1:36" x14ac:dyDescent="0.35">
      <c r="A208" s="44" t="s">
        <v>110</v>
      </c>
      <c r="B208" s="44" t="s">
        <v>52</v>
      </c>
      <c r="C208" s="44">
        <v>24086</v>
      </c>
      <c r="D208" s="37">
        <v>11470</v>
      </c>
      <c r="E208" s="37">
        <v>11545</v>
      </c>
      <c r="F208" s="37">
        <v>11474</v>
      </c>
      <c r="G208" s="44">
        <v>5</v>
      </c>
      <c r="H208" s="44">
        <v>0</v>
      </c>
      <c r="I208" s="44">
        <v>0.44</v>
      </c>
      <c r="J208" s="44">
        <v>2</v>
      </c>
      <c r="K208" s="44">
        <v>0</v>
      </c>
      <c r="L208" s="44">
        <v>0.17</v>
      </c>
      <c r="M208" s="44">
        <v>3</v>
      </c>
      <c r="N208" s="44">
        <v>2</v>
      </c>
      <c r="O208" s="44">
        <v>0.26</v>
      </c>
      <c r="P208" s="44">
        <v>0.17</v>
      </c>
      <c r="Q208" s="44">
        <v>-2</v>
      </c>
      <c r="R208" s="44">
        <v>-0.18</v>
      </c>
      <c r="S208" s="44">
        <v>1</v>
      </c>
      <c r="T208" s="44">
        <v>0.09</v>
      </c>
      <c r="U208" s="44">
        <v>1</v>
      </c>
      <c r="V208" s="44">
        <v>0.09</v>
      </c>
      <c r="W208" s="44">
        <v>2</v>
      </c>
      <c r="X208" s="44">
        <v>2</v>
      </c>
      <c r="Y208" s="44">
        <v>0.17</v>
      </c>
      <c r="Z208" s="44">
        <v>0.17</v>
      </c>
      <c r="AA208" s="45">
        <v>6</v>
      </c>
      <c r="AB208" s="45">
        <v>5</v>
      </c>
      <c r="AC208" s="44">
        <v>0.52</v>
      </c>
      <c r="AD208" s="44">
        <v>0.44</v>
      </c>
      <c r="AE208" s="44">
        <v>8</v>
      </c>
      <c r="AF208" s="44">
        <v>5</v>
      </c>
      <c r="AG208" s="44">
        <v>0.7</v>
      </c>
      <c r="AH208" s="44">
        <v>0.44</v>
      </c>
      <c r="AI208" s="44">
        <v>23</v>
      </c>
      <c r="AJ208" s="44">
        <v>15</v>
      </c>
    </row>
    <row r="209" spans="1:36" x14ac:dyDescent="0.35">
      <c r="A209" s="44" t="s">
        <v>159</v>
      </c>
      <c r="B209" s="44" t="s">
        <v>48</v>
      </c>
      <c r="C209" s="44">
        <v>13031</v>
      </c>
      <c r="D209" s="37">
        <v>14402</v>
      </c>
      <c r="E209" s="37">
        <v>14734</v>
      </c>
      <c r="F209" s="37">
        <v>14828</v>
      </c>
      <c r="G209" s="44">
        <v>2</v>
      </c>
      <c r="H209" s="44">
        <v>0</v>
      </c>
      <c r="I209" s="44">
        <v>0.14000000000000001</v>
      </c>
      <c r="J209" s="44">
        <v>3</v>
      </c>
      <c r="K209" s="44">
        <v>0</v>
      </c>
      <c r="L209" s="44">
        <v>0.21</v>
      </c>
      <c r="M209" s="44">
        <v>2</v>
      </c>
      <c r="N209" s="44">
        <v>2</v>
      </c>
      <c r="O209" s="44">
        <v>0.14000000000000001</v>
      </c>
      <c r="P209" s="44">
        <v>0.14000000000000001</v>
      </c>
      <c r="Q209" s="44">
        <v>0</v>
      </c>
      <c r="R209" s="44">
        <v>0</v>
      </c>
      <c r="S209" s="44">
        <v>-1</v>
      </c>
      <c r="T209" s="44">
        <v>-7.0000000000000007E-2</v>
      </c>
      <c r="U209" s="44">
        <v>0</v>
      </c>
      <c r="V209" s="44">
        <v>0</v>
      </c>
      <c r="W209" s="44">
        <v>3</v>
      </c>
      <c r="X209" s="44">
        <v>2</v>
      </c>
      <c r="Y209" s="44">
        <v>0.2</v>
      </c>
      <c r="Z209" s="44">
        <v>0.14000000000000001</v>
      </c>
      <c r="AA209" s="45">
        <v>3</v>
      </c>
      <c r="AB209" s="45">
        <v>2</v>
      </c>
      <c r="AC209" s="44">
        <v>0.2</v>
      </c>
      <c r="AD209" s="44">
        <v>0.13</v>
      </c>
      <c r="AE209" s="44">
        <v>3</v>
      </c>
      <c r="AF209" s="44">
        <v>2</v>
      </c>
      <c r="AG209" s="44">
        <v>0.2</v>
      </c>
      <c r="AH209" s="44">
        <v>0.13</v>
      </c>
      <c r="AI209" s="44">
        <v>30</v>
      </c>
      <c r="AJ209" s="44">
        <v>27</v>
      </c>
    </row>
    <row r="210" spans="1:36" x14ac:dyDescent="0.35">
      <c r="A210" s="44" t="s">
        <v>77</v>
      </c>
      <c r="B210" s="44" t="s">
        <v>50</v>
      </c>
      <c r="C210" s="44">
        <v>45035</v>
      </c>
      <c r="D210" s="37">
        <v>31866</v>
      </c>
      <c r="E210" s="37">
        <v>32482</v>
      </c>
      <c r="F210" s="37">
        <v>32702</v>
      </c>
      <c r="G210" s="44">
        <v>7</v>
      </c>
      <c r="H210" s="44">
        <v>0</v>
      </c>
      <c r="I210" s="44">
        <v>0.22</v>
      </c>
      <c r="J210" s="44">
        <v>8</v>
      </c>
      <c r="K210" s="44">
        <v>0</v>
      </c>
      <c r="L210" s="44">
        <v>0.25</v>
      </c>
      <c r="M210" s="44">
        <v>8</v>
      </c>
      <c r="N210" s="44">
        <v>3</v>
      </c>
      <c r="O210" s="44">
        <v>0.25</v>
      </c>
      <c r="P210" s="44">
        <v>0.09</v>
      </c>
      <c r="Q210" s="44">
        <v>1</v>
      </c>
      <c r="R210" s="44">
        <v>0.03</v>
      </c>
      <c r="S210" s="44">
        <v>0</v>
      </c>
      <c r="T210" s="44">
        <v>0</v>
      </c>
      <c r="U210" s="44">
        <v>4</v>
      </c>
      <c r="V210" s="44">
        <v>0.12</v>
      </c>
      <c r="W210" s="44">
        <v>7</v>
      </c>
      <c r="X210" s="44">
        <v>3</v>
      </c>
      <c r="Y210" s="44">
        <v>0.22</v>
      </c>
      <c r="Z210" s="44">
        <v>0.09</v>
      </c>
      <c r="AA210" s="45">
        <v>8</v>
      </c>
      <c r="AB210" s="45">
        <v>5</v>
      </c>
      <c r="AC210" s="44">
        <v>0.24</v>
      </c>
      <c r="AD210" s="44">
        <v>0.15</v>
      </c>
      <c r="AE210" s="44">
        <v>10</v>
      </c>
      <c r="AF210" s="44">
        <v>7</v>
      </c>
      <c r="AG210" s="44">
        <v>0.31</v>
      </c>
      <c r="AH210" s="44">
        <v>0.21</v>
      </c>
      <c r="AI210" s="44">
        <v>65</v>
      </c>
      <c r="AJ210" s="44">
        <v>55</v>
      </c>
    </row>
    <row r="211" spans="1:36" x14ac:dyDescent="0.35">
      <c r="A211" s="44" t="s">
        <v>200</v>
      </c>
      <c r="B211" s="44" t="s">
        <v>55</v>
      </c>
      <c r="C211" s="44">
        <v>35014</v>
      </c>
      <c r="D211" s="37">
        <v>9717</v>
      </c>
      <c r="E211" s="37">
        <v>9911</v>
      </c>
      <c r="F211" s="37">
        <v>9933</v>
      </c>
      <c r="G211" s="44">
        <v>0</v>
      </c>
      <c r="H211" s="44">
        <v>0</v>
      </c>
      <c r="I211" s="44">
        <v>0</v>
      </c>
      <c r="J211" s="44">
        <v>0</v>
      </c>
      <c r="K211" s="44">
        <v>0</v>
      </c>
      <c r="L211" s="44">
        <v>0</v>
      </c>
      <c r="M211" s="44">
        <v>0</v>
      </c>
      <c r="N211" s="44">
        <v>0</v>
      </c>
      <c r="O211" s="44">
        <v>0</v>
      </c>
      <c r="P211" s="44">
        <v>0</v>
      </c>
      <c r="Q211" s="44">
        <v>0</v>
      </c>
      <c r="R211" s="44">
        <v>0</v>
      </c>
      <c r="S211" s="44">
        <v>0</v>
      </c>
      <c r="T211" s="44">
        <v>0</v>
      </c>
      <c r="U211" s="44">
        <v>0</v>
      </c>
      <c r="V211" s="44">
        <v>0</v>
      </c>
      <c r="W211" s="44">
        <v>0</v>
      </c>
      <c r="X211" s="44">
        <v>0</v>
      </c>
      <c r="Y211" s="44">
        <v>0</v>
      </c>
      <c r="Z211" s="44">
        <v>0</v>
      </c>
      <c r="AA211" s="45">
        <v>0</v>
      </c>
      <c r="AB211" s="45">
        <v>0</v>
      </c>
      <c r="AC211" s="44">
        <v>0</v>
      </c>
      <c r="AD211" s="44">
        <v>0</v>
      </c>
      <c r="AE211" s="44">
        <v>0</v>
      </c>
      <c r="AF211" s="44">
        <v>0</v>
      </c>
      <c r="AG211" s="44">
        <v>0</v>
      </c>
      <c r="AH211" s="44">
        <v>0</v>
      </c>
      <c r="AI211" s="44">
        <v>20</v>
      </c>
      <c r="AJ211" s="44">
        <v>20</v>
      </c>
    </row>
    <row r="212" spans="1:36" x14ac:dyDescent="0.35">
      <c r="A212" s="44" t="s">
        <v>234</v>
      </c>
      <c r="B212" s="44" t="s">
        <v>59</v>
      </c>
      <c r="C212" s="44">
        <v>72042</v>
      </c>
      <c r="D212" s="37">
        <v>23611</v>
      </c>
      <c r="E212" s="37">
        <v>23791</v>
      </c>
      <c r="F212" s="37">
        <v>23875</v>
      </c>
      <c r="G212" s="44">
        <v>2</v>
      </c>
      <c r="H212" s="44">
        <v>0</v>
      </c>
      <c r="I212" s="44">
        <v>0.08</v>
      </c>
      <c r="J212" s="44">
        <v>2</v>
      </c>
      <c r="K212" s="44">
        <v>0</v>
      </c>
      <c r="L212" s="44">
        <v>0.08</v>
      </c>
      <c r="M212" s="44">
        <v>2</v>
      </c>
      <c r="N212" s="44">
        <v>2</v>
      </c>
      <c r="O212" s="44">
        <v>0.08</v>
      </c>
      <c r="P212" s="44">
        <v>0.08</v>
      </c>
      <c r="Q212" s="44">
        <v>0</v>
      </c>
      <c r="R212" s="44">
        <v>0</v>
      </c>
      <c r="S212" s="44">
        <v>0</v>
      </c>
      <c r="T212" s="44">
        <v>0</v>
      </c>
      <c r="U212" s="44">
        <v>0</v>
      </c>
      <c r="V212" s="44">
        <v>0</v>
      </c>
      <c r="W212" s="44">
        <v>2</v>
      </c>
      <c r="X212" s="44">
        <v>2</v>
      </c>
      <c r="Y212" s="44">
        <v>0.08</v>
      </c>
      <c r="Z212" s="44">
        <v>0.08</v>
      </c>
      <c r="AA212" s="45">
        <v>3</v>
      </c>
      <c r="AB212" s="45">
        <v>3</v>
      </c>
      <c r="AC212" s="44">
        <v>0.13</v>
      </c>
      <c r="AD212" s="44">
        <v>0.13</v>
      </c>
      <c r="AE212" s="44">
        <v>3</v>
      </c>
      <c r="AF212" s="44">
        <v>3</v>
      </c>
      <c r="AG212" s="44">
        <v>0.13</v>
      </c>
      <c r="AH212" s="44">
        <v>0.13</v>
      </c>
      <c r="AI212" s="44">
        <v>48</v>
      </c>
      <c r="AJ212" s="44">
        <v>45</v>
      </c>
    </row>
    <row r="213" spans="1:36" x14ac:dyDescent="0.35">
      <c r="A213" s="44" t="s">
        <v>230</v>
      </c>
      <c r="B213" s="44" t="s">
        <v>52</v>
      </c>
      <c r="C213" s="44">
        <v>23062</v>
      </c>
      <c r="D213" s="37">
        <v>25888</v>
      </c>
      <c r="E213" s="37">
        <v>25978</v>
      </c>
      <c r="F213" s="37">
        <v>25970</v>
      </c>
      <c r="G213" s="44">
        <v>1</v>
      </c>
      <c r="H213" s="44">
        <v>0</v>
      </c>
      <c r="I213" s="44">
        <v>0.04</v>
      </c>
      <c r="J213" s="44">
        <v>0</v>
      </c>
      <c r="K213" s="44">
        <v>0</v>
      </c>
      <c r="L213" s="44">
        <v>0</v>
      </c>
      <c r="M213" s="44">
        <v>0</v>
      </c>
      <c r="N213" s="44">
        <v>0</v>
      </c>
      <c r="O213" s="44">
        <v>0</v>
      </c>
      <c r="P213" s="44">
        <v>0</v>
      </c>
      <c r="Q213" s="44">
        <v>-1</v>
      </c>
      <c r="R213" s="44">
        <v>-0.04</v>
      </c>
      <c r="S213" s="44">
        <v>0</v>
      </c>
      <c r="T213" s="44">
        <v>0</v>
      </c>
      <c r="U213" s="44">
        <v>0</v>
      </c>
      <c r="V213" s="44">
        <v>0</v>
      </c>
      <c r="W213" s="44">
        <v>1</v>
      </c>
      <c r="X213" s="44">
        <v>0</v>
      </c>
      <c r="Y213" s="44">
        <v>0.04</v>
      </c>
      <c r="Z213" s="44">
        <v>0</v>
      </c>
      <c r="AA213" s="45">
        <v>1</v>
      </c>
      <c r="AB213" s="45">
        <v>0</v>
      </c>
      <c r="AC213" s="44">
        <v>0.04</v>
      </c>
      <c r="AD213" s="44">
        <v>0</v>
      </c>
      <c r="AE213" s="44">
        <v>3</v>
      </c>
      <c r="AF213" s="44">
        <v>2</v>
      </c>
      <c r="AG213" s="44">
        <v>0.12</v>
      </c>
      <c r="AH213" s="44">
        <v>0.08</v>
      </c>
      <c r="AI213" s="44">
        <v>52</v>
      </c>
      <c r="AJ213" s="44">
        <v>49</v>
      </c>
    </row>
    <row r="214" spans="1:36" x14ac:dyDescent="0.35">
      <c r="A214" s="44" t="s">
        <v>232</v>
      </c>
      <c r="B214" s="44" t="s">
        <v>59</v>
      </c>
      <c r="C214" s="44">
        <v>72030</v>
      </c>
      <c r="D214" s="37">
        <v>16449</v>
      </c>
      <c r="E214" s="37">
        <v>16534</v>
      </c>
      <c r="F214" s="37">
        <v>16585</v>
      </c>
      <c r="G214" s="44">
        <v>1</v>
      </c>
      <c r="H214" s="44">
        <v>0</v>
      </c>
      <c r="I214" s="44">
        <v>0.06</v>
      </c>
      <c r="J214" s="44">
        <v>0</v>
      </c>
      <c r="K214" s="44">
        <v>0</v>
      </c>
      <c r="L214" s="44">
        <v>0</v>
      </c>
      <c r="M214" s="44">
        <v>3</v>
      </c>
      <c r="N214" s="44">
        <v>2</v>
      </c>
      <c r="O214" s="44">
        <v>0.18</v>
      </c>
      <c r="P214" s="44">
        <v>0.12</v>
      </c>
      <c r="Q214" s="44">
        <v>2</v>
      </c>
      <c r="R214" s="44">
        <v>0.12</v>
      </c>
      <c r="S214" s="44">
        <v>3</v>
      </c>
      <c r="T214" s="44">
        <v>0.18</v>
      </c>
      <c r="U214" s="44">
        <v>0</v>
      </c>
      <c r="V214" s="44">
        <v>0</v>
      </c>
      <c r="W214" s="44">
        <v>3</v>
      </c>
      <c r="X214" s="44">
        <v>2</v>
      </c>
      <c r="Y214" s="44">
        <v>0.18</v>
      </c>
      <c r="Z214" s="44">
        <v>0.12</v>
      </c>
      <c r="AA214" s="45">
        <v>3</v>
      </c>
      <c r="AB214" s="45">
        <v>3</v>
      </c>
      <c r="AC214" s="44">
        <v>0.18</v>
      </c>
      <c r="AD214" s="44">
        <v>0.18</v>
      </c>
      <c r="AE214" s="44">
        <v>3</v>
      </c>
      <c r="AF214" s="44">
        <v>3</v>
      </c>
      <c r="AG214" s="44">
        <v>0.18</v>
      </c>
      <c r="AH214" s="44">
        <v>0.18</v>
      </c>
      <c r="AI214" s="44">
        <v>33</v>
      </c>
      <c r="AJ214" s="44">
        <v>30</v>
      </c>
    </row>
    <row r="215" spans="1:36" x14ac:dyDescent="0.35">
      <c r="A215" s="44" t="s">
        <v>310</v>
      </c>
      <c r="B215" s="44" t="s">
        <v>59</v>
      </c>
      <c r="C215" s="44">
        <v>72043</v>
      </c>
      <c r="D215" s="37">
        <v>33601</v>
      </c>
      <c r="E215" s="37">
        <v>34100</v>
      </c>
      <c r="F215" s="37">
        <v>34433</v>
      </c>
      <c r="G215" s="44">
        <v>0</v>
      </c>
      <c r="H215" s="44">
        <v>0</v>
      </c>
      <c r="I215" s="44">
        <v>0</v>
      </c>
      <c r="J215" s="44">
        <v>1</v>
      </c>
      <c r="K215" s="44">
        <v>0</v>
      </c>
      <c r="L215" s="44">
        <v>0.03</v>
      </c>
      <c r="M215" s="44">
        <v>2</v>
      </c>
      <c r="N215" s="44">
        <v>1</v>
      </c>
      <c r="O215" s="44">
        <v>0.06</v>
      </c>
      <c r="P215" s="44">
        <v>0.03</v>
      </c>
      <c r="Q215" s="44">
        <v>2</v>
      </c>
      <c r="R215" s="44">
        <v>0.06</v>
      </c>
      <c r="S215" s="44">
        <v>1</v>
      </c>
      <c r="T215" s="44">
        <v>0.03</v>
      </c>
      <c r="U215" s="44">
        <v>0</v>
      </c>
      <c r="V215" s="44">
        <v>0</v>
      </c>
      <c r="W215" s="44">
        <v>2</v>
      </c>
      <c r="X215" s="44">
        <v>1</v>
      </c>
      <c r="Y215" s="44">
        <v>0.06</v>
      </c>
      <c r="Z215" s="44">
        <v>0.03</v>
      </c>
      <c r="AA215" s="45">
        <v>1</v>
      </c>
      <c r="AB215" s="45">
        <v>1</v>
      </c>
      <c r="AC215" s="44">
        <v>0.03</v>
      </c>
      <c r="AD215" s="44">
        <v>0.03</v>
      </c>
      <c r="AE215" s="44">
        <v>1</v>
      </c>
      <c r="AF215" s="44">
        <v>1</v>
      </c>
      <c r="AG215" s="44">
        <v>0.03</v>
      </c>
      <c r="AH215" s="44">
        <v>0.03</v>
      </c>
      <c r="AI215" s="44">
        <v>69</v>
      </c>
      <c r="AJ215" s="44">
        <v>68</v>
      </c>
    </row>
    <row r="216" spans="1:36" x14ac:dyDescent="0.35">
      <c r="A216" s="44" t="s">
        <v>241</v>
      </c>
      <c r="B216" s="44" t="s">
        <v>52</v>
      </c>
      <c r="C216" s="44">
        <v>23064</v>
      </c>
      <c r="D216" s="37">
        <v>4507</v>
      </c>
      <c r="E216" s="37">
        <v>4567</v>
      </c>
      <c r="F216" s="37">
        <v>4592</v>
      </c>
      <c r="G216" s="44">
        <v>1</v>
      </c>
      <c r="H216" s="44">
        <v>0</v>
      </c>
      <c r="I216" s="44">
        <v>0.22</v>
      </c>
      <c r="J216" s="44">
        <v>2</v>
      </c>
      <c r="K216" s="44">
        <v>0</v>
      </c>
      <c r="L216" s="44">
        <v>0.44</v>
      </c>
      <c r="M216" s="44">
        <v>2</v>
      </c>
      <c r="N216" s="44">
        <v>2</v>
      </c>
      <c r="O216" s="44">
        <v>0.44</v>
      </c>
      <c r="P216" s="44">
        <v>0.44</v>
      </c>
      <c r="Q216" s="44">
        <v>1</v>
      </c>
      <c r="R216" s="44">
        <v>0.22</v>
      </c>
      <c r="S216" s="44">
        <v>0</v>
      </c>
      <c r="T216" s="44">
        <v>-0.01</v>
      </c>
      <c r="U216" s="44">
        <v>0</v>
      </c>
      <c r="V216" s="44">
        <v>0</v>
      </c>
      <c r="W216" s="44">
        <v>2</v>
      </c>
      <c r="X216" s="44">
        <v>2</v>
      </c>
      <c r="Y216" s="44">
        <v>0.44</v>
      </c>
      <c r="Z216" s="44">
        <v>0.44</v>
      </c>
      <c r="AA216" s="45">
        <v>2</v>
      </c>
      <c r="AB216" s="45">
        <v>2</v>
      </c>
      <c r="AC216" s="44">
        <v>0.44</v>
      </c>
      <c r="AD216" s="44">
        <v>0.44</v>
      </c>
      <c r="AE216" s="44">
        <v>2</v>
      </c>
      <c r="AF216" s="44">
        <v>2</v>
      </c>
      <c r="AG216" s="44">
        <v>0.44</v>
      </c>
      <c r="AH216" s="44">
        <v>0.44</v>
      </c>
      <c r="AI216" s="44">
        <v>9</v>
      </c>
      <c r="AJ216" s="44">
        <v>7</v>
      </c>
    </row>
    <row r="217" spans="1:36" x14ac:dyDescent="0.35">
      <c r="A217" s="44" t="s">
        <v>251</v>
      </c>
      <c r="B217" s="44" t="s">
        <v>55</v>
      </c>
      <c r="C217" s="44">
        <v>37011</v>
      </c>
      <c r="D217" s="37">
        <v>6793</v>
      </c>
      <c r="E217" s="37">
        <v>6834</v>
      </c>
      <c r="F217" s="37">
        <v>6946</v>
      </c>
      <c r="G217" s="44">
        <v>0</v>
      </c>
      <c r="H217" s="44">
        <v>0</v>
      </c>
      <c r="I217" s="44">
        <v>0</v>
      </c>
      <c r="J217" s="44">
        <v>0</v>
      </c>
      <c r="K217" s="44">
        <v>0</v>
      </c>
      <c r="L217" s="44">
        <v>0</v>
      </c>
      <c r="M217" s="44">
        <v>0</v>
      </c>
      <c r="N217" s="44">
        <v>0</v>
      </c>
      <c r="O217" s="44">
        <v>0</v>
      </c>
      <c r="P217" s="44">
        <v>0</v>
      </c>
      <c r="Q217" s="44">
        <v>0</v>
      </c>
      <c r="R217" s="44">
        <v>0</v>
      </c>
      <c r="S217" s="44">
        <v>0</v>
      </c>
      <c r="T217" s="44">
        <v>0</v>
      </c>
      <c r="U217" s="44">
        <v>0</v>
      </c>
      <c r="V217" s="44">
        <v>0</v>
      </c>
      <c r="W217" s="44">
        <v>0</v>
      </c>
      <c r="X217" s="44">
        <v>0</v>
      </c>
      <c r="Y217" s="44">
        <v>0</v>
      </c>
      <c r="Z217" s="44">
        <v>0</v>
      </c>
      <c r="AA217" s="45">
        <v>1</v>
      </c>
      <c r="AB217" s="45">
        <v>0</v>
      </c>
      <c r="AC217" s="44">
        <v>0.14000000000000001</v>
      </c>
      <c r="AD217" s="44">
        <v>0</v>
      </c>
      <c r="AE217" s="44">
        <v>2</v>
      </c>
      <c r="AF217" s="44">
        <v>1</v>
      </c>
      <c r="AG217" s="44">
        <v>0.28999999999999998</v>
      </c>
      <c r="AH217" s="44">
        <v>0.14000000000000001</v>
      </c>
      <c r="AI217" s="44">
        <v>14</v>
      </c>
      <c r="AJ217" s="44">
        <v>12</v>
      </c>
    </row>
    <row r="218" spans="1:36" x14ac:dyDescent="0.35">
      <c r="A218" s="44" t="s">
        <v>98</v>
      </c>
      <c r="B218" s="44" t="s">
        <v>55</v>
      </c>
      <c r="C218" s="44">
        <v>33021</v>
      </c>
      <c r="D218" s="37">
        <v>19782</v>
      </c>
      <c r="E218" s="37">
        <v>19947</v>
      </c>
      <c r="F218" s="37">
        <v>19921</v>
      </c>
      <c r="G218" s="44">
        <v>5</v>
      </c>
      <c r="H218" s="44">
        <v>3</v>
      </c>
      <c r="I218" s="44">
        <v>0.25</v>
      </c>
      <c r="J218" s="44">
        <v>5</v>
      </c>
      <c r="K218" s="44">
        <v>3</v>
      </c>
      <c r="L218" s="44">
        <v>0.25</v>
      </c>
      <c r="M218" s="44">
        <v>6</v>
      </c>
      <c r="N218" s="44">
        <v>4</v>
      </c>
      <c r="O218" s="44">
        <v>0.3</v>
      </c>
      <c r="P218" s="44">
        <v>0.2</v>
      </c>
      <c r="Q218" s="44">
        <v>1</v>
      </c>
      <c r="R218" s="44">
        <v>0.05</v>
      </c>
      <c r="S218" s="44">
        <v>1</v>
      </c>
      <c r="T218" s="44">
        <v>0.05</v>
      </c>
      <c r="U218" s="44">
        <v>2</v>
      </c>
      <c r="V218" s="44">
        <v>0.1</v>
      </c>
      <c r="W218" s="44">
        <v>6</v>
      </c>
      <c r="X218" s="44">
        <v>4</v>
      </c>
      <c r="Y218" s="44">
        <v>0.3</v>
      </c>
      <c r="Z218" s="44">
        <v>0.2</v>
      </c>
      <c r="AA218" s="45">
        <v>7</v>
      </c>
      <c r="AB218" s="45">
        <v>4</v>
      </c>
      <c r="AC218" s="44">
        <v>0.35</v>
      </c>
      <c r="AD218" s="44">
        <v>0.2</v>
      </c>
      <c r="AE218" s="44">
        <v>8</v>
      </c>
      <c r="AF218" s="44">
        <v>5</v>
      </c>
      <c r="AG218" s="44">
        <v>0.4</v>
      </c>
      <c r="AH218" s="44">
        <v>0.25</v>
      </c>
      <c r="AI218" s="44">
        <v>40</v>
      </c>
      <c r="AJ218" s="44">
        <v>32</v>
      </c>
    </row>
    <row r="219" spans="1:36" x14ac:dyDescent="0.35">
      <c r="A219" s="44" t="s">
        <v>282</v>
      </c>
      <c r="B219" s="44" t="s">
        <v>48</v>
      </c>
      <c r="C219" s="44">
        <v>12029</v>
      </c>
      <c r="D219" s="37">
        <v>18392</v>
      </c>
      <c r="E219" s="37">
        <v>18631</v>
      </c>
      <c r="F219" s="37">
        <v>18914</v>
      </c>
      <c r="G219" s="44">
        <v>3</v>
      </c>
      <c r="H219" s="44">
        <v>0</v>
      </c>
      <c r="I219" s="44">
        <v>0.16</v>
      </c>
      <c r="J219" s="44">
        <v>1</v>
      </c>
      <c r="K219" s="44">
        <v>0</v>
      </c>
      <c r="L219" s="44">
        <v>0.05</v>
      </c>
      <c r="M219" s="44">
        <v>3</v>
      </c>
      <c r="N219" s="44">
        <v>3</v>
      </c>
      <c r="O219" s="44">
        <v>0.16</v>
      </c>
      <c r="P219" s="44">
        <v>0.16</v>
      </c>
      <c r="Q219" s="44">
        <v>0</v>
      </c>
      <c r="R219" s="44">
        <v>0</v>
      </c>
      <c r="S219" s="44">
        <v>2</v>
      </c>
      <c r="T219" s="44">
        <v>0.11</v>
      </c>
      <c r="U219" s="44">
        <v>1</v>
      </c>
      <c r="V219" s="44">
        <v>0.05</v>
      </c>
      <c r="W219" s="44">
        <v>3</v>
      </c>
      <c r="X219" s="44">
        <v>2</v>
      </c>
      <c r="Y219" s="44">
        <v>0.16</v>
      </c>
      <c r="Z219" s="44">
        <v>0.11</v>
      </c>
      <c r="AA219" s="45">
        <v>3</v>
      </c>
      <c r="AB219" s="45">
        <v>2</v>
      </c>
      <c r="AC219" s="44">
        <v>0.16</v>
      </c>
      <c r="AD219" s="44">
        <v>0.11</v>
      </c>
      <c r="AE219" s="44">
        <v>3</v>
      </c>
      <c r="AF219" s="44">
        <v>2</v>
      </c>
      <c r="AG219" s="44">
        <v>0.16</v>
      </c>
      <c r="AH219" s="44">
        <v>0.11</v>
      </c>
      <c r="AI219" s="44">
        <v>38</v>
      </c>
      <c r="AJ219" s="44">
        <v>35</v>
      </c>
    </row>
    <row r="220" spans="1:36" x14ac:dyDescent="0.35">
      <c r="A220" s="44" t="s">
        <v>94</v>
      </c>
      <c r="B220" s="44" t="s">
        <v>48</v>
      </c>
      <c r="C220" s="44">
        <v>12041</v>
      </c>
      <c r="D220" s="37">
        <v>26311</v>
      </c>
      <c r="E220" s="37">
        <v>26772</v>
      </c>
      <c r="F220" s="37">
        <v>26957</v>
      </c>
      <c r="G220" s="44">
        <v>3</v>
      </c>
      <c r="H220" s="44">
        <v>0</v>
      </c>
      <c r="I220" s="44">
        <v>0.11</v>
      </c>
      <c r="J220" s="44">
        <v>0</v>
      </c>
      <c r="K220" s="44">
        <v>0</v>
      </c>
      <c r="L220" s="44">
        <v>0</v>
      </c>
      <c r="M220" s="44">
        <v>6</v>
      </c>
      <c r="N220" s="44">
        <v>6</v>
      </c>
      <c r="O220" s="44">
        <v>0.22</v>
      </c>
      <c r="P220" s="44">
        <v>0.22</v>
      </c>
      <c r="Q220" s="44">
        <v>3</v>
      </c>
      <c r="R220" s="44">
        <v>0.11</v>
      </c>
      <c r="S220" s="44">
        <v>6</v>
      </c>
      <c r="T220" s="44">
        <v>0.22</v>
      </c>
      <c r="U220" s="44">
        <v>0</v>
      </c>
      <c r="V220" s="44">
        <v>0</v>
      </c>
      <c r="W220" s="44">
        <v>8</v>
      </c>
      <c r="X220" s="44">
        <v>6</v>
      </c>
      <c r="Y220" s="44">
        <v>0.3</v>
      </c>
      <c r="Z220" s="44">
        <v>0.22</v>
      </c>
      <c r="AA220" s="45">
        <v>6</v>
      </c>
      <c r="AB220" s="45">
        <v>6</v>
      </c>
      <c r="AC220" s="44">
        <v>0.22</v>
      </c>
      <c r="AD220" s="44">
        <v>0.22</v>
      </c>
      <c r="AE220" s="44">
        <v>7</v>
      </c>
      <c r="AF220" s="44">
        <v>5</v>
      </c>
      <c r="AG220" s="44">
        <v>0.26</v>
      </c>
      <c r="AH220" s="44">
        <v>0.19</v>
      </c>
      <c r="AI220" s="44">
        <v>54</v>
      </c>
      <c r="AJ220" s="44">
        <v>47</v>
      </c>
    </row>
    <row r="221" spans="1:36" x14ac:dyDescent="0.35">
      <c r="A221" s="44" t="s">
        <v>284</v>
      </c>
      <c r="B221" s="44" t="s">
        <v>48</v>
      </c>
      <c r="C221" s="44">
        <v>11035</v>
      </c>
      <c r="D221" s="37">
        <v>19366</v>
      </c>
      <c r="E221" s="37">
        <v>19609</v>
      </c>
      <c r="F221" s="37">
        <v>19776</v>
      </c>
      <c r="G221" s="44">
        <v>0</v>
      </c>
      <c r="H221" s="44">
        <v>0</v>
      </c>
      <c r="I221" s="44">
        <v>0</v>
      </c>
      <c r="J221" s="44">
        <v>1</v>
      </c>
      <c r="K221" s="44">
        <v>0</v>
      </c>
      <c r="L221" s="44">
        <v>0.05</v>
      </c>
      <c r="M221" s="44">
        <v>0</v>
      </c>
      <c r="N221" s="44">
        <v>0</v>
      </c>
      <c r="O221" s="44">
        <v>0</v>
      </c>
      <c r="P221" s="44">
        <v>0</v>
      </c>
      <c r="Q221" s="44">
        <v>0</v>
      </c>
      <c r="R221" s="44">
        <v>0</v>
      </c>
      <c r="S221" s="44">
        <v>-1</v>
      </c>
      <c r="T221" s="44">
        <v>-0.05</v>
      </c>
      <c r="U221" s="44">
        <v>0</v>
      </c>
      <c r="V221" s="44">
        <v>0</v>
      </c>
      <c r="W221" s="44">
        <v>0</v>
      </c>
      <c r="X221" s="44">
        <v>0</v>
      </c>
      <c r="Y221" s="44">
        <v>0</v>
      </c>
      <c r="Z221" s="44">
        <v>0</v>
      </c>
      <c r="AA221" s="45">
        <v>1</v>
      </c>
      <c r="AB221" s="45">
        <v>0</v>
      </c>
      <c r="AC221" s="44">
        <v>0.05</v>
      </c>
      <c r="AD221" s="44">
        <v>0</v>
      </c>
      <c r="AE221" s="44">
        <v>0</v>
      </c>
      <c r="AF221" s="44">
        <v>0</v>
      </c>
      <c r="AG221" s="44">
        <v>0</v>
      </c>
      <c r="AH221" s="44">
        <v>0</v>
      </c>
      <c r="AI221" s="44">
        <v>40</v>
      </c>
      <c r="AJ221" s="44">
        <v>40</v>
      </c>
    </row>
    <row r="222" spans="1:36" x14ac:dyDescent="0.35">
      <c r="A222" s="44" t="s">
        <v>277</v>
      </c>
      <c r="B222" s="44" t="s">
        <v>48</v>
      </c>
      <c r="C222" s="44">
        <v>13035</v>
      </c>
      <c r="D222" s="37">
        <v>15293</v>
      </c>
      <c r="E222" s="37">
        <v>15338</v>
      </c>
      <c r="F222" s="37">
        <v>15514</v>
      </c>
      <c r="G222" s="44">
        <v>0</v>
      </c>
      <c r="H222" s="44">
        <v>0</v>
      </c>
      <c r="I222" s="44">
        <v>0</v>
      </c>
      <c r="J222" s="44">
        <v>0</v>
      </c>
      <c r="K222" s="44">
        <v>0</v>
      </c>
      <c r="L222" s="44">
        <v>0</v>
      </c>
      <c r="M222" s="44">
        <v>0</v>
      </c>
      <c r="N222" s="44">
        <v>0</v>
      </c>
      <c r="O222" s="44">
        <v>0</v>
      </c>
      <c r="P222" s="44">
        <v>0</v>
      </c>
      <c r="Q222" s="44">
        <v>0</v>
      </c>
      <c r="R222" s="44">
        <v>0</v>
      </c>
      <c r="S222" s="44">
        <v>0</v>
      </c>
      <c r="T222" s="44">
        <v>0</v>
      </c>
      <c r="U222" s="44">
        <v>0</v>
      </c>
      <c r="V222" s="44">
        <v>0</v>
      </c>
      <c r="W222" s="44">
        <v>0</v>
      </c>
      <c r="X222" s="44">
        <v>0</v>
      </c>
      <c r="Y222" s="44">
        <v>0</v>
      </c>
      <c r="Z222" s="44">
        <v>0</v>
      </c>
      <c r="AA222" s="45">
        <v>2</v>
      </c>
      <c r="AB222" s="45">
        <v>2</v>
      </c>
      <c r="AC222" s="44">
        <v>0.13</v>
      </c>
      <c r="AD222" s="44">
        <v>0.13</v>
      </c>
      <c r="AE222" s="44">
        <v>2</v>
      </c>
      <c r="AF222" s="44">
        <v>2</v>
      </c>
      <c r="AG222" s="44">
        <v>0.13</v>
      </c>
      <c r="AH222" s="44">
        <v>0.13</v>
      </c>
      <c r="AI222" s="44">
        <v>31</v>
      </c>
      <c r="AJ222" s="44">
        <v>29</v>
      </c>
    </row>
    <row r="223" spans="1:36" x14ac:dyDescent="0.35">
      <c r="A223" s="44" t="s">
        <v>204</v>
      </c>
      <c r="B223" s="44" t="s">
        <v>48</v>
      </c>
      <c r="C223" s="44">
        <v>13036</v>
      </c>
      <c r="D223" s="37">
        <v>11663</v>
      </c>
      <c r="E223" s="37">
        <v>11841</v>
      </c>
      <c r="F223" s="37">
        <v>11867</v>
      </c>
      <c r="G223" s="44">
        <v>1</v>
      </c>
      <c r="H223" s="44">
        <v>0</v>
      </c>
      <c r="I223" s="44">
        <v>0.09</v>
      </c>
      <c r="J223" s="44">
        <v>0</v>
      </c>
      <c r="K223" s="44">
        <v>0</v>
      </c>
      <c r="L223" s="44">
        <v>0</v>
      </c>
      <c r="M223" s="44">
        <v>0</v>
      </c>
      <c r="N223" s="44">
        <v>0</v>
      </c>
      <c r="O223" s="44">
        <v>0</v>
      </c>
      <c r="P223" s="44">
        <v>0</v>
      </c>
      <c r="Q223" s="44">
        <v>-1</v>
      </c>
      <c r="R223" s="44">
        <v>-0.09</v>
      </c>
      <c r="S223" s="44">
        <v>0</v>
      </c>
      <c r="T223" s="44">
        <v>0</v>
      </c>
      <c r="U223" s="44">
        <v>0</v>
      </c>
      <c r="V223" s="44">
        <v>0</v>
      </c>
      <c r="W223" s="44">
        <v>1</v>
      </c>
      <c r="X223" s="44">
        <v>0</v>
      </c>
      <c r="Y223" s="44">
        <v>0.08</v>
      </c>
      <c r="Z223" s="44">
        <v>0</v>
      </c>
      <c r="AA223" s="45">
        <v>3</v>
      </c>
      <c r="AB223" s="45">
        <v>2</v>
      </c>
      <c r="AC223" s="44">
        <v>0.25</v>
      </c>
      <c r="AD223" s="44">
        <v>0.17</v>
      </c>
      <c r="AE223" s="44">
        <v>3</v>
      </c>
      <c r="AF223" s="44">
        <v>2</v>
      </c>
      <c r="AG223" s="44">
        <v>0.25</v>
      </c>
      <c r="AH223" s="44">
        <v>0.17</v>
      </c>
      <c r="AI223" s="44">
        <v>24</v>
      </c>
      <c r="AJ223" s="44">
        <v>21</v>
      </c>
    </row>
    <row r="224" spans="1:36" x14ac:dyDescent="0.35">
      <c r="A224" s="44" t="s">
        <v>332</v>
      </c>
      <c r="B224" s="44" t="s">
        <v>59</v>
      </c>
      <c r="C224" s="44">
        <v>73066</v>
      </c>
      <c r="D224" s="37">
        <v>16779</v>
      </c>
      <c r="E224" s="37">
        <v>16850</v>
      </c>
      <c r="F224" s="37">
        <v>16896</v>
      </c>
      <c r="G224" s="44">
        <v>0</v>
      </c>
      <c r="H224" s="44">
        <v>0</v>
      </c>
      <c r="I224" s="44">
        <v>0</v>
      </c>
      <c r="J224" s="44">
        <v>0</v>
      </c>
      <c r="K224" s="44">
        <v>0</v>
      </c>
      <c r="L224" s="44">
        <v>0</v>
      </c>
      <c r="M224" s="44">
        <v>0</v>
      </c>
      <c r="N224" s="44">
        <v>0</v>
      </c>
      <c r="O224" s="44">
        <v>0</v>
      </c>
      <c r="P224" s="44">
        <v>0</v>
      </c>
      <c r="Q224" s="44">
        <v>0</v>
      </c>
      <c r="R224" s="44">
        <v>0</v>
      </c>
      <c r="S224" s="44">
        <v>0</v>
      </c>
      <c r="T224" s="44">
        <v>0</v>
      </c>
      <c r="U224" s="44">
        <v>0</v>
      </c>
      <c r="V224" s="44">
        <v>0</v>
      </c>
      <c r="W224" s="44">
        <v>0</v>
      </c>
      <c r="X224" s="44">
        <v>0</v>
      </c>
      <c r="Y224" s="44">
        <v>0</v>
      </c>
      <c r="Z224" s="44">
        <v>0</v>
      </c>
      <c r="AA224" s="45">
        <v>0</v>
      </c>
      <c r="AB224" s="45">
        <v>0</v>
      </c>
      <c r="AC224" s="44">
        <v>0</v>
      </c>
      <c r="AD224" s="44">
        <v>0</v>
      </c>
      <c r="AE224" s="44">
        <v>0</v>
      </c>
      <c r="AF224" s="44">
        <v>0</v>
      </c>
      <c r="AG224" s="44">
        <v>0</v>
      </c>
      <c r="AH224" s="44">
        <v>0</v>
      </c>
      <c r="AI224" s="44">
        <v>34</v>
      </c>
      <c r="AJ224" s="44">
        <v>34</v>
      </c>
    </row>
    <row r="225" spans="1:36" x14ac:dyDescent="0.35">
      <c r="A225" s="44" t="s">
        <v>267</v>
      </c>
      <c r="B225" s="44" t="s">
        <v>48</v>
      </c>
      <c r="C225" s="44">
        <v>13037</v>
      </c>
      <c r="D225" s="37">
        <v>12324</v>
      </c>
      <c r="E225" s="37">
        <v>12531</v>
      </c>
      <c r="F225" s="37">
        <v>12561</v>
      </c>
      <c r="G225" s="44">
        <v>3</v>
      </c>
      <c r="H225" s="44">
        <v>0</v>
      </c>
      <c r="I225" s="44">
        <v>0.24</v>
      </c>
      <c r="J225" s="44">
        <v>3</v>
      </c>
      <c r="K225" s="44">
        <v>0</v>
      </c>
      <c r="L225" s="44">
        <v>0.24</v>
      </c>
      <c r="M225" s="44">
        <v>2</v>
      </c>
      <c r="N225" s="44">
        <v>1</v>
      </c>
      <c r="O225" s="44">
        <v>0.16</v>
      </c>
      <c r="P225" s="44">
        <v>0.08</v>
      </c>
      <c r="Q225" s="44">
        <v>-1</v>
      </c>
      <c r="R225" s="44">
        <v>-0.08</v>
      </c>
      <c r="S225" s="44">
        <v>-1</v>
      </c>
      <c r="T225" s="44">
        <v>-0.08</v>
      </c>
      <c r="U225" s="44">
        <v>0</v>
      </c>
      <c r="V225" s="44">
        <v>0</v>
      </c>
      <c r="W225" s="44">
        <v>2</v>
      </c>
      <c r="X225" s="44">
        <v>1</v>
      </c>
      <c r="Y225" s="44">
        <v>0.16</v>
      </c>
      <c r="Z225" s="44">
        <v>0.08</v>
      </c>
      <c r="AA225" s="45">
        <v>2</v>
      </c>
      <c r="AB225" s="45">
        <v>1</v>
      </c>
      <c r="AC225" s="44">
        <v>0.16</v>
      </c>
      <c r="AD225" s="44">
        <v>0.08</v>
      </c>
      <c r="AE225" s="44">
        <v>2</v>
      </c>
      <c r="AF225" s="44">
        <v>1</v>
      </c>
      <c r="AG225" s="44">
        <v>0.16</v>
      </c>
      <c r="AH225" s="44">
        <v>0.08</v>
      </c>
      <c r="AI225" s="44">
        <v>25</v>
      </c>
      <c r="AJ225" s="44">
        <v>23</v>
      </c>
    </row>
    <row r="226" spans="1:36" x14ac:dyDescent="0.35">
      <c r="A226" s="44" t="s">
        <v>63</v>
      </c>
      <c r="B226" s="44" t="s">
        <v>55</v>
      </c>
      <c r="C226" s="44">
        <v>36015</v>
      </c>
      <c r="D226" s="37">
        <v>64495</v>
      </c>
      <c r="E226" s="37">
        <v>65468</v>
      </c>
      <c r="F226" s="37">
        <v>66262</v>
      </c>
      <c r="G226" s="44">
        <v>18</v>
      </c>
      <c r="H226" s="44">
        <v>4</v>
      </c>
      <c r="I226" s="44">
        <v>0.28000000000000003</v>
      </c>
      <c r="J226" s="44">
        <v>15</v>
      </c>
      <c r="K226" s="44">
        <v>4</v>
      </c>
      <c r="L226" s="44">
        <v>0.23</v>
      </c>
      <c r="M226" s="44">
        <v>14</v>
      </c>
      <c r="N226" s="44">
        <v>3</v>
      </c>
      <c r="O226" s="44">
        <v>0.21</v>
      </c>
      <c r="P226" s="44">
        <v>0.05</v>
      </c>
      <c r="Q226" s="44">
        <v>-4</v>
      </c>
      <c r="R226" s="44">
        <v>-7.0000000000000007E-2</v>
      </c>
      <c r="S226" s="44">
        <v>-1</v>
      </c>
      <c r="T226" s="44">
        <v>-0.02</v>
      </c>
      <c r="U226" s="44">
        <v>6</v>
      </c>
      <c r="V226" s="44">
        <v>0.09</v>
      </c>
      <c r="W226" s="44">
        <v>19</v>
      </c>
      <c r="X226" s="44">
        <v>3</v>
      </c>
      <c r="Y226" s="44">
        <v>0.28999999999999998</v>
      </c>
      <c r="Z226" s="44">
        <v>0.05</v>
      </c>
      <c r="AA226" s="45">
        <v>25</v>
      </c>
      <c r="AB226" s="45">
        <v>3</v>
      </c>
      <c r="AC226" s="44">
        <v>0.38</v>
      </c>
      <c r="AD226" s="44">
        <v>0.05</v>
      </c>
      <c r="AE226" s="44">
        <v>28</v>
      </c>
      <c r="AF226" s="44">
        <v>5</v>
      </c>
      <c r="AG226" s="44">
        <v>0.42</v>
      </c>
      <c r="AH226" s="44">
        <v>0.08</v>
      </c>
      <c r="AI226" s="44">
        <v>133</v>
      </c>
      <c r="AJ226" s="44">
        <v>105</v>
      </c>
    </row>
    <row r="227" spans="1:36" x14ac:dyDescent="0.35">
      <c r="A227" s="44" t="s">
        <v>141</v>
      </c>
      <c r="B227" s="44" t="s">
        <v>50</v>
      </c>
      <c r="C227" s="44">
        <v>45041</v>
      </c>
      <c r="D227" s="37">
        <v>26702</v>
      </c>
      <c r="E227" s="37">
        <v>27075</v>
      </c>
      <c r="F227" s="37">
        <v>27356</v>
      </c>
      <c r="G227" s="44">
        <v>3</v>
      </c>
      <c r="H227" s="44">
        <v>0</v>
      </c>
      <c r="I227" s="44">
        <v>0.11</v>
      </c>
      <c r="J227" s="44">
        <v>2</v>
      </c>
      <c r="K227" s="44">
        <v>0</v>
      </c>
      <c r="L227" s="44">
        <v>7.0000000000000007E-2</v>
      </c>
      <c r="M227" s="44">
        <v>2</v>
      </c>
      <c r="N227" s="44">
        <v>2</v>
      </c>
      <c r="O227" s="44">
        <v>7.0000000000000007E-2</v>
      </c>
      <c r="P227" s="44">
        <v>7.0000000000000007E-2</v>
      </c>
      <c r="Q227" s="44">
        <v>-1</v>
      </c>
      <c r="R227" s="44">
        <v>-0.04</v>
      </c>
      <c r="S227" s="44">
        <v>0</v>
      </c>
      <c r="T227" s="44">
        <v>0</v>
      </c>
      <c r="U227" s="44">
        <v>0</v>
      </c>
      <c r="V227" s="44">
        <v>0</v>
      </c>
      <c r="W227" s="44">
        <v>4</v>
      </c>
      <c r="X227" s="44">
        <v>3</v>
      </c>
      <c r="Y227" s="44">
        <v>0.15</v>
      </c>
      <c r="Z227" s="44">
        <v>0.11</v>
      </c>
      <c r="AA227" s="45">
        <v>5</v>
      </c>
      <c r="AB227" s="45">
        <v>4</v>
      </c>
      <c r="AC227" s="44">
        <v>0.18</v>
      </c>
      <c r="AD227" s="44">
        <v>0.15</v>
      </c>
      <c r="AE227" s="44">
        <v>5</v>
      </c>
      <c r="AF227" s="44">
        <v>4</v>
      </c>
      <c r="AG227" s="44">
        <v>0.18</v>
      </c>
      <c r="AH227" s="44">
        <v>0.15</v>
      </c>
      <c r="AI227" s="44">
        <v>55</v>
      </c>
      <c r="AJ227" s="44">
        <v>50</v>
      </c>
    </row>
    <row r="228" spans="1:36" x14ac:dyDescent="0.35">
      <c r="A228" s="44" t="s">
        <v>328</v>
      </c>
      <c r="B228" s="44" t="s">
        <v>52</v>
      </c>
      <c r="C228" s="44">
        <v>23097</v>
      </c>
      <c r="D228" s="37">
        <v>11735</v>
      </c>
      <c r="E228" s="37">
        <v>11866</v>
      </c>
      <c r="F228" s="37">
        <v>11958</v>
      </c>
      <c r="G228" s="44">
        <v>0</v>
      </c>
      <c r="H228" s="44">
        <v>0</v>
      </c>
      <c r="I228" s="44">
        <v>0</v>
      </c>
      <c r="J228" s="44">
        <v>0</v>
      </c>
      <c r="K228" s="44">
        <v>0</v>
      </c>
      <c r="L228" s="44">
        <v>0</v>
      </c>
      <c r="M228" s="44">
        <v>0</v>
      </c>
      <c r="N228" s="44">
        <v>0</v>
      </c>
      <c r="O228" s="44">
        <v>0</v>
      </c>
      <c r="P228" s="44">
        <v>0</v>
      </c>
      <c r="Q228" s="44">
        <v>0</v>
      </c>
      <c r="R228" s="44">
        <v>0</v>
      </c>
      <c r="S228" s="44">
        <v>0</v>
      </c>
      <c r="T228" s="44">
        <v>0</v>
      </c>
      <c r="U228" s="44">
        <v>0</v>
      </c>
      <c r="V228" s="44">
        <v>0</v>
      </c>
      <c r="W228" s="44">
        <v>0</v>
      </c>
      <c r="X228" s="44">
        <v>0</v>
      </c>
      <c r="Y228" s="44">
        <v>0</v>
      </c>
      <c r="Z228" s="44">
        <v>0</v>
      </c>
      <c r="AA228" s="45">
        <v>0</v>
      </c>
      <c r="AB228" s="45">
        <v>0</v>
      </c>
      <c r="AC228" s="44">
        <v>0</v>
      </c>
      <c r="AD228" s="44">
        <v>0</v>
      </c>
      <c r="AE228" s="44">
        <v>0</v>
      </c>
      <c r="AF228" s="44">
        <v>0</v>
      </c>
      <c r="AG228" s="44">
        <v>0</v>
      </c>
      <c r="AH228" s="44">
        <v>0</v>
      </c>
      <c r="AI228" s="44">
        <v>24</v>
      </c>
      <c r="AJ228" s="44">
        <v>24</v>
      </c>
    </row>
    <row r="229" spans="1:36" x14ac:dyDescent="0.35">
      <c r="A229" s="44" t="s">
        <v>78</v>
      </c>
      <c r="B229" s="44" t="s">
        <v>52</v>
      </c>
      <c r="C229" s="44">
        <v>24094</v>
      </c>
      <c r="D229" s="37">
        <v>17294</v>
      </c>
      <c r="E229" s="37">
        <v>17499</v>
      </c>
      <c r="F229" s="37">
        <v>17672</v>
      </c>
      <c r="G229" s="44">
        <v>5</v>
      </c>
      <c r="H229" s="44">
        <v>0</v>
      </c>
      <c r="I229" s="44">
        <v>0.28999999999999998</v>
      </c>
      <c r="J229" s="44">
        <v>5</v>
      </c>
      <c r="K229" s="44">
        <v>0</v>
      </c>
      <c r="L229" s="44">
        <v>0.28999999999999998</v>
      </c>
      <c r="M229" s="44">
        <v>7</v>
      </c>
      <c r="N229" s="44">
        <v>0</v>
      </c>
      <c r="O229" s="44">
        <v>0.4</v>
      </c>
      <c r="P229" s="44">
        <v>0</v>
      </c>
      <c r="Q229" s="44">
        <v>2</v>
      </c>
      <c r="R229" s="44">
        <v>0.11</v>
      </c>
      <c r="S229" s="44">
        <v>2</v>
      </c>
      <c r="T229" s="44">
        <v>0.11</v>
      </c>
      <c r="U229" s="44">
        <v>0</v>
      </c>
      <c r="V229" s="44">
        <v>0</v>
      </c>
      <c r="W229" s="44">
        <v>7</v>
      </c>
      <c r="X229" s="44">
        <v>0</v>
      </c>
      <c r="Y229" s="44">
        <v>0.4</v>
      </c>
      <c r="Z229" s="44">
        <v>0</v>
      </c>
      <c r="AA229" s="45">
        <v>10</v>
      </c>
      <c r="AB229" s="45">
        <v>0</v>
      </c>
      <c r="AC229" s="44">
        <v>0.56999999999999995</v>
      </c>
      <c r="AD229" s="44">
        <v>0</v>
      </c>
      <c r="AE229" s="44">
        <v>12</v>
      </c>
      <c r="AF229" s="44">
        <v>1</v>
      </c>
      <c r="AG229" s="44">
        <v>0.68</v>
      </c>
      <c r="AH229" s="44">
        <v>0.06</v>
      </c>
      <c r="AI229" s="44">
        <v>35</v>
      </c>
      <c r="AJ229" s="44">
        <v>23</v>
      </c>
    </row>
    <row r="230" spans="1:36" x14ac:dyDescent="0.35">
      <c r="A230" s="44" t="s">
        <v>354</v>
      </c>
      <c r="B230" s="44" t="s">
        <v>55</v>
      </c>
      <c r="C230" s="44">
        <v>37012</v>
      </c>
      <c r="D230" s="37">
        <v>5444</v>
      </c>
      <c r="E230" s="37">
        <v>5504</v>
      </c>
      <c r="F230" s="37">
        <v>5484</v>
      </c>
      <c r="G230" s="44">
        <v>0</v>
      </c>
      <c r="H230" s="44">
        <v>0</v>
      </c>
      <c r="I230" s="44">
        <v>0</v>
      </c>
      <c r="J230" s="44">
        <v>0</v>
      </c>
      <c r="K230" s="44">
        <v>0</v>
      </c>
      <c r="L230" s="44">
        <v>0</v>
      </c>
      <c r="M230" s="44">
        <v>0</v>
      </c>
      <c r="N230" s="44">
        <v>0</v>
      </c>
      <c r="O230" s="44">
        <v>0</v>
      </c>
      <c r="P230" s="44">
        <v>0</v>
      </c>
      <c r="Q230" s="44">
        <v>0</v>
      </c>
      <c r="R230" s="44">
        <v>0</v>
      </c>
      <c r="S230" s="44">
        <v>0</v>
      </c>
      <c r="T230" s="44">
        <v>0</v>
      </c>
      <c r="U230" s="44">
        <v>0</v>
      </c>
      <c r="V230" s="44">
        <v>0</v>
      </c>
      <c r="W230" s="44">
        <v>2</v>
      </c>
      <c r="X230" s="44">
        <v>0</v>
      </c>
      <c r="Y230" s="44">
        <v>0.36</v>
      </c>
      <c r="Z230" s="44">
        <v>0</v>
      </c>
      <c r="AA230" s="45">
        <v>3</v>
      </c>
      <c r="AB230" s="45">
        <v>0</v>
      </c>
      <c r="AC230" s="44">
        <v>0.55000000000000004</v>
      </c>
      <c r="AD230" s="44">
        <v>0</v>
      </c>
      <c r="AE230" s="44">
        <v>4</v>
      </c>
      <c r="AF230" s="44">
        <v>1</v>
      </c>
      <c r="AG230" s="44">
        <v>0.73</v>
      </c>
      <c r="AH230" s="44">
        <v>0.18</v>
      </c>
      <c r="AI230" s="44">
        <v>11</v>
      </c>
      <c r="AJ230" s="44">
        <v>7</v>
      </c>
    </row>
    <row r="231" spans="1:36" x14ac:dyDescent="0.35">
      <c r="A231" s="44" t="s">
        <v>160</v>
      </c>
      <c r="B231" s="44" t="s">
        <v>48</v>
      </c>
      <c r="C231" s="44">
        <v>11037</v>
      </c>
      <c r="D231" s="37">
        <v>15254</v>
      </c>
      <c r="E231" s="37">
        <v>15417</v>
      </c>
      <c r="F231" s="37">
        <v>15536</v>
      </c>
      <c r="G231" s="44">
        <v>1</v>
      </c>
      <c r="H231" s="44">
        <v>0</v>
      </c>
      <c r="I231" s="44">
        <v>7.0000000000000007E-2</v>
      </c>
      <c r="J231" s="44">
        <v>0</v>
      </c>
      <c r="K231" s="44">
        <v>0</v>
      </c>
      <c r="L231" s="44">
        <v>0</v>
      </c>
      <c r="M231" s="44">
        <v>0</v>
      </c>
      <c r="N231" s="44">
        <v>0</v>
      </c>
      <c r="O231" s="44">
        <v>0</v>
      </c>
      <c r="P231" s="44">
        <v>0</v>
      </c>
      <c r="Q231" s="44">
        <v>-1</v>
      </c>
      <c r="R231" s="44">
        <v>-7.0000000000000007E-2</v>
      </c>
      <c r="S231" s="44">
        <v>0</v>
      </c>
      <c r="T231" s="44">
        <v>0</v>
      </c>
      <c r="U231" s="44">
        <v>0</v>
      </c>
      <c r="V231" s="44">
        <v>0</v>
      </c>
      <c r="W231" s="44">
        <v>4</v>
      </c>
      <c r="X231" s="44">
        <v>4</v>
      </c>
      <c r="Y231" s="44">
        <v>0.26</v>
      </c>
      <c r="Z231" s="44">
        <v>0.26</v>
      </c>
      <c r="AA231" s="45">
        <v>4</v>
      </c>
      <c r="AB231" s="45">
        <v>4</v>
      </c>
      <c r="AC231" s="44">
        <v>0.26</v>
      </c>
      <c r="AD231" s="44">
        <v>0.26</v>
      </c>
      <c r="AE231" s="44">
        <v>4</v>
      </c>
      <c r="AF231" s="44">
        <v>4</v>
      </c>
      <c r="AG231" s="44">
        <v>0.26</v>
      </c>
      <c r="AH231" s="44">
        <v>0.26</v>
      </c>
      <c r="AI231" s="44">
        <v>31</v>
      </c>
      <c r="AJ231" s="44">
        <v>27</v>
      </c>
    </row>
    <row r="232" spans="1:36" x14ac:dyDescent="0.35">
      <c r="A232" s="44" t="s">
        <v>169</v>
      </c>
      <c r="B232" s="44" t="s">
        <v>48</v>
      </c>
      <c r="C232" s="44">
        <v>11038</v>
      </c>
      <c r="D232" s="37">
        <v>8692</v>
      </c>
      <c r="E232" s="37">
        <v>8662</v>
      </c>
      <c r="F232" s="37">
        <v>8614</v>
      </c>
      <c r="G232" s="44">
        <v>1</v>
      </c>
      <c r="H232" s="44">
        <v>0</v>
      </c>
      <c r="I232" s="44">
        <v>0.12</v>
      </c>
      <c r="J232" s="44">
        <v>1</v>
      </c>
      <c r="K232" s="44">
        <v>0</v>
      </c>
      <c r="L232" s="44">
        <v>0.12</v>
      </c>
      <c r="M232" s="44">
        <v>0</v>
      </c>
      <c r="N232" s="44">
        <v>0</v>
      </c>
      <c r="O232" s="44">
        <v>0</v>
      </c>
      <c r="P232" s="44">
        <v>0</v>
      </c>
      <c r="Q232" s="44">
        <v>-1</v>
      </c>
      <c r="R232" s="44">
        <v>-0.12</v>
      </c>
      <c r="S232" s="44">
        <v>-1</v>
      </c>
      <c r="T232" s="44">
        <v>-0.12</v>
      </c>
      <c r="U232" s="44">
        <v>0</v>
      </c>
      <c r="V232" s="44">
        <v>0</v>
      </c>
      <c r="W232" s="44">
        <v>1</v>
      </c>
      <c r="X232" s="44">
        <v>0</v>
      </c>
      <c r="Y232" s="44">
        <v>0.12</v>
      </c>
      <c r="Z232" s="44">
        <v>0</v>
      </c>
      <c r="AA232" s="45">
        <v>1</v>
      </c>
      <c r="AB232" s="45">
        <v>0</v>
      </c>
      <c r="AC232" s="44">
        <v>0.12</v>
      </c>
      <c r="AD232" s="44">
        <v>0</v>
      </c>
      <c r="AE232" s="44">
        <v>1</v>
      </c>
      <c r="AF232" s="44">
        <v>0</v>
      </c>
      <c r="AG232" s="44">
        <v>0.12</v>
      </c>
      <c r="AH232" s="44">
        <v>0</v>
      </c>
      <c r="AI232" s="44">
        <v>17</v>
      </c>
      <c r="AJ232" s="44">
        <v>16</v>
      </c>
    </row>
    <row r="233" spans="1:36" x14ac:dyDescent="0.35">
      <c r="A233" s="44" t="s">
        <v>292</v>
      </c>
      <c r="B233" s="44" t="s">
        <v>52</v>
      </c>
      <c r="C233" s="44">
        <v>24134</v>
      </c>
      <c r="D233" s="37">
        <v>23375</v>
      </c>
      <c r="E233" s="37">
        <v>23705</v>
      </c>
      <c r="F233" s="37">
        <v>24001</v>
      </c>
      <c r="G233" s="44">
        <v>1</v>
      </c>
      <c r="H233" s="44">
        <v>0</v>
      </c>
      <c r="I233" s="44">
        <v>0.04</v>
      </c>
      <c r="J233" s="44">
        <v>1</v>
      </c>
      <c r="K233" s="44">
        <v>0</v>
      </c>
      <c r="L233" s="44">
        <v>0.04</v>
      </c>
      <c r="M233" s="44">
        <v>2</v>
      </c>
      <c r="N233" s="44">
        <v>0</v>
      </c>
      <c r="O233" s="44">
        <v>0.08</v>
      </c>
      <c r="P233" s="44">
        <v>0</v>
      </c>
      <c r="Q233" s="44">
        <v>1</v>
      </c>
      <c r="R233" s="44">
        <v>0.04</v>
      </c>
      <c r="S233" s="44">
        <v>1</v>
      </c>
      <c r="T233" s="44">
        <v>0.04</v>
      </c>
      <c r="U233" s="44">
        <v>0</v>
      </c>
      <c r="V233" s="44">
        <v>0</v>
      </c>
      <c r="W233" s="44">
        <v>3</v>
      </c>
      <c r="X233" s="44">
        <v>0</v>
      </c>
      <c r="Y233" s="44">
        <v>0.13</v>
      </c>
      <c r="Z233" s="44">
        <v>0</v>
      </c>
      <c r="AA233" s="45">
        <v>1</v>
      </c>
      <c r="AB233" s="45">
        <v>0</v>
      </c>
      <c r="AC233" s="44">
        <v>0.04</v>
      </c>
      <c r="AD233" s="44">
        <v>0</v>
      </c>
      <c r="AE233" s="44">
        <v>2</v>
      </c>
      <c r="AF233" s="44">
        <v>1</v>
      </c>
      <c r="AG233" s="44">
        <v>0.08</v>
      </c>
      <c r="AH233" s="44">
        <v>0.04</v>
      </c>
      <c r="AI233" s="44">
        <v>48</v>
      </c>
      <c r="AJ233" s="44">
        <v>46</v>
      </c>
    </row>
    <row r="234" spans="1:36" x14ac:dyDescent="0.35">
      <c r="A234" s="44" t="s">
        <v>311</v>
      </c>
      <c r="B234" s="44" t="s">
        <v>48</v>
      </c>
      <c r="C234" s="44">
        <v>11039</v>
      </c>
      <c r="D234" s="37">
        <v>20031</v>
      </c>
      <c r="E234" s="37">
        <v>20293</v>
      </c>
      <c r="F234" s="37">
        <v>20319</v>
      </c>
      <c r="G234" s="44">
        <v>3</v>
      </c>
      <c r="H234" s="44">
        <v>0</v>
      </c>
      <c r="I234" s="44">
        <v>0.15</v>
      </c>
      <c r="J234" s="44">
        <v>11</v>
      </c>
      <c r="K234" s="44">
        <v>0</v>
      </c>
      <c r="L234" s="44">
        <v>0.55000000000000004</v>
      </c>
      <c r="M234" s="44">
        <v>16</v>
      </c>
      <c r="N234" s="44">
        <v>0</v>
      </c>
      <c r="O234" s="44">
        <v>0.79</v>
      </c>
      <c r="P234" s="44">
        <v>0</v>
      </c>
      <c r="Q234" s="44">
        <v>13</v>
      </c>
      <c r="R234" s="44">
        <v>0.64</v>
      </c>
      <c r="S234" s="44">
        <v>5</v>
      </c>
      <c r="T234" s="44">
        <v>0.24</v>
      </c>
      <c r="U234" s="44">
        <v>2</v>
      </c>
      <c r="V234" s="44">
        <v>0.1</v>
      </c>
      <c r="W234" s="44">
        <v>0</v>
      </c>
      <c r="X234" s="44">
        <v>0</v>
      </c>
      <c r="Y234" s="44">
        <v>0</v>
      </c>
      <c r="Z234" s="44">
        <v>0</v>
      </c>
      <c r="AA234" s="45">
        <v>0</v>
      </c>
      <c r="AB234" s="45">
        <v>0</v>
      </c>
      <c r="AC234" s="44">
        <v>0</v>
      </c>
      <c r="AD234" s="44">
        <v>0</v>
      </c>
      <c r="AE234" s="44">
        <v>1</v>
      </c>
      <c r="AF234" s="44">
        <v>1</v>
      </c>
      <c r="AG234" s="44">
        <v>0.05</v>
      </c>
      <c r="AH234" s="44">
        <v>0.05</v>
      </c>
      <c r="AI234" s="44">
        <v>41</v>
      </c>
      <c r="AJ234" s="44">
        <v>40</v>
      </c>
    </row>
    <row r="235" spans="1:36" x14ac:dyDescent="0.35">
      <c r="A235" s="44" t="s">
        <v>188</v>
      </c>
      <c r="B235" s="44" t="s">
        <v>48</v>
      </c>
      <c r="C235" s="44">
        <v>11040</v>
      </c>
      <c r="D235" s="37">
        <v>34157</v>
      </c>
      <c r="E235" s="37">
        <v>34360</v>
      </c>
      <c r="F235" s="37">
        <v>34641</v>
      </c>
      <c r="G235" s="44">
        <v>12</v>
      </c>
      <c r="H235" s="44">
        <v>0</v>
      </c>
      <c r="I235" s="44">
        <v>0.35</v>
      </c>
      <c r="J235" s="44">
        <v>15</v>
      </c>
      <c r="K235" s="44">
        <v>0</v>
      </c>
      <c r="L235" s="44">
        <v>0.44</v>
      </c>
      <c r="M235" s="44">
        <v>33</v>
      </c>
      <c r="N235" s="44">
        <v>0</v>
      </c>
      <c r="O235" s="44">
        <v>0.96</v>
      </c>
      <c r="P235" s="44">
        <v>0</v>
      </c>
      <c r="Q235" s="44">
        <v>21</v>
      </c>
      <c r="R235" s="44">
        <v>0.61</v>
      </c>
      <c r="S235" s="44">
        <v>18</v>
      </c>
      <c r="T235" s="44">
        <v>0.52</v>
      </c>
      <c r="U235" s="44">
        <v>3</v>
      </c>
      <c r="V235" s="44">
        <v>0.09</v>
      </c>
      <c r="W235" s="44">
        <v>31</v>
      </c>
      <c r="X235" s="44">
        <v>0</v>
      </c>
      <c r="Y235" s="44">
        <v>0.9</v>
      </c>
      <c r="Z235" s="44">
        <v>0</v>
      </c>
      <c r="AA235" s="45">
        <v>20</v>
      </c>
      <c r="AB235" s="45">
        <v>0</v>
      </c>
      <c r="AC235" s="44">
        <v>0.57999999999999996</v>
      </c>
      <c r="AD235" s="44">
        <v>0</v>
      </c>
      <c r="AE235" s="44">
        <v>5</v>
      </c>
      <c r="AF235" s="44">
        <v>0</v>
      </c>
      <c r="AG235" s="44">
        <v>0.14000000000000001</v>
      </c>
      <c r="AH235" s="44">
        <v>0</v>
      </c>
      <c r="AI235" s="44">
        <v>69</v>
      </c>
      <c r="AJ235" s="44">
        <v>64</v>
      </c>
    </row>
    <row r="236" spans="1:36" x14ac:dyDescent="0.35">
      <c r="A236" s="44" t="s">
        <v>220</v>
      </c>
      <c r="B236" s="44" t="s">
        <v>52</v>
      </c>
      <c r="C236" s="44">
        <v>23101</v>
      </c>
      <c r="D236" s="37">
        <v>18628</v>
      </c>
      <c r="E236" s="37">
        <v>18739</v>
      </c>
      <c r="F236" s="37">
        <v>18693</v>
      </c>
      <c r="G236" s="44">
        <v>2</v>
      </c>
      <c r="H236" s="44">
        <v>0</v>
      </c>
      <c r="I236" s="44">
        <v>0.11</v>
      </c>
      <c r="J236" s="44">
        <v>2</v>
      </c>
      <c r="K236" s="44">
        <v>0</v>
      </c>
      <c r="L236" s="44">
        <v>0.11</v>
      </c>
      <c r="M236" s="44">
        <v>2</v>
      </c>
      <c r="N236" s="44">
        <v>2</v>
      </c>
      <c r="O236" s="44">
        <v>0.11</v>
      </c>
      <c r="P236" s="44">
        <v>0.11</v>
      </c>
      <c r="Q236" s="44">
        <v>0</v>
      </c>
      <c r="R236" s="44">
        <v>0</v>
      </c>
      <c r="S236" s="44">
        <v>0</v>
      </c>
      <c r="T236" s="44">
        <v>0</v>
      </c>
      <c r="U236" s="44">
        <v>0</v>
      </c>
      <c r="V236" s="44">
        <v>0</v>
      </c>
      <c r="W236" s="44">
        <v>2</v>
      </c>
      <c r="X236" s="44">
        <v>2</v>
      </c>
      <c r="Y236" s="44">
        <v>0.11</v>
      </c>
      <c r="Z236" s="44">
        <v>0.11</v>
      </c>
      <c r="AA236" s="45">
        <v>2</v>
      </c>
      <c r="AB236" s="45">
        <v>2</v>
      </c>
      <c r="AC236" s="44">
        <v>0.11</v>
      </c>
      <c r="AD236" s="44">
        <v>0.11</v>
      </c>
      <c r="AE236" s="44">
        <v>2</v>
      </c>
      <c r="AF236" s="44">
        <v>2</v>
      </c>
      <c r="AG236" s="44">
        <v>0.11</v>
      </c>
      <c r="AH236" s="44">
        <v>0.11</v>
      </c>
      <c r="AI236" s="44">
        <v>37</v>
      </c>
      <c r="AJ236" s="44">
        <v>35</v>
      </c>
    </row>
    <row r="237" spans="1:36" x14ac:dyDescent="0.35">
      <c r="A237" s="44" t="s">
        <v>226</v>
      </c>
      <c r="B237" s="44" t="s">
        <v>50</v>
      </c>
      <c r="C237" s="44">
        <v>46020</v>
      </c>
      <c r="D237" s="37">
        <v>19716</v>
      </c>
      <c r="E237" s="37">
        <v>19932</v>
      </c>
      <c r="F237" s="37">
        <v>20144</v>
      </c>
      <c r="G237" s="44">
        <v>2</v>
      </c>
      <c r="H237" s="44">
        <v>0</v>
      </c>
      <c r="I237" s="44">
        <v>0.1</v>
      </c>
      <c r="J237" s="44">
        <v>3</v>
      </c>
      <c r="K237" s="44">
        <v>0</v>
      </c>
      <c r="L237" s="44">
        <v>0.15</v>
      </c>
      <c r="M237" s="44">
        <v>2</v>
      </c>
      <c r="N237" s="44">
        <v>2</v>
      </c>
      <c r="O237" s="44">
        <v>0.1</v>
      </c>
      <c r="P237" s="44">
        <v>0.1</v>
      </c>
      <c r="Q237" s="44">
        <v>0</v>
      </c>
      <c r="R237" s="44">
        <v>0</v>
      </c>
      <c r="S237" s="44">
        <v>-1</v>
      </c>
      <c r="T237" s="44">
        <v>-0.05</v>
      </c>
      <c r="U237" s="44">
        <v>0</v>
      </c>
      <c r="V237" s="44">
        <v>0</v>
      </c>
      <c r="W237" s="44">
        <v>3</v>
      </c>
      <c r="X237" s="44">
        <v>2</v>
      </c>
      <c r="Y237" s="44">
        <v>0.15</v>
      </c>
      <c r="Z237" s="44">
        <v>0.1</v>
      </c>
      <c r="AA237" s="45">
        <v>3</v>
      </c>
      <c r="AB237" s="45">
        <v>2</v>
      </c>
      <c r="AC237" s="44">
        <v>0.15</v>
      </c>
      <c r="AD237" s="44">
        <v>0.1</v>
      </c>
      <c r="AE237" s="44">
        <v>3</v>
      </c>
      <c r="AF237" s="44">
        <v>2</v>
      </c>
      <c r="AG237" s="44">
        <v>0.15</v>
      </c>
      <c r="AH237" s="44">
        <v>0.1</v>
      </c>
      <c r="AI237" s="44">
        <v>40</v>
      </c>
      <c r="AJ237" s="44">
        <v>37</v>
      </c>
    </row>
    <row r="238" spans="1:36" x14ac:dyDescent="0.35">
      <c r="A238" s="44" t="s">
        <v>183</v>
      </c>
      <c r="B238" s="44" t="s">
        <v>48</v>
      </c>
      <c r="C238" s="44">
        <v>12035</v>
      </c>
      <c r="D238" s="37">
        <v>21391</v>
      </c>
      <c r="E238" s="37">
        <v>21595</v>
      </c>
      <c r="F238" s="37">
        <v>21792</v>
      </c>
      <c r="G238" s="44">
        <v>3</v>
      </c>
      <c r="H238" s="44">
        <v>1</v>
      </c>
      <c r="I238" s="44">
        <v>0.14000000000000001</v>
      </c>
      <c r="J238" s="44">
        <v>5</v>
      </c>
      <c r="K238" s="44">
        <v>0</v>
      </c>
      <c r="L238" s="44">
        <v>0.23</v>
      </c>
      <c r="M238" s="44">
        <v>0</v>
      </c>
      <c r="N238" s="44">
        <v>0</v>
      </c>
      <c r="O238" s="44">
        <v>0</v>
      </c>
      <c r="P238" s="44">
        <v>0</v>
      </c>
      <c r="Q238" s="44">
        <v>-3</v>
      </c>
      <c r="R238" s="44">
        <v>-0.14000000000000001</v>
      </c>
      <c r="S238" s="44">
        <v>-5</v>
      </c>
      <c r="T238" s="44">
        <v>-0.23</v>
      </c>
      <c r="U238" s="44">
        <v>0</v>
      </c>
      <c r="V238" s="44">
        <v>0</v>
      </c>
      <c r="W238" s="44">
        <v>4</v>
      </c>
      <c r="X238" s="44">
        <v>0</v>
      </c>
      <c r="Y238" s="44">
        <v>0.19</v>
      </c>
      <c r="Z238" s="44">
        <v>0</v>
      </c>
      <c r="AA238" s="45">
        <v>5</v>
      </c>
      <c r="AB238" s="45">
        <v>0</v>
      </c>
      <c r="AC238" s="44">
        <v>0.23</v>
      </c>
      <c r="AD238" s="44">
        <v>0</v>
      </c>
      <c r="AE238" s="44">
        <v>5</v>
      </c>
      <c r="AF238" s="44">
        <v>0</v>
      </c>
      <c r="AG238" s="44">
        <v>0.23</v>
      </c>
      <c r="AH238" s="44">
        <v>0</v>
      </c>
      <c r="AI238" s="44">
        <v>44</v>
      </c>
      <c r="AJ238" s="44">
        <v>39</v>
      </c>
    </row>
    <row r="239" spans="1:36" x14ac:dyDescent="0.35">
      <c r="A239" s="44" t="s">
        <v>250</v>
      </c>
      <c r="B239" s="44" t="s">
        <v>50</v>
      </c>
      <c r="C239" s="44">
        <v>43014</v>
      </c>
      <c r="D239" s="37">
        <v>6940</v>
      </c>
      <c r="E239" s="37">
        <v>7041</v>
      </c>
      <c r="F239" s="37">
        <v>7016</v>
      </c>
      <c r="G239" s="44">
        <v>0</v>
      </c>
      <c r="H239" s="44">
        <v>0</v>
      </c>
      <c r="I239" s="44">
        <v>0</v>
      </c>
      <c r="J239" s="44">
        <v>0</v>
      </c>
      <c r="K239" s="44">
        <v>0</v>
      </c>
      <c r="L239" s="44">
        <v>0</v>
      </c>
      <c r="M239" s="44">
        <v>0</v>
      </c>
      <c r="N239" s="44">
        <v>0</v>
      </c>
      <c r="O239" s="44">
        <v>0</v>
      </c>
      <c r="P239" s="44">
        <v>0</v>
      </c>
      <c r="Q239" s="44">
        <v>0</v>
      </c>
      <c r="R239" s="44">
        <v>0</v>
      </c>
      <c r="S239" s="44">
        <v>0</v>
      </c>
      <c r="T239" s="44">
        <v>0</v>
      </c>
      <c r="U239" s="44">
        <v>0</v>
      </c>
      <c r="V239" s="44">
        <v>0</v>
      </c>
      <c r="W239" s="44">
        <v>0</v>
      </c>
      <c r="X239" s="44">
        <v>0</v>
      </c>
      <c r="Y239" s="44">
        <v>0</v>
      </c>
      <c r="Z239" s="44">
        <v>0</v>
      </c>
      <c r="AA239" s="45">
        <v>0</v>
      </c>
      <c r="AB239" s="45">
        <v>0</v>
      </c>
      <c r="AC239" s="44">
        <v>0</v>
      </c>
      <c r="AD239" s="44">
        <v>0</v>
      </c>
      <c r="AE239" s="44">
        <v>0</v>
      </c>
      <c r="AF239" s="44">
        <v>0</v>
      </c>
      <c r="AG239" s="44">
        <v>0</v>
      </c>
      <c r="AH239" s="44">
        <v>0</v>
      </c>
      <c r="AI239" s="44">
        <v>14</v>
      </c>
      <c r="AJ239" s="44">
        <v>14</v>
      </c>
    </row>
    <row r="240" spans="1:36" x14ac:dyDescent="0.35">
      <c r="A240" s="44" t="s">
        <v>202</v>
      </c>
      <c r="B240" s="44" t="s">
        <v>50</v>
      </c>
      <c r="C240" s="44">
        <v>41063</v>
      </c>
      <c r="D240" s="37">
        <v>10534</v>
      </c>
      <c r="E240" s="37">
        <v>10658</v>
      </c>
      <c r="F240" s="37">
        <v>10687</v>
      </c>
      <c r="G240" s="44">
        <v>2</v>
      </c>
      <c r="H240" s="44">
        <v>0</v>
      </c>
      <c r="I240" s="44">
        <v>0.19</v>
      </c>
      <c r="J240" s="44">
        <v>3</v>
      </c>
      <c r="K240" s="44">
        <v>0</v>
      </c>
      <c r="L240" s="44">
        <v>0.28000000000000003</v>
      </c>
      <c r="M240" s="44">
        <v>2</v>
      </c>
      <c r="N240" s="44">
        <v>2</v>
      </c>
      <c r="O240" s="44">
        <v>0.19</v>
      </c>
      <c r="P240" s="44">
        <v>0.19</v>
      </c>
      <c r="Q240" s="44">
        <v>0</v>
      </c>
      <c r="R240" s="44">
        <v>0</v>
      </c>
      <c r="S240" s="44">
        <v>-1</v>
      </c>
      <c r="T240" s="44">
        <v>-0.1</v>
      </c>
      <c r="U240" s="44">
        <v>0</v>
      </c>
      <c r="V240" s="44">
        <v>0</v>
      </c>
      <c r="W240" s="44">
        <v>2</v>
      </c>
      <c r="X240" s="44">
        <v>2</v>
      </c>
      <c r="Y240" s="44">
        <v>0.19</v>
      </c>
      <c r="Z240" s="44">
        <v>0.19</v>
      </c>
      <c r="AA240" s="45">
        <v>3</v>
      </c>
      <c r="AB240" s="45">
        <v>3</v>
      </c>
      <c r="AC240" s="44">
        <v>0.28000000000000003</v>
      </c>
      <c r="AD240" s="44">
        <v>0.28000000000000003</v>
      </c>
      <c r="AE240" s="44">
        <v>3</v>
      </c>
      <c r="AF240" s="44">
        <v>3</v>
      </c>
      <c r="AG240" s="44">
        <v>0.28000000000000003</v>
      </c>
      <c r="AH240" s="44">
        <v>0.28000000000000003</v>
      </c>
      <c r="AI240" s="44">
        <v>21</v>
      </c>
      <c r="AJ240" s="44">
        <v>18</v>
      </c>
    </row>
    <row r="241" spans="1:36" x14ac:dyDescent="0.35">
      <c r="A241" s="44" t="s">
        <v>148</v>
      </c>
      <c r="B241" s="44" t="s">
        <v>50</v>
      </c>
      <c r="C241" s="44">
        <v>44064</v>
      </c>
      <c r="D241" s="37">
        <v>8263</v>
      </c>
      <c r="E241" s="37">
        <v>8257</v>
      </c>
      <c r="F241" s="37">
        <v>8208</v>
      </c>
      <c r="G241" s="44">
        <v>0</v>
      </c>
      <c r="H241" s="44">
        <v>0</v>
      </c>
      <c r="I241" s="44">
        <v>0</v>
      </c>
      <c r="J241" s="44">
        <v>1</v>
      </c>
      <c r="K241" s="44">
        <v>0</v>
      </c>
      <c r="L241" s="44">
        <v>0.12</v>
      </c>
      <c r="M241" s="44">
        <v>5</v>
      </c>
      <c r="N241" s="44">
        <v>5</v>
      </c>
      <c r="O241" s="44">
        <v>0.61</v>
      </c>
      <c r="P241" s="44">
        <v>0.61</v>
      </c>
      <c r="Q241" s="44">
        <v>5</v>
      </c>
      <c r="R241" s="44">
        <v>0.61</v>
      </c>
      <c r="S241" s="44">
        <v>4</v>
      </c>
      <c r="T241" s="44">
        <v>0.48</v>
      </c>
      <c r="U241" s="44">
        <v>0</v>
      </c>
      <c r="V241" s="44">
        <v>0</v>
      </c>
      <c r="W241" s="44">
        <v>1</v>
      </c>
      <c r="X241" s="44">
        <v>1</v>
      </c>
      <c r="Y241" s="44">
        <v>0.12</v>
      </c>
      <c r="Z241" s="44">
        <v>0.12</v>
      </c>
      <c r="AA241" s="45">
        <v>5</v>
      </c>
      <c r="AB241" s="45">
        <v>5</v>
      </c>
      <c r="AC241" s="44">
        <v>0.61</v>
      </c>
      <c r="AD241" s="44">
        <v>0.61</v>
      </c>
      <c r="AE241" s="44">
        <v>6</v>
      </c>
      <c r="AF241" s="44">
        <v>6</v>
      </c>
      <c r="AG241" s="44">
        <v>0.73</v>
      </c>
      <c r="AH241" s="44">
        <v>0.73</v>
      </c>
      <c r="AI241" s="44">
        <v>16</v>
      </c>
      <c r="AJ241" s="44">
        <v>10</v>
      </c>
    </row>
    <row r="242" spans="1:36" x14ac:dyDescent="0.35">
      <c r="A242" s="44" t="s">
        <v>57</v>
      </c>
      <c r="B242" s="44" t="s">
        <v>50</v>
      </c>
      <c r="C242" s="44">
        <v>46021</v>
      </c>
      <c r="D242" s="37">
        <v>80167</v>
      </c>
      <c r="E242" s="37">
        <v>81138</v>
      </c>
      <c r="F242" s="37">
        <v>81863</v>
      </c>
      <c r="G242" s="44">
        <v>22</v>
      </c>
      <c r="H242" s="44">
        <v>0</v>
      </c>
      <c r="I242" s="44">
        <v>0.27</v>
      </c>
      <c r="J242" s="44">
        <v>26</v>
      </c>
      <c r="K242" s="44">
        <v>0</v>
      </c>
      <c r="L242" s="44">
        <v>0.32</v>
      </c>
      <c r="M242" s="44">
        <v>26</v>
      </c>
      <c r="N242" s="44">
        <v>3</v>
      </c>
      <c r="O242" s="44">
        <v>0.32</v>
      </c>
      <c r="P242" s="44">
        <v>0.04</v>
      </c>
      <c r="Q242" s="44">
        <v>4</v>
      </c>
      <c r="R242" s="44">
        <v>0.05</v>
      </c>
      <c r="S242" s="44">
        <v>0</v>
      </c>
      <c r="T242" s="44">
        <v>0</v>
      </c>
      <c r="U242" s="44">
        <v>10</v>
      </c>
      <c r="V242" s="44">
        <v>0.12</v>
      </c>
      <c r="W242" s="44">
        <v>43</v>
      </c>
      <c r="X242" s="44">
        <v>4</v>
      </c>
      <c r="Y242" s="44">
        <v>0.53</v>
      </c>
      <c r="Z242" s="44">
        <v>0.05</v>
      </c>
      <c r="AA242" s="45">
        <v>50</v>
      </c>
      <c r="AB242" s="45">
        <v>6</v>
      </c>
      <c r="AC242" s="44">
        <v>0.61</v>
      </c>
      <c r="AD242" s="44">
        <v>7.0000000000000007E-2</v>
      </c>
      <c r="AE242" s="44">
        <v>50</v>
      </c>
      <c r="AF242" s="44">
        <v>6</v>
      </c>
      <c r="AG242" s="44">
        <v>0.61</v>
      </c>
      <c r="AH242" s="44">
        <v>7.0000000000000007E-2</v>
      </c>
      <c r="AI242" s="44">
        <v>164</v>
      </c>
      <c r="AJ242" s="44">
        <v>114</v>
      </c>
    </row>
    <row r="243" spans="1:36" x14ac:dyDescent="0.35">
      <c r="A243" s="44" t="s">
        <v>132</v>
      </c>
      <c r="B243" s="44" t="s">
        <v>52</v>
      </c>
      <c r="C243" s="44">
        <v>23077</v>
      </c>
      <c r="D243" s="37">
        <v>35486</v>
      </c>
      <c r="E243" s="37">
        <v>36052</v>
      </c>
      <c r="F243" s="37">
        <v>36525</v>
      </c>
      <c r="G243" s="44">
        <v>4</v>
      </c>
      <c r="H243" s="44">
        <v>0</v>
      </c>
      <c r="I243" s="44">
        <v>0.11</v>
      </c>
      <c r="J243" s="44">
        <v>2</v>
      </c>
      <c r="K243" s="44">
        <v>0</v>
      </c>
      <c r="L243" s="44">
        <v>0.06</v>
      </c>
      <c r="M243" s="44">
        <v>0</v>
      </c>
      <c r="N243" s="44">
        <v>0</v>
      </c>
      <c r="O243" s="44">
        <v>0</v>
      </c>
      <c r="P243" s="44">
        <v>0</v>
      </c>
      <c r="Q243" s="44">
        <v>-4</v>
      </c>
      <c r="R243" s="44">
        <v>-0.11</v>
      </c>
      <c r="S243" s="44">
        <v>-2</v>
      </c>
      <c r="T243" s="44">
        <v>-0.06</v>
      </c>
      <c r="U243" s="44">
        <v>0</v>
      </c>
      <c r="V243" s="44">
        <v>0</v>
      </c>
      <c r="W243" s="44">
        <v>6</v>
      </c>
      <c r="X243" s="44">
        <v>6</v>
      </c>
      <c r="Y243" s="44">
        <v>0.17</v>
      </c>
      <c r="Z243" s="44">
        <v>0.17</v>
      </c>
      <c r="AA243" s="45">
        <v>6</v>
      </c>
      <c r="AB243" s="45">
        <v>6</v>
      </c>
      <c r="AC243" s="44">
        <v>0.16</v>
      </c>
      <c r="AD243" s="44">
        <v>0.16</v>
      </c>
      <c r="AE243" s="44">
        <v>7</v>
      </c>
      <c r="AF243" s="44">
        <v>6</v>
      </c>
      <c r="AG243" s="44">
        <v>0.19</v>
      </c>
      <c r="AH243" s="44">
        <v>0.16</v>
      </c>
      <c r="AI243" s="44">
        <v>73</v>
      </c>
      <c r="AJ243" s="44">
        <v>66</v>
      </c>
    </row>
    <row r="244" spans="1:36" x14ac:dyDescent="0.35">
      <c r="A244" s="44" t="s">
        <v>189</v>
      </c>
      <c r="B244" s="44" t="s">
        <v>59</v>
      </c>
      <c r="C244" s="44">
        <v>71053</v>
      </c>
      <c r="D244" s="37">
        <v>40845</v>
      </c>
      <c r="E244" s="37">
        <v>41353</v>
      </c>
      <c r="F244" s="37">
        <v>41469</v>
      </c>
      <c r="G244" s="44">
        <v>2</v>
      </c>
      <c r="H244" s="44">
        <v>0</v>
      </c>
      <c r="I244" s="44">
        <v>0.05</v>
      </c>
      <c r="J244" s="44">
        <v>2</v>
      </c>
      <c r="K244" s="44">
        <v>0</v>
      </c>
      <c r="L244" s="44">
        <v>0.05</v>
      </c>
      <c r="M244" s="44">
        <v>2</v>
      </c>
      <c r="N244" s="44">
        <v>0</v>
      </c>
      <c r="O244" s="44">
        <v>0.05</v>
      </c>
      <c r="P244" s="44">
        <v>0</v>
      </c>
      <c r="Q244" s="44">
        <v>0</v>
      </c>
      <c r="R244" s="44">
        <v>0</v>
      </c>
      <c r="S244" s="44">
        <v>0</v>
      </c>
      <c r="T244" s="44">
        <v>0</v>
      </c>
      <c r="U244" s="44">
        <v>2</v>
      </c>
      <c r="V244" s="44">
        <v>0.05</v>
      </c>
      <c r="W244" s="44">
        <v>2</v>
      </c>
      <c r="X244" s="44">
        <v>0</v>
      </c>
      <c r="Y244" s="44">
        <v>0.05</v>
      </c>
      <c r="Z244" s="44">
        <v>0</v>
      </c>
      <c r="AA244" s="45">
        <v>3</v>
      </c>
      <c r="AB244" s="45">
        <v>2</v>
      </c>
      <c r="AC244" s="44">
        <v>7.0000000000000007E-2</v>
      </c>
      <c r="AD244" s="44">
        <v>0.05</v>
      </c>
      <c r="AE244" s="44">
        <v>3</v>
      </c>
      <c r="AF244" s="44">
        <v>2</v>
      </c>
      <c r="AG244" s="44">
        <v>7.0000000000000007E-2</v>
      </c>
      <c r="AH244" s="44">
        <v>0.05</v>
      </c>
      <c r="AI244" s="44">
        <v>83</v>
      </c>
      <c r="AJ244" s="44">
        <v>80</v>
      </c>
    </row>
    <row r="245" spans="1:36" x14ac:dyDescent="0.35">
      <c r="A245" s="44" t="s">
        <v>314</v>
      </c>
      <c r="B245" s="44" t="s">
        <v>55</v>
      </c>
      <c r="C245" s="44">
        <v>34043</v>
      </c>
      <c r="D245" s="37">
        <v>2056</v>
      </c>
      <c r="E245" s="37">
        <v>2056</v>
      </c>
      <c r="F245" s="37">
        <v>2063</v>
      </c>
      <c r="G245" s="44">
        <v>0</v>
      </c>
      <c r="H245" s="44">
        <v>0</v>
      </c>
      <c r="I245" s="44">
        <v>0</v>
      </c>
      <c r="J245" s="44">
        <v>0</v>
      </c>
      <c r="K245" s="44">
        <v>0</v>
      </c>
      <c r="L245" s="44">
        <v>0</v>
      </c>
      <c r="M245" s="44">
        <v>0</v>
      </c>
      <c r="N245" s="44">
        <v>0</v>
      </c>
      <c r="O245" s="44">
        <v>0</v>
      </c>
      <c r="P245" s="44">
        <v>0</v>
      </c>
      <c r="Q245" s="44">
        <v>0</v>
      </c>
      <c r="R245" s="44">
        <v>0</v>
      </c>
      <c r="S245" s="44">
        <v>0</v>
      </c>
      <c r="T245" s="44">
        <v>0</v>
      </c>
      <c r="U245" s="44">
        <v>0</v>
      </c>
      <c r="V245" s="44">
        <v>0</v>
      </c>
      <c r="W245" s="44">
        <v>0</v>
      </c>
      <c r="X245" s="44">
        <v>0</v>
      </c>
      <c r="Y245" s="44">
        <v>0</v>
      </c>
      <c r="Z245" s="44">
        <v>0</v>
      </c>
      <c r="AA245" s="45">
        <v>0</v>
      </c>
      <c r="AB245" s="45">
        <v>0</v>
      </c>
      <c r="AC245" s="44">
        <v>0</v>
      </c>
      <c r="AD245" s="44">
        <v>0</v>
      </c>
      <c r="AE245" s="44">
        <v>0</v>
      </c>
      <c r="AF245" s="44">
        <v>0</v>
      </c>
      <c r="AG245" s="44">
        <v>0</v>
      </c>
      <c r="AH245" s="44">
        <v>0</v>
      </c>
      <c r="AI245" s="44">
        <v>4</v>
      </c>
      <c r="AJ245" s="44">
        <v>4</v>
      </c>
    </row>
    <row r="246" spans="1:36" x14ac:dyDescent="0.35">
      <c r="A246" s="44" t="s">
        <v>336</v>
      </c>
      <c r="B246" s="44" t="s">
        <v>48</v>
      </c>
      <c r="C246" s="44">
        <v>11044</v>
      </c>
      <c r="D246" s="37">
        <v>18782</v>
      </c>
      <c r="E246" s="37">
        <v>18837</v>
      </c>
      <c r="F246" s="37">
        <v>18826</v>
      </c>
      <c r="G246" s="44">
        <v>0</v>
      </c>
      <c r="H246" s="44">
        <v>0</v>
      </c>
      <c r="I246" s="44">
        <v>0</v>
      </c>
      <c r="J246" s="44">
        <v>0</v>
      </c>
      <c r="K246" s="44">
        <v>0</v>
      </c>
      <c r="L246" s="44">
        <v>0</v>
      </c>
      <c r="M246" s="44">
        <v>0</v>
      </c>
      <c r="N246" s="44">
        <v>0</v>
      </c>
      <c r="O246" s="44">
        <v>0</v>
      </c>
      <c r="P246" s="44">
        <v>0</v>
      </c>
      <c r="Q246" s="44">
        <v>0</v>
      </c>
      <c r="R246" s="44">
        <v>0</v>
      </c>
      <c r="S246" s="44">
        <v>0</v>
      </c>
      <c r="T246" s="44">
        <v>0</v>
      </c>
      <c r="U246" s="44">
        <v>0</v>
      </c>
      <c r="V246" s="44">
        <v>0</v>
      </c>
      <c r="W246" s="44">
        <v>0</v>
      </c>
      <c r="X246" s="44">
        <v>0</v>
      </c>
      <c r="Y246" s="44">
        <v>0</v>
      </c>
      <c r="Z246" s="44">
        <v>0</v>
      </c>
      <c r="AA246" s="45">
        <v>0</v>
      </c>
      <c r="AB246" s="45">
        <v>0</v>
      </c>
      <c r="AC246" s="44">
        <v>0</v>
      </c>
      <c r="AD246" s="44">
        <v>0</v>
      </c>
      <c r="AE246" s="44">
        <v>0</v>
      </c>
      <c r="AF246" s="44">
        <v>0</v>
      </c>
      <c r="AG246" s="44">
        <v>0</v>
      </c>
      <c r="AH246" s="44">
        <v>0</v>
      </c>
      <c r="AI246" s="44">
        <v>38</v>
      </c>
      <c r="AJ246" s="44">
        <v>38</v>
      </c>
    </row>
    <row r="247" spans="1:36" x14ac:dyDescent="0.35">
      <c r="A247" s="44" t="s">
        <v>154</v>
      </c>
      <c r="B247" s="44" t="s">
        <v>55</v>
      </c>
      <c r="C247" s="44">
        <v>36019</v>
      </c>
      <c r="D247" s="37">
        <v>11530</v>
      </c>
      <c r="E247" s="37">
        <v>11639</v>
      </c>
      <c r="F247" s="37">
        <v>11677</v>
      </c>
      <c r="G247" s="44">
        <v>0</v>
      </c>
      <c r="H247" s="44">
        <v>0</v>
      </c>
      <c r="I247" s="44">
        <v>0</v>
      </c>
      <c r="J247" s="44">
        <v>0</v>
      </c>
      <c r="K247" s="44">
        <v>0</v>
      </c>
      <c r="L247" s="44">
        <v>0</v>
      </c>
      <c r="M247" s="44">
        <v>2</v>
      </c>
      <c r="N247" s="44">
        <v>1</v>
      </c>
      <c r="O247" s="44">
        <v>0.17</v>
      </c>
      <c r="P247" s="44">
        <v>0.09</v>
      </c>
      <c r="Q247" s="44">
        <v>2</v>
      </c>
      <c r="R247" s="44">
        <v>0.17</v>
      </c>
      <c r="S247" s="44">
        <v>2</v>
      </c>
      <c r="T247" s="44">
        <v>0.17</v>
      </c>
      <c r="U247" s="44">
        <v>0</v>
      </c>
      <c r="V247" s="44">
        <v>0</v>
      </c>
      <c r="W247" s="44">
        <v>2</v>
      </c>
      <c r="X247" s="44">
        <v>1</v>
      </c>
      <c r="Y247" s="44">
        <v>0.17</v>
      </c>
      <c r="Z247" s="44">
        <v>0.09</v>
      </c>
      <c r="AA247" s="45">
        <v>4</v>
      </c>
      <c r="AB247" s="45">
        <v>1</v>
      </c>
      <c r="AC247" s="44">
        <v>0.34</v>
      </c>
      <c r="AD247" s="44">
        <v>0.09</v>
      </c>
      <c r="AE247" s="44">
        <v>4</v>
      </c>
      <c r="AF247" s="44">
        <v>1</v>
      </c>
      <c r="AG247" s="44">
        <v>0.34</v>
      </c>
      <c r="AH247" s="44">
        <v>0.09</v>
      </c>
      <c r="AI247" s="44">
        <v>23</v>
      </c>
      <c r="AJ247" s="44">
        <v>19</v>
      </c>
    </row>
    <row r="248" spans="1:36" x14ac:dyDescent="0.35">
      <c r="A248" s="44" t="s">
        <v>208</v>
      </c>
      <c r="B248" s="44" t="s">
        <v>52</v>
      </c>
      <c r="C248" s="44">
        <v>23081</v>
      </c>
      <c r="D248" s="37">
        <v>12497</v>
      </c>
      <c r="E248" s="37">
        <v>12614</v>
      </c>
      <c r="F248" s="37">
        <v>12663</v>
      </c>
      <c r="G248" s="44">
        <v>0</v>
      </c>
      <c r="H248" s="44">
        <v>0</v>
      </c>
      <c r="I248" s="44">
        <v>0</v>
      </c>
      <c r="J248" s="44">
        <v>0</v>
      </c>
      <c r="K248" s="44">
        <v>0</v>
      </c>
      <c r="L248" s="44">
        <v>0</v>
      </c>
      <c r="M248" s="44">
        <v>0</v>
      </c>
      <c r="N248" s="44">
        <v>0</v>
      </c>
      <c r="O248" s="44">
        <v>0</v>
      </c>
      <c r="P248" s="44">
        <v>0</v>
      </c>
      <c r="Q248" s="44">
        <v>0</v>
      </c>
      <c r="R248" s="44">
        <v>0</v>
      </c>
      <c r="S248" s="44">
        <v>0</v>
      </c>
      <c r="T248" s="44">
        <v>0</v>
      </c>
      <c r="U248" s="44">
        <v>0</v>
      </c>
      <c r="V248" s="44">
        <v>0</v>
      </c>
      <c r="W248" s="44">
        <v>1</v>
      </c>
      <c r="X248" s="44">
        <v>0</v>
      </c>
      <c r="Y248" s="44">
        <v>0.08</v>
      </c>
      <c r="Z248" s="44">
        <v>0</v>
      </c>
      <c r="AA248" s="45">
        <v>3</v>
      </c>
      <c r="AB248" s="45">
        <v>2</v>
      </c>
      <c r="AC248" s="44">
        <v>0.24</v>
      </c>
      <c r="AD248" s="44">
        <v>0.16</v>
      </c>
      <c r="AE248" s="44">
        <v>3</v>
      </c>
      <c r="AF248" s="44">
        <v>2</v>
      </c>
      <c r="AG248" s="44">
        <v>0.24</v>
      </c>
      <c r="AH248" s="44">
        <v>0.16</v>
      </c>
      <c r="AI248" s="44">
        <v>25</v>
      </c>
      <c r="AJ248" s="44">
        <v>22</v>
      </c>
    </row>
    <row r="249" spans="1:36" x14ac:dyDescent="0.35">
      <c r="A249" s="44" t="s">
        <v>285</v>
      </c>
      <c r="B249" s="44" t="s">
        <v>50</v>
      </c>
      <c r="C249" s="44">
        <v>46024</v>
      </c>
      <c r="D249" s="37">
        <v>19030</v>
      </c>
      <c r="E249" s="37">
        <v>19273</v>
      </c>
      <c r="F249" s="37">
        <v>19589</v>
      </c>
      <c r="G249" s="44">
        <v>2</v>
      </c>
      <c r="H249" s="44">
        <v>0</v>
      </c>
      <c r="I249" s="44">
        <v>0.11</v>
      </c>
      <c r="J249" s="44">
        <v>2</v>
      </c>
      <c r="K249" s="44">
        <v>0</v>
      </c>
      <c r="L249" s="44">
        <v>0.11</v>
      </c>
      <c r="M249" s="44">
        <v>2</v>
      </c>
      <c r="N249" s="44">
        <v>2</v>
      </c>
      <c r="O249" s="44">
        <v>0.1</v>
      </c>
      <c r="P249" s="44">
        <v>0.1</v>
      </c>
      <c r="Q249" s="44">
        <v>0</v>
      </c>
      <c r="R249" s="44">
        <v>0</v>
      </c>
      <c r="S249" s="44">
        <v>0</v>
      </c>
      <c r="T249" s="44">
        <v>0</v>
      </c>
      <c r="U249" s="44">
        <v>0</v>
      </c>
      <c r="V249" s="44">
        <v>0</v>
      </c>
      <c r="W249" s="44">
        <v>2</v>
      </c>
      <c r="X249" s="44">
        <v>2</v>
      </c>
      <c r="Y249" s="44">
        <v>0.1</v>
      </c>
      <c r="Z249" s="44">
        <v>0.1</v>
      </c>
      <c r="AA249" s="45">
        <v>2</v>
      </c>
      <c r="AB249" s="45">
        <v>2</v>
      </c>
      <c r="AC249" s="44">
        <v>0.1</v>
      </c>
      <c r="AD249" s="44">
        <v>0.1</v>
      </c>
      <c r="AE249" s="44">
        <v>2</v>
      </c>
      <c r="AF249" s="44">
        <v>2</v>
      </c>
      <c r="AG249" s="44">
        <v>0.1</v>
      </c>
      <c r="AH249" s="44">
        <v>0.1</v>
      </c>
      <c r="AI249" s="44">
        <v>39</v>
      </c>
      <c r="AJ249" s="44">
        <v>37</v>
      </c>
    </row>
    <row r="250" spans="1:36" x14ac:dyDescent="0.35">
      <c r="A250" s="44" t="s">
        <v>166</v>
      </c>
      <c r="B250" s="44" t="s">
        <v>50</v>
      </c>
      <c r="C250" s="44">
        <v>46025</v>
      </c>
      <c r="D250" s="37">
        <v>30635</v>
      </c>
      <c r="E250" s="37">
        <v>31191</v>
      </c>
      <c r="F250" s="37">
        <v>31271</v>
      </c>
      <c r="G250" s="44">
        <v>2</v>
      </c>
      <c r="H250" s="44">
        <v>0</v>
      </c>
      <c r="I250" s="44">
        <v>7.0000000000000007E-2</v>
      </c>
      <c r="J250" s="44">
        <v>2</v>
      </c>
      <c r="K250" s="44">
        <v>0</v>
      </c>
      <c r="L250" s="44">
        <v>7.0000000000000007E-2</v>
      </c>
      <c r="M250" s="44">
        <v>3</v>
      </c>
      <c r="N250" s="44">
        <v>3</v>
      </c>
      <c r="O250" s="44">
        <v>0.1</v>
      </c>
      <c r="P250" s="44">
        <v>0.1</v>
      </c>
      <c r="Q250" s="44">
        <v>1</v>
      </c>
      <c r="R250" s="44">
        <v>0.03</v>
      </c>
      <c r="S250" s="44">
        <v>1</v>
      </c>
      <c r="T250" s="44">
        <v>0.03</v>
      </c>
      <c r="U250" s="44">
        <v>0</v>
      </c>
      <c r="V250" s="44">
        <v>0</v>
      </c>
      <c r="W250" s="44">
        <v>4</v>
      </c>
      <c r="X250" s="44">
        <v>4</v>
      </c>
      <c r="Y250" s="44">
        <v>0.13</v>
      </c>
      <c r="Z250" s="44">
        <v>0.13</v>
      </c>
      <c r="AA250" s="45">
        <v>4</v>
      </c>
      <c r="AB250" s="45">
        <v>3</v>
      </c>
      <c r="AC250" s="44">
        <v>0.13</v>
      </c>
      <c r="AD250" s="44">
        <v>0.1</v>
      </c>
      <c r="AE250" s="44">
        <v>6</v>
      </c>
      <c r="AF250" s="44">
        <v>3</v>
      </c>
      <c r="AG250" s="44">
        <v>0.19</v>
      </c>
      <c r="AH250" s="44">
        <v>0.1</v>
      </c>
      <c r="AI250" s="44">
        <v>63</v>
      </c>
      <c r="AJ250" s="44">
        <v>57</v>
      </c>
    </row>
    <row r="251" spans="1:36" x14ac:dyDescent="0.35">
      <c r="A251" s="44" t="s">
        <v>217</v>
      </c>
      <c r="B251" s="44" t="s">
        <v>52</v>
      </c>
      <c r="C251" s="44">
        <v>23086</v>
      </c>
      <c r="D251" s="37">
        <v>16283</v>
      </c>
      <c r="E251" s="37">
        <v>16488</v>
      </c>
      <c r="F251" s="37">
        <v>16578</v>
      </c>
      <c r="G251" s="44">
        <v>0</v>
      </c>
      <c r="H251" s="44">
        <v>0</v>
      </c>
      <c r="I251" s="44">
        <v>0</v>
      </c>
      <c r="J251" s="44">
        <v>0</v>
      </c>
      <c r="K251" s="44">
        <v>0</v>
      </c>
      <c r="L251" s="44">
        <v>0</v>
      </c>
      <c r="M251" s="44">
        <v>0</v>
      </c>
      <c r="N251" s="44">
        <v>0</v>
      </c>
      <c r="O251" s="44">
        <v>0</v>
      </c>
      <c r="P251" s="44">
        <v>0</v>
      </c>
      <c r="Q251" s="44">
        <v>0</v>
      </c>
      <c r="R251" s="44">
        <v>0</v>
      </c>
      <c r="S251" s="44">
        <v>0</v>
      </c>
      <c r="T251" s="44">
        <v>0</v>
      </c>
      <c r="U251" s="44">
        <v>0</v>
      </c>
      <c r="V251" s="44">
        <v>0</v>
      </c>
      <c r="W251" s="44">
        <v>3</v>
      </c>
      <c r="X251" s="44">
        <v>2</v>
      </c>
      <c r="Y251" s="44">
        <v>0.18</v>
      </c>
      <c r="Z251" s="44">
        <v>0.12</v>
      </c>
      <c r="AA251" s="45">
        <v>3</v>
      </c>
      <c r="AB251" s="45">
        <v>2</v>
      </c>
      <c r="AC251" s="44">
        <v>0.18</v>
      </c>
      <c r="AD251" s="44">
        <v>0.12</v>
      </c>
      <c r="AE251" s="44">
        <v>3</v>
      </c>
      <c r="AF251" s="44">
        <v>2</v>
      </c>
      <c r="AG251" s="44">
        <v>0.18</v>
      </c>
      <c r="AH251" s="44">
        <v>0.12</v>
      </c>
      <c r="AI251" s="44">
        <v>33</v>
      </c>
      <c r="AJ251" s="44">
        <v>30</v>
      </c>
    </row>
    <row r="252" spans="1:36" x14ac:dyDescent="0.35">
      <c r="A252" s="44" t="s">
        <v>87</v>
      </c>
      <c r="B252" s="44" t="s">
        <v>52</v>
      </c>
      <c r="C252" s="44">
        <v>24104</v>
      </c>
      <c r="D252" s="37">
        <v>22852</v>
      </c>
      <c r="E252" s="37">
        <v>23101</v>
      </c>
      <c r="F252" s="37">
        <v>23077</v>
      </c>
      <c r="G252" s="44">
        <v>3</v>
      </c>
      <c r="H252" s="44">
        <v>0</v>
      </c>
      <c r="I252" s="44">
        <v>0.13</v>
      </c>
      <c r="J252" s="44">
        <v>5</v>
      </c>
      <c r="K252" s="44">
        <v>0</v>
      </c>
      <c r="L252" s="44">
        <v>0.22</v>
      </c>
      <c r="M252" s="44">
        <v>6</v>
      </c>
      <c r="N252" s="44">
        <v>2</v>
      </c>
      <c r="O252" s="44">
        <v>0.26</v>
      </c>
      <c r="P252" s="44">
        <v>0.09</v>
      </c>
      <c r="Q252" s="44">
        <v>3</v>
      </c>
      <c r="R252" s="44">
        <v>0.13</v>
      </c>
      <c r="S252" s="44">
        <v>1</v>
      </c>
      <c r="T252" s="44">
        <v>0.04</v>
      </c>
      <c r="U252" s="44">
        <v>1</v>
      </c>
      <c r="V252" s="44">
        <v>0.04</v>
      </c>
      <c r="W252" s="44">
        <v>8</v>
      </c>
      <c r="X252" s="44">
        <v>3</v>
      </c>
      <c r="Y252" s="44">
        <v>0.35</v>
      </c>
      <c r="Z252" s="44">
        <v>0.13</v>
      </c>
      <c r="AA252" s="45">
        <v>7</v>
      </c>
      <c r="AB252" s="45">
        <v>2</v>
      </c>
      <c r="AC252" s="44">
        <v>0.3</v>
      </c>
      <c r="AD252" s="44">
        <v>0.09</v>
      </c>
      <c r="AE252" s="44">
        <v>9</v>
      </c>
      <c r="AF252" s="44">
        <v>3</v>
      </c>
      <c r="AG252" s="44">
        <v>0.39</v>
      </c>
      <c r="AH252" s="44">
        <v>0.13</v>
      </c>
      <c r="AI252" s="44">
        <v>46</v>
      </c>
      <c r="AJ252" s="44">
        <v>37</v>
      </c>
    </row>
    <row r="253" spans="1:36" x14ac:dyDescent="0.35">
      <c r="A253" s="44" t="s">
        <v>355</v>
      </c>
      <c r="B253" s="44" t="s">
        <v>59</v>
      </c>
      <c r="C253" s="44">
        <v>71057</v>
      </c>
      <c r="D253" s="37">
        <v>18884</v>
      </c>
      <c r="E253" s="37">
        <v>18838</v>
      </c>
      <c r="F253" s="37">
        <v>19011</v>
      </c>
      <c r="G253" s="44">
        <v>2</v>
      </c>
      <c r="H253" s="44">
        <v>0</v>
      </c>
      <c r="I253" s="44">
        <v>0.11</v>
      </c>
      <c r="J253" s="44">
        <v>2</v>
      </c>
      <c r="K253" s="44">
        <v>0</v>
      </c>
      <c r="L253" s="44">
        <v>0.11</v>
      </c>
      <c r="M253" s="44">
        <v>3</v>
      </c>
      <c r="N253" s="44">
        <v>0</v>
      </c>
      <c r="O253" s="44">
        <v>0.16</v>
      </c>
      <c r="P253" s="44">
        <v>0</v>
      </c>
      <c r="Q253" s="44">
        <v>1</v>
      </c>
      <c r="R253" s="44">
        <v>0.05</v>
      </c>
      <c r="S253" s="44">
        <v>1</v>
      </c>
      <c r="T253" s="44">
        <v>0.05</v>
      </c>
      <c r="U253" s="44">
        <v>0</v>
      </c>
      <c r="V253" s="44">
        <v>0</v>
      </c>
      <c r="W253" s="44">
        <v>3</v>
      </c>
      <c r="X253" s="44">
        <v>0</v>
      </c>
      <c r="Y253" s="44">
        <v>0.16</v>
      </c>
      <c r="Z253" s="44">
        <v>0</v>
      </c>
      <c r="AA253" s="45">
        <v>4</v>
      </c>
      <c r="AB253" s="45">
        <v>0</v>
      </c>
      <c r="AC253" s="44">
        <v>0.21</v>
      </c>
      <c r="AD253" s="44">
        <v>0</v>
      </c>
      <c r="AE253" s="44">
        <v>4</v>
      </c>
      <c r="AF253" s="44">
        <v>0</v>
      </c>
      <c r="AG253" s="44">
        <v>0.21</v>
      </c>
      <c r="AH253" s="44">
        <v>0</v>
      </c>
      <c r="AI253" s="44">
        <v>38</v>
      </c>
      <c r="AJ253" s="44">
        <v>34</v>
      </c>
    </row>
    <row r="254" spans="1:36" x14ac:dyDescent="0.35">
      <c r="A254" s="44" t="s">
        <v>102</v>
      </c>
      <c r="B254" s="44" t="s">
        <v>55</v>
      </c>
      <c r="C254" s="44">
        <v>37015</v>
      </c>
      <c r="D254" s="37">
        <v>20500</v>
      </c>
      <c r="E254" s="37">
        <v>20701</v>
      </c>
      <c r="F254" s="37">
        <v>20627</v>
      </c>
      <c r="G254" s="44">
        <v>3</v>
      </c>
      <c r="H254" s="44">
        <v>0</v>
      </c>
      <c r="I254" s="44">
        <v>0.15</v>
      </c>
      <c r="J254" s="44">
        <v>3</v>
      </c>
      <c r="K254" s="44">
        <v>0</v>
      </c>
      <c r="L254" s="44">
        <v>0.15</v>
      </c>
      <c r="M254" s="44">
        <v>3</v>
      </c>
      <c r="N254" s="44">
        <v>0</v>
      </c>
      <c r="O254" s="44">
        <v>0.14000000000000001</v>
      </c>
      <c r="P254" s="44">
        <v>0</v>
      </c>
      <c r="Q254" s="44">
        <v>0</v>
      </c>
      <c r="R254" s="44">
        <v>0</v>
      </c>
      <c r="S254" s="44">
        <v>0</v>
      </c>
      <c r="T254" s="44">
        <v>0</v>
      </c>
      <c r="U254" s="44">
        <v>1</v>
      </c>
      <c r="V254" s="44">
        <v>0.05</v>
      </c>
      <c r="W254" s="44">
        <v>3</v>
      </c>
      <c r="X254" s="44">
        <v>0</v>
      </c>
      <c r="Y254" s="44">
        <v>0.14000000000000001</v>
      </c>
      <c r="Z254" s="44">
        <v>0</v>
      </c>
      <c r="AA254" s="45">
        <v>3</v>
      </c>
      <c r="AB254" s="45">
        <v>0</v>
      </c>
      <c r="AC254" s="44">
        <v>0.15</v>
      </c>
      <c r="AD254" s="44">
        <v>0</v>
      </c>
      <c r="AE254" s="44">
        <v>3</v>
      </c>
      <c r="AF254" s="44">
        <v>0</v>
      </c>
      <c r="AG254" s="44">
        <v>0.15</v>
      </c>
      <c r="AH254" s="44">
        <v>0</v>
      </c>
      <c r="AI254" s="44">
        <v>41</v>
      </c>
      <c r="AJ254" s="44">
        <v>38</v>
      </c>
    </row>
    <row r="255" spans="1:36" x14ac:dyDescent="0.35">
      <c r="A255" s="44" t="s">
        <v>302</v>
      </c>
      <c r="B255" s="44" t="s">
        <v>52</v>
      </c>
      <c r="C255" s="44">
        <v>24135</v>
      </c>
      <c r="D255" s="37">
        <v>11037</v>
      </c>
      <c r="E255" s="37">
        <v>11440</v>
      </c>
      <c r="F255" s="37">
        <v>11604</v>
      </c>
      <c r="G255" s="44">
        <v>0</v>
      </c>
      <c r="H255" s="44">
        <v>0</v>
      </c>
      <c r="I255" s="44">
        <v>0</v>
      </c>
      <c r="J255" s="44">
        <v>1</v>
      </c>
      <c r="K255" s="44">
        <v>0</v>
      </c>
      <c r="L255" s="44">
        <v>0.09</v>
      </c>
      <c r="M255" s="44">
        <v>1</v>
      </c>
      <c r="N255" s="44">
        <v>1</v>
      </c>
      <c r="O255" s="44">
        <v>0.09</v>
      </c>
      <c r="P255" s="44">
        <v>0.09</v>
      </c>
      <c r="Q255" s="44">
        <v>1</v>
      </c>
      <c r="R255" s="44">
        <v>0.09</v>
      </c>
      <c r="S255" s="44">
        <v>0</v>
      </c>
      <c r="T255" s="44">
        <v>0</v>
      </c>
      <c r="U255" s="44">
        <v>0</v>
      </c>
      <c r="V255" s="44">
        <v>0</v>
      </c>
      <c r="W255" s="44">
        <v>1</v>
      </c>
      <c r="X255" s="44">
        <v>1</v>
      </c>
      <c r="Y255" s="44">
        <v>0.09</v>
      </c>
      <c r="Z255" s="44">
        <v>0.09</v>
      </c>
      <c r="AA255" s="45">
        <v>1</v>
      </c>
      <c r="AB255" s="45">
        <v>1</v>
      </c>
      <c r="AC255" s="44">
        <v>0.09</v>
      </c>
      <c r="AD255" s="44">
        <v>0.09</v>
      </c>
      <c r="AE255" s="44">
        <v>1</v>
      </c>
      <c r="AF255" s="44">
        <v>1</v>
      </c>
      <c r="AG255" s="44">
        <v>0.09</v>
      </c>
      <c r="AH255" s="44">
        <v>0.09</v>
      </c>
      <c r="AI255" s="44">
        <v>23</v>
      </c>
      <c r="AJ255" s="44">
        <v>22</v>
      </c>
    </row>
    <row r="256" spans="1:36" x14ac:dyDescent="0.35">
      <c r="A256" s="44" t="s">
        <v>104</v>
      </c>
      <c r="B256" s="44" t="s">
        <v>52</v>
      </c>
      <c r="C256" s="44">
        <v>24107</v>
      </c>
      <c r="D256" s="37">
        <v>35973</v>
      </c>
      <c r="E256" s="37">
        <v>36282</v>
      </c>
      <c r="F256" s="37">
        <v>36581</v>
      </c>
      <c r="G256" s="44">
        <v>6</v>
      </c>
      <c r="H256" s="44">
        <v>0</v>
      </c>
      <c r="I256" s="44">
        <v>0.17</v>
      </c>
      <c r="J256" s="44">
        <v>4</v>
      </c>
      <c r="K256" s="44">
        <v>0</v>
      </c>
      <c r="L256" s="44">
        <v>0.11</v>
      </c>
      <c r="M256" s="44">
        <v>4</v>
      </c>
      <c r="N256" s="44">
        <v>3</v>
      </c>
      <c r="O256" s="44">
        <v>0.11</v>
      </c>
      <c r="P256" s="44">
        <v>0.08</v>
      </c>
      <c r="Q256" s="44">
        <v>-2</v>
      </c>
      <c r="R256" s="44">
        <v>-0.06</v>
      </c>
      <c r="S256" s="44">
        <v>0</v>
      </c>
      <c r="T256" s="44">
        <v>0</v>
      </c>
      <c r="U256" s="44">
        <v>1</v>
      </c>
      <c r="V256" s="44">
        <v>0.03</v>
      </c>
      <c r="W256" s="44">
        <v>4</v>
      </c>
      <c r="X256" s="44">
        <v>3</v>
      </c>
      <c r="Y256" s="44">
        <v>0.11</v>
      </c>
      <c r="Z256" s="44">
        <v>0.08</v>
      </c>
      <c r="AA256" s="45">
        <v>5</v>
      </c>
      <c r="AB256" s="45">
        <v>2</v>
      </c>
      <c r="AC256" s="44">
        <v>0.14000000000000001</v>
      </c>
      <c r="AD256" s="44">
        <v>0.05</v>
      </c>
      <c r="AE256" s="44">
        <v>8</v>
      </c>
      <c r="AF256" s="44">
        <v>6</v>
      </c>
      <c r="AG256" s="44">
        <v>0.22</v>
      </c>
      <c r="AH256" s="44">
        <v>0.16</v>
      </c>
      <c r="AI256" s="44">
        <v>73</v>
      </c>
      <c r="AJ256" s="44">
        <v>65</v>
      </c>
    </row>
    <row r="257" spans="1:36" x14ac:dyDescent="0.35">
      <c r="A257" s="44" t="s">
        <v>356</v>
      </c>
      <c r="B257" s="44" t="s">
        <v>59</v>
      </c>
      <c r="C257" s="44">
        <v>73083</v>
      </c>
      <c r="D257" s="37">
        <v>31562</v>
      </c>
      <c r="E257" s="37">
        <v>31915</v>
      </c>
      <c r="F257" s="37">
        <v>32138</v>
      </c>
      <c r="G257" s="44">
        <v>1</v>
      </c>
      <c r="H257" s="44">
        <v>0</v>
      </c>
      <c r="I257" s="44">
        <v>0.03</v>
      </c>
      <c r="J257" s="44">
        <v>0</v>
      </c>
      <c r="K257" s="44">
        <v>0</v>
      </c>
      <c r="L257" s="44">
        <v>0</v>
      </c>
      <c r="M257" s="44">
        <v>0</v>
      </c>
      <c r="N257" s="44">
        <v>0</v>
      </c>
      <c r="O257" s="44">
        <v>0</v>
      </c>
      <c r="P257" s="44">
        <v>0</v>
      </c>
      <c r="Q257" s="44">
        <v>-1</v>
      </c>
      <c r="R257" s="44">
        <v>-0.03</v>
      </c>
      <c r="S257" s="44">
        <v>0</v>
      </c>
      <c r="T257" s="44">
        <v>0</v>
      </c>
      <c r="U257" s="44">
        <v>0</v>
      </c>
      <c r="V257" s="44">
        <v>0</v>
      </c>
      <c r="W257" s="44">
        <v>3</v>
      </c>
      <c r="X257" s="44">
        <v>1</v>
      </c>
      <c r="Y257" s="44">
        <v>0.09</v>
      </c>
      <c r="Z257" s="44">
        <v>0.03</v>
      </c>
      <c r="AA257" s="45">
        <v>5</v>
      </c>
      <c r="AB257" s="45">
        <v>2</v>
      </c>
      <c r="AC257" s="44">
        <v>0.16</v>
      </c>
      <c r="AD257" s="44">
        <v>0.06</v>
      </c>
      <c r="AE257" s="44">
        <v>6</v>
      </c>
      <c r="AF257" s="44">
        <v>2</v>
      </c>
      <c r="AG257" s="44">
        <v>0.19</v>
      </c>
      <c r="AH257" s="44">
        <v>0.06</v>
      </c>
      <c r="AI257" s="44">
        <v>64</v>
      </c>
      <c r="AJ257" s="44">
        <v>58</v>
      </c>
    </row>
    <row r="258" spans="1:36" x14ac:dyDescent="0.35">
      <c r="A258" s="44" t="s">
        <v>93</v>
      </c>
      <c r="B258" s="44" t="s">
        <v>55</v>
      </c>
      <c r="C258" s="44">
        <v>31033</v>
      </c>
      <c r="D258" s="37">
        <v>20517</v>
      </c>
      <c r="E258" s="37">
        <v>20782</v>
      </c>
      <c r="F258" s="37">
        <v>20965</v>
      </c>
      <c r="G258" s="44">
        <v>5</v>
      </c>
      <c r="H258" s="44">
        <v>3</v>
      </c>
      <c r="I258" s="44">
        <v>0.24</v>
      </c>
      <c r="J258" s="44">
        <v>5</v>
      </c>
      <c r="K258" s="44">
        <v>3</v>
      </c>
      <c r="L258" s="44">
        <v>0.24</v>
      </c>
      <c r="M258" s="44">
        <v>5</v>
      </c>
      <c r="N258" s="44">
        <v>3</v>
      </c>
      <c r="O258" s="44">
        <v>0.24</v>
      </c>
      <c r="P258" s="44">
        <v>0.14000000000000001</v>
      </c>
      <c r="Q258" s="44">
        <v>0</v>
      </c>
      <c r="R258" s="44">
        <v>0</v>
      </c>
      <c r="S258" s="44">
        <v>0</v>
      </c>
      <c r="T258" s="44">
        <v>0</v>
      </c>
      <c r="U258" s="44">
        <v>0</v>
      </c>
      <c r="V258" s="44">
        <v>0</v>
      </c>
      <c r="W258" s="44">
        <v>6</v>
      </c>
      <c r="X258" s="44">
        <v>3</v>
      </c>
      <c r="Y258" s="44">
        <v>0.28999999999999998</v>
      </c>
      <c r="Z258" s="44">
        <v>0.14000000000000001</v>
      </c>
      <c r="AA258" s="45">
        <v>7</v>
      </c>
      <c r="AB258" s="45">
        <v>3</v>
      </c>
      <c r="AC258" s="44">
        <v>0.33</v>
      </c>
      <c r="AD258" s="44">
        <v>0.14000000000000001</v>
      </c>
      <c r="AE258" s="44">
        <v>8</v>
      </c>
      <c r="AF258" s="44">
        <v>4</v>
      </c>
      <c r="AG258" s="44">
        <v>0.38</v>
      </c>
      <c r="AH258" s="44">
        <v>0.19</v>
      </c>
      <c r="AI258" s="44">
        <v>42</v>
      </c>
      <c r="AJ258" s="44">
        <v>34</v>
      </c>
    </row>
    <row r="259" spans="1:36" x14ac:dyDescent="0.35">
      <c r="A259" s="44" t="s">
        <v>215</v>
      </c>
      <c r="B259" s="44" t="s">
        <v>52</v>
      </c>
      <c r="C259" s="44">
        <v>24109</v>
      </c>
      <c r="D259" s="37">
        <v>15190</v>
      </c>
      <c r="E259" s="37">
        <v>15338</v>
      </c>
      <c r="F259" s="37">
        <v>15417</v>
      </c>
      <c r="G259" s="44">
        <v>1</v>
      </c>
      <c r="H259" s="44">
        <v>0</v>
      </c>
      <c r="I259" s="44">
        <v>7.0000000000000007E-2</v>
      </c>
      <c r="J259" s="44">
        <v>1</v>
      </c>
      <c r="K259" s="44">
        <v>0</v>
      </c>
      <c r="L259" s="44">
        <v>7.0000000000000007E-2</v>
      </c>
      <c r="M259" s="44">
        <v>1</v>
      </c>
      <c r="N259" s="44">
        <v>0</v>
      </c>
      <c r="O259" s="44">
        <v>7.0000000000000007E-2</v>
      </c>
      <c r="P259" s="44">
        <v>0</v>
      </c>
      <c r="Q259" s="44">
        <v>0</v>
      </c>
      <c r="R259" s="44">
        <v>0</v>
      </c>
      <c r="S259" s="44">
        <v>0</v>
      </c>
      <c r="T259" s="44">
        <v>0</v>
      </c>
      <c r="U259" s="44">
        <v>1</v>
      </c>
      <c r="V259" s="44">
        <v>7.0000000000000007E-2</v>
      </c>
      <c r="W259" s="44">
        <v>1</v>
      </c>
      <c r="X259" s="44">
        <v>0</v>
      </c>
      <c r="Y259" s="44">
        <v>7.0000000000000007E-2</v>
      </c>
      <c r="Z259" s="44">
        <v>0</v>
      </c>
      <c r="AA259" s="45">
        <v>1</v>
      </c>
      <c r="AB259" s="45">
        <v>0</v>
      </c>
      <c r="AC259" s="44">
        <v>0.06</v>
      </c>
      <c r="AD259" s="44">
        <v>0</v>
      </c>
      <c r="AE259" s="44">
        <v>3</v>
      </c>
      <c r="AF259" s="44">
        <v>1</v>
      </c>
      <c r="AG259" s="44">
        <v>0.19</v>
      </c>
      <c r="AH259" s="44">
        <v>0.06</v>
      </c>
      <c r="AI259" s="44">
        <v>31</v>
      </c>
      <c r="AJ259" s="44">
        <v>28</v>
      </c>
    </row>
    <row r="260" spans="1:36" x14ac:dyDescent="0.35">
      <c r="A260" s="44" t="s">
        <v>61</v>
      </c>
      <c r="B260" s="44" t="s">
        <v>48</v>
      </c>
      <c r="C260" s="44">
        <v>13040</v>
      </c>
      <c r="D260" s="37">
        <v>46372</v>
      </c>
      <c r="E260" s="37">
        <v>46923</v>
      </c>
      <c r="F260" s="37">
        <v>47305</v>
      </c>
      <c r="G260" s="44">
        <v>22</v>
      </c>
      <c r="H260" s="44">
        <v>0</v>
      </c>
      <c r="I260" s="44">
        <v>0.47</v>
      </c>
      <c r="J260" s="44">
        <v>22</v>
      </c>
      <c r="K260" s="44">
        <v>0</v>
      </c>
      <c r="L260" s="44">
        <v>0.47</v>
      </c>
      <c r="M260" s="44">
        <v>21</v>
      </c>
      <c r="N260" s="44">
        <v>6</v>
      </c>
      <c r="O260" s="44">
        <v>0.45</v>
      </c>
      <c r="P260" s="44">
        <v>0.13</v>
      </c>
      <c r="Q260" s="44">
        <v>-1</v>
      </c>
      <c r="R260" s="44">
        <v>-0.03</v>
      </c>
      <c r="S260" s="44">
        <v>-1</v>
      </c>
      <c r="T260" s="44">
        <v>-0.03</v>
      </c>
      <c r="U260" s="44">
        <v>10</v>
      </c>
      <c r="V260" s="44">
        <v>0.21</v>
      </c>
      <c r="W260" s="44">
        <v>29</v>
      </c>
      <c r="X260" s="44">
        <v>8</v>
      </c>
      <c r="Y260" s="44">
        <v>0.62</v>
      </c>
      <c r="Z260" s="44">
        <v>0.17</v>
      </c>
      <c r="AA260" s="45">
        <v>32</v>
      </c>
      <c r="AB260" s="45">
        <v>12</v>
      </c>
      <c r="AC260" s="44">
        <v>0.68</v>
      </c>
      <c r="AD260" s="44">
        <v>0.25</v>
      </c>
      <c r="AE260" s="44">
        <v>40</v>
      </c>
      <c r="AF260" s="44">
        <v>17</v>
      </c>
      <c r="AG260" s="44">
        <v>0.85</v>
      </c>
      <c r="AH260" s="44">
        <v>0.36</v>
      </c>
      <c r="AI260" s="44">
        <v>95</v>
      </c>
      <c r="AJ260" s="44">
        <v>55</v>
      </c>
    </row>
    <row r="261" spans="1:36" x14ac:dyDescent="0.35">
      <c r="A261" s="44" t="s">
        <v>175</v>
      </c>
      <c r="B261" s="44" t="s">
        <v>55</v>
      </c>
      <c r="C261" s="44">
        <v>38025</v>
      </c>
      <c r="D261" s="37">
        <v>12295</v>
      </c>
      <c r="E261" s="37">
        <v>12419</v>
      </c>
      <c r="F261" s="37">
        <v>12542</v>
      </c>
      <c r="G261" s="44">
        <v>0</v>
      </c>
      <c r="H261" s="44">
        <v>0</v>
      </c>
      <c r="I261" s="44">
        <v>0</v>
      </c>
      <c r="J261" s="44">
        <v>0</v>
      </c>
      <c r="K261" s="44">
        <v>0</v>
      </c>
      <c r="L261" s="44">
        <v>0</v>
      </c>
      <c r="M261" s="44">
        <v>0</v>
      </c>
      <c r="N261" s="44">
        <v>0</v>
      </c>
      <c r="O261" s="44">
        <v>0</v>
      </c>
      <c r="P261" s="44">
        <v>0</v>
      </c>
      <c r="Q261" s="44">
        <v>0</v>
      </c>
      <c r="R261" s="44">
        <v>0</v>
      </c>
      <c r="S261" s="44">
        <v>0</v>
      </c>
      <c r="T261" s="44">
        <v>0</v>
      </c>
      <c r="U261" s="44">
        <v>0</v>
      </c>
      <c r="V261" s="44">
        <v>0</v>
      </c>
      <c r="W261" s="44">
        <v>0</v>
      </c>
      <c r="X261" s="44">
        <v>0</v>
      </c>
      <c r="Y261" s="44">
        <v>0</v>
      </c>
      <c r="Z261" s="44">
        <v>0</v>
      </c>
      <c r="AA261" s="45">
        <v>1</v>
      </c>
      <c r="AB261" s="45">
        <v>0</v>
      </c>
      <c r="AC261" s="44">
        <v>0.08</v>
      </c>
      <c r="AD261" s="44">
        <v>0</v>
      </c>
      <c r="AE261" s="44">
        <v>3</v>
      </c>
      <c r="AF261" s="44">
        <v>2</v>
      </c>
      <c r="AG261" s="44">
        <v>0.24</v>
      </c>
      <c r="AH261" s="44">
        <v>0.16</v>
      </c>
      <c r="AI261" s="44">
        <v>25</v>
      </c>
      <c r="AJ261" s="44">
        <v>22</v>
      </c>
    </row>
    <row r="262" spans="1:36" x14ac:dyDescent="0.35">
      <c r="A262" s="44" t="s">
        <v>74</v>
      </c>
      <c r="B262" s="44" t="s">
        <v>52</v>
      </c>
      <c r="C262" s="44">
        <v>23088</v>
      </c>
      <c r="D262" s="37">
        <v>46354</v>
      </c>
      <c r="E262" s="37">
        <v>46993</v>
      </c>
      <c r="F262" s="37">
        <v>47445</v>
      </c>
      <c r="G262" s="44">
        <v>7</v>
      </c>
      <c r="H262" s="44">
        <v>0</v>
      </c>
      <c r="I262" s="44">
        <v>0.15</v>
      </c>
      <c r="J262" s="44">
        <v>7</v>
      </c>
      <c r="K262" s="44">
        <v>0</v>
      </c>
      <c r="L262" s="44">
        <v>0.15</v>
      </c>
      <c r="M262" s="44">
        <v>8</v>
      </c>
      <c r="N262" s="44">
        <v>0</v>
      </c>
      <c r="O262" s="44">
        <v>0.17</v>
      </c>
      <c r="P262" s="44">
        <v>0</v>
      </c>
      <c r="Q262" s="44">
        <v>1</v>
      </c>
      <c r="R262" s="44">
        <v>0.02</v>
      </c>
      <c r="S262" s="44">
        <v>1</v>
      </c>
      <c r="T262" s="44">
        <v>0.02</v>
      </c>
      <c r="U262" s="44">
        <v>0</v>
      </c>
      <c r="V262" s="44">
        <v>0</v>
      </c>
      <c r="W262" s="44">
        <v>10</v>
      </c>
      <c r="X262" s="44">
        <v>0</v>
      </c>
      <c r="Y262" s="44">
        <v>0.21</v>
      </c>
      <c r="Z262" s="44">
        <v>0</v>
      </c>
      <c r="AA262" s="45">
        <v>10</v>
      </c>
      <c r="AB262" s="45">
        <v>0</v>
      </c>
      <c r="AC262" s="44">
        <v>0.21</v>
      </c>
      <c r="AD262" s="44">
        <v>0</v>
      </c>
      <c r="AE262" s="44">
        <v>12</v>
      </c>
      <c r="AF262" s="44">
        <v>0</v>
      </c>
      <c r="AG262" s="44">
        <v>0.25</v>
      </c>
      <c r="AH262" s="44">
        <v>0</v>
      </c>
      <c r="AI262" s="44">
        <v>95</v>
      </c>
      <c r="AJ262" s="44">
        <v>83</v>
      </c>
    </row>
    <row r="263" spans="1:36" x14ac:dyDescent="0.35">
      <c r="A263" s="44" t="s">
        <v>240</v>
      </c>
      <c r="B263" s="44" t="s">
        <v>55</v>
      </c>
      <c r="C263" s="44">
        <v>33041</v>
      </c>
      <c r="D263" s="37">
        <v>3646</v>
      </c>
      <c r="E263" s="37">
        <v>3611</v>
      </c>
      <c r="F263" s="37">
        <v>3600</v>
      </c>
      <c r="G263" s="44">
        <v>0</v>
      </c>
      <c r="H263" s="44">
        <v>0</v>
      </c>
      <c r="I263" s="44">
        <v>0</v>
      </c>
      <c r="J263" s="44">
        <v>0</v>
      </c>
      <c r="K263" s="44">
        <v>0</v>
      </c>
      <c r="L263" s="44">
        <v>0</v>
      </c>
      <c r="M263" s="44">
        <v>0</v>
      </c>
      <c r="N263" s="44">
        <v>0</v>
      </c>
      <c r="O263" s="44">
        <v>0</v>
      </c>
      <c r="P263" s="44">
        <v>0</v>
      </c>
      <c r="Q263" s="44">
        <v>0</v>
      </c>
      <c r="R263" s="44">
        <v>0</v>
      </c>
      <c r="S263" s="44">
        <v>0</v>
      </c>
      <c r="T263" s="44">
        <v>0</v>
      </c>
      <c r="U263" s="44">
        <v>0</v>
      </c>
      <c r="V263" s="44">
        <v>0</v>
      </c>
      <c r="W263" s="44">
        <v>0</v>
      </c>
      <c r="X263" s="44">
        <v>0</v>
      </c>
      <c r="Y263" s="44">
        <v>0</v>
      </c>
      <c r="Z263" s="44">
        <v>0</v>
      </c>
      <c r="AA263" s="45">
        <v>1</v>
      </c>
      <c r="AB263" s="45">
        <v>0</v>
      </c>
      <c r="AC263" s="44">
        <v>0.28000000000000003</v>
      </c>
      <c r="AD263" s="44">
        <v>0</v>
      </c>
      <c r="AE263" s="44">
        <v>1</v>
      </c>
      <c r="AF263" s="44">
        <v>0</v>
      </c>
      <c r="AG263" s="44">
        <v>0.28000000000000003</v>
      </c>
      <c r="AH263" s="44">
        <v>0</v>
      </c>
      <c r="AI263" s="44">
        <v>7</v>
      </c>
      <c r="AJ263" s="44">
        <v>6</v>
      </c>
    </row>
    <row r="264" spans="1:36" x14ac:dyDescent="0.35">
      <c r="A264" s="44" t="s">
        <v>318</v>
      </c>
      <c r="B264" s="44" t="s">
        <v>59</v>
      </c>
      <c r="C264" s="44">
        <v>73109</v>
      </c>
      <c r="D264" s="37">
        <v>4287</v>
      </c>
      <c r="E264" s="37">
        <v>4387</v>
      </c>
      <c r="F264" s="37">
        <v>4406</v>
      </c>
      <c r="G264" s="44">
        <v>0</v>
      </c>
      <c r="H264" s="44">
        <v>0</v>
      </c>
      <c r="I264" s="44">
        <v>0</v>
      </c>
      <c r="J264" s="44">
        <v>0</v>
      </c>
      <c r="K264" s="44">
        <v>0</v>
      </c>
      <c r="L264" s="44">
        <v>0</v>
      </c>
      <c r="M264" s="44">
        <v>0</v>
      </c>
      <c r="N264" s="44">
        <v>0</v>
      </c>
      <c r="O264" s="44">
        <v>0</v>
      </c>
      <c r="P264" s="44">
        <v>0</v>
      </c>
      <c r="Q264" s="44">
        <v>0</v>
      </c>
      <c r="R264" s="44">
        <v>0</v>
      </c>
      <c r="S264" s="44">
        <v>0</v>
      </c>
      <c r="T264" s="44">
        <v>0</v>
      </c>
      <c r="U264" s="44">
        <v>0</v>
      </c>
      <c r="V264" s="44">
        <v>0</v>
      </c>
      <c r="W264" s="44">
        <v>0</v>
      </c>
      <c r="X264" s="44">
        <v>0</v>
      </c>
      <c r="Y264" s="44">
        <v>0</v>
      </c>
      <c r="Z264" s="44">
        <v>0</v>
      </c>
      <c r="AA264" s="45">
        <v>0</v>
      </c>
      <c r="AB264" s="45">
        <v>0</v>
      </c>
      <c r="AC264" s="44">
        <v>0</v>
      </c>
      <c r="AD264" s="44">
        <v>0</v>
      </c>
      <c r="AE264" s="44">
        <v>0</v>
      </c>
      <c r="AF264" s="44">
        <v>0</v>
      </c>
      <c r="AG264" s="44">
        <v>0</v>
      </c>
      <c r="AH264" s="44">
        <v>0</v>
      </c>
      <c r="AI264" s="44">
        <v>9</v>
      </c>
      <c r="AJ264" s="44">
        <v>9</v>
      </c>
    </row>
    <row r="265" spans="1:36" x14ac:dyDescent="0.35">
      <c r="A265" s="44" t="s">
        <v>195</v>
      </c>
      <c r="B265" s="44" t="s">
        <v>48</v>
      </c>
      <c r="C265" s="44">
        <v>13044</v>
      </c>
      <c r="D265" s="37">
        <v>8019</v>
      </c>
      <c r="E265" s="37">
        <v>8044</v>
      </c>
      <c r="F265" s="37">
        <v>8034</v>
      </c>
      <c r="G265" s="44">
        <v>0</v>
      </c>
      <c r="H265" s="44">
        <v>0</v>
      </c>
      <c r="I265" s="44">
        <v>0</v>
      </c>
      <c r="J265" s="44">
        <v>2</v>
      </c>
      <c r="K265" s="44">
        <v>0</v>
      </c>
      <c r="L265" s="44">
        <v>0.25</v>
      </c>
      <c r="M265" s="44">
        <v>2</v>
      </c>
      <c r="N265" s="44">
        <v>2</v>
      </c>
      <c r="O265" s="44">
        <v>0.25</v>
      </c>
      <c r="P265" s="44">
        <v>0.25</v>
      </c>
      <c r="Q265" s="44">
        <v>2</v>
      </c>
      <c r="R265" s="44">
        <v>0.25</v>
      </c>
      <c r="S265" s="44">
        <v>0</v>
      </c>
      <c r="T265" s="44">
        <v>0</v>
      </c>
      <c r="U265" s="44">
        <v>0</v>
      </c>
      <c r="V265" s="44">
        <v>0</v>
      </c>
      <c r="W265" s="44">
        <v>3</v>
      </c>
      <c r="X265" s="44">
        <v>2</v>
      </c>
      <c r="Y265" s="44">
        <v>0.37</v>
      </c>
      <c r="Z265" s="44">
        <v>0.25</v>
      </c>
      <c r="AA265" s="45">
        <v>3</v>
      </c>
      <c r="AB265" s="45">
        <v>2</v>
      </c>
      <c r="AC265" s="44">
        <v>0.37</v>
      </c>
      <c r="AD265" s="44">
        <v>0.25</v>
      </c>
      <c r="AE265" s="44">
        <v>3</v>
      </c>
      <c r="AF265" s="44">
        <v>2</v>
      </c>
      <c r="AG265" s="44">
        <v>0.37</v>
      </c>
      <c r="AH265" s="44">
        <v>0.25</v>
      </c>
      <c r="AI265" s="44">
        <v>16</v>
      </c>
      <c r="AJ265" s="44">
        <v>13</v>
      </c>
    </row>
    <row r="266" spans="1:36" x14ac:dyDescent="0.35">
      <c r="A266" s="44" t="s">
        <v>264</v>
      </c>
      <c r="B266" s="44" t="s">
        <v>48</v>
      </c>
      <c r="C266" s="44">
        <v>13046</v>
      </c>
      <c r="D266" s="37">
        <v>11556</v>
      </c>
      <c r="E266" s="37">
        <v>11802</v>
      </c>
      <c r="F266" s="37">
        <v>11801</v>
      </c>
      <c r="G266" s="44">
        <v>0</v>
      </c>
      <c r="H266" s="44">
        <v>0</v>
      </c>
      <c r="I266" s="44">
        <v>0</v>
      </c>
      <c r="J266" s="44">
        <v>0</v>
      </c>
      <c r="K266" s="44">
        <v>0</v>
      </c>
      <c r="L266" s="44">
        <v>0</v>
      </c>
      <c r="M266" s="44">
        <v>1</v>
      </c>
      <c r="N266" s="44">
        <v>0</v>
      </c>
      <c r="O266" s="44">
        <v>0.08</v>
      </c>
      <c r="P266" s="44">
        <v>0</v>
      </c>
      <c r="Q266" s="44">
        <v>1</v>
      </c>
      <c r="R266" s="44">
        <v>0.08</v>
      </c>
      <c r="S266" s="44">
        <v>1</v>
      </c>
      <c r="T266" s="44">
        <v>0.08</v>
      </c>
      <c r="U266" s="44">
        <v>1</v>
      </c>
      <c r="V266" s="44">
        <v>0.08</v>
      </c>
      <c r="W266" s="44">
        <v>1</v>
      </c>
      <c r="X266" s="44">
        <v>0</v>
      </c>
      <c r="Y266" s="44">
        <v>0.08</v>
      </c>
      <c r="Z266" s="44">
        <v>0</v>
      </c>
      <c r="AA266" s="45">
        <v>0</v>
      </c>
      <c r="AB266" s="45">
        <v>0</v>
      </c>
      <c r="AC266" s="44">
        <v>0</v>
      </c>
      <c r="AD266" s="44">
        <v>0</v>
      </c>
      <c r="AE266" s="44">
        <v>2</v>
      </c>
      <c r="AF266" s="44">
        <v>2</v>
      </c>
      <c r="AG266" s="44">
        <v>0.17</v>
      </c>
      <c r="AH266" s="44">
        <v>0.17</v>
      </c>
      <c r="AI266" s="44">
        <v>24</v>
      </c>
      <c r="AJ266" s="44">
        <v>22</v>
      </c>
    </row>
    <row r="267" spans="1:36" x14ac:dyDescent="0.35">
      <c r="A267" s="44" t="s">
        <v>262</v>
      </c>
      <c r="B267" s="44" t="s">
        <v>50</v>
      </c>
      <c r="C267" s="44">
        <v>42023</v>
      </c>
      <c r="D267" s="37">
        <v>11022</v>
      </c>
      <c r="E267" s="37">
        <v>11177</v>
      </c>
      <c r="F267" s="37">
        <v>11296</v>
      </c>
      <c r="G267" s="44">
        <v>2</v>
      </c>
      <c r="H267" s="44">
        <v>0</v>
      </c>
      <c r="I267" s="44">
        <v>0.18</v>
      </c>
      <c r="J267" s="44">
        <v>2</v>
      </c>
      <c r="K267" s="44">
        <v>0</v>
      </c>
      <c r="L267" s="44">
        <v>0.18</v>
      </c>
      <c r="M267" s="44">
        <v>2</v>
      </c>
      <c r="N267" s="44">
        <v>2</v>
      </c>
      <c r="O267" s="44">
        <v>0.18</v>
      </c>
      <c r="P267" s="44">
        <v>0.18</v>
      </c>
      <c r="Q267" s="44">
        <v>0</v>
      </c>
      <c r="R267" s="44">
        <v>0</v>
      </c>
      <c r="S267" s="44">
        <v>0</v>
      </c>
      <c r="T267" s="44">
        <v>0</v>
      </c>
      <c r="U267" s="44">
        <v>0</v>
      </c>
      <c r="V267" s="44">
        <v>0</v>
      </c>
      <c r="W267" s="44">
        <v>2</v>
      </c>
      <c r="X267" s="44">
        <v>2</v>
      </c>
      <c r="Y267" s="44">
        <v>0.18</v>
      </c>
      <c r="Z267" s="44">
        <v>0.18</v>
      </c>
      <c r="AA267" s="45">
        <v>2</v>
      </c>
      <c r="AB267" s="45">
        <v>2</v>
      </c>
      <c r="AC267" s="44">
        <v>0.18</v>
      </c>
      <c r="AD267" s="44">
        <v>0.18</v>
      </c>
      <c r="AE267" s="44">
        <v>2</v>
      </c>
      <c r="AF267" s="44">
        <v>2</v>
      </c>
      <c r="AG267" s="44">
        <v>0.18</v>
      </c>
      <c r="AH267" s="44">
        <v>0.18</v>
      </c>
      <c r="AI267" s="44">
        <v>23</v>
      </c>
      <c r="AJ267" s="44">
        <v>21</v>
      </c>
    </row>
    <row r="268" spans="1:36" x14ac:dyDescent="0.35">
      <c r="A268" s="44" t="s">
        <v>357</v>
      </c>
      <c r="B268" s="44" t="s">
        <v>50</v>
      </c>
      <c r="C268" s="44">
        <v>44073</v>
      </c>
      <c r="D268" s="37">
        <v>7847</v>
      </c>
      <c r="E268" s="37">
        <v>7837</v>
      </c>
      <c r="F268" s="37">
        <v>7897</v>
      </c>
      <c r="G268" s="44">
        <v>2</v>
      </c>
      <c r="H268" s="44">
        <v>0</v>
      </c>
      <c r="I268" s="44">
        <v>0.25</v>
      </c>
      <c r="J268" s="44">
        <v>2</v>
      </c>
      <c r="K268" s="44">
        <v>0</v>
      </c>
      <c r="L268" s="44">
        <v>0.25</v>
      </c>
      <c r="M268" s="44">
        <v>1</v>
      </c>
      <c r="N268" s="44">
        <v>0</v>
      </c>
      <c r="O268" s="44">
        <v>0.13</v>
      </c>
      <c r="P268" s="44">
        <v>0</v>
      </c>
      <c r="Q268" s="44">
        <v>-1</v>
      </c>
      <c r="R268" s="44">
        <v>-0.13</v>
      </c>
      <c r="S268" s="44">
        <v>-1</v>
      </c>
      <c r="T268" s="44">
        <v>-0.13</v>
      </c>
      <c r="U268" s="44">
        <v>0</v>
      </c>
      <c r="V268" s="44">
        <v>0</v>
      </c>
      <c r="W268" s="44">
        <v>1</v>
      </c>
      <c r="X268" s="44">
        <v>0</v>
      </c>
      <c r="Y268" s="44">
        <v>0.13</v>
      </c>
      <c r="Z268" s="44">
        <v>0</v>
      </c>
      <c r="AA268" s="45">
        <v>1</v>
      </c>
      <c r="AB268" s="45">
        <v>0</v>
      </c>
      <c r="AC268" s="44">
        <v>0.13</v>
      </c>
      <c r="AD268" s="44">
        <v>0</v>
      </c>
      <c r="AE268" s="44">
        <v>1</v>
      </c>
      <c r="AF268" s="44">
        <v>0</v>
      </c>
      <c r="AG268" s="44">
        <v>0.13</v>
      </c>
      <c r="AH268" s="44">
        <v>0</v>
      </c>
      <c r="AI268" s="44">
        <v>16</v>
      </c>
      <c r="AJ268" s="44">
        <v>15</v>
      </c>
    </row>
    <row r="269" spans="1:36" x14ac:dyDescent="0.35">
      <c r="A269" s="44" t="s">
        <v>146</v>
      </c>
      <c r="B269" s="44" t="s">
        <v>55</v>
      </c>
      <c r="C269" s="44">
        <v>34040</v>
      </c>
      <c r="D269" s="37">
        <v>38948</v>
      </c>
      <c r="E269" s="37">
        <v>39488</v>
      </c>
      <c r="F269" s="37">
        <v>39997</v>
      </c>
      <c r="G269" s="44">
        <v>3</v>
      </c>
      <c r="H269" s="44">
        <v>0</v>
      </c>
      <c r="I269" s="44">
        <v>0.08</v>
      </c>
      <c r="J269" s="44">
        <v>3</v>
      </c>
      <c r="K269" s="44">
        <v>0</v>
      </c>
      <c r="L269" s="44">
        <v>0.08</v>
      </c>
      <c r="M269" s="44">
        <v>4</v>
      </c>
      <c r="N269" s="44">
        <v>3</v>
      </c>
      <c r="O269" s="44">
        <v>0.1</v>
      </c>
      <c r="P269" s="44">
        <v>0.08</v>
      </c>
      <c r="Q269" s="44">
        <v>1</v>
      </c>
      <c r="R269" s="44">
        <v>0.02</v>
      </c>
      <c r="S269" s="44">
        <v>1</v>
      </c>
      <c r="T269" s="44">
        <v>0.02</v>
      </c>
      <c r="U269" s="44">
        <v>1</v>
      </c>
      <c r="V269" s="44">
        <v>0.03</v>
      </c>
      <c r="W269" s="44">
        <v>6</v>
      </c>
      <c r="X269" s="44">
        <v>4</v>
      </c>
      <c r="Y269" s="44">
        <v>0.15</v>
      </c>
      <c r="Z269" s="44">
        <v>0.1</v>
      </c>
      <c r="AA269" s="45">
        <v>6</v>
      </c>
      <c r="AB269" s="45">
        <v>3</v>
      </c>
      <c r="AC269" s="44">
        <v>0.15</v>
      </c>
      <c r="AD269" s="44">
        <v>0.08</v>
      </c>
      <c r="AE269" s="44">
        <v>7</v>
      </c>
      <c r="AF269" s="44">
        <v>4</v>
      </c>
      <c r="AG269" s="44">
        <v>0.18</v>
      </c>
      <c r="AH269" s="44">
        <v>0.1</v>
      </c>
      <c r="AI269" s="44">
        <v>80</v>
      </c>
      <c r="AJ269" s="44">
        <v>73</v>
      </c>
    </row>
    <row r="270" spans="1:36" x14ac:dyDescent="0.35">
      <c r="A270" s="44" t="s">
        <v>322</v>
      </c>
      <c r="B270" s="44" t="s">
        <v>59</v>
      </c>
      <c r="C270" s="44">
        <v>73098</v>
      </c>
      <c r="D270" s="37">
        <v>7459</v>
      </c>
      <c r="E270" s="37">
        <v>7473</v>
      </c>
      <c r="F270" s="37">
        <v>7490</v>
      </c>
      <c r="G270" s="44">
        <v>0</v>
      </c>
      <c r="H270" s="44">
        <v>0</v>
      </c>
      <c r="I270" s="44">
        <v>0</v>
      </c>
      <c r="J270" s="44">
        <v>0</v>
      </c>
      <c r="K270" s="44">
        <v>0</v>
      </c>
      <c r="L270" s="44">
        <v>0</v>
      </c>
      <c r="M270" s="44">
        <v>0</v>
      </c>
      <c r="N270" s="44">
        <v>0</v>
      </c>
      <c r="O270" s="44">
        <v>0</v>
      </c>
      <c r="P270" s="44">
        <v>0</v>
      </c>
      <c r="Q270" s="44">
        <v>0</v>
      </c>
      <c r="R270" s="44">
        <v>0</v>
      </c>
      <c r="S270" s="44">
        <v>0</v>
      </c>
      <c r="T270" s="44">
        <v>0</v>
      </c>
      <c r="U270" s="44">
        <v>0</v>
      </c>
      <c r="V270" s="44">
        <v>0</v>
      </c>
      <c r="W270" s="44">
        <v>0</v>
      </c>
      <c r="X270" s="44">
        <v>0</v>
      </c>
      <c r="Y270" s="44">
        <v>0</v>
      </c>
      <c r="Z270" s="44">
        <v>0</v>
      </c>
      <c r="AA270" s="45">
        <v>0</v>
      </c>
      <c r="AB270" s="45">
        <v>0</v>
      </c>
      <c r="AC270" s="44">
        <v>0</v>
      </c>
      <c r="AD270" s="44">
        <v>0</v>
      </c>
      <c r="AE270" s="44">
        <v>0</v>
      </c>
      <c r="AF270" s="44">
        <v>0</v>
      </c>
      <c r="AG270" s="44">
        <v>0</v>
      </c>
      <c r="AH270" s="44">
        <v>0</v>
      </c>
      <c r="AI270" s="44">
        <v>15</v>
      </c>
      <c r="AJ270" s="44">
        <v>15</v>
      </c>
    </row>
    <row r="271" spans="1:36" x14ac:dyDescent="0.35">
      <c r="A271" s="44" t="s">
        <v>162</v>
      </c>
      <c r="B271" s="44" t="s">
        <v>52</v>
      </c>
      <c r="C271" s="44">
        <v>23102</v>
      </c>
      <c r="D271" s="37">
        <v>17182</v>
      </c>
      <c r="E271" s="37">
        <v>17743</v>
      </c>
      <c r="F271" s="37">
        <v>18179</v>
      </c>
      <c r="G271" s="44">
        <v>0</v>
      </c>
      <c r="H271" s="44">
        <v>0</v>
      </c>
      <c r="I271" s="44">
        <v>0</v>
      </c>
      <c r="J271" s="44">
        <v>0</v>
      </c>
      <c r="K271" s="44">
        <v>0</v>
      </c>
      <c r="L271" s="44">
        <v>0</v>
      </c>
      <c r="M271" s="44">
        <v>1</v>
      </c>
      <c r="N271" s="44">
        <v>0</v>
      </c>
      <c r="O271" s="44">
        <v>0.06</v>
      </c>
      <c r="P271" s="44">
        <v>0</v>
      </c>
      <c r="Q271" s="44">
        <v>1</v>
      </c>
      <c r="R271" s="44">
        <v>0.06</v>
      </c>
      <c r="S271" s="44">
        <v>1</v>
      </c>
      <c r="T271" s="44">
        <v>0.06</v>
      </c>
      <c r="U271" s="44">
        <v>1</v>
      </c>
      <c r="V271" s="44">
        <v>0.06</v>
      </c>
      <c r="W271" s="44">
        <v>5</v>
      </c>
      <c r="X271" s="44">
        <v>2</v>
      </c>
      <c r="Y271" s="44">
        <v>0.28000000000000003</v>
      </c>
      <c r="Z271" s="44">
        <v>0.11</v>
      </c>
      <c r="AA271" s="45">
        <v>4</v>
      </c>
      <c r="AB271" s="45">
        <v>2</v>
      </c>
      <c r="AC271" s="44">
        <v>0.22</v>
      </c>
      <c r="AD271" s="44">
        <v>0.11</v>
      </c>
      <c r="AE271" s="44">
        <v>4</v>
      </c>
      <c r="AF271" s="44">
        <v>2</v>
      </c>
      <c r="AG271" s="44">
        <v>0.22</v>
      </c>
      <c r="AH271" s="44">
        <v>0.11</v>
      </c>
      <c r="AI271" s="44">
        <v>36</v>
      </c>
      <c r="AJ271" s="44">
        <v>32</v>
      </c>
    </row>
    <row r="272" spans="1:36" x14ac:dyDescent="0.35">
      <c r="A272" s="44" t="s">
        <v>222</v>
      </c>
      <c r="B272" s="44" t="s">
        <v>55</v>
      </c>
      <c r="C272" s="44">
        <v>33029</v>
      </c>
      <c r="D272" s="37">
        <v>19020</v>
      </c>
      <c r="E272" s="37">
        <v>19190</v>
      </c>
      <c r="F272" s="37">
        <v>19209</v>
      </c>
      <c r="G272" s="44">
        <v>0</v>
      </c>
      <c r="H272" s="44">
        <v>0</v>
      </c>
      <c r="I272" s="44">
        <v>0</v>
      </c>
      <c r="J272" s="44">
        <v>0</v>
      </c>
      <c r="K272" s="44">
        <v>0</v>
      </c>
      <c r="L272" s="44">
        <v>0</v>
      </c>
      <c r="M272" s="44">
        <v>2</v>
      </c>
      <c r="N272" s="44">
        <v>0</v>
      </c>
      <c r="O272" s="44">
        <v>0.1</v>
      </c>
      <c r="P272" s="44">
        <v>0</v>
      </c>
      <c r="Q272" s="44">
        <v>2</v>
      </c>
      <c r="R272" s="44">
        <v>0.1</v>
      </c>
      <c r="S272" s="44">
        <v>2</v>
      </c>
      <c r="T272" s="44">
        <v>0.1</v>
      </c>
      <c r="U272" s="44">
        <v>0</v>
      </c>
      <c r="V272" s="44">
        <v>0</v>
      </c>
      <c r="W272" s="44">
        <v>2</v>
      </c>
      <c r="X272" s="44">
        <v>0</v>
      </c>
      <c r="Y272" s="44">
        <v>0.1</v>
      </c>
      <c r="Z272" s="44">
        <v>0</v>
      </c>
      <c r="AA272" s="45">
        <v>2</v>
      </c>
      <c r="AB272" s="45">
        <v>0</v>
      </c>
      <c r="AC272" s="44">
        <v>0.1</v>
      </c>
      <c r="AD272" s="44">
        <v>0</v>
      </c>
      <c r="AE272" s="44">
        <v>2</v>
      </c>
      <c r="AF272" s="44">
        <v>0</v>
      </c>
      <c r="AG272" s="44">
        <v>0.1</v>
      </c>
      <c r="AH272" s="44">
        <v>0</v>
      </c>
      <c r="AI272" s="44">
        <v>38</v>
      </c>
      <c r="AJ272" s="44">
        <v>36</v>
      </c>
    </row>
    <row r="273" spans="1:36" x14ac:dyDescent="0.35">
      <c r="A273" s="44" t="s">
        <v>101</v>
      </c>
      <c r="B273" s="44" t="s">
        <v>48</v>
      </c>
      <c r="C273" s="44">
        <v>13049</v>
      </c>
      <c r="D273" s="37">
        <v>25308</v>
      </c>
      <c r="E273" s="37">
        <v>25466</v>
      </c>
      <c r="F273" s="37">
        <v>25625</v>
      </c>
      <c r="G273" s="44">
        <v>0</v>
      </c>
      <c r="H273" s="44">
        <v>0</v>
      </c>
      <c r="I273" s="44">
        <v>0</v>
      </c>
      <c r="J273" s="44">
        <v>0</v>
      </c>
      <c r="K273" s="44">
        <v>0</v>
      </c>
      <c r="L273" s="44">
        <v>0</v>
      </c>
      <c r="M273" s="44">
        <v>2</v>
      </c>
      <c r="N273" s="44">
        <v>0</v>
      </c>
      <c r="O273" s="44">
        <v>0.08</v>
      </c>
      <c r="P273" s="44">
        <v>0</v>
      </c>
      <c r="Q273" s="44">
        <v>2</v>
      </c>
      <c r="R273" s="44">
        <v>0.08</v>
      </c>
      <c r="S273" s="44">
        <v>2</v>
      </c>
      <c r="T273" s="44">
        <v>0.08</v>
      </c>
      <c r="U273" s="44">
        <v>2</v>
      </c>
      <c r="V273" s="44">
        <v>0.08</v>
      </c>
      <c r="W273" s="44">
        <v>3</v>
      </c>
      <c r="X273" s="44">
        <v>0</v>
      </c>
      <c r="Y273" s="44">
        <v>0.12</v>
      </c>
      <c r="Z273" s="44">
        <v>0</v>
      </c>
      <c r="AA273" s="45">
        <v>7</v>
      </c>
      <c r="AB273" s="45">
        <v>4</v>
      </c>
      <c r="AC273" s="44">
        <v>0.27</v>
      </c>
      <c r="AD273" s="44">
        <v>0.16</v>
      </c>
      <c r="AE273" s="44">
        <v>7</v>
      </c>
      <c r="AF273" s="44">
        <v>2</v>
      </c>
      <c r="AG273" s="44">
        <v>0.27</v>
      </c>
      <c r="AH273" s="44">
        <v>0.08</v>
      </c>
      <c r="AI273" s="44">
        <v>51</v>
      </c>
      <c r="AJ273" s="44">
        <v>44</v>
      </c>
    </row>
    <row r="274" spans="1:36" x14ac:dyDescent="0.35">
      <c r="A274" s="44" t="s">
        <v>89</v>
      </c>
      <c r="B274" s="44" t="s">
        <v>50</v>
      </c>
      <c r="C274" s="44">
        <v>42025</v>
      </c>
      <c r="D274" s="37">
        <v>26444</v>
      </c>
      <c r="E274" s="37">
        <v>26748</v>
      </c>
      <c r="F274" s="37">
        <v>26960</v>
      </c>
      <c r="G274" s="44">
        <v>7</v>
      </c>
      <c r="H274" s="44">
        <v>1</v>
      </c>
      <c r="I274" s="44">
        <v>0.26</v>
      </c>
      <c r="J274" s="44">
        <v>7</v>
      </c>
      <c r="K274" s="44">
        <v>1</v>
      </c>
      <c r="L274" s="44">
        <v>0.26</v>
      </c>
      <c r="M274" s="44">
        <v>8</v>
      </c>
      <c r="N274" s="44">
        <v>2</v>
      </c>
      <c r="O274" s="44">
        <v>0.3</v>
      </c>
      <c r="P274" s="44">
        <v>7.0000000000000007E-2</v>
      </c>
      <c r="Q274" s="44">
        <v>1</v>
      </c>
      <c r="R274" s="44">
        <v>0.03</v>
      </c>
      <c r="S274" s="44">
        <v>1</v>
      </c>
      <c r="T274" s="44">
        <v>0.03</v>
      </c>
      <c r="U274" s="44">
        <v>4</v>
      </c>
      <c r="V274" s="44">
        <v>0.15</v>
      </c>
      <c r="W274" s="44">
        <v>7</v>
      </c>
      <c r="X274" s="44">
        <v>1</v>
      </c>
      <c r="Y274" s="44">
        <v>0.26</v>
      </c>
      <c r="Z274" s="44">
        <v>0.04</v>
      </c>
      <c r="AA274" s="45">
        <v>6</v>
      </c>
      <c r="AB274" s="45">
        <v>1</v>
      </c>
      <c r="AC274" s="44">
        <v>0.22</v>
      </c>
      <c r="AD274" s="44">
        <v>0.04</v>
      </c>
      <c r="AE274" s="44">
        <v>11</v>
      </c>
      <c r="AF274" s="44">
        <v>4</v>
      </c>
      <c r="AG274" s="44">
        <v>0.41</v>
      </c>
      <c r="AH274" s="44">
        <v>0.15</v>
      </c>
      <c r="AI274" s="44">
        <v>54</v>
      </c>
      <c r="AJ274" s="44">
        <v>43</v>
      </c>
    </row>
    <row r="275" spans="1:36" x14ac:dyDescent="0.35">
      <c r="A275" s="44" t="s">
        <v>143</v>
      </c>
      <c r="B275" s="44" t="s">
        <v>55</v>
      </c>
      <c r="C275" s="44">
        <v>34041</v>
      </c>
      <c r="D275" s="37">
        <v>31565</v>
      </c>
      <c r="E275" s="37">
        <v>31795</v>
      </c>
      <c r="F275" s="37">
        <v>31884</v>
      </c>
      <c r="G275" s="44">
        <v>5</v>
      </c>
      <c r="H275" s="44">
        <v>0</v>
      </c>
      <c r="I275" s="44">
        <v>0.16</v>
      </c>
      <c r="J275" s="44">
        <v>5</v>
      </c>
      <c r="K275" s="44">
        <v>0</v>
      </c>
      <c r="L275" s="44">
        <v>0.16</v>
      </c>
      <c r="M275" s="44">
        <v>5</v>
      </c>
      <c r="N275" s="44">
        <v>5</v>
      </c>
      <c r="O275" s="44">
        <v>0.16</v>
      </c>
      <c r="P275" s="44">
        <v>0.16</v>
      </c>
      <c r="Q275" s="44">
        <v>0</v>
      </c>
      <c r="R275" s="44">
        <v>0</v>
      </c>
      <c r="S275" s="44">
        <v>0</v>
      </c>
      <c r="T275" s="44">
        <v>0</v>
      </c>
      <c r="U275" s="44">
        <v>0</v>
      </c>
      <c r="V275" s="44">
        <v>0</v>
      </c>
      <c r="W275" s="44">
        <v>5</v>
      </c>
      <c r="X275" s="44">
        <v>5</v>
      </c>
      <c r="Y275" s="44">
        <v>0.16</v>
      </c>
      <c r="Z275" s="44">
        <v>0.16</v>
      </c>
      <c r="AA275" s="45">
        <v>5</v>
      </c>
      <c r="AB275" s="45">
        <v>5</v>
      </c>
      <c r="AC275" s="44">
        <v>0.16</v>
      </c>
      <c r="AD275" s="44">
        <v>0.16</v>
      </c>
      <c r="AE275" s="44">
        <v>6</v>
      </c>
      <c r="AF275" s="44">
        <v>6</v>
      </c>
      <c r="AG275" s="44">
        <v>0.19</v>
      </c>
      <c r="AH275" s="44">
        <v>0.19</v>
      </c>
      <c r="AI275" s="44">
        <v>64</v>
      </c>
      <c r="AJ275" s="44">
        <v>58</v>
      </c>
    </row>
    <row r="276" spans="1:36" x14ac:dyDescent="0.35">
      <c r="A276" s="44" t="s">
        <v>213</v>
      </c>
      <c r="B276" s="44" t="s">
        <v>52</v>
      </c>
      <c r="C276" s="44">
        <v>23103</v>
      </c>
      <c r="D276" s="37">
        <v>14488</v>
      </c>
      <c r="E276" s="37">
        <v>14608</v>
      </c>
      <c r="F276" s="37">
        <v>14742</v>
      </c>
      <c r="G276" s="44">
        <v>2</v>
      </c>
      <c r="H276" s="44">
        <v>0</v>
      </c>
      <c r="I276" s="44">
        <v>0.14000000000000001</v>
      </c>
      <c r="J276" s="44">
        <v>0</v>
      </c>
      <c r="K276" s="44">
        <v>0</v>
      </c>
      <c r="L276" s="44">
        <v>0</v>
      </c>
      <c r="M276" s="44">
        <v>0</v>
      </c>
      <c r="N276" s="44">
        <v>0</v>
      </c>
      <c r="O276" s="44">
        <v>0</v>
      </c>
      <c r="P276" s="44">
        <v>0</v>
      </c>
      <c r="Q276" s="44">
        <v>-2</v>
      </c>
      <c r="R276" s="44">
        <v>-0.14000000000000001</v>
      </c>
      <c r="S276" s="44">
        <v>0</v>
      </c>
      <c r="T276" s="44">
        <v>0</v>
      </c>
      <c r="U276" s="44">
        <v>0</v>
      </c>
      <c r="V276" s="44">
        <v>0</v>
      </c>
      <c r="W276" s="44">
        <v>3</v>
      </c>
      <c r="X276" s="44">
        <v>0</v>
      </c>
      <c r="Y276" s="44">
        <v>0.21</v>
      </c>
      <c r="Z276" s="44">
        <v>0</v>
      </c>
      <c r="AA276" s="45">
        <v>3</v>
      </c>
      <c r="AB276" s="45">
        <v>0</v>
      </c>
      <c r="AC276" s="44">
        <v>0.2</v>
      </c>
      <c r="AD276" s="44">
        <v>0</v>
      </c>
      <c r="AE276" s="44">
        <v>4</v>
      </c>
      <c r="AF276" s="44">
        <v>0</v>
      </c>
      <c r="AG276" s="44">
        <v>0.27</v>
      </c>
      <c r="AH276" s="44">
        <v>0</v>
      </c>
      <c r="AI276" s="44">
        <v>29</v>
      </c>
      <c r="AJ276" s="44">
        <v>25</v>
      </c>
    </row>
    <row r="277" spans="1:36" x14ac:dyDescent="0.35">
      <c r="A277" s="44" t="s">
        <v>205</v>
      </c>
      <c r="B277" s="44" t="s">
        <v>50</v>
      </c>
      <c r="C277" s="44">
        <v>42026</v>
      </c>
      <c r="D277" s="37">
        <v>11765</v>
      </c>
      <c r="E277" s="37">
        <v>11960</v>
      </c>
      <c r="F277" s="37">
        <v>12032</v>
      </c>
      <c r="G277" s="44">
        <v>1</v>
      </c>
      <c r="H277" s="44">
        <v>0</v>
      </c>
      <c r="I277" s="44">
        <v>0.08</v>
      </c>
      <c r="J277" s="44">
        <v>1</v>
      </c>
      <c r="K277" s="44">
        <v>0</v>
      </c>
      <c r="L277" s="44">
        <v>0.08</v>
      </c>
      <c r="M277" s="44">
        <v>1</v>
      </c>
      <c r="N277" s="44">
        <v>1</v>
      </c>
      <c r="O277" s="44">
        <v>0.08</v>
      </c>
      <c r="P277" s="44">
        <v>0.08</v>
      </c>
      <c r="Q277" s="44">
        <v>0</v>
      </c>
      <c r="R277" s="44">
        <v>0</v>
      </c>
      <c r="S277" s="44">
        <v>0</v>
      </c>
      <c r="T277" s="44">
        <v>0</v>
      </c>
      <c r="U277" s="44">
        <v>0</v>
      </c>
      <c r="V277" s="44">
        <v>0</v>
      </c>
      <c r="W277" s="44">
        <v>1</v>
      </c>
      <c r="X277" s="44">
        <v>1</v>
      </c>
      <c r="Y277" s="44">
        <v>0.08</v>
      </c>
      <c r="Z277" s="44">
        <v>0.08</v>
      </c>
      <c r="AA277" s="45">
        <v>2</v>
      </c>
      <c r="AB277" s="45">
        <v>2</v>
      </c>
      <c r="AC277" s="44">
        <v>0.17</v>
      </c>
      <c r="AD277" s="44">
        <v>0.17</v>
      </c>
      <c r="AE277" s="44">
        <v>2</v>
      </c>
      <c r="AF277" s="44">
        <v>2</v>
      </c>
      <c r="AG277" s="44">
        <v>0.17</v>
      </c>
      <c r="AH277" s="44">
        <v>0.17</v>
      </c>
      <c r="AI277" s="44">
        <v>24</v>
      </c>
      <c r="AJ277" s="44">
        <v>22</v>
      </c>
    </row>
    <row r="278" spans="1:36" x14ac:dyDescent="0.35">
      <c r="A278" s="44" t="s">
        <v>201</v>
      </c>
      <c r="B278" s="44" t="s">
        <v>55</v>
      </c>
      <c r="C278" s="44">
        <v>37017</v>
      </c>
      <c r="D278" s="37">
        <v>9917</v>
      </c>
      <c r="E278" s="37">
        <v>10013</v>
      </c>
      <c r="F278" s="37">
        <v>10138</v>
      </c>
      <c r="G278" s="44">
        <v>0</v>
      </c>
      <c r="H278" s="44">
        <v>0</v>
      </c>
      <c r="I278" s="44">
        <v>0</v>
      </c>
      <c r="J278" s="44">
        <v>0</v>
      </c>
      <c r="K278" s="44">
        <v>0</v>
      </c>
      <c r="L278" s="44">
        <v>0</v>
      </c>
      <c r="M278" s="44">
        <v>0</v>
      </c>
      <c r="N278" s="44">
        <v>0</v>
      </c>
      <c r="O278" s="44">
        <v>0</v>
      </c>
      <c r="P278" s="44">
        <v>0</v>
      </c>
      <c r="Q278" s="44">
        <v>0</v>
      </c>
      <c r="R278" s="44">
        <v>0</v>
      </c>
      <c r="S278" s="44">
        <v>0</v>
      </c>
      <c r="T278" s="44">
        <v>0</v>
      </c>
      <c r="U278" s="44">
        <v>0</v>
      </c>
      <c r="V278" s="44">
        <v>0</v>
      </c>
      <c r="W278" s="44">
        <v>0</v>
      </c>
      <c r="X278" s="44">
        <v>0</v>
      </c>
      <c r="Y278" s="44">
        <v>0</v>
      </c>
      <c r="Z278" s="44">
        <v>0</v>
      </c>
      <c r="AA278" s="45">
        <v>1</v>
      </c>
      <c r="AB278" s="45">
        <v>0</v>
      </c>
      <c r="AC278" s="44">
        <v>0.1</v>
      </c>
      <c r="AD278" s="44">
        <v>0</v>
      </c>
      <c r="AE278" s="44">
        <v>2</v>
      </c>
      <c r="AF278" s="44">
        <v>1</v>
      </c>
      <c r="AG278" s="44">
        <v>0.2</v>
      </c>
      <c r="AH278" s="44">
        <v>0.1</v>
      </c>
      <c r="AI278" s="44">
        <v>20</v>
      </c>
      <c r="AJ278" s="44">
        <v>18</v>
      </c>
    </row>
    <row r="279" spans="1:36" x14ac:dyDescent="0.35">
      <c r="A279" s="44" t="s">
        <v>151</v>
      </c>
      <c r="B279" s="44" t="s">
        <v>48</v>
      </c>
      <c r="C279" s="44">
        <v>11050</v>
      </c>
      <c r="D279" s="37">
        <v>10244</v>
      </c>
      <c r="E279" s="37">
        <v>10432</v>
      </c>
      <c r="F279" s="37">
        <v>10580</v>
      </c>
      <c r="G279" s="44">
        <v>7</v>
      </c>
      <c r="H279" s="44">
        <v>1</v>
      </c>
      <c r="I279" s="44">
        <v>0.68</v>
      </c>
      <c r="J279" s="44">
        <v>15</v>
      </c>
      <c r="K279" s="44">
        <v>1</v>
      </c>
      <c r="L279" s="44">
        <v>1.46</v>
      </c>
      <c r="M279" s="44">
        <v>8</v>
      </c>
      <c r="N279" s="44">
        <v>4</v>
      </c>
      <c r="O279" s="44">
        <v>0.77</v>
      </c>
      <c r="P279" s="44">
        <v>0.38</v>
      </c>
      <c r="Q279" s="44">
        <v>1</v>
      </c>
      <c r="R279" s="44">
        <v>0.08</v>
      </c>
      <c r="S279" s="44">
        <v>-7</v>
      </c>
      <c r="T279" s="44">
        <v>-0.7</v>
      </c>
      <c r="U279" s="44">
        <v>6</v>
      </c>
      <c r="V279" s="44">
        <v>0.57999999999999996</v>
      </c>
      <c r="W279" s="44">
        <v>30</v>
      </c>
      <c r="X279" s="44">
        <v>2</v>
      </c>
      <c r="Y279" s="44">
        <v>2.88</v>
      </c>
      <c r="Z279" s="44">
        <v>0.19</v>
      </c>
      <c r="AA279" s="45">
        <v>24</v>
      </c>
      <c r="AB279" s="45">
        <v>4</v>
      </c>
      <c r="AC279" s="44">
        <v>2.27</v>
      </c>
      <c r="AD279" s="44">
        <v>0.38</v>
      </c>
      <c r="AE279" s="44">
        <v>8</v>
      </c>
      <c r="AF279" s="44">
        <v>5</v>
      </c>
      <c r="AG279" s="44">
        <v>0.76</v>
      </c>
      <c r="AH279" s="44">
        <v>0.47</v>
      </c>
      <c r="AI279" s="44">
        <v>21</v>
      </c>
      <c r="AJ279" s="44">
        <v>13</v>
      </c>
    </row>
    <row r="280" spans="1:36" x14ac:dyDescent="0.35">
      <c r="A280" s="44" t="s">
        <v>142</v>
      </c>
      <c r="B280" s="44" t="s">
        <v>48</v>
      </c>
      <c r="C280" s="44">
        <v>12040</v>
      </c>
      <c r="D280" s="37">
        <v>27436</v>
      </c>
      <c r="E280" s="37">
        <v>27773</v>
      </c>
      <c r="F280" s="37">
        <v>28248</v>
      </c>
      <c r="G280" s="44">
        <v>0</v>
      </c>
      <c r="H280" s="44">
        <v>0</v>
      </c>
      <c r="I280" s="44">
        <v>0</v>
      </c>
      <c r="J280" s="44">
        <v>0</v>
      </c>
      <c r="K280" s="44">
        <v>0</v>
      </c>
      <c r="L280" s="44">
        <v>0</v>
      </c>
      <c r="M280" s="44">
        <v>0</v>
      </c>
      <c r="N280" s="44">
        <v>0</v>
      </c>
      <c r="O280" s="44">
        <v>0</v>
      </c>
      <c r="P280" s="44">
        <v>0</v>
      </c>
      <c r="Q280" s="44">
        <v>0</v>
      </c>
      <c r="R280" s="44">
        <v>0</v>
      </c>
      <c r="S280" s="44">
        <v>0</v>
      </c>
      <c r="T280" s="44">
        <v>0</v>
      </c>
      <c r="U280" s="44">
        <v>0</v>
      </c>
      <c r="V280" s="44">
        <v>0</v>
      </c>
      <c r="W280" s="44">
        <v>2</v>
      </c>
      <c r="X280" s="44">
        <v>2</v>
      </c>
      <c r="Y280" s="44">
        <v>7.0000000000000007E-2</v>
      </c>
      <c r="Z280" s="44">
        <v>7.0000000000000007E-2</v>
      </c>
      <c r="AA280" s="45">
        <v>2</v>
      </c>
      <c r="AB280" s="45">
        <v>2</v>
      </c>
      <c r="AC280" s="44">
        <v>7.0000000000000007E-2</v>
      </c>
      <c r="AD280" s="44">
        <v>7.0000000000000007E-2</v>
      </c>
      <c r="AE280" s="44">
        <v>2</v>
      </c>
      <c r="AF280" s="44">
        <v>2</v>
      </c>
      <c r="AG280" s="44">
        <v>7.0000000000000007E-2</v>
      </c>
      <c r="AH280" s="44">
        <v>7.0000000000000007E-2</v>
      </c>
      <c r="AI280" s="44">
        <v>56</v>
      </c>
      <c r="AJ280" s="44">
        <v>54</v>
      </c>
    </row>
    <row r="281" spans="1:36" x14ac:dyDescent="0.35">
      <c r="A281" s="44" t="s">
        <v>115</v>
      </c>
      <c r="B281" s="44" t="s">
        <v>55</v>
      </c>
      <c r="C281" s="44">
        <v>37018</v>
      </c>
      <c r="D281" s="37">
        <v>14852</v>
      </c>
      <c r="E281" s="37">
        <v>15039</v>
      </c>
      <c r="F281" s="37">
        <v>15161</v>
      </c>
      <c r="G281" s="44">
        <v>2</v>
      </c>
      <c r="H281" s="44">
        <v>1</v>
      </c>
      <c r="I281" s="44">
        <v>0.13</v>
      </c>
      <c r="J281" s="44">
        <v>2</v>
      </c>
      <c r="K281" s="44">
        <v>1</v>
      </c>
      <c r="L281" s="44">
        <v>0.13</v>
      </c>
      <c r="M281" s="44">
        <v>1</v>
      </c>
      <c r="N281" s="44">
        <v>1</v>
      </c>
      <c r="O281" s="44">
        <v>7.0000000000000007E-2</v>
      </c>
      <c r="P281" s="44">
        <v>7.0000000000000007E-2</v>
      </c>
      <c r="Q281" s="44">
        <v>-1</v>
      </c>
      <c r="R281" s="44">
        <v>-7.0000000000000007E-2</v>
      </c>
      <c r="S281" s="44">
        <v>-1</v>
      </c>
      <c r="T281" s="44">
        <v>-7.0000000000000007E-2</v>
      </c>
      <c r="U281" s="44">
        <v>0</v>
      </c>
      <c r="V281" s="44">
        <v>0</v>
      </c>
      <c r="W281" s="44">
        <v>1</v>
      </c>
      <c r="X281" s="44">
        <v>1</v>
      </c>
      <c r="Y281" s="44">
        <v>7.0000000000000007E-2</v>
      </c>
      <c r="Z281" s="44">
        <v>7.0000000000000007E-2</v>
      </c>
      <c r="AA281" s="45">
        <v>2</v>
      </c>
      <c r="AB281" s="45">
        <v>1</v>
      </c>
      <c r="AC281" s="44">
        <v>0.13</v>
      </c>
      <c r="AD281" s="44">
        <v>7.0000000000000007E-2</v>
      </c>
      <c r="AE281" s="44">
        <v>3</v>
      </c>
      <c r="AF281" s="44">
        <v>2</v>
      </c>
      <c r="AG281" s="44">
        <v>0.2</v>
      </c>
      <c r="AH281" s="44">
        <v>0.13</v>
      </c>
      <c r="AI281" s="44">
        <v>30</v>
      </c>
      <c r="AJ281" s="44">
        <v>27</v>
      </c>
    </row>
    <row r="282" spans="1:36" x14ac:dyDescent="0.35">
      <c r="A282" s="44" t="s">
        <v>210</v>
      </c>
      <c r="B282" s="44" t="s">
        <v>48</v>
      </c>
      <c r="C282" s="44">
        <v>11052</v>
      </c>
      <c r="D282" s="37">
        <v>13181</v>
      </c>
      <c r="E282" s="37">
        <v>13230</v>
      </c>
      <c r="F282" s="37">
        <v>13370</v>
      </c>
      <c r="G282" s="44">
        <v>1</v>
      </c>
      <c r="H282" s="44">
        <v>0</v>
      </c>
      <c r="I282" s="44">
        <v>0.08</v>
      </c>
      <c r="J282" s="44">
        <v>1</v>
      </c>
      <c r="K282" s="44">
        <v>0</v>
      </c>
      <c r="L282" s="44">
        <v>0.08</v>
      </c>
      <c r="M282" s="44">
        <v>1</v>
      </c>
      <c r="N282" s="44">
        <v>0</v>
      </c>
      <c r="O282" s="44">
        <v>0.08</v>
      </c>
      <c r="P282" s="44">
        <v>0</v>
      </c>
      <c r="Q282" s="44">
        <v>0</v>
      </c>
      <c r="R282" s="44">
        <v>0</v>
      </c>
      <c r="S282" s="44">
        <v>0</v>
      </c>
      <c r="T282" s="44">
        <v>0</v>
      </c>
      <c r="U282" s="44">
        <v>1</v>
      </c>
      <c r="V282" s="44">
        <v>0.08</v>
      </c>
      <c r="W282" s="44">
        <v>1</v>
      </c>
      <c r="X282" s="44">
        <v>0</v>
      </c>
      <c r="Y282" s="44">
        <v>0.08</v>
      </c>
      <c r="Z282" s="44">
        <v>0</v>
      </c>
      <c r="AA282" s="45">
        <v>1</v>
      </c>
      <c r="AB282" s="45">
        <v>0</v>
      </c>
      <c r="AC282" s="44">
        <v>7.0000000000000007E-2</v>
      </c>
      <c r="AD282" s="44">
        <v>0</v>
      </c>
      <c r="AE282" s="44">
        <v>1</v>
      </c>
      <c r="AF282" s="44">
        <v>0</v>
      </c>
      <c r="AG282" s="44">
        <v>7.0000000000000007E-2</v>
      </c>
      <c r="AH282" s="44">
        <v>0</v>
      </c>
      <c r="AI282" s="44">
        <v>27</v>
      </c>
      <c r="AJ282" s="44">
        <v>26</v>
      </c>
    </row>
    <row r="283" spans="1:36" x14ac:dyDescent="0.35">
      <c r="A283" s="44" t="s">
        <v>246</v>
      </c>
      <c r="B283" s="44" t="s">
        <v>50</v>
      </c>
      <c r="C283" s="44">
        <v>45061</v>
      </c>
      <c r="D283" s="37">
        <v>6517</v>
      </c>
      <c r="E283" s="37">
        <v>6552</v>
      </c>
      <c r="F283" s="37">
        <v>6552</v>
      </c>
      <c r="G283" s="44">
        <v>0</v>
      </c>
      <c r="H283" s="44">
        <v>0</v>
      </c>
      <c r="I283" s="44">
        <v>0</v>
      </c>
      <c r="J283" s="44">
        <v>0</v>
      </c>
      <c r="K283" s="44">
        <v>0</v>
      </c>
      <c r="L283" s="44">
        <v>0</v>
      </c>
      <c r="M283" s="44">
        <v>0</v>
      </c>
      <c r="N283" s="44">
        <v>0</v>
      </c>
      <c r="O283" s="44">
        <v>0</v>
      </c>
      <c r="P283" s="44">
        <v>0</v>
      </c>
      <c r="Q283" s="44">
        <v>0</v>
      </c>
      <c r="R283" s="44">
        <v>0</v>
      </c>
      <c r="S283" s="44">
        <v>0</v>
      </c>
      <c r="T283" s="44">
        <v>0</v>
      </c>
      <c r="U283" s="44">
        <v>0</v>
      </c>
      <c r="V283" s="44">
        <v>0</v>
      </c>
      <c r="W283" s="44">
        <v>0</v>
      </c>
      <c r="X283" s="44">
        <v>0</v>
      </c>
      <c r="Y283" s="44">
        <v>0</v>
      </c>
      <c r="Z283" s="44">
        <v>0</v>
      </c>
      <c r="AA283" s="45">
        <v>0</v>
      </c>
      <c r="AB283" s="45">
        <v>0</v>
      </c>
      <c r="AC283" s="44">
        <v>0</v>
      </c>
      <c r="AD283" s="44">
        <v>0</v>
      </c>
      <c r="AE283" s="44">
        <v>0</v>
      </c>
      <c r="AF283" s="44">
        <v>0</v>
      </c>
      <c r="AG283" s="44">
        <v>0</v>
      </c>
      <c r="AH283" s="44">
        <v>0</v>
      </c>
      <c r="AI283" s="44">
        <v>13</v>
      </c>
      <c r="AJ283" s="44">
        <v>13</v>
      </c>
    </row>
    <row r="284" spans="1:36" x14ac:dyDescent="0.35">
      <c r="A284" s="44" t="s">
        <v>290</v>
      </c>
      <c r="B284" s="44" t="s">
        <v>48</v>
      </c>
      <c r="C284" s="44">
        <v>11053</v>
      </c>
      <c r="D284" s="37">
        <v>21523</v>
      </c>
      <c r="E284" s="37">
        <v>21644</v>
      </c>
      <c r="F284" s="37">
        <v>21794</v>
      </c>
      <c r="G284" s="44">
        <v>0</v>
      </c>
      <c r="H284" s="44">
        <v>0</v>
      </c>
      <c r="I284" s="44">
        <v>0</v>
      </c>
      <c r="J284" s="44">
        <v>0</v>
      </c>
      <c r="K284" s="44">
        <v>0</v>
      </c>
      <c r="L284" s="44">
        <v>0</v>
      </c>
      <c r="M284" s="44">
        <v>3</v>
      </c>
      <c r="N284" s="44">
        <v>2</v>
      </c>
      <c r="O284" s="44">
        <v>0.14000000000000001</v>
      </c>
      <c r="P284" s="44">
        <v>0.09</v>
      </c>
      <c r="Q284" s="44">
        <v>3</v>
      </c>
      <c r="R284" s="44">
        <v>0.14000000000000001</v>
      </c>
      <c r="S284" s="44">
        <v>3</v>
      </c>
      <c r="T284" s="44">
        <v>0.14000000000000001</v>
      </c>
      <c r="U284" s="44">
        <v>1</v>
      </c>
      <c r="V284" s="44">
        <v>0.05</v>
      </c>
      <c r="W284" s="44">
        <v>3</v>
      </c>
      <c r="X284" s="44">
        <v>2</v>
      </c>
      <c r="Y284" s="44">
        <v>0.14000000000000001</v>
      </c>
      <c r="Z284" s="44">
        <v>0.09</v>
      </c>
      <c r="AA284" s="45">
        <v>2</v>
      </c>
      <c r="AB284" s="45">
        <v>2</v>
      </c>
      <c r="AC284" s="44">
        <v>0.09</v>
      </c>
      <c r="AD284" s="44">
        <v>0.09</v>
      </c>
      <c r="AE284" s="44">
        <v>2</v>
      </c>
      <c r="AF284" s="44">
        <v>2</v>
      </c>
      <c r="AG284" s="44">
        <v>0.09</v>
      </c>
      <c r="AH284" s="44">
        <v>0.09</v>
      </c>
      <c r="AI284" s="44">
        <v>44</v>
      </c>
      <c r="AJ284" s="44">
        <v>42</v>
      </c>
    </row>
    <row r="285" spans="1:36" x14ac:dyDescent="0.35">
      <c r="A285" s="44" t="s">
        <v>305</v>
      </c>
      <c r="B285" s="44" t="s">
        <v>48</v>
      </c>
      <c r="C285" s="44">
        <v>11054</v>
      </c>
      <c r="D285" s="37">
        <v>13172</v>
      </c>
      <c r="E285" s="37">
        <v>13352</v>
      </c>
      <c r="F285" s="37">
        <v>13445</v>
      </c>
      <c r="G285" s="44">
        <v>1</v>
      </c>
      <c r="H285" s="44">
        <v>0</v>
      </c>
      <c r="I285" s="44">
        <v>0.08</v>
      </c>
      <c r="J285" s="44">
        <v>0</v>
      </c>
      <c r="K285" s="44">
        <v>0</v>
      </c>
      <c r="L285" s="44">
        <v>0</v>
      </c>
      <c r="M285" s="44">
        <v>0</v>
      </c>
      <c r="N285" s="44">
        <v>0</v>
      </c>
      <c r="O285" s="44">
        <v>0</v>
      </c>
      <c r="P285" s="44">
        <v>0</v>
      </c>
      <c r="Q285" s="44">
        <v>-1</v>
      </c>
      <c r="R285" s="44">
        <v>-0.08</v>
      </c>
      <c r="S285" s="44">
        <v>0</v>
      </c>
      <c r="T285" s="44">
        <v>0</v>
      </c>
      <c r="U285" s="44">
        <v>0</v>
      </c>
      <c r="V285" s="44">
        <v>0</v>
      </c>
      <c r="W285" s="44">
        <v>1</v>
      </c>
      <c r="X285" s="44">
        <v>0</v>
      </c>
      <c r="Y285" s="44">
        <v>7.0000000000000007E-2</v>
      </c>
      <c r="Z285" s="44">
        <v>0</v>
      </c>
      <c r="AA285" s="45">
        <v>1</v>
      </c>
      <c r="AB285" s="45">
        <v>0</v>
      </c>
      <c r="AC285" s="44">
        <v>7.0000000000000007E-2</v>
      </c>
      <c r="AD285" s="44">
        <v>0</v>
      </c>
      <c r="AE285" s="44">
        <v>1</v>
      </c>
      <c r="AF285" s="44">
        <v>0</v>
      </c>
      <c r="AG285" s="44">
        <v>7.0000000000000007E-2</v>
      </c>
      <c r="AH285" s="44">
        <v>0</v>
      </c>
      <c r="AI285" s="44">
        <v>27</v>
      </c>
      <c r="AJ285" s="44">
        <v>26</v>
      </c>
    </row>
    <row r="286" spans="1:36" x14ac:dyDescent="0.35">
      <c r="A286" s="44" t="s">
        <v>105</v>
      </c>
      <c r="B286" s="44" t="s">
        <v>52</v>
      </c>
      <c r="C286" s="44">
        <v>23094</v>
      </c>
      <c r="D286" s="37">
        <v>35916</v>
      </c>
      <c r="E286" s="37">
        <v>36408</v>
      </c>
      <c r="F286" s="37">
        <v>36676</v>
      </c>
      <c r="G286" s="44">
        <v>1</v>
      </c>
      <c r="H286" s="44">
        <v>0</v>
      </c>
      <c r="I286" s="44">
        <v>0.03</v>
      </c>
      <c r="J286" s="44">
        <v>0</v>
      </c>
      <c r="K286" s="44">
        <v>0</v>
      </c>
      <c r="L286" s="44">
        <v>0</v>
      </c>
      <c r="M286" s="44">
        <v>5</v>
      </c>
      <c r="N286" s="44">
        <v>5</v>
      </c>
      <c r="O286" s="44">
        <v>0.14000000000000001</v>
      </c>
      <c r="P286" s="44">
        <v>0.14000000000000001</v>
      </c>
      <c r="Q286" s="44">
        <v>4</v>
      </c>
      <c r="R286" s="44">
        <v>0.11</v>
      </c>
      <c r="S286" s="44">
        <v>5</v>
      </c>
      <c r="T286" s="44">
        <v>0.14000000000000001</v>
      </c>
      <c r="U286" s="44">
        <v>0</v>
      </c>
      <c r="V286" s="44">
        <v>0</v>
      </c>
      <c r="W286" s="44">
        <v>3</v>
      </c>
      <c r="X286" s="44">
        <v>1</v>
      </c>
      <c r="Y286" s="44">
        <v>0.08</v>
      </c>
      <c r="Z286" s="44">
        <v>0.03</v>
      </c>
      <c r="AA286" s="45">
        <v>6</v>
      </c>
      <c r="AB286" s="45">
        <v>3</v>
      </c>
      <c r="AC286" s="44">
        <v>0.16</v>
      </c>
      <c r="AD286" s="44">
        <v>0.08</v>
      </c>
      <c r="AE286" s="44">
        <v>9</v>
      </c>
      <c r="AF286" s="44">
        <v>4</v>
      </c>
      <c r="AG286" s="44">
        <v>0.25</v>
      </c>
      <c r="AH286" s="44">
        <v>0.11</v>
      </c>
      <c r="AI286" s="44">
        <v>73</v>
      </c>
      <c r="AJ286" s="44">
        <v>64</v>
      </c>
    </row>
    <row r="287" spans="1:36" x14ac:dyDescent="0.35">
      <c r="A287" s="44" t="s">
        <v>164</v>
      </c>
      <c r="B287" s="44" t="s">
        <v>55</v>
      </c>
      <c r="C287" s="44">
        <v>31040</v>
      </c>
      <c r="D287" s="37">
        <v>23157</v>
      </c>
      <c r="E287" s="37">
        <v>23391</v>
      </c>
      <c r="F287" s="37">
        <v>23460</v>
      </c>
      <c r="G287" s="44">
        <v>2</v>
      </c>
      <c r="H287" s="44">
        <v>0</v>
      </c>
      <c r="I287" s="44">
        <v>0.09</v>
      </c>
      <c r="J287" s="44">
        <v>1</v>
      </c>
      <c r="K287" s="44">
        <v>0</v>
      </c>
      <c r="L287" s="44">
        <v>0.04</v>
      </c>
      <c r="M287" s="44">
        <v>0</v>
      </c>
      <c r="N287" s="44">
        <v>0</v>
      </c>
      <c r="O287" s="44">
        <v>0</v>
      </c>
      <c r="P287" s="44">
        <v>0</v>
      </c>
      <c r="Q287" s="44">
        <v>-2</v>
      </c>
      <c r="R287" s="44">
        <v>-0.09</v>
      </c>
      <c r="S287" s="44">
        <v>-1</v>
      </c>
      <c r="T287" s="44">
        <v>-0.04</v>
      </c>
      <c r="U287" s="44">
        <v>0</v>
      </c>
      <c r="V287" s="44">
        <v>0</v>
      </c>
      <c r="W287" s="44">
        <v>1</v>
      </c>
      <c r="X287" s="44">
        <v>0</v>
      </c>
      <c r="Y287" s="44">
        <v>0.04</v>
      </c>
      <c r="Z287" s="44">
        <v>0</v>
      </c>
      <c r="AA287" s="45">
        <v>1</v>
      </c>
      <c r="AB287" s="45">
        <v>0</v>
      </c>
      <c r="AC287" s="44">
        <v>0.04</v>
      </c>
      <c r="AD287" s="44">
        <v>0</v>
      </c>
      <c r="AE287" s="44">
        <v>1</v>
      </c>
      <c r="AF287" s="44">
        <v>0</v>
      </c>
      <c r="AG287" s="44">
        <v>0.04</v>
      </c>
      <c r="AH287" s="44">
        <v>0</v>
      </c>
      <c r="AI287" s="44">
        <v>47</v>
      </c>
      <c r="AJ287" s="44">
        <v>46</v>
      </c>
    </row>
    <row r="288" spans="1:36" x14ac:dyDescent="0.35">
      <c r="A288" s="44" t="s">
        <v>228</v>
      </c>
      <c r="B288" s="44" t="s">
        <v>50</v>
      </c>
      <c r="C288" s="44">
        <v>42028</v>
      </c>
      <c r="D288" s="37">
        <v>21349</v>
      </c>
      <c r="E288" s="37">
        <v>21374</v>
      </c>
      <c r="F288" s="37">
        <v>21501</v>
      </c>
      <c r="G288" s="44">
        <v>2</v>
      </c>
      <c r="H288" s="44">
        <v>0</v>
      </c>
      <c r="I288" s="44">
        <v>0.09</v>
      </c>
      <c r="J288" s="44">
        <v>2</v>
      </c>
      <c r="K288" s="44">
        <v>0</v>
      </c>
      <c r="L288" s="44">
        <v>0.09</v>
      </c>
      <c r="M288" s="44">
        <v>2</v>
      </c>
      <c r="N288" s="44">
        <v>2</v>
      </c>
      <c r="O288" s="44">
        <v>0.09</v>
      </c>
      <c r="P288" s="44">
        <v>0.09</v>
      </c>
      <c r="Q288" s="44">
        <v>0</v>
      </c>
      <c r="R288" s="44">
        <v>0</v>
      </c>
      <c r="S288" s="44">
        <v>0</v>
      </c>
      <c r="T288" s="44">
        <v>0</v>
      </c>
      <c r="U288" s="44">
        <v>0</v>
      </c>
      <c r="V288" s="44">
        <v>0</v>
      </c>
      <c r="W288" s="44">
        <v>2</v>
      </c>
      <c r="X288" s="44">
        <v>2</v>
      </c>
      <c r="Y288" s="44">
        <v>0.09</v>
      </c>
      <c r="Z288" s="44">
        <v>0.09</v>
      </c>
      <c r="AA288" s="45">
        <v>3</v>
      </c>
      <c r="AB288" s="45">
        <v>3</v>
      </c>
      <c r="AC288" s="44">
        <v>0.14000000000000001</v>
      </c>
      <c r="AD288" s="44">
        <v>0.14000000000000001</v>
      </c>
      <c r="AE288" s="44">
        <v>3</v>
      </c>
      <c r="AF288" s="44">
        <v>3</v>
      </c>
      <c r="AG288" s="44">
        <v>0.14000000000000001</v>
      </c>
      <c r="AH288" s="44">
        <v>0.14000000000000001</v>
      </c>
      <c r="AI288" s="44">
        <v>43</v>
      </c>
      <c r="AJ288" s="44">
        <v>40</v>
      </c>
    </row>
    <row r="289" spans="1:36" x14ac:dyDescent="0.35">
      <c r="A289" s="44" t="s">
        <v>269</v>
      </c>
      <c r="B289" s="44" t="s">
        <v>50</v>
      </c>
      <c r="C289" s="44">
        <v>43018</v>
      </c>
      <c r="D289" s="37">
        <v>13298</v>
      </c>
      <c r="E289" s="37">
        <v>13543</v>
      </c>
      <c r="F289" s="37">
        <v>13704</v>
      </c>
      <c r="G289" s="44">
        <v>0</v>
      </c>
      <c r="H289" s="44">
        <v>0</v>
      </c>
      <c r="I289" s="44">
        <v>0</v>
      </c>
      <c r="J289" s="44">
        <v>0</v>
      </c>
      <c r="K289" s="44">
        <v>0</v>
      </c>
      <c r="L289" s="44">
        <v>0</v>
      </c>
      <c r="M289" s="44">
        <v>0</v>
      </c>
      <c r="N289" s="44">
        <v>0</v>
      </c>
      <c r="O289" s="44">
        <v>0</v>
      </c>
      <c r="P289" s="44">
        <v>0</v>
      </c>
      <c r="Q289" s="44">
        <v>0</v>
      </c>
      <c r="R289" s="44">
        <v>0</v>
      </c>
      <c r="S289" s="44">
        <v>0</v>
      </c>
      <c r="T289" s="44">
        <v>0</v>
      </c>
      <c r="U289" s="44">
        <v>0</v>
      </c>
      <c r="V289" s="44">
        <v>0</v>
      </c>
      <c r="W289" s="44">
        <v>0</v>
      </c>
      <c r="X289" s="44">
        <v>0</v>
      </c>
      <c r="Y289" s="44">
        <v>0</v>
      </c>
      <c r="Z289" s="44">
        <v>0</v>
      </c>
      <c r="AA289" s="45">
        <v>0</v>
      </c>
      <c r="AB289" s="45">
        <v>0</v>
      </c>
      <c r="AC289" s="44">
        <v>0</v>
      </c>
      <c r="AD289" s="44">
        <v>0</v>
      </c>
      <c r="AE289" s="44">
        <v>0</v>
      </c>
      <c r="AF289" s="44">
        <v>0</v>
      </c>
      <c r="AG289" s="44">
        <v>0</v>
      </c>
      <c r="AH289" s="44">
        <v>0</v>
      </c>
      <c r="AI289" s="44">
        <v>27</v>
      </c>
      <c r="AJ289" s="44">
        <v>27</v>
      </c>
    </row>
    <row r="290" spans="1:36" x14ac:dyDescent="0.35">
      <c r="A290" s="44" t="s">
        <v>119</v>
      </c>
      <c r="B290" s="44" t="s">
        <v>52</v>
      </c>
      <c r="C290" s="44">
        <v>23096</v>
      </c>
      <c r="D290" s="37">
        <v>23306</v>
      </c>
      <c r="E290" s="37">
        <v>23357</v>
      </c>
      <c r="F290" s="37">
        <v>23401</v>
      </c>
      <c r="G290" s="44">
        <v>5</v>
      </c>
      <c r="H290" s="44">
        <v>0</v>
      </c>
      <c r="I290" s="44">
        <v>0.21</v>
      </c>
      <c r="J290" s="44">
        <v>3</v>
      </c>
      <c r="K290" s="44">
        <v>0</v>
      </c>
      <c r="L290" s="44">
        <v>0.13</v>
      </c>
      <c r="M290" s="44">
        <v>4</v>
      </c>
      <c r="N290" s="44">
        <v>2</v>
      </c>
      <c r="O290" s="44">
        <v>0.17</v>
      </c>
      <c r="P290" s="44">
        <v>0.09</v>
      </c>
      <c r="Q290" s="44">
        <v>-1</v>
      </c>
      <c r="R290" s="44">
        <v>-0.04</v>
      </c>
      <c r="S290" s="44">
        <v>1</v>
      </c>
      <c r="T290" s="44">
        <v>0.04</v>
      </c>
      <c r="U290" s="44">
        <v>2</v>
      </c>
      <c r="V290" s="44">
        <v>0.09</v>
      </c>
      <c r="W290" s="44">
        <v>5</v>
      </c>
      <c r="X290" s="44">
        <v>2</v>
      </c>
      <c r="Y290" s="44">
        <v>0.21</v>
      </c>
      <c r="Z290" s="44">
        <v>0.09</v>
      </c>
      <c r="AA290" s="45">
        <v>7</v>
      </c>
      <c r="AB290" s="45">
        <v>4</v>
      </c>
      <c r="AC290" s="44">
        <v>0.3</v>
      </c>
      <c r="AD290" s="44">
        <v>0.17</v>
      </c>
      <c r="AE290" s="44">
        <v>7</v>
      </c>
      <c r="AF290" s="44">
        <v>4</v>
      </c>
      <c r="AG290" s="44">
        <v>0.3</v>
      </c>
      <c r="AH290" s="44">
        <v>0.17</v>
      </c>
      <c r="AI290" s="44">
        <v>47</v>
      </c>
      <c r="AJ290" s="44">
        <v>40</v>
      </c>
    </row>
    <row r="291" spans="1:36" x14ac:dyDescent="0.35">
      <c r="A291" s="44" t="s">
        <v>291</v>
      </c>
      <c r="B291" s="44" t="s">
        <v>48</v>
      </c>
      <c r="C291" s="44">
        <v>11055</v>
      </c>
      <c r="D291" s="37">
        <v>22317</v>
      </c>
      <c r="E291" s="37">
        <v>22427</v>
      </c>
      <c r="F291" s="37">
        <v>22557</v>
      </c>
      <c r="G291" s="44">
        <v>0</v>
      </c>
      <c r="H291" s="44">
        <v>0</v>
      </c>
      <c r="I291" s="44">
        <v>0</v>
      </c>
      <c r="J291" s="44">
        <v>0</v>
      </c>
      <c r="K291" s="44">
        <v>0</v>
      </c>
      <c r="L291" s="44">
        <v>0</v>
      </c>
      <c r="M291" s="44">
        <v>2</v>
      </c>
      <c r="N291" s="44">
        <v>2</v>
      </c>
      <c r="O291" s="44">
        <v>0.09</v>
      </c>
      <c r="P291" s="44">
        <v>0.09</v>
      </c>
      <c r="Q291" s="44">
        <v>2</v>
      </c>
      <c r="R291" s="44">
        <v>0.09</v>
      </c>
      <c r="S291" s="44">
        <v>2</v>
      </c>
      <c r="T291" s="44">
        <v>0.09</v>
      </c>
      <c r="U291" s="44">
        <v>0</v>
      </c>
      <c r="V291" s="44">
        <v>0</v>
      </c>
      <c r="W291" s="44">
        <v>2</v>
      </c>
      <c r="X291" s="44">
        <v>2</v>
      </c>
      <c r="Y291" s="44">
        <v>0.09</v>
      </c>
      <c r="Z291" s="44">
        <v>0.09</v>
      </c>
      <c r="AA291" s="45">
        <v>2</v>
      </c>
      <c r="AB291" s="45">
        <v>2</v>
      </c>
      <c r="AC291" s="44">
        <v>0.09</v>
      </c>
      <c r="AD291" s="44">
        <v>0.09</v>
      </c>
      <c r="AE291" s="44">
        <v>2</v>
      </c>
      <c r="AF291" s="44">
        <v>2</v>
      </c>
      <c r="AG291" s="44">
        <v>0.09</v>
      </c>
      <c r="AH291" s="44">
        <v>0.09</v>
      </c>
      <c r="AI291" s="44">
        <v>45</v>
      </c>
      <c r="AJ291" s="44">
        <v>43</v>
      </c>
    </row>
    <row r="292" spans="1:36" x14ac:dyDescent="0.35">
      <c r="A292" s="44" t="s">
        <v>289</v>
      </c>
      <c r="B292" s="44" t="s">
        <v>59</v>
      </c>
      <c r="C292" s="44">
        <v>71066</v>
      </c>
      <c r="D292" s="37">
        <v>21473</v>
      </c>
      <c r="E292" s="37">
        <v>21653</v>
      </c>
      <c r="F292" s="37">
        <v>21845</v>
      </c>
      <c r="G292" s="44">
        <v>0</v>
      </c>
      <c r="H292" s="44">
        <v>0</v>
      </c>
      <c r="I292" s="44">
        <v>0</v>
      </c>
      <c r="J292" s="44">
        <v>0</v>
      </c>
      <c r="K292" s="44">
        <v>0</v>
      </c>
      <c r="L292" s="44">
        <v>0</v>
      </c>
      <c r="M292" s="44">
        <v>1</v>
      </c>
      <c r="N292" s="44">
        <v>1</v>
      </c>
      <c r="O292" s="44">
        <v>0.05</v>
      </c>
      <c r="P292" s="44">
        <v>0.05</v>
      </c>
      <c r="Q292" s="44">
        <v>1</v>
      </c>
      <c r="R292" s="44">
        <v>0.05</v>
      </c>
      <c r="S292" s="44">
        <v>1</v>
      </c>
      <c r="T292" s="44">
        <v>0.05</v>
      </c>
      <c r="U292" s="44">
        <v>0</v>
      </c>
      <c r="V292" s="44">
        <v>0</v>
      </c>
      <c r="W292" s="44">
        <v>2</v>
      </c>
      <c r="X292" s="44">
        <v>1</v>
      </c>
      <c r="Y292" s="44">
        <v>0.09</v>
      </c>
      <c r="Z292" s="44">
        <v>0.05</v>
      </c>
      <c r="AA292" s="45">
        <v>2</v>
      </c>
      <c r="AB292" s="45">
        <v>1</v>
      </c>
      <c r="AC292" s="44">
        <v>0.09</v>
      </c>
      <c r="AD292" s="44">
        <v>0.05</v>
      </c>
      <c r="AE292" s="44">
        <v>2</v>
      </c>
      <c r="AF292" s="44">
        <v>1</v>
      </c>
      <c r="AG292" s="44">
        <v>0.09</v>
      </c>
      <c r="AH292" s="44">
        <v>0.05</v>
      </c>
      <c r="AI292" s="44">
        <v>44</v>
      </c>
      <c r="AJ292" s="44">
        <v>42</v>
      </c>
    </row>
    <row r="293" spans="1:36" x14ac:dyDescent="0.35">
      <c r="A293" s="44" t="s">
        <v>137</v>
      </c>
      <c r="B293" s="44" t="s">
        <v>55</v>
      </c>
      <c r="C293" s="44">
        <v>33037</v>
      </c>
      <c r="D293" s="37">
        <v>12556</v>
      </c>
      <c r="E293" s="37">
        <v>12658</v>
      </c>
      <c r="F293" s="37">
        <v>12705</v>
      </c>
      <c r="G293" s="44">
        <v>4</v>
      </c>
      <c r="H293" s="44">
        <v>0</v>
      </c>
      <c r="I293" s="44">
        <v>0.32</v>
      </c>
      <c r="J293" s="44">
        <v>4</v>
      </c>
      <c r="K293" s="44">
        <v>0</v>
      </c>
      <c r="L293" s="44">
        <v>0.32</v>
      </c>
      <c r="M293" s="44">
        <v>5</v>
      </c>
      <c r="N293" s="44">
        <v>1</v>
      </c>
      <c r="O293" s="44">
        <v>0.4</v>
      </c>
      <c r="P293" s="44">
        <v>0.08</v>
      </c>
      <c r="Q293" s="44">
        <v>1</v>
      </c>
      <c r="R293" s="44">
        <v>0.08</v>
      </c>
      <c r="S293" s="44">
        <v>1</v>
      </c>
      <c r="T293" s="44">
        <v>0.08</v>
      </c>
      <c r="U293" s="44">
        <v>0</v>
      </c>
      <c r="V293" s="44">
        <v>0</v>
      </c>
      <c r="W293" s="44">
        <v>5</v>
      </c>
      <c r="X293" s="44">
        <v>1</v>
      </c>
      <c r="Y293" s="44">
        <v>0.4</v>
      </c>
      <c r="Z293" s="44">
        <v>0.08</v>
      </c>
      <c r="AA293" s="45">
        <v>6</v>
      </c>
      <c r="AB293" s="45">
        <v>1</v>
      </c>
      <c r="AC293" s="44">
        <v>0.47</v>
      </c>
      <c r="AD293" s="44">
        <v>0.08</v>
      </c>
      <c r="AE293" s="44">
        <v>6</v>
      </c>
      <c r="AF293" s="44">
        <v>1</v>
      </c>
      <c r="AG293" s="44">
        <v>0.47</v>
      </c>
      <c r="AH293" s="44">
        <v>0.08</v>
      </c>
      <c r="AI293" s="44">
        <v>25</v>
      </c>
      <c r="AJ293" s="44">
        <v>19</v>
      </c>
    </row>
    <row r="294" spans="1:36" x14ac:dyDescent="0.35">
      <c r="A294" s="44" t="s">
        <v>120</v>
      </c>
      <c r="B294" s="44" t="s">
        <v>50</v>
      </c>
      <c r="C294" s="44">
        <v>41081</v>
      </c>
      <c r="D294" s="37">
        <v>27341</v>
      </c>
      <c r="E294" s="37">
        <v>27677</v>
      </c>
      <c r="F294" s="37">
        <v>28085</v>
      </c>
      <c r="G294" s="44">
        <v>3</v>
      </c>
      <c r="H294" s="44">
        <v>0</v>
      </c>
      <c r="I294" s="44">
        <v>0.11</v>
      </c>
      <c r="J294" s="44">
        <v>5</v>
      </c>
      <c r="K294" s="44">
        <v>0</v>
      </c>
      <c r="L294" s="44">
        <v>0.18</v>
      </c>
      <c r="M294" s="44">
        <v>4</v>
      </c>
      <c r="N294" s="44">
        <v>3</v>
      </c>
      <c r="O294" s="44">
        <v>0.14000000000000001</v>
      </c>
      <c r="P294" s="44">
        <v>0.11</v>
      </c>
      <c r="Q294" s="44">
        <v>1</v>
      </c>
      <c r="R294" s="44">
        <v>0.03</v>
      </c>
      <c r="S294" s="44">
        <v>-1</v>
      </c>
      <c r="T294" s="44">
        <v>-0.04</v>
      </c>
      <c r="U294" s="44">
        <v>1</v>
      </c>
      <c r="V294" s="44">
        <v>0.04</v>
      </c>
      <c r="W294" s="44">
        <v>5</v>
      </c>
      <c r="X294" s="44">
        <v>3</v>
      </c>
      <c r="Y294" s="44">
        <v>0.18</v>
      </c>
      <c r="Z294" s="44">
        <v>0.11</v>
      </c>
      <c r="AA294" s="45">
        <v>5</v>
      </c>
      <c r="AB294" s="45">
        <v>4</v>
      </c>
      <c r="AC294" s="44">
        <v>0.18</v>
      </c>
      <c r="AD294" s="44">
        <v>0.14000000000000001</v>
      </c>
      <c r="AE294" s="44">
        <v>8</v>
      </c>
      <c r="AF294" s="44">
        <v>5</v>
      </c>
      <c r="AG294" s="44">
        <v>0.28000000000000003</v>
      </c>
      <c r="AH294" s="44">
        <v>0.18</v>
      </c>
      <c r="AI294" s="44">
        <v>56</v>
      </c>
      <c r="AJ294" s="44">
        <v>48</v>
      </c>
    </row>
    <row r="295" spans="1:36" x14ac:dyDescent="0.35">
      <c r="A295" s="44" t="s">
        <v>255</v>
      </c>
      <c r="B295" s="44" t="s">
        <v>52</v>
      </c>
      <c r="C295" s="44">
        <v>24130</v>
      </c>
      <c r="D295" s="37">
        <v>8591</v>
      </c>
      <c r="E295" s="37">
        <v>8668</v>
      </c>
      <c r="F295" s="37">
        <v>8734</v>
      </c>
      <c r="G295" s="44">
        <v>4</v>
      </c>
      <c r="H295" s="44">
        <v>0</v>
      </c>
      <c r="I295" s="44">
        <v>0.47</v>
      </c>
      <c r="J295" s="44">
        <v>4</v>
      </c>
      <c r="K295" s="44">
        <v>0</v>
      </c>
      <c r="L295" s="44">
        <v>0.47</v>
      </c>
      <c r="M295" s="44">
        <v>4</v>
      </c>
      <c r="N295" s="44">
        <v>4</v>
      </c>
      <c r="O295" s="44">
        <v>0.46</v>
      </c>
      <c r="P295" s="44">
        <v>0.46</v>
      </c>
      <c r="Q295" s="44">
        <v>0</v>
      </c>
      <c r="R295" s="44">
        <v>0</v>
      </c>
      <c r="S295" s="44">
        <v>0</v>
      </c>
      <c r="T295" s="44">
        <v>0</v>
      </c>
      <c r="U295" s="44">
        <v>0</v>
      </c>
      <c r="V295" s="44">
        <v>0</v>
      </c>
      <c r="W295" s="44">
        <v>5</v>
      </c>
      <c r="X295" s="44">
        <v>5</v>
      </c>
      <c r="Y295" s="44">
        <v>0.57999999999999996</v>
      </c>
      <c r="Z295" s="44">
        <v>0.57999999999999996</v>
      </c>
      <c r="AA295" s="45">
        <v>5</v>
      </c>
      <c r="AB295" s="45">
        <v>5</v>
      </c>
      <c r="AC295" s="44">
        <v>0.56999999999999995</v>
      </c>
      <c r="AD295" s="44">
        <v>0.56999999999999995</v>
      </c>
      <c r="AE295" s="44">
        <v>7</v>
      </c>
      <c r="AF295" s="44">
        <v>7</v>
      </c>
      <c r="AG295" s="44">
        <v>0.8</v>
      </c>
      <c r="AH295" s="44">
        <v>0.8</v>
      </c>
      <c r="AI295" s="44">
        <v>17</v>
      </c>
      <c r="AJ295" s="44">
        <v>10</v>
      </c>
    </row>
    <row r="296" spans="1:36" x14ac:dyDescent="0.35">
      <c r="A296" s="44" t="s">
        <v>316</v>
      </c>
      <c r="B296" s="44" t="s">
        <v>55</v>
      </c>
      <c r="C296" s="44">
        <v>31042</v>
      </c>
      <c r="D296" s="37">
        <v>2709</v>
      </c>
      <c r="E296" s="37">
        <v>2751</v>
      </c>
      <c r="F296" s="37">
        <v>2676</v>
      </c>
      <c r="G296" s="44">
        <v>0</v>
      </c>
      <c r="H296" s="44">
        <v>0</v>
      </c>
      <c r="I296" s="44">
        <v>0</v>
      </c>
      <c r="J296" s="44">
        <v>0</v>
      </c>
      <c r="K296" s="44">
        <v>0</v>
      </c>
      <c r="L296" s="44">
        <v>0</v>
      </c>
      <c r="M296" s="44">
        <v>0</v>
      </c>
      <c r="N296" s="44">
        <v>0</v>
      </c>
      <c r="O296" s="44">
        <v>0</v>
      </c>
      <c r="P296" s="44">
        <v>0</v>
      </c>
      <c r="Q296" s="44">
        <v>0</v>
      </c>
      <c r="R296" s="44">
        <v>0</v>
      </c>
      <c r="S296" s="44">
        <v>0</v>
      </c>
      <c r="T296" s="44">
        <v>0</v>
      </c>
      <c r="U296" s="44">
        <v>0</v>
      </c>
      <c r="V296" s="44">
        <v>0</v>
      </c>
      <c r="W296" s="44">
        <v>0</v>
      </c>
      <c r="X296" s="44">
        <v>0</v>
      </c>
      <c r="Y296" s="44">
        <v>0</v>
      </c>
      <c r="Z296" s="44">
        <v>0</v>
      </c>
      <c r="AA296" s="45">
        <v>0</v>
      </c>
      <c r="AB296" s="45">
        <v>0</v>
      </c>
      <c r="AC296" s="44">
        <v>0</v>
      </c>
      <c r="AD296" s="44">
        <v>0</v>
      </c>
      <c r="AE296" s="44">
        <v>0</v>
      </c>
      <c r="AF296" s="44">
        <v>0</v>
      </c>
      <c r="AG296" s="44">
        <v>0</v>
      </c>
      <c r="AH296" s="44">
        <v>0</v>
      </c>
      <c r="AI296" s="44">
        <v>5</v>
      </c>
      <c r="AJ296" s="44">
        <v>5</v>
      </c>
    </row>
    <row r="297" spans="1:36" x14ac:dyDescent="0.35">
      <c r="A297" s="44" t="s">
        <v>111</v>
      </c>
      <c r="B297" s="44" t="s">
        <v>50</v>
      </c>
      <c r="C297" s="44">
        <v>44081</v>
      </c>
      <c r="D297" s="37">
        <v>15943</v>
      </c>
      <c r="E297" s="37">
        <v>16000</v>
      </c>
      <c r="F297" s="37">
        <v>16095</v>
      </c>
      <c r="G297" s="44">
        <v>0</v>
      </c>
      <c r="H297" s="44">
        <v>0</v>
      </c>
      <c r="I297" s="44">
        <v>0</v>
      </c>
      <c r="J297" s="44">
        <v>0</v>
      </c>
      <c r="K297" s="44">
        <v>0</v>
      </c>
      <c r="L297" s="44">
        <v>0</v>
      </c>
      <c r="M297" s="44">
        <v>4</v>
      </c>
      <c r="N297" s="44">
        <v>4</v>
      </c>
      <c r="O297" s="44">
        <v>0.25</v>
      </c>
      <c r="P297" s="44">
        <v>0.25</v>
      </c>
      <c r="Q297" s="44">
        <v>4</v>
      </c>
      <c r="R297" s="44">
        <v>0.25</v>
      </c>
      <c r="S297" s="44">
        <v>4</v>
      </c>
      <c r="T297" s="44">
        <v>0.25</v>
      </c>
      <c r="U297" s="44">
        <v>0</v>
      </c>
      <c r="V297" s="44">
        <v>0</v>
      </c>
      <c r="W297" s="44">
        <v>0</v>
      </c>
      <c r="X297" s="44">
        <v>0</v>
      </c>
      <c r="Y297" s="44">
        <v>0</v>
      </c>
      <c r="Z297" s="44">
        <v>0</v>
      </c>
      <c r="AA297" s="45">
        <v>6</v>
      </c>
      <c r="AB297" s="45">
        <v>6</v>
      </c>
      <c r="AC297" s="44">
        <v>0.37</v>
      </c>
      <c r="AD297" s="44">
        <v>0.37</v>
      </c>
      <c r="AE297" s="44">
        <v>6</v>
      </c>
      <c r="AF297" s="44">
        <v>6</v>
      </c>
      <c r="AG297" s="44">
        <v>0.37</v>
      </c>
      <c r="AH297" s="44">
        <v>0.37</v>
      </c>
      <c r="AI297" s="44">
        <v>32</v>
      </c>
      <c r="AJ297" s="44">
        <v>26</v>
      </c>
    </row>
    <row r="298" spans="1:36" x14ac:dyDescent="0.35">
      <c r="A298" s="44" t="s">
        <v>321</v>
      </c>
      <c r="B298" s="44" t="s">
        <v>59</v>
      </c>
      <c r="C298" s="44">
        <v>71067</v>
      </c>
      <c r="D298" s="37">
        <v>7307</v>
      </c>
      <c r="E298" s="37">
        <v>7345</v>
      </c>
      <c r="F298" s="37">
        <v>7384</v>
      </c>
      <c r="G298" s="44">
        <v>0</v>
      </c>
      <c r="H298" s="44">
        <v>0</v>
      </c>
      <c r="I298" s="44">
        <v>0</v>
      </c>
      <c r="J298" s="44">
        <v>0</v>
      </c>
      <c r="K298" s="44">
        <v>0</v>
      </c>
      <c r="L298" s="44">
        <v>0</v>
      </c>
      <c r="M298" s="44">
        <v>0</v>
      </c>
      <c r="N298" s="44">
        <v>0</v>
      </c>
      <c r="O298" s="44">
        <v>0</v>
      </c>
      <c r="P298" s="44">
        <v>0</v>
      </c>
      <c r="Q298" s="44">
        <v>0</v>
      </c>
      <c r="R298" s="44">
        <v>0</v>
      </c>
      <c r="S298" s="44">
        <v>0</v>
      </c>
      <c r="T298" s="44">
        <v>0</v>
      </c>
      <c r="U298" s="44">
        <v>0</v>
      </c>
      <c r="V298" s="44">
        <v>0</v>
      </c>
      <c r="W298" s="44">
        <v>0</v>
      </c>
      <c r="X298" s="44">
        <v>0</v>
      </c>
      <c r="Y298" s="44">
        <v>0</v>
      </c>
      <c r="Z298" s="44">
        <v>0</v>
      </c>
      <c r="AA298" s="45">
        <v>0</v>
      </c>
      <c r="AB298" s="45">
        <v>0</v>
      </c>
      <c r="AC298" s="44">
        <v>0</v>
      </c>
      <c r="AD298" s="44">
        <v>0</v>
      </c>
      <c r="AE298" s="44">
        <v>0</v>
      </c>
      <c r="AF298" s="44">
        <v>0</v>
      </c>
      <c r="AG298" s="44">
        <v>0</v>
      </c>
      <c r="AH298" s="44">
        <v>0</v>
      </c>
      <c r="AI298" s="44">
        <v>15</v>
      </c>
      <c r="AJ298" s="44">
        <v>15</v>
      </c>
    </row>
    <row r="299" spans="1:36" x14ac:dyDescent="0.35">
      <c r="A299" s="44" t="s">
        <v>149</v>
      </c>
      <c r="B299" s="44" t="s">
        <v>50</v>
      </c>
      <c r="C299" s="44">
        <v>45065</v>
      </c>
      <c r="D299" s="37">
        <v>8244</v>
      </c>
      <c r="E299" s="37">
        <v>8320</v>
      </c>
      <c r="F299" s="37">
        <v>8340</v>
      </c>
      <c r="G299" s="44">
        <v>2</v>
      </c>
      <c r="H299" s="44">
        <v>0</v>
      </c>
      <c r="I299" s="44">
        <v>0.24</v>
      </c>
      <c r="J299" s="44">
        <v>1</v>
      </c>
      <c r="K299" s="44">
        <v>0</v>
      </c>
      <c r="L299" s="44">
        <v>0.12</v>
      </c>
      <c r="M299" s="44">
        <v>1</v>
      </c>
      <c r="N299" s="44">
        <v>0</v>
      </c>
      <c r="O299" s="44">
        <v>0.12</v>
      </c>
      <c r="P299" s="44">
        <v>0</v>
      </c>
      <c r="Q299" s="44">
        <v>-1</v>
      </c>
      <c r="R299" s="44">
        <v>-0.12</v>
      </c>
      <c r="S299" s="44">
        <v>0</v>
      </c>
      <c r="T299" s="44">
        <v>0</v>
      </c>
      <c r="U299" s="44">
        <v>1</v>
      </c>
      <c r="V299" s="44">
        <v>0.12</v>
      </c>
      <c r="W299" s="44">
        <v>3</v>
      </c>
      <c r="X299" s="44">
        <v>0</v>
      </c>
      <c r="Y299" s="44">
        <v>0.36</v>
      </c>
      <c r="Z299" s="44">
        <v>0</v>
      </c>
      <c r="AA299" s="45">
        <v>5</v>
      </c>
      <c r="AB299" s="45">
        <v>2</v>
      </c>
      <c r="AC299" s="44">
        <v>0.6</v>
      </c>
      <c r="AD299" s="44">
        <v>0.24</v>
      </c>
      <c r="AE299" s="44">
        <v>6</v>
      </c>
      <c r="AF299" s="44">
        <v>3</v>
      </c>
      <c r="AG299" s="44">
        <v>0.72</v>
      </c>
      <c r="AH299" s="44">
        <v>0.36</v>
      </c>
      <c r="AI299" s="44">
        <v>17</v>
      </c>
      <c r="AJ299" s="44">
        <v>11</v>
      </c>
    </row>
    <row r="300" spans="1:36" x14ac:dyDescent="0.35">
      <c r="A300" s="44" t="s">
        <v>186</v>
      </c>
      <c r="B300" s="44" t="s">
        <v>55</v>
      </c>
      <c r="C300" s="44">
        <v>34042</v>
      </c>
      <c r="D300" s="37">
        <v>25140</v>
      </c>
      <c r="E300" s="37">
        <v>25558</v>
      </c>
      <c r="F300" s="37">
        <v>25785</v>
      </c>
      <c r="G300" s="44">
        <v>1</v>
      </c>
      <c r="H300" s="44">
        <v>1</v>
      </c>
      <c r="I300" s="44">
        <v>0.04</v>
      </c>
      <c r="J300" s="44">
        <v>2</v>
      </c>
      <c r="K300" s="44">
        <v>2</v>
      </c>
      <c r="L300" s="44">
        <v>0.08</v>
      </c>
      <c r="M300" s="44">
        <v>3</v>
      </c>
      <c r="N300" s="44">
        <v>2</v>
      </c>
      <c r="O300" s="44">
        <v>0.12</v>
      </c>
      <c r="P300" s="44">
        <v>0.08</v>
      </c>
      <c r="Q300" s="44">
        <v>2</v>
      </c>
      <c r="R300" s="44">
        <v>0.08</v>
      </c>
      <c r="S300" s="44">
        <v>1</v>
      </c>
      <c r="T300" s="44">
        <v>0.04</v>
      </c>
      <c r="U300" s="44">
        <v>1</v>
      </c>
      <c r="V300" s="44">
        <v>0.04</v>
      </c>
      <c r="W300" s="44">
        <v>3</v>
      </c>
      <c r="X300" s="44">
        <v>2</v>
      </c>
      <c r="Y300" s="44">
        <v>0.12</v>
      </c>
      <c r="Z300" s="44">
        <v>0.08</v>
      </c>
      <c r="AA300" s="45">
        <v>3</v>
      </c>
      <c r="AB300" s="45">
        <v>3</v>
      </c>
      <c r="AC300" s="44">
        <v>0.12</v>
      </c>
      <c r="AD300" s="44">
        <v>0.12</v>
      </c>
      <c r="AE300" s="44">
        <v>4</v>
      </c>
      <c r="AF300" s="44">
        <v>3</v>
      </c>
      <c r="AG300" s="44">
        <v>0.16</v>
      </c>
      <c r="AH300" s="44">
        <v>0.12</v>
      </c>
      <c r="AI300" s="44">
        <v>52</v>
      </c>
      <c r="AJ300" s="44">
        <v>48</v>
      </c>
    </row>
    <row r="301" spans="1:36" x14ac:dyDescent="0.35">
      <c r="A301" s="44" t="s">
        <v>358</v>
      </c>
      <c r="B301" s="44" t="s">
        <v>48</v>
      </c>
      <c r="C301" s="44">
        <v>11056</v>
      </c>
      <c r="D301" s="37">
        <v>19243</v>
      </c>
      <c r="E301" s="37">
        <v>19547</v>
      </c>
      <c r="F301" s="37">
        <v>19580</v>
      </c>
      <c r="G301" s="44">
        <v>5</v>
      </c>
      <c r="H301" s="44">
        <v>0</v>
      </c>
      <c r="I301" s="44">
        <v>0.26</v>
      </c>
      <c r="J301" s="44">
        <v>7</v>
      </c>
      <c r="K301" s="44">
        <v>0</v>
      </c>
      <c r="L301" s="44">
        <v>0.36</v>
      </c>
      <c r="M301" s="44">
        <v>7</v>
      </c>
      <c r="N301" s="44">
        <v>2</v>
      </c>
      <c r="O301" s="44">
        <v>0.36</v>
      </c>
      <c r="P301" s="44">
        <v>0.1</v>
      </c>
      <c r="Q301" s="44">
        <v>2</v>
      </c>
      <c r="R301" s="44">
        <v>0.1</v>
      </c>
      <c r="S301" s="44">
        <v>0</v>
      </c>
      <c r="T301" s="44">
        <v>-0.01</v>
      </c>
      <c r="U301" s="44">
        <v>1</v>
      </c>
      <c r="V301" s="44">
        <v>0.05</v>
      </c>
      <c r="W301" s="44">
        <v>9</v>
      </c>
      <c r="X301" s="44">
        <v>2</v>
      </c>
      <c r="Y301" s="44">
        <v>0.46</v>
      </c>
      <c r="Z301" s="44">
        <v>0.1</v>
      </c>
      <c r="AA301" s="45">
        <v>8</v>
      </c>
      <c r="AB301" s="45">
        <v>2</v>
      </c>
      <c r="AC301" s="44">
        <v>0.41</v>
      </c>
      <c r="AD301" s="44">
        <v>0.1</v>
      </c>
      <c r="AE301" s="44">
        <v>10</v>
      </c>
      <c r="AF301" s="44">
        <v>3</v>
      </c>
      <c r="AG301" s="44">
        <v>0.51</v>
      </c>
      <c r="AH301" s="44">
        <v>0.15</v>
      </c>
      <c r="AI301" s="44">
        <v>39</v>
      </c>
      <c r="AJ301" s="44">
        <v>29</v>
      </c>
    </row>
    <row r="302" spans="1:36" x14ac:dyDescent="0.35">
      <c r="AA302" s="45"/>
      <c r="AB302" s="45"/>
    </row>
    <row r="303" spans="1:36" x14ac:dyDescent="0.35">
      <c r="AA303" s="45"/>
      <c r="AB303" s="45"/>
    </row>
    <row r="304" spans="1:36" x14ac:dyDescent="0.35">
      <c r="AA304" s="45"/>
      <c r="AB304" s="45"/>
    </row>
    <row r="305" spans="27:28" x14ac:dyDescent="0.35">
      <c r="AA305" s="45"/>
      <c r="AB305" s="45"/>
    </row>
    <row r="306" spans="27:28" x14ac:dyDescent="0.35">
      <c r="AA306" s="45"/>
      <c r="AB306" s="45"/>
    </row>
    <row r="307" spans="27:28" x14ac:dyDescent="0.35">
      <c r="AA307" s="45"/>
      <c r="AB307" s="45"/>
    </row>
    <row r="308" spans="27:28" x14ac:dyDescent="0.35">
      <c r="AA308" s="45"/>
      <c r="AB308" s="45"/>
    </row>
    <row r="309" spans="27:28" x14ac:dyDescent="0.35">
      <c r="AA309" s="45"/>
      <c r="AB309" s="45"/>
    </row>
    <row r="310" spans="27:28" x14ac:dyDescent="0.35">
      <c r="AA310" s="45"/>
      <c r="AB310" s="45"/>
    </row>
    <row r="311" spans="27:28" x14ac:dyDescent="0.35">
      <c r="AA311" s="45"/>
      <c r="AB311" s="45"/>
    </row>
    <row r="312" spans="27:28" x14ac:dyDescent="0.35">
      <c r="AA312" s="45"/>
      <c r="AB312" s="45"/>
    </row>
    <row r="313" spans="27:28" x14ac:dyDescent="0.35">
      <c r="AA313" s="45"/>
      <c r="AB313" s="45"/>
    </row>
    <row r="314" spans="27:28" x14ac:dyDescent="0.35">
      <c r="AA314" s="45"/>
      <c r="AB314" s="45"/>
    </row>
    <row r="315" spans="27:28" x14ac:dyDescent="0.35">
      <c r="AA315" s="45"/>
      <c r="AB315" s="45"/>
    </row>
    <row r="316" spans="27:28" x14ac:dyDescent="0.35">
      <c r="AA316" s="45"/>
      <c r="AB316" s="45"/>
    </row>
    <row r="317" spans="27:28" x14ac:dyDescent="0.35">
      <c r="AA317" s="45"/>
      <c r="AB317" s="45"/>
    </row>
    <row r="318" spans="27:28" x14ac:dyDescent="0.35">
      <c r="AA318" s="45"/>
      <c r="AB318" s="45"/>
    </row>
    <row r="319" spans="27:28" x14ac:dyDescent="0.35">
      <c r="AA319" s="45"/>
      <c r="AB319" s="45"/>
    </row>
    <row r="320" spans="27:28" x14ac:dyDescent="0.35">
      <c r="AA320" s="45"/>
      <c r="AB320" s="45"/>
    </row>
    <row r="321" spans="27:28" x14ac:dyDescent="0.35">
      <c r="AA321" s="45"/>
      <c r="AB321" s="45"/>
    </row>
    <row r="322" spans="27:28" x14ac:dyDescent="0.35">
      <c r="AA322" s="45"/>
      <c r="AB322" s="45"/>
    </row>
    <row r="323" spans="27:28" x14ac:dyDescent="0.35">
      <c r="AA323" s="45"/>
      <c r="AB323" s="45"/>
    </row>
    <row r="324" spans="27:28" x14ac:dyDescent="0.35">
      <c r="AA324" s="45"/>
      <c r="AB324" s="45"/>
    </row>
    <row r="325" spans="27:28" x14ac:dyDescent="0.35">
      <c r="AA325" s="45"/>
      <c r="AB325" s="45"/>
    </row>
    <row r="326" spans="27:28" x14ac:dyDescent="0.35">
      <c r="AA326" s="45"/>
      <c r="AB326" s="45"/>
    </row>
    <row r="327" spans="27:28" x14ac:dyDescent="0.35">
      <c r="AA327" s="45"/>
      <c r="AB327" s="45"/>
    </row>
    <row r="328" spans="27:28" x14ac:dyDescent="0.35">
      <c r="AA328" s="45"/>
      <c r="AB328" s="45"/>
    </row>
    <row r="329" spans="27:28" x14ac:dyDescent="0.35">
      <c r="AA329" s="45"/>
      <c r="AB329" s="45"/>
    </row>
    <row r="330" spans="27:28" x14ac:dyDescent="0.35">
      <c r="AA330" s="45"/>
      <c r="AB330" s="45"/>
    </row>
    <row r="331" spans="27:28" x14ac:dyDescent="0.35">
      <c r="AA331" s="45"/>
      <c r="AB331" s="45"/>
    </row>
    <row r="332" spans="27:28" x14ac:dyDescent="0.35">
      <c r="AA332" s="45"/>
      <c r="AB332" s="45"/>
    </row>
    <row r="333" spans="27:28" x14ac:dyDescent="0.35">
      <c r="AA333" s="45"/>
      <c r="AB333" s="45"/>
    </row>
    <row r="334" spans="27:28" x14ac:dyDescent="0.35">
      <c r="AA334" s="45"/>
      <c r="AB334" s="45"/>
    </row>
    <row r="335" spans="27:28" x14ac:dyDescent="0.35">
      <c r="AA335" s="45"/>
      <c r="AB335" s="45"/>
    </row>
    <row r="336" spans="27:28" x14ac:dyDescent="0.35">
      <c r="AA336" s="45"/>
      <c r="AB336" s="45"/>
    </row>
    <row r="337" spans="27:28" x14ac:dyDescent="0.35">
      <c r="AA337" s="45"/>
      <c r="AB337" s="45"/>
    </row>
    <row r="338" spans="27:28" x14ac:dyDescent="0.35">
      <c r="AA338" s="45"/>
      <c r="AB338" s="45"/>
    </row>
    <row r="339" spans="27:28" x14ac:dyDescent="0.35">
      <c r="AA339" s="45"/>
      <c r="AB339" s="45"/>
    </row>
    <row r="340" spans="27:28" x14ac:dyDescent="0.35">
      <c r="AA340" s="45"/>
      <c r="AB340" s="45"/>
    </row>
    <row r="341" spans="27:28" x14ac:dyDescent="0.35">
      <c r="AA341" s="45"/>
      <c r="AB341" s="45"/>
    </row>
    <row r="342" spans="27:28" x14ac:dyDescent="0.35">
      <c r="AA342" s="45"/>
      <c r="AB342" s="45"/>
    </row>
    <row r="343" spans="27:28" x14ac:dyDescent="0.35">
      <c r="AA343" s="45"/>
      <c r="AB343" s="45"/>
    </row>
    <row r="344" spans="27:28" x14ac:dyDescent="0.35">
      <c r="AA344" s="45"/>
      <c r="AB344" s="45"/>
    </row>
    <row r="345" spans="27:28" x14ac:dyDescent="0.35">
      <c r="AA345" s="45"/>
      <c r="AB345" s="45"/>
    </row>
    <row r="346" spans="27:28" x14ac:dyDescent="0.35">
      <c r="AA346" s="45"/>
      <c r="AB346" s="45"/>
    </row>
    <row r="347" spans="27:28" x14ac:dyDescent="0.35">
      <c r="AA347" s="45"/>
      <c r="AB347" s="45"/>
    </row>
    <row r="348" spans="27:28" x14ac:dyDescent="0.35">
      <c r="AA348" s="45"/>
      <c r="AB348" s="45"/>
    </row>
    <row r="349" spans="27:28" x14ac:dyDescent="0.35">
      <c r="AA349" s="45"/>
      <c r="AB349" s="45"/>
    </row>
    <row r="350" spans="27:28" x14ac:dyDescent="0.35">
      <c r="AA350" s="45"/>
      <c r="AB350" s="45"/>
    </row>
    <row r="351" spans="27:28" x14ac:dyDescent="0.35">
      <c r="AA351" s="45"/>
      <c r="AB351" s="45"/>
    </row>
    <row r="352" spans="27:28" x14ac:dyDescent="0.35">
      <c r="AA352" s="45"/>
      <c r="AB352" s="45"/>
    </row>
    <row r="353" spans="27:28" x14ac:dyDescent="0.35">
      <c r="AA353" s="45"/>
      <c r="AB353" s="45"/>
    </row>
    <row r="354" spans="27:28" x14ac:dyDescent="0.35">
      <c r="AA354" s="45"/>
      <c r="AB354" s="45"/>
    </row>
    <row r="355" spans="27:28" x14ac:dyDescent="0.35">
      <c r="AA355" s="45"/>
      <c r="AB355" s="45"/>
    </row>
    <row r="356" spans="27:28" x14ac:dyDescent="0.35">
      <c r="AA356" s="45"/>
      <c r="AB356" s="45"/>
    </row>
    <row r="357" spans="27:28" x14ac:dyDescent="0.35">
      <c r="AA357" s="45"/>
      <c r="AB357" s="45"/>
    </row>
    <row r="358" spans="27:28" x14ac:dyDescent="0.35">
      <c r="AA358" s="45"/>
      <c r="AB358" s="45"/>
    </row>
    <row r="359" spans="27:28" x14ac:dyDescent="0.35">
      <c r="AA359" s="45"/>
      <c r="AB359" s="45"/>
    </row>
    <row r="360" spans="27:28" x14ac:dyDescent="0.35">
      <c r="AA360" s="45"/>
      <c r="AB360" s="45"/>
    </row>
    <row r="361" spans="27:28" x14ac:dyDescent="0.35">
      <c r="AA361" s="45"/>
      <c r="AB361" s="45"/>
    </row>
    <row r="362" spans="27:28" x14ac:dyDescent="0.35">
      <c r="AA362" s="45"/>
      <c r="AB362" s="45"/>
    </row>
    <row r="363" spans="27:28" x14ac:dyDescent="0.35">
      <c r="AA363" s="45"/>
      <c r="AB363" s="45"/>
    </row>
    <row r="364" spans="27:28" x14ac:dyDescent="0.35">
      <c r="AA364" s="45"/>
      <c r="AB364" s="45"/>
    </row>
    <row r="365" spans="27:28" x14ac:dyDescent="0.35">
      <c r="AA365" s="45"/>
      <c r="AB365" s="45"/>
    </row>
    <row r="366" spans="27:28" x14ac:dyDescent="0.35">
      <c r="AA366" s="45"/>
      <c r="AB366" s="45"/>
    </row>
    <row r="367" spans="27:28" x14ac:dyDescent="0.35">
      <c r="AA367" s="45"/>
      <c r="AB367" s="45"/>
    </row>
    <row r="368" spans="27:28" x14ac:dyDescent="0.35">
      <c r="AA368" s="45"/>
      <c r="AB368" s="45"/>
    </row>
    <row r="369" spans="27:28" x14ac:dyDescent="0.35">
      <c r="AA369" s="45"/>
      <c r="AB369" s="45"/>
    </row>
    <row r="370" spans="27:28" x14ac:dyDescent="0.35">
      <c r="AA370" s="45"/>
      <c r="AB370" s="45"/>
    </row>
    <row r="371" spans="27:28" x14ac:dyDescent="0.35">
      <c r="AA371" s="45"/>
      <c r="AB371" s="45"/>
    </row>
    <row r="372" spans="27:28" x14ac:dyDescent="0.35">
      <c r="AA372" s="45"/>
      <c r="AB372" s="45"/>
    </row>
    <row r="373" spans="27:28" x14ac:dyDescent="0.35">
      <c r="AA373" s="45"/>
      <c r="AB373" s="45"/>
    </row>
    <row r="374" spans="27:28" x14ac:dyDescent="0.35">
      <c r="AA374" s="45"/>
      <c r="AB374" s="45"/>
    </row>
    <row r="375" spans="27:28" x14ac:dyDescent="0.35">
      <c r="AA375" s="45"/>
      <c r="AB375" s="45"/>
    </row>
    <row r="376" spans="27:28" x14ac:dyDescent="0.35">
      <c r="AA376" s="45"/>
      <c r="AB376" s="45"/>
    </row>
    <row r="377" spans="27:28" x14ac:dyDescent="0.35">
      <c r="AA377" s="45"/>
      <c r="AB377" s="45"/>
    </row>
    <row r="378" spans="27:28" x14ac:dyDescent="0.35">
      <c r="AA378" s="45"/>
      <c r="AB378" s="45"/>
    </row>
    <row r="379" spans="27:28" x14ac:dyDescent="0.35">
      <c r="AA379" s="45"/>
      <c r="AB379" s="45"/>
    </row>
    <row r="380" spans="27:28" x14ac:dyDescent="0.35">
      <c r="AA380" s="45"/>
      <c r="AB380" s="45"/>
    </row>
    <row r="381" spans="27:28" x14ac:dyDescent="0.35">
      <c r="AA381" s="45"/>
      <c r="AB381" s="45"/>
    </row>
    <row r="382" spans="27:28" x14ac:dyDescent="0.35">
      <c r="AA382" s="45"/>
      <c r="AB382" s="45"/>
    </row>
    <row r="383" spans="27:28" x14ac:dyDescent="0.35">
      <c r="AA383" s="45"/>
      <c r="AB383" s="45"/>
    </row>
    <row r="384" spans="27:28" x14ac:dyDescent="0.35">
      <c r="AA384" s="45"/>
      <c r="AB384" s="45"/>
    </row>
    <row r="385" spans="27:28" x14ac:dyDescent="0.35">
      <c r="AA385" s="45"/>
      <c r="AB385" s="45"/>
    </row>
    <row r="386" spans="27:28" x14ac:dyDescent="0.35">
      <c r="AA386" s="45"/>
      <c r="AB386" s="45"/>
    </row>
    <row r="387" spans="27:28" x14ac:dyDescent="0.35">
      <c r="AA387" s="45"/>
      <c r="AB387" s="45"/>
    </row>
    <row r="388" spans="27:28" x14ac:dyDescent="0.35">
      <c r="AA388" s="45"/>
      <c r="AB388" s="45"/>
    </row>
    <row r="389" spans="27:28" x14ac:dyDescent="0.35">
      <c r="AA389" s="45"/>
      <c r="AB389" s="45"/>
    </row>
    <row r="390" spans="27:28" x14ac:dyDescent="0.35">
      <c r="AA390" s="45"/>
      <c r="AB390" s="45"/>
    </row>
    <row r="391" spans="27:28" x14ac:dyDescent="0.35">
      <c r="AA391" s="45"/>
      <c r="AB391" s="45"/>
    </row>
    <row r="392" spans="27:28" x14ac:dyDescent="0.35">
      <c r="AA392" s="45"/>
      <c r="AB392" s="45"/>
    </row>
    <row r="393" spans="27:28" x14ac:dyDescent="0.35">
      <c r="AA393" s="45"/>
      <c r="AB393" s="45"/>
    </row>
    <row r="394" spans="27:28" x14ac:dyDescent="0.35">
      <c r="AA394" s="45"/>
      <c r="AB394" s="45"/>
    </row>
    <row r="395" spans="27:28" x14ac:dyDescent="0.35">
      <c r="AA395" s="45"/>
      <c r="AB395" s="45"/>
    </row>
    <row r="396" spans="27:28" x14ac:dyDescent="0.35">
      <c r="AA396" s="45"/>
      <c r="AB396" s="45"/>
    </row>
    <row r="397" spans="27:28" x14ac:dyDescent="0.35">
      <c r="AA397" s="45"/>
      <c r="AB397" s="45"/>
    </row>
    <row r="398" spans="27:28" x14ac:dyDescent="0.35">
      <c r="AA398" s="45"/>
      <c r="AB398" s="45"/>
    </row>
    <row r="399" spans="27:28" x14ac:dyDescent="0.35">
      <c r="AA399" s="45"/>
      <c r="AB399" s="45"/>
    </row>
    <row r="400" spans="27:28" x14ac:dyDescent="0.35">
      <c r="AA400" s="45"/>
      <c r="AB400" s="45"/>
    </row>
    <row r="401" spans="27:28" x14ac:dyDescent="0.35">
      <c r="AA401" s="45"/>
      <c r="AB401" s="45"/>
    </row>
    <row r="402" spans="27:28" x14ac:dyDescent="0.35">
      <c r="AA402" s="45"/>
      <c r="AB402" s="45"/>
    </row>
    <row r="403" spans="27:28" x14ac:dyDescent="0.35">
      <c r="AA403" s="45"/>
      <c r="AB403" s="45"/>
    </row>
    <row r="404" spans="27:28" x14ac:dyDescent="0.35">
      <c r="AA404" s="45"/>
      <c r="AB404" s="45"/>
    </row>
    <row r="405" spans="27:28" x14ac:dyDescent="0.35">
      <c r="AA405" s="45"/>
      <c r="AB405" s="45"/>
    </row>
    <row r="406" spans="27:28" x14ac:dyDescent="0.35">
      <c r="AA406" s="45"/>
      <c r="AB406" s="45"/>
    </row>
    <row r="407" spans="27:28" x14ac:dyDescent="0.35">
      <c r="AA407" s="45"/>
      <c r="AB407" s="45"/>
    </row>
    <row r="408" spans="27:28" x14ac:dyDescent="0.35">
      <c r="AA408" s="45"/>
      <c r="AB408" s="45"/>
    </row>
    <row r="409" spans="27:28" x14ac:dyDescent="0.35">
      <c r="AA409" s="45"/>
      <c r="AB409" s="45"/>
    </row>
    <row r="410" spans="27:28" x14ac:dyDescent="0.35">
      <c r="AA410" s="45"/>
      <c r="AB410" s="45"/>
    </row>
    <row r="411" spans="27:28" x14ac:dyDescent="0.35">
      <c r="AA411" s="45"/>
      <c r="AB411" s="45"/>
    </row>
    <row r="412" spans="27:28" x14ac:dyDescent="0.35">
      <c r="AA412" s="45"/>
      <c r="AB412" s="45"/>
    </row>
    <row r="413" spans="27:28" x14ac:dyDescent="0.35">
      <c r="AA413" s="45"/>
      <c r="AB413" s="45"/>
    </row>
    <row r="414" spans="27:28" x14ac:dyDescent="0.35">
      <c r="AA414" s="45"/>
      <c r="AB414" s="45"/>
    </row>
    <row r="415" spans="27:28" x14ac:dyDescent="0.35">
      <c r="AA415" s="45"/>
      <c r="AB415" s="45"/>
    </row>
    <row r="416" spans="27:28" x14ac:dyDescent="0.35">
      <c r="AA416" s="45"/>
      <c r="AB416" s="45"/>
    </row>
    <row r="417" spans="27:28" x14ac:dyDescent="0.35">
      <c r="AA417" s="45"/>
      <c r="AB417" s="45"/>
    </row>
    <row r="418" spans="27:28" x14ac:dyDescent="0.35">
      <c r="AA418" s="45"/>
      <c r="AB418" s="45"/>
    </row>
    <row r="419" spans="27:28" x14ac:dyDescent="0.35">
      <c r="AA419" s="45"/>
      <c r="AB419" s="45"/>
    </row>
    <row r="420" spans="27:28" x14ac:dyDescent="0.35">
      <c r="AA420" s="45"/>
      <c r="AB420" s="45"/>
    </row>
    <row r="421" spans="27:28" x14ac:dyDescent="0.35">
      <c r="AA421" s="45"/>
      <c r="AB421" s="45"/>
    </row>
    <row r="422" spans="27:28" x14ac:dyDescent="0.35">
      <c r="AA422" s="45"/>
      <c r="AB422" s="45"/>
    </row>
    <row r="423" spans="27:28" x14ac:dyDescent="0.35">
      <c r="AA423" s="45"/>
      <c r="AB423" s="45"/>
    </row>
    <row r="424" spans="27:28" x14ac:dyDescent="0.35">
      <c r="AA424" s="45"/>
      <c r="AB424" s="45"/>
    </row>
    <row r="425" spans="27:28" x14ac:dyDescent="0.35">
      <c r="AA425" s="45"/>
      <c r="AB425" s="45"/>
    </row>
    <row r="426" spans="27:28" x14ac:dyDescent="0.35">
      <c r="AA426" s="45"/>
      <c r="AB426" s="45"/>
    </row>
    <row r="427" spans="27:28" x14ac:dyDescent="0.35">
      <c r="AA427" s="45"/>
      <c r="AB427" s="45"/>
    </row>
    <row r="428" spans="27:28" x14ac:dyDescent="0.35">
      <c r="AA428" s="45"/>
      <c r="AB428" s="45"/>
    </row>
    <row r="429" spans="27:28" x14ac:dyDescent="0.35">
      <c r="AA429" s="45"/>
      <c r="AB429" s="45"/>
    </row>
    <row r="430" spans="27:28" x14ac:dyDescent="0.35">
      <c r="AA430" s="45"/>
      <c r="AB430" s="45"/>
    </row>
    <row r="431" spans="27:28" x14ac:dyDescent="0.35">
      <c r="AA431" s="45"/>
      <c r="AB431" s="45"/>
    </row>
    <row r="432" spans="27:28" x14ac:dyDescent="0.35">
      <c r="AA432" s="45"/>
      <c r="AB432" s="45"/>
    </row>
    <row r="433" spans="27:28" x14ac:dyDescent="0.35">
      <c r="AA433" s="45"/>
      <c r="AB433" s="45"/>
    </row>
    <row r="434" spans="27:28" x14ac:dyDescent="0.35">
      <c r="AA434" s="45"/>
      <c r="AB434" s="45"/>
    </row>
    <row r="435" spans="27:28" x14ac:dyDescent="0.35">
      <c r="AA435" s="45"/>
      <c r="AB435" s="45"/>
    </row>
    <row r="436" spans="27:28" x14ac:dyDescent="0.35">
      <c r="AA436" s="45"/>
      <c r="AB436" s="45"/>
    </row>
    <row r="437" spans="27:28" x14ac:dyDescent="0.35">
      <c r="AA437" s="45"/>
      <c r="AB437" s="45"/>
    </row>
    <row r="438" spans="27:28" x14ac:dyDescent="0.35">
      <c r="AA438" s="45"/>
      <c r="AB438" s="45"/>
    </row>
    <row r="439" spans="27:28" x14ac:dyDescent="0.35">
      <c r="AA439" s="45"/>
      <c r="AB439" s="45"/>
    </row>
    <row r="440" spans="27:28" x14ac:dyDescent="0.35">
      <c r="AA440" s="45"/>
      <c r="AB440" s="45"/>
    </row>
    <row r="441" spans="27:28" x14ac:dyDescent="0.35">
      <c r="AA441" s="45"/>
      <c r="AB441" s="45"/>
    </row>
    <row r="442" spans="27:28" x14ac:dyDescent="0.35">
      <c r="AA442" s="45"/>
      <c r="AB442" s="45"/>
    </row>
    <row r="443" spans="27:28" x14ac:dyDescent="0.35">
      <c r="AA443" s="45"/>
      <c r="AB443" s="45"/>
    </row>
    <row r="444" spans="27:28" x14ac:dyDescent="0.35">
      <c r="AA444" s="45"/>
      <c r="AB444" s="45"/>
    </row>
    <row r="445" spans="27:28" x14ac:dyDescent="0.35">
      <c r="AA445" s="45"/>
      <c r="AB445" s="45"/>
    </row>
    <row r="446" spans="27:28" x14ac:dyDescent="0.35">
      <c r="AA446" s="45"/>
      <c r="AB446" s="45"/>
    </row>
    <row r="447" spans="27:28" x14ac:dyDescent="0.35">
      <c r="AA447" s="45"/>
      <c r="AB447" s="45"/>
    </row>
    <row r="448" spans="27:28" x14ac:dyDescent="0.35">
      <c r="AA448" s="45"/>
      <c r="AB448" s="45"/>
    </row>
    <row r="449" spans="27:28" x14ac:dyDescent="0.35">
      <c r="AA449" s="45"/>
      <c r="AB449" s="45"/>
    </row>
    <row r="450" spans="27:28" x14ac:dyDescent="0.35">
      <c r="AA450" s="45"/>
      <c r="AB450" s="45"/>
    </row>
    <row r="451" spans="27:28" x14ac:dyDescent="0.35">
      <c r="AA451" s="45"/>
      <c r="AB451" s="45"/>
    </row>
    <row r="452" spans="27:28" x14ac:dyDescent="0.35">
      <c r="AA452" s="45"/>
      <c r="AB452" s="45"/>
    </row>
    <row r="453" spans="27:28" x14ac:dyDescent="0.35">
      <c r="AA453" s="45"/>
      <c r="AB453" s="45"/>
    </row>
    <row r="454" spans="27:28" x14ac:dyDescent="0.35">
      <c r="AA454" s="45"/>
      <c r="AB454" s="45"/>
    </row>
    <row r="455" spans="27:28" x14ac:dyDescent="0.35">
      <c r="AA455" s="45"/>
      <c r="AB455" s="45"/>
    </row>
    <row r="456" spans="27:28" x14ac:dyDescent="0.35">
      <c r="AA456" s="45"/>
      <c r="AB456" s="45"/>
    </row>
    <row r="457" spans="27:28" x14ac:dyDescent="0.35">
      <c r="AA457" s="45"/>
      <c r="AB457" s="45"/>
    </row>
    <row r="458" spans="27:28" x14ac:dyDescent="0.35">
      <c r="AA458" s="45"/>
      <c r="AB458" s="45"/>
    </row>
    <row r="459" spans="27:28" x14ac:dyDescent="0.35">
      <c r="AA459" s="45"/>
      <c r="AB459" s="45"/>
    </row>
    <row r="460" spans="27:28" x14ac:dyDescent="0.35">
      <c r="AA460" s="45"/>
      <c r="AB460" s="45"/>
    </row>
    <row r="461" spans="27:28" x14ac:dyDescent="0.35">
      <c r="AA461" s="45"/>
      <c r="AB461" s="45"/>
    </row>
    <row r="462" spans="27:28" x14ac:dyDescent="0.35">
      <c r="AA462" s="45"/>
      <c r="AB462" s="45"/>
    </row>
    <row r="463" spans="27:28" x14ac:dyDescent="0.35">
      <c r="AA463" s="45"/>
      <c r="AB463" s="45"/>
    </row>
    <row r="464" spans="27:28" x14ac:dyDescent="0.35">
      <c r="AA464" s="45"/>
      <c r="AB464" s="45"/>
    </row>
    <row r="465" spans="27:28" x14ac:dyDescent="0.35">
      <c r="AA465" s="45"/>
      <c r="AB465" s="45"/>
    </row>
    <row r="466" spans="27:28" x14ac:dyDescent="0.35">
      <c r="AA466" s="45"/>
      <c r="AB466" s="45"/>
    </row>
    <row r="467" spans="27:28" x14ac:dyDescent="0.35">
      <c r="AA467" s="45"/>
      <c r="AB467" s="45"/>
    </row>
    <row r="468" spans="27:28" x14ac:dyDescent="0.35">
      <c r="AA468" s="45"/>
      <c r="AB468" s="45"/>
    </row>
    <row r="469" spans="27:28" x14ac:dyDescent="0.35">
      <c r="AA469" s="45"/>
      <c r="AB469" s="45"/>
    </row>
    <row r="470" spans="27:28" x14ac:dyDescent="0.35">
      <c r="AA470" s="45"/>
      <c r="AB470" s="45"/>
    </row>
    <row r="471" spans="27:28" x14ac:dyDescent="0.35">
      <c r="AA471" s="45"/>
      <c r="AB471" s="45"/>
    </row>
    <row r="472" spans="27:28" x14ac:dyDescent="0.35">
      <c r="AA472" s="45"/>
      <c r="AB472" s="45"/>
    </row>
    <row r="473" spans="27:28" x14ac:dyDescent="0.35">
      <c r="AA473" s="45"/>
      <c r="AB473" s="45"/>
    </row>
    <row r="474" spans="27:28" x14ac:dyDescent="0.35">
      <c r="AA474" s="45"/>
      <c r="AB474" s="45"/>
    </row>
    <row r="475" spans="27:28" x14ac:dyDescent="0.35">
      <c r="AA475" s="45"/>
      <c r="AB475" s="45"/>
    </row>
    <row r="476" spans="27:28" x14ac:dyDescent="0.35">
      <c r="AA476" s="45"/>
      <c r="AB476" s="45"/>
    </row>
    <row r="477" spans="27:28" x14ac:dyDescent="0.35">
      <c r="AA477" s="45"/>
      <c r="AB477" s="45"/>
    </row>
    <row r="478" spans="27:28" x14ac:dyDescent="0.35">
      <c r="AA478" s="45"/>
      <c r="AB478" s="45"/>
    </row>
    <row r="479" spans="27:28" x14ac:dyDescent="0.35">
      <c r="AA479" s="45"/>
      <c r="AB479" s="45"/>
    </row>
    <row r="480" spans="27:28" x14ac:dyDescent="0.35">
      <c r="AA480" s="45"/>
      <c r="AB480" s="45"/>
    </row>
    <row r="481" spans="27:28" x14ac:dyDescent="0.35">
      <c r="AA481" s="45"/>
      <c r="AB481" s="45"/>
    </row>
    <row r="482" spans="27:28" x14ac:dyDescent="0.35">
      <c r="AA482" s="45"/>
      <c r="AB482" s="45"/>
    </row>
    <row r="483" spans="27:28" x14ac:dyDescent="0.35">
      <c r="AA483" s="45"/>
      <c r="AB483" s="45"/>
    </row>
    <row r="484" spans="27:28" x14ac:dyDescent="0.35">
      <c r="AA484" s="45"/>
      <c r="AB484" s="45"/>
    </row>
    <row r="485" spans="27:28" x14ac:dyDescent="0.35">
      <c r="AA485" s="45"/>
      <c r="AB485" s="45"/>
    </row>
    <row r="486" spans="27:28" x14ac:dyDescent="0.35">
      <c r="AA486" s="45"/>
      <c r="AB486" s="45"/>
    </row>
    <row r="487" spans="27:28" x14ac:dyDescent="0.35">
      <c r="AA487" s="45"/>
      <c r="AB487" s="45"/>
    </row>
    <row r="488" spans="27:28" x14ac:dyDescent="0.35">
      <c r="AA488" s="45"/>
      <c r="AB488" s="45"/>
    </row>
    <row r="489" spans="27:28" x14ac:dyDescent="0.35">
      <c r="AA489" s="45"/>
      <c r="AB489" s="45"/>
    </row>
    <row r="490" spans="27:28" x14ac:dyDescent="0.35">
      <c r="AA490" s="45"/>
      <c r="AB490" s="45"/>
    </row>
    <row r="491" spans="27:28" x14ac:dyDescent="0.35">
      <c r="AA491" s="45"/>
      <c r="AB491" s="45"/>
    </row>
    <row r="492" spans="27:28" x14ac:dyDescent="0.35">
      <c r="AA492" s="45"/>
      <c r="AB492" s="45"/>
    </row>
    <row r="493" spans="27:28" x14ac:dyDescent="0.35">
      <c r="AA493" s="45"/>
      <c r="AB493" s="45"/>
    </row>
    <row r="494" spans="27:28" x14ac:dyDescent="0.35">
      <c r="AA494" s="45"/>
      <c r="AB494" s="45"/>
    </row>
    <row r="495" spans="27:28" x14ac:dyDescent="0.35">
      <c r="AA495" s="45"/>
      <c r="AB495" s="45"/>
    </row>
    <row r="496" spans="27:28" x14ac:dyDescent="0.35">
      <c r="AA496" s="45"/>
      <c r="AB496" s="45"/>
    </row>
    <row r="497" spans="27:28" x14ac:dyDescent="0.35">
      <c r="AA497" s="45"/>
      <c r="AB497" s="45"/>
    </row>
    <row r="498" spans="27:28" x14ac:dyDescent="0.35">
      <c r="AA498" s="45"/>
      <c r="AB498" s="45"/>
    </row>
    <row r="499" spans="27:28" x14ac:dyDescent="0.35">
      <c r="AA499" s="45"/>
      <c r="AB499" s="45"/>
    </row>
    <row r="500" spans="27:28" x14ac:dyDescent="0.35">
      <c r="AA500" s="45"/>
      <c r="AB500" s="45"/>
    </row>
    <row r="501" spans="27:28" x14ac:dyDescent="0.35">
      <c r="AA501" s="45"/>
      <c r="AB501" s="45"/>
    </row>
    <row r="502" spans="27:28" x14ac:dyDescent="0.35">
      <c r="AA502" s="45"/>
      <c r="AB502" s="45"/>
    </row>
    <row r="503" spans="27:28" x14ac:dyDescent="0.35">
      <c r="AA503" s="45"/>
      <c r="AB503" s="45"/>
    </row>
    <row r="504" spans="27:28" x14ac:dyDescent="0.35">
      <c r="AA504" s="45"/>
      <c r="AB504" s="45"/>
    </row>
    <row r="505" spans="27:28" x14ac:dyDescent="0.35">
      <c r="AA505" s="45"/>
      <c r="AB505" s="45"/>
    </row>
    <row r="506" spans="27:28" x14ac:dyDescent="0.35">
      <c r="AA506" s="45"/>
      <c r="AB506" s="45"/>
    </row>
    <row r="507" spans="27:28" x14ac:dyDescent="0.35">
      <c r="AA507" s="45"/>
      <c r="AB507" s="45"/>
    </row>
    <row r="508" spans="27:28" x14ac:dyDescent="0.35">
      <c r="AA508" s="45"/>
      <c r="AB508" s="45"/>
    </row>
    <row r="509" spans="27:28" x14ac:dyDescent="0.35">
      <c r="AA509" s="45"/>
      <c r="AB509" s="45"/>
    </row>
    <row r="510" spans="27:28" x14ac:dyDescent="0.35">
      <c r="AA510" s="45"/>
      <c r="AB510" s="45"/>
    </row>
    <row r="511" spans="27:28" x14ac:dyDescent="0.35">
      <c r="AA511" s="45"/>
      <c r="AB511" s="45"/>
    </row>
    <row r="512" spans="27:28" x14ac:dyDescent="0.35">
      <c r="AA512" s="45"/>
      <c r="AB512" s="45"/>
    </row>
    <row r="513" spans="27:28" x14ac:dyDescent="0.35">
      <c r="AA513" s="45"/>
      <c r="AB513" s="45"/>
    </row>
    <row r="514" spans="27:28" x14ac:dyDescent="0.35">
      <c r="AA514" s="45"/>
      <c r="AB514" s="45"/>
    </row>
    <row r="515" spans="27:28" x14ac:dyDescent="0.35">
      <c r="AA515" s="45"/>
      <c r="AB515" s="45"/>
    </row>
    <row r="516" spans="27:28" x14ac:dyDescent="0.35">
      <c r="AA516" s="45"/>
      <c r="AB516" s="45"/>
    </row>
    <row r="517" spans="27:28" x14ac:dyDescent="0.35">
      <c r="AA517" s="45"/>
      <c r="AB517" s="45"/>
    </row>
    <row r="518" spans="27:28" x14ac:dyDescent="0.35">
      <c r="AA518" s="45"/>
      <c r="AB518" s="45"/>
    </row>
    <row r="519" spans="27:28" x14ac:dyDescent="0.35">
      <c r="AA519" s="45"/>
      <c r="AB519" s="45"/>
    </row>
    <row r="520" spans="27:28" x14ac:dyDescent="0.35">
      <c r="AA520" s="45"/>
      <c r="AB520" s="45"/>
    </row>
    <row r="521" spans="27:28" x14ac:dyDescent="0.35">
      <c r="AA521" s="45"/>
      <c r="AB521" s="45"/>
    </row>
    <row r="522" spans="27:28" x14ac:dyDescent="0.35">
      <c r="AA522" s="45"/>
      <c r="AB522" s="45"/>
    </row>
    <row r="523" spans="27:28" x14ac:dyDescent="0.35">
      <c r="AA523" s="45"/>
      <c r="AB523" s="45"/>
    </row>
    <row r="524" spans="27:28" x14ac:dyDescent="0.35">
      <c r="AA524" s="45"/>
      <c r="AB524" s="45"/>
    </row>
    <row r="525" spans="27:28" x14ac:dyDescent="0.35">
      <c r="AA525" s="45"/>
      <c r="AB525" s="45"/>
    </row>
    <row r="526" spans="27:28" x14ac:dyDescent="0.35">
      <c r="AA526" s="45"/>
      <c r="AB526" s="45"/>
    </row>
    <row r="527" spans="27:28" x14ac:dyDescent="0.35">
      <c r="AA527" s="45"/>
      <c r="AB527" s="45"/>
    </row>
    <row r="528" spans="27:28" x14ac:dyDescent="0.35">
      <c r="AA528" s="45"/>
      <c r="AB528" s="45"/>
    </row>
    <row r="529" spans="27:28" x14ac:dyDescent="0.35">
      <c r="AA529" s="45"/>
      <c r="AB529" s="45"/>
    </row>
    <row r="530" spans="27:28" x14ac:dyDescent="0.35">
      <c r="AA530" s="45"/>
      <c r="AB530" s="45"/>
    </row>
    <row r="531" spans="27:28" x14ac:dyDescent="0.35">
      <c r="AA531" s="45"/>
      <c r="AB531" s="45"/>
    </row>
    <row r="532" spans="27:28" x14ac:dyDescent="0.35">
      <c r="AA532" s="45"/>
      <c r="AB532" s="45"/>
    </row>
    <row r="533" spans="27:28" x14ac:dyDescent="0.35">
      <c r="AA533" s="45"/>
      <c r="AB533" s="45"/>
    </row>
    <row r="534" spans="27:28" x14ac:dyDescent="0.35">
      <c r="AA534" s="45"/>
      <c r="AB534" s="45"/>
    </row>
    <row r="535" spans="27:28" x14ac:dyDescent="0.35">
      <c r="AA535" s="45"/>
      <c r="AB535" s="45"/>
    </row>
    <row r="536" spans="27:28" x14ac:dyDescent="0.35">
      <c r="AA536" s="45"/>
      <c r="AB536" s="45"/>
    </row>
    <row r="537" spans="27:28" x14ac:dyDescent="0.35">
      <c r="AA537" s="45"/>
      <c r="AB537" s="45"/>
    </row>
    <row r="538" spans="27:28" x14ac:dyDescent="0.35">
      <c r="AA538" s="45"/>
      <c r="AB538" s="45"/>
    </row>
    <row r="539" spans="27:28" x14ac:dyDescent="0.35">
      <c r="AA539" s="45"/>
      <c r="AB539" s="45"/>
    </row>
    <row r="540" spans="27:28" x14ac:dyDescent="0.35">
      <c r="AA540" s="45"/>
      <c r="AB540" s="45"/>
    </row>
    <row r="541" spans="27:28" x14ac:dyDescent="0.35">
      <c r="AA541" s="45"/>
      <c r="AB541" s="45"/>
    </row>
    <row r="542" spans="27:28" x14ac:dyDescent="0.35">
      <c r="AA542" s="45"/>
      <c r="AB542" s="45"/>
    </row>
    <row r="543" spans="27:28" x14ac:dyDescent="0.35">
      <c r="AA543" s="45"/>
      <c r="AB543" s="45"/>
    </row>
    <row r="544" spans="27:28" x14ac:dyDescent="0.35">
      <c r="AA544" s="45"/>
      <c r="AB544" s="45"/>
    </row>
    <row r="545" spans="27:28" x14ac:dyDescent="0.35">
      <c r="AA545" s="45"/>
      <c r="AB545" s="45"/>
    </row>
    <row r="546" spans="27:28" x14ac:dyDescent="0.35">
      <c r="AA546" s="45"/>
      <c r="AB546" s="45"/>
    </row>
    <row r="547" spans="27:28" x14ac:dyDescent="0.35">
      <c r="AA547" s="45"/>
      <c r="AB547" s="45"/>
    </row>
    <row r="548" spans="27:28" x14ac:dyDescent="0.35">
      <c r="AA548" s="45"/>
      <c r="AB548" s="45"/>
    </row>
    <row r="549" spans="27:28" x14ac:dyDescent="0.35">
      <c r="AA549" s="45"/>
      <c r="AB549" s="45"/>
    </row>
    <row r="550" spans="27:28" x14ac:dyDescent="0.35">
      <c r="AA550" s="45"/>
      <c r="AB550" s="45"/>
    </row>
    <row r="551" spans="27:28" x14ac:dyDescent="0.35">
      <c r="AA551" s="45"/>
      <c r="AB551" s="45"/>
    </row>
    <row r="552" spans="27:28" x14ac:dyDescent="0.35">
      <c r="AA552" s="45"/>
      <c r="AB552" s="45"/>
    </row>
    <row r="553" spans="27:28" x14ac:dyDescent="0.35">
      <c r="AA553" s="45"/>
      <c r="AB553" s="45"/>
    </row>
    <row r="554" spans="27:28" x14ac:dyDescent="0.35">
      <c r="AA554" s="45"/>
      <c r="AB554" s="45"/>
    </row>
    <row r="555" spans="27:28" x14ac:dyDescent="0.35">
      <c r="AA555" s="45"/>
      <c r="AB555" s="45"/>
    </row>
    <row r="556" spans="27:28" x14ac:dyDescent="0.35">
      <c r="AA556" s="45"/>
      <c r="AB556" s="45"/>
    </row>
    <row r="557" spans="27:28" x14ac:dyDescent="0.35">
      <c r="AA557" s="45"/>
      <c r="AB557" s="45"/>
    </row>
    <row r="558" spans="27:28" x14ac:dyDescent="0.35">
      <c r="AA558" s="45"/>
      <c r="AB558" s="45"/>
    </row>
    <row r="559" spans="27:28" x14ac:dyDescent="0.35">
      <c r="AA559" s="45"/>
      <c r="AB559" s="45"/>
    </row>
    <row r="560" spans="27:28" x14ac:dyDescent="0.35">
      <c r="AA560" s="45"/>
      <c r="AB560" s="45"/>
    </row>
    <row r="561" spans="27:28" x14ac:dyDescent="0.35">
      <c r="AA561" s="45"/>
      <c r="AB561" s="45"/>
    </row>
    <row r="562" spans="27:28" x14ac:dyDescent="0.35">
      <c r="AA562" s="45"/>
      <c r="AB562" s="45"/>
    </row>
    <row r="563" spans="27:28" x14ac:dyDescent="0.35">
      <c r="AA563" s="45"/>
      <c r="AB563" s="45"/>
    </row>
    <row r="564" spans="27:28" x14ac:dyDescent="0.35">
      <c r="AA564" s="45"/>
      <c r="AB564" s="45"/>
    </row>
    <row r="565" spans="27:28" x14ac:dyDescent="0.35">
      <c r="AA565" s="45"/>
      <c r="AB565" s="45"/>
    </row>
    <row r="566" spans="27:28" x14ac:dyDescent="0.35">
      <c r="AA566" s="45"/>
      <c r="AB566" s="45"/>
    </row>
    <row r="567" spans="27:28" x14ac:dyDescent="0.35">
      <c r="AA567" s="45"/>
      <c r="AB567" s="45"/>
    </row>
    <row r="568" spans="27:28" x14ac:dyDescent="0.35">
      <c r="AA568" s="45"/>
      <c r="AB568" s="45"/>
    </row>
    <row r="569" spans="27:28" x14ac:dyDescent="0.35">
      <c r="AA569" s="45"/>
      <c r="AB569" s="45"/>
    </row>
    <row r="570" spans="27:28" x14ac:dyDescent="0.35">
      <c r="AA570" s="45"/>
      <c r="AB570" s="45"/>
    </row>
    <row r="571" spans="27:28" x14ac:dyDescent="0.35">
      <c r="AA571" s="45"/>
      <c r="AB571" s="45"/>
    </row>
    <row r="572" spans="27:28" x14ac:dyDescent="0.35">
      <c r="AA572" s="45"/>
      <c r="AB572" s="45"/>
    </row>
    <row r="573" spans="27:28" x14ac:dyDescent="0.35">
      <c r="AA573" s="45"/>
      <c r="AB573" s="45"/>
    </row>
    <row r="574" spans="27:28" x14ac:dyDescent="0.35">
      <c r="AA574" s="45"/>
      <c r="AB574" s="45"/>
    </row>
    <row r="575" spans="27:28" x14ac:dyDescent="0.35">
      <c r="AA575" s="45"/>
      <c r="AB575" s="45"/>
    </row>
    <row r="576" spans="27:28" x14ac:dyDescent="0.35">
      <c r="AA576" s="45"/>
      <c r="AB576" s="45"/>
    </row>
    <row r="577" spans="27:28" x14ac:dyDescent="0.35">
      <c r="AA577" s="45"/>
      <c r="AB577" s="45"/>
    </row>
    <row r="578" spans="27:28" x14ac:dyDescent="0.35">
      <c r="AA578" s="45"/>
      <c r="AB578" s="45"/>
    </row>
    <row r="579" spans="27:28" x14ac:dyDescent="0.35">
      <c r="AA579" s="45"/>
      <c r="AB579" s="45"/>
    </row>
    <row r="580" spans="27:28" x14ac:dyDescent="0.35">
      <c r="AA580" s="45"/>
      <c r="AB580" s="45"/>
    </row>
    <row r="581" spans="27:28" x14ac:dyDescent="0.35">
      <c r="AA581" s="45"/>
      <c r="AB581" s="45"/>
    </row>
    <row r="582" spans="27:28" x14ac:dyDescent="0.35">
      <c r="AA582" s="45"/>
      <c r="AB582" s="45"/>
    </row>
    <row r="583" spans="27:28" x14ac:dyDescent="0.35">
      <c r="AA583" s="45"/>
      <c r="AB583" s="45"/>
    </row>
    <row r="584" spans="27:28" x14ac:dyDescent="0.35">
      <c r="AA584" s="45"/>
      <c r="AB584" s="45"/>
    </row>
    <row r="585" spans="27:28" x14ac:dyDescent="0.35">
      <c r="AA585" s="45"/>
      <c r="AB585" s="45"/>
    </row>
    <row r="586" spans="27:28" x14ac:dyDescent="0.35">
      <c r="AA586" s="45"/>
      <c r="AB586" s="45"/>
    </row>
    <row r="587" spans="27:28" x14ac:dyDescent="0.35">
      <c r="AA587" s="45"/>
      <c r="AB587" s="45"/>
    </row>
    <row r="588" spans="27:28" x14ac:dyDescent="0.35">
      <c r="AA588" s="45"/>
      <c r="AB588" s="45"/>
    </row>
    <row r="589" spans="27:28" x14ac:dyDescent="0.35">
      <c r="AA589" s="45"/>
      <c r="AB589" s="45"/>
    </row>
    <row r="590" spans="27:28" x14ac:dyDescent="0.35">
      <c r="AA590" s="45"/>
      <c r="AB590" s="45"/>
    </row>
    <row r="591" spans="27:28" x14ac:dyDescent="0.35">
      <c r="AA591" s="45"/>
      <c r="AB591" s="45"/>
    </row>
    <row r="592" spans="27:28" x14ac:dyDescent="0.35">
      <c r="AA592" s="45"/>
      <c r="AB592" s="45"/>
    </row>
    <row r="593" spans="27:28" x14ac:dyDescent="0.35">
      <c r="AA593" s="45"/>
      <c r="AB593" s="45"/>
    </row>
    <row r="594" spans="27:28" x14ac:dyDescent="0.35">
      <c r="AA594" s="45"/>
      <c r="AB594" s="45"/>
    </row>
    <row r="595" spans="27:28" x14ac:dyDescent="0.35">
      <c r="AA595" s="45"/>
      <c r="AB595" s="45"/>
    </row>
    <row r="596" spans="27:28" x14ac:dyDescent="0.35">
      <c r="AA596" s="45"/>
      <c r="AB596" s="45"/>
    </row>
    <row r="597" spans="27:28" x14ac:dyDescent="0.35">
      <c r="AA597" s="45"/>
      <c r="AB597" s="45"/>
    </row>
    <row r="598" spans="27:28" x14ac:dyDescent="0.35">
      <c r="AA598" s="45"/>
      <c r="AB598" s="45"/>
    </row>
    <row r="599" spans="27:28" x14ac:dyDescent="0.35">
      <c r="AA599" s="45"/>
      <c r="AB599" s="45"/>
    </row>
    <row r="600" spans="27:28" x14ac:dyDescent="0.35">
      <c r="AA600" s="45"/>
      <c r="AB600" s="45"/>
    </row>
    <row r="601" spans="27:28" x14ac:dyDescent="0.35">
      <c r="AA601" s="45"/>
      <c r="AB601" s="45"/>
    </row>
    <row r="602" spans="27:28" x14ac:dyDescent="0.35">
      <c r="AA602" s="45"/>
      <c r="AB602" s="45"/>
    </row>
    <row r="603" spans="27:28" x14ac:dyDescent="0.35">
      <c r="AA603" s="45"/>
      <c r="AB603" s="45"/>
    </row>
    <row r="604" spans="27:28" x14ac:dyDescent="0.35">
      <c r="AA604" s="45"/>
      <c r="AB604" s="45"/>
    </row>
    <row r="605" spans="27:28" x14ac:dyDescent="0.35">
      <c r="AA605" s="45"/>
      <c r="AB605" s="45"/>
    </row>
    <row r="606" spans="27:28" x14ac:dyDescent="0.35">
      <c r="AA606" s="45"/>
      <c r="AB606" s="45"/>
    </row>
    <row r="607" spans="27:28" x14ac:dyDescent="0.35">
      <c r="AA607" s="45"/>
      <c r="AB607" s="45"/>
    </row>
    <row r="608" spans="27:28" x14ac:dyDescent="0.35">
      <c r="AA608" s="45"/>
      <c r="AB608" s="45"/>
    </row>
    <row r="609" spans="27:28" x14ac:dyDescent="0.35">
      <c r="AA609" s="45"/>
      <c r="AB609" s="45"/>
    </row>
    <row r="610" spans="27:28" x14ac:dyDescent="0.35">
      <c r="AA610" s="45"/>
      <c r="AB610" s="45"/>
    </row>
    <row r="611" spans="27:28" x14ac:dyDescent="0.35">
      <c r="AA611" s="45"/>
      <c r="AB611" s="45"/>
    </row>
    <row r="612" spans="27:28" x14ac:dyDescent="0.35">
      <c r="AA612" s="45"/>
      <c r="AB612" s="45"/>
    </row>
    <row r="613" spans="27:28" x14ac:dyDescent="0.35">
      <c r="AA613" s="45"/>
      <c r="AB613" s="45"/>
    </row>
    <row r="614" spans="27:28" x14ac:dyDescent="0.35">
      <c r="AA614" s="45"/>
      <c r="AB614" s="45"/>
    </row>
    <row r="615" spans="27:28" x14ac:dyDescent="0.35">
      <c r="AA615" s="45"/>
      <c r="AB615" s="45"/>
    </row>
    <row r="616" spans="27:28" x14ac:dyDescent="0.35">
      <c r="AA616" s="45"/>
      <c r="AB616" s="45"/>
    </row>
    <row r="617" spans="27:28" x14ac:dyDescent="0.35">
      <c r="AA617" s="45"/>
      <c r="AB617" s="45"/>
    </row>
    <row r="618" spans="27:28" x14ac:dyDescent="0.35">
      <c r="AA618" s="45"/>
      <c r="AB618" s="45"/>
    </row>
    <row r="619" spans="27:28" x14ac:dyDescent="0.35">
      <c r="AA619" s="45"/>
      <c r="AB619" s="45"/>
    </row>
    <row r="620" spans="27:28" x14ac:dyDescent="0.35">
      <c r="AA620" s="45"/>
      <c r="AB620" s="45"/>
    </row>
    <row r="621" spans="27:28" x14ac:dyDescent="0.35">
      <c r="AA621" s="45"/>
      <c r="AB621" s="45"/>
    </row>
    <row r="622" spans="27:28" x14ac:dyDescent="0.35">
      <c r="AA622" s="45"/>
      <c r="AB622" s="45"/>
    </row>
    <row r="623" spans="27:28" x14ac:dyDescent="0.35">
      <c r="AA623" s="45"/>
      <c r="AB623" s="45"/>
    </row>
    <row r="624" spans="27:28" x14ac:dyDescent="0.35">
      <c r="AA624" s="45"/>
      <c r="AB624" s="45"/>
    </row>
    <row r="625" spans="27:28" x14ac:dyDescent="0.35">
      <c r="AA625" s="45"/>
      <c r="AB625" s="45"/>
    </row>
    <row r="626" spans="27:28" x14ac:dyDescent="0.35">
      <c r="AA626" s="45"/>
      <c r="AB626" s="45"/>
    </row>
    <row r="627" spans="27:28" x14ac:dyDescent="0.35">
      <c r="AA627" s="45"/>
      <c r="AB627" s="45"/>
    </row>
    <row r="628" spans="27:28" x14ac:dyDescent="0.35">
      <c r="AA628" s="45"/>
      <c r="AB628" s="45"/>
    </row>
    <row r="629" spans="27:28" x14ac:dyDescent="0.35">
      <c r="AA629" s="45"/>
      <c r="AB629" s="45"/>
    </row>
    <row r="630" spans="27:28" x14ac:dyDescent="0.35">
      <c r="AA630" s="45"/>
      <c r="AB630" s="45"/>
    </row>
    <row r="631" spans="27:28" x14ac:dyDescent="0.35">
      <c r="AA631" s="45"/>
      <c r="AB631" s="45"/>
    </row>
    <row r="632" spans="27:28" x14ac:dyDescent="0.35">
      <c r="AA632" s="45"/>
      <c r="AB632" s="45"/>
    </row>
    <row r="633" spans="27:28" x14ac:dyDescent="0.35">
      <c r="AA633" s="45"/>
      <c r="AB633" s="45"/>
    </row>
    <row r="634" spans="27:28" x14ac:dyDescent="0.35">
      <c r="AA634" s="45"/>
      <c r="AB634" s="45"/>
    </row>
    <row r="635" spans="27:28" x14ac:dyDescent="0.35">
      <c r="AA635" s="45"/>
      <c r="AB635" s="45"/>
    </row>
    <row r="636" spans="27:28" x14ac:dyDescent="0.35">
      <c r="AA636" s="45"/>
      <c r="AB636" s="45"/>
    </row>
    <row r="637" spans="27:28" x14ac:dyDescent="0.35">
      <c r="AA637" s="45"/>
      <c r="AB637" s="45"/>
    </row>
    <row r="638" spans="27:28" x14ac:dyDescent="0.35">
      <c r="AA638" s="45"/>
      <c r="AB638" s="45"/>
    </row>
    <row r="639" spans="27:28" x14ac:dyDescent="0.35">
      <c r="AA639" s="45"/>
      <c r="AB639" s="45"/>
    </row>
    <row r="640" spans="27:28" x14ac:dyDescent="0.35">
      <c r="AA640" s="45"/>
      <c r="AB640" s="45"/>
    </row>
    <row r="641" spans="27:28" x14ac:dyDescent="0.35">
      <c r="AA641" s="45"/>
      <c r="AB641" s="45"/>
    </row>
    <row r="642" spans="27:28" x14ac:dyDescent="0.35">
      <c r="AA642" s="45"/>
      <c r="AB642" s="45"/>
    </row>
    <row r="643" spans="27:28" x14ac:dyDescent="0.35">
      <c r="AA643" s="45"/>
      <c r="AB643" s="45"/>
    </row>
    <row r="644" spans="27:28" x14ac:dyDescent="0.35">
      <c r="AA644" s="45"/>
      <c r="AB644" s="45"/>
    </row>
    <row r="645" spans="27:28" x14ac:dyDescent="0.35">
      <c r="AA645" s="45"/>
      <c r="AB645" s="45"/>
    </row>
    <row r="646" spans="27:28" x14ac:dyDescent="0.35">
      <c r="AA646" s="45"/>
      <c r="AB646" s="45"/>
    </row>
    <row r="647" spans="27:28" x14ac:dyDescent="0.35">
      <c r="AA647" s="45"/>
      <c r="AB647" s="45"/>
    </row>
    <row r="648" spans="27:28" x14ac:dyDescent="0.35">
      <c r="AA648" s="45"/>
      <c r="AB648" s="45"/>
    </row>
    <row r="649" spans="27:28" x14ac:dyDescent="0.35">
      <c r="AA649" s="45"/>
      <c r="AB649" s="45"/>
    </row>
    <row r="650" spans="27:28" x14ac:dyDescent="0.35">
      <c r="AA650" s="45"/>
      <c r="AB650" s="45"/>
    </row>
    <row r="651" spans="27:28" x14ac:dyDescent="0.35">
      <c r="AA651" s="45"/>
      <c r="AB651" s="45"/>
    </row>
    <row r="652" spans="27:28" x14ac:dyDescent="0.35">
      <c r="AA652" s="45"/>
      <c r="AB652" s="45"/>
    </row>
    <row r="653" spans="27:28" x14ac:dyDescent="0.35">
      <c r="AA653" s="45"/>
      <c r="AB653" s="45"/>
    </row>
    <row r="654" spans="27:28" x14ac:dyDescent="0.35">
      <c r="AA654" s="45"/>
      <c r="AB654" s="45"/>
    </row>
    <row r="655" spans="27:28" x14ac:dyDescent="0.35">
      <c r="AA655" s="45"/>
      <c r="AB655" s="45"/>
    </row>
    <row r="656" spans="27:28" x14ac:dyDescent="0.35">
      <c r="AA656" s="45"/>
      <c r="AB656" s="45"/>
    </row>
    <row r="657" spans="27:28" x14ac:dyDescent="0.35">
      <c r="AA657" s="45"/>
      <c r="AB657" s="45"/>
    </row>
    <row r="658" spans="27:28" x14ac:dyDescent="0.35">
      <c r="AA658" s="45"/>
      <c r="AB658" s="45"/>
    </row>
    <row r="659" spans="27:28" x14ac:dyDescent="0.35">
      <c r="AA659" s="45"/>
      <c r="AB659" s="45"/>
    </row>
    <row r="660" spans="27:28" x14ac:dyDescent="0.35">
      <c r="AA660" s="45"/>
      <c r="AB660" s="45"/>
    </row>
    <row r="661" spans="27:28" x14ac:dyDescent="0.35">
      <c r="AA661" s="45"/>
      <c r="AB661" s="45"/>
    </row>
    <row r="662" spans="27:28" x14ac:dyDescent="0.35">
      <c r="AA662" s="45"/>
      <c r="AB662" s="45"/>
    </row>
    <row r="663" spans="27:28" x14ac:dyDescent="0.35">
      <c r="AA663" s="45"/>
      <c r="AB663" s="45"/>
    </row>
    <row r="664" spans="27:28" x14ac:dyDescent="0.35">
      <c r="AA664" s="45"/>
      <c r="AB664" s="45"/>
    </row>
    <row r="665" spans="27:28" x14ac:dyDescent="0.35">
      <c r="AA665" s="45"/>
      <c r="AB665" s="45"/>
    </row>
    <row r="666" spans="27:28" x14ac:dyDescent="0.35">
      <c r="AA666" s="45"/>
      <c r="AB666" s="45"/>
    </row>
    <row r="667" spans="27:28" x14ac:dyDescent="0.35">
      <c r="AA667" s="45"/>
      <c r="AB667" s="45"/>
    </row>
    <row r="668" spans="27:28" x14ac:dyDescent="0.35">
      <c r="AA668" s="45"/>
      <c r="AB668" s="45"/>
    </row>
    <row r="669" spans="27:28" x14ac:dyDescent="0.35">
      <c r="AA669" s="45"/>
      <c r="AB669" s="45"/>
    </row>
    <row r="670" spans="27:28" x14ac:dyDescent="0.35">
      <c r="AA670" s="45"/>
      <c r="AB670" s="45"/>
    </row>
    <row r="671" spans="27:28" x14ac:dyDescent="0.35">
      <c r="AA671" s="45"/>
      <c r="AB671" s="45"/>
    </row>
    <row r="672" spans="27:28" x14ac:dyDescent="0.35">
      <c r="AA672" s="45"/>
      <c r="AB672" s="45"/>
    </row>
    <row r="673" spans="27:28" x14ac:dyDescent="0.35">
      <c r="AA673" s="45"/>
      <c r="AB673" s="45"/>
    </row>
    <row r="674" spans="27:28" x14ac:dyDescent="0.35">
      <c r="AA674" s="45"/>
      <c r="AB674" s="45"/>
    </row>
    <row r="675" spans="27:28" x14ac:dyDescent="0.35">
      <c r="AA675" s="45"/>
      <c r="AB675" s="45"/>
    </row>
    <row r="676" spans="27:28" x14ac:dyDescent="0.35">
      <c r="AA676" s="45"/>
      <c r="AB676" s="45"/>
    </row>
    <row r="677" spans="27:28" x14ac:dyDescent="0.35">
      <c r="AA677" s="45"/>
      <c r="AB677" s="45"/>
    </row>
    <row r="678" spans="27:28" x14ac:dyDescent="0.35">
      <c r="AA678" s="45"/>
      <c r="AB678" s="45"/>
    </row>
    <row r="679" spans="27:28" x14ac:dyDescent="0.35">
      <c r="AA679" s="45"/>
      <c r="AB679" s="45"/>
    </row>
    <row r="680" spans="27:28" x14ac:dyDescent="0.35">
      <c r="AA680" s="45"/>
      <c r="AB680" s="45"/>
    </row>
    <row r="681" spans="27:28" x14ac:dyDescent="0.35">
      <c r="AA681" s="45"/>
      <c r="AB681" s="45"/>
    </row>
    <row r="682" spans="27:28" x14ac:dyDescent="0.35">
      <c r="AA682" s="45"/>
      <c r="AB682" s="45"/>
    </row>
    <row r="683" spans="27:28" x14ac:dyDescent="0.35">
      <c r="AA683" s="45"/>
      <c r="AB683" s="45"/>
    </row>
    <row r="684" spans="27:28" x14ac:dyDescent="0.35">
      <c r="AA684" s="45"/>
      <c r="AB684" s="45"/>
    </row>
    <row r="685" spans="27:28" x14ac:dyDescent="0.35">
      <c r="AA685" s="45"/>
      <c r="AB685" s="45"/>
    </row>
    <row r="686" spans="27:28" x14ac:dyDescent="0.35">
      <c r="AA686" s="45"/>
      <c r="AB686" s="45"/>
    </row>
    <row r="687" spans="27:28" x14ac:dyDescent="0.35">
      <c r="AA687" s="45"/>
      <c r="AB687" s="45"/>
    </row>
    <row r="688" spans="27:28" x14ac:dyDescent="0.35">
      <c r="AA688" s="45"/>
      <c r="AB688" s="45"/>
    </row>
    <row r="689" spans="27:28" x14ac:dyDescent="0.35">
      <c r="AA689" s="45"/>
      <c r="AB689" s="45"/>
    </row>
    <row r="690" spans="27:28" x14ac:dyDescent="0.35">
      <c r="AA690" s="45"/>
      <c r="AB690" s="45"/>
    </row>
    <row r="691" spans="27:28" x14ac:dyDescent="0.35">
      <c r="AA691" s="45"/>
      <c r="AB691" s="45"/>
    </row>
    <row r="692" spans="27:28" x14ac:dyDescent="0.35">
      <c r="AA692" s="45"/>
      <c r="AB692" s="45"/>
    </row>
    <row r="693" spans="27:28" x14ac:dyDescent="0.35">
      <c r="AA693" s="45"/>
      <c r="AB693" s="45"/>
    </row>
    <row r="694" spans="27:28" x14ac:dyDescent="0.35">
      <c r="AA694" s="45"/>
      <c r="AB694" s="45"/>
    </row>
    <row r="695" spans="27:28" x14ac:dyDescent="0.35">
      <c r="AA695" s="45"/>
      <c r="AB695" s="45"/>
    </row>
    <row r="696" spans="27:28" x14ac:dyDescent="0.35">
      <c r="AA696" s="45"/>
      <c r="AB696" s="45"/>
    </row>
    <row r="697" spans="27:28" x14ac:dyDescent="0.35">
      <c r="AA697" s="45"/>
      <c r="AB697" s="45"/>
    </row>
    <row r="698" spans="27:28" x14ac:dyDescent="0.35">
      <c r="AA698" s="45"/>
      <c r="AB698" s="45"/>
    </row>
    <row r="699" spans="27:28" x14ac:dyDescent="0.35">
      <c r="AA699" s="45"/>
      <c r="AB699" s="45"/>
    </row>
    <row r="700" spans="27:28" x14ac:dyDescent="0.35">
      <c r="AA700" s="45"/>
      <c r="AB700" s="45"/>
    </row>
    <row r="701" spans="27:28" x14ac:dyDescent="0.35">
      <c r="AA701" s="45"/>
      <c r="AB701" s="45"/>
    </row>
    <row r="702" spans="27:28" x14ac:dyDescent="0.35">
      <c r="AA702" s="45"/>
      <c r="AB702" s="45"/>
    </row>
    <row r="703" spans="27:28" x14ac:dyDescent="0.35">
      <c r="AA703" s="45"/>
      <c r="AB703" s="45"/>
    </row>
    <row r="704" spans="27:28" x14ac:dyDescent="0.35">
      <c r="AA704" s="45"/>
      <c r="AB704" s="45"/>
    </row>
    <row r="705" spans="27:28" x14ac:dyDescent="0.35">
      <c r="AA705" s="45"/>
      <c r="AB705" s="45"/>
    </row>
    <row r="706" spans="27:28" x14ac:dyDescent="0.35">
      <c r="AA706" s="45"/>
      <c r="AB706" s="45"/>
    </row>
    <row r="707" spans="27:28" x14ac:dyDescent="0.35">
      <c r="AA707" s="45"/>
      <c r="AB707" s="45"/>
    </row>
    <row r="708" spans="27:28" x14ac:dyDescent="0.35">
      <c r="AA708" s="45"/>
      <c r="AB708" s="45"/>
    </row>
    <row r="709" spans="27:28" x14ac:dyDescent="0.35">
      <c r="AA709" s="45"/>
      <c r="AB709" s="45"/>
    </row>
    <row r="710" spans="27:28" x14ac:dyDescent="0.35">
      <c r="AA710" s="45"/>
      <c r="AB710" s="45"/>
    </row>
    <row r="711" spans="27:28" x14ac:dyDescent="0.35">
      <c r="AA711" s="45"/>
      <c r="AB711" s="45"/>
    </row>
    <row r="712" spans="27:28" x14ac:dyDescent="0.35">
      <c r="AA712" s="45"/>
      <c r="AB712" s="45"/>
    </row>
    <row r="713" spans="27:28" x14ac:dyDescent="0.35">
      <c r="AA713" s="45"/>
      <c r="AB713" s="45"/>
    </row>
    <row r="714" spans="27:28" x14ac:dyDescent="0.35">
      <c r="AA714" s="45"/>
      <c r="AB714" s="45"/>
    </row>
    <row r="715" spans="27:28" x14ac:dyDescent="0.35">
      <c r="AA715" s="45"/>
      <c r="AB715" s="45"/>
    </row>
    <row r="716" spans="27:28" x14ac:dyDescent="0.35">
      <c r="AA716" s="45"/>
      <c r="AB716" s="45"/>
    </row>
    <row r="717" spans="27:28" x14ac:dyDescent="0.35">
      <c r="AA717" s="45"/>
      <c r="AB717" s="45"/>
    </row>
    <row r="718" spans="27:28" x14ac:dyDescent="0.35">
      <c r="AA718" s="45"/>
      <c r="AB718" s="45"/>
    </row>
    <row r="719" spans="27:28" x14ac:dyDescent="0.35">
      <c r="AA719" s="45"/>
      <c r="AB719" s="45"/>
    </row>
    <row r="720" spans="27:28" x14ac:dyDescent="0.35">
      <c r="AA720" s="45"/>
      <c r="AB720" s="45"/>
    </row>
    <row r="721" spans="27:28" x14ac:dyDescent="0.35">
      <c r="AA721" s="45"/>
      <c r="AB721" s="45"/>
    </row>
    <row r="722" spans="27:28" x14ac:dyDescent="0.35">
      <c r="AA722" s="45"/>
      <c r="AB722" s="45"/>
    </row>
    <row r="723" spans="27:28" x14ac:dyDescent="0.35">
      <c r="AA723" s="45"/>
      <c r="AB723" s="45"/>
    </row>
    <row r="724" spans="27:28" x14ac:dyDescent="0.35">
      <c r="AA724" s="45"/>
      <c r="AB724" s="45"/>
    </row>
    <row r="725" spans="27:28" x14ac:dyDescent="0.35">
      <c r="AA725" s="45"/>
      <c r="AB725" s="45"/>
    </row>
    <row r="726" spans="27:28" x14ac:dyDescent="0.35">
      <c r="AA726" s="45"/>
      <c r="AB726" s="45"/>
    </row>
    <row r="727" spans="27:28" x14ac:dyDescent="0.35">
      <c r="AA727" s="45"/>
      <c r="AB727" s="45"/>
    </row>
    <row r="728" spans="27:28" x14ac:dyDescent="0.35">
      <c r="AA728" s="45"/>
      <c r="AB728" s="45"/>
    </row>
    <row r="729" spans="27:28" x14ac:dyDescent="0.35">
      <c r="AA729" s="45"/>
      <c r="AB729" s="45"/>
    </row>
    <row r="730" spans="27:28" x14ac:dyDescent="0.35">
      <c r="AA730" s="45"/>
      <c r="AB730" s="45"/>
    </row>
    <row r="731" spans="27:28" x14ac:dyDescent="0.35">
      <c r="AA731" s="45"/>
      <c r="AB731" s="45"/>
    </row>
    <row r="732" spans="27:28" x14ac:dyDescent="0.35">
      <c r="AA732" s="45"/>
      <c r="AB732" s="45"/>
    </row>
    <row r="733" spans="27:28" x14ac:dyDescent="0.35">
      <c r="AA733" s="45"/>
      <c r="AB733" s="45"/>
    </row>
    <row r="734" spans="27:28" x14ac:dyDescent="0.35">
      <c r="AA734" s="45"/>
      <c r="AB734" s="45"/>
    </row>
    <row r="735" spans="27:28" x14ac:dyDescent="0.35">
      <c r="AA735" s="45"/>
      <c r="AB735" s="45"/>
    </row>
    <row r="736" spans="27:28" x14ac:dyDescent="0.35">
      <c r="AA736" s="45"/>
      <c r="AB736" s="45"/>
    </row>
    <row r="737" spans="27:28" x14ac:dyDescent="0.35">
      <c r="AA737" s="45"/>
      <c r="AB737" s="45"/>
    </row>
    <row r="738" spans="27:28" x14ac:dyDescent="0.35">
      <c r="AA738" s="45"/>
      <c r="AB738" s="45"/>
    </row>
    <row r="739" spans="27:28" x14ac:dyDescent="0.35">
      <c r="AA739" s="45"/>
      <c r="AB739" s="45"/>
    </row>
    <row r="740" spans="27:28" x14ac:dyDescent="0.35">
      <c r="AA740" s="45"/>
      <c r="AB740" s="45"/>
    </row>
    <row r="741" spans="27:28" x14ac:dyDescent="0.35">
      <c r="AA741" s="45"/>
      <c r="AB741" s="45"/>
    </row>
    <row r="742" spans="27:28" x14ac:dyDescent="0.35">
      <c r="AA742" s="45"/>
      <c r="AB742" s="45"/>
    </row>
    <row r="743" spans="27:28" x14ac:dyDescent="0.35">
      <c r="AA743" s="45"/>
      <c r="AB743" s="45"/>
    </row>
    <row r="744" spans="27:28" x14ac:dyDescent="0.35">
      <c r="AA744" s="45"/>
      <c r="AB744" s="45"/>
    </row>
    <row r="745" spans="27:28" x14ac:dyDescent="0.35">
      <c r="AA745" s="45"/>
      <c r="AB745" s="45"/>
    </row>
    <row r="746" spans="27:28" x14ac:dyDescent="0.35">
      <c r="AA746" s="45"/>
      <c r="AB746" s="45"/>
    </row>
    <row r="747" spans="27:28" x14ac:dyDescent="0.35">
      <c r="AA747" s="45"/>
      <c r="AB747" s="45"/>
    </row>
    <row r="748" spans="27:28" x14ac:dyDescent="0.35">
      <c r="AA748" s="45"/>
      <c r="AB748" s="45"/>
    </row>
    <row r="749" spans="27:28" x14ac:dyDescent="0.35">
      <c r="AA749" s="45"/>
      <c r="AB749" s="45"/>
    </row>
    <row r="750" spans="27:28" x14ac:dyDescent="0.35">
      <c r="AA750" s="45"/>
      <c r="AB750" s="45"/>
    </row>
    <row r="751" spans="27:28" x14ac:dyDescent="0.35">
      <c r="AA751" s="45"/>
      <c r="AB751" s="45"/>
    </row>
    <row r="752" spans="27:28" x14ac:dyDescent="0.35">
      <c r="AA752" s="45"/>
      <c r="AB752" s="45"/>
    </row>
    <row r="753" spans="27:28" x14ac:dyDescent="0.35">
      <c r="AA753" s="45"/>
      <c r="AB753" s="45"/>
    </row>
    <row r="754" spans="27:28" x14ac:dyDescent="0.35">
      <c r="AA754" s="45"/>
      <c r="AB754" s="45"/>
    </row>
    <row r="755" spans="27:28" x14ac:dyDescent="0.35">
      <c r="AA755" s="45"/>
      <c r="AB755" s="45"/>
    </row>
    <row r="756" spans="27:28" x14ac:dyDescent="0.35">
      <c r="AA756" s="45"/>
      <c r="AB756" s="45"/>
    </row>
    <row r="757" spans="27:28" x14ac:dyDescent="0.35">
      <c r="AA757" s="45"/>
      <c r="AB757" s="45"/>
    </row>
    <row r="758" spans="27:28" x14ac:dyDescent="0.35">
      <c r="AA758" s="45"/>
      <c r="AB758" s="45"/>
    </row>
    <row r="759" spans="27:28" x14ac:dyDescent="0.35">
      <c r="AA759" s="45"/>
      <c r="AB759" s="45"/>
    </row>
    <row r="760" spans="27:28" x14ac:dyDescent="0.35">
      <c r="AA760" s="45"/>
      <c r="AB760" s="45"/>
    </row>
    <row r="761" spans="27:28" x14ac:dyDescent="0.35">
      <c r="AA761" s="45"/>
      <c r="AB761" s="45"/>
    </row>
    <row r="762" spans="27:28" x14ac:dyDescent="0.35">
      <c r="AA762" s="45"/>
      <c r="AB762" s="45"/>
    </row>
    <row r="763" spans="27:28" x14ac:dyDescent="0.35">
      <c r="AA763" s="45"/>
      <c r="AB763" s="45"/>
    </row>
    <row r="764" spans="27:28" x14ac:dyDescent="0.35">
      <c r="AA764" s="45"/>
      <c r="AB764" s="45"/>
    </row>
    <row r="765" spans="27:28" x14ac:dyDescent="0.35">
      <c r="AA765" s="45"/>
      <c r="AB765" s="45"/>
    </row>
    <row r="766" spans="27:28" x14ac:dyDescent="0.35">
      <c r="AA766" s="45"/>
      <c r="AB766" s="45"/>
    </row>
    <row r="767" spans="27:28" x14ac:dyDescent="0.35">
      <c r="AA767" s="45"/>
      <c r="AB767" s="45"/>
    </row>
    <row r="768" spans="27:28" x14ac:dyDescent="0.35">
      <c r="AA768" s="45"/>
      <c r="AB768" s="45"/>
    </row>
    <row r="769" spans="27:28" x14ac:dyDescent="0.35">
      <c r="AA769" s="45"/>
      <c r="AB769" s="45"/>
    </row>
    <row r="770" spans="27:28" x14ac:dyDescent="0.35">
      <c r="AA770" s="45"/>
      <c r="AB770" s="45"/>
    </row>
    <row r="771" spans="27:28" x14ac:dyDescent="0.35">
      <c r="AA771" s="45"/>
      <c r="AB771" s="45"/>
    </row>
    <row r="772" spans="27:28" x14ac:dyDescent="0.35">
      <c r="AA772" s="45"/>
      <c r="AB772" s="45"/>
    </row>
    <row r="773" spans="27:28" x14ac:dyDescent="0.35">
      <c r="AA773" s="45"/>
      <c r="AB773" s="45"/>
    </row>
    <row r="774" spans="27:28" x14ac:dyDescent="0.35">
      <c r="AA774" s="45"/>
      <c r="AB774" s="45"/>
    </row>
    <row r="775" spans="27:28" x14ac:dyDescent="0.35">
      <c r="AA775" s="45"/>
      <c r="AB775" s="45"/>
    </row>
    <row r="776" spans="27:28" x14ac:dyDescent="0.35">
      <c r="AA776" s="45"/>
      <c r="AB776" s="45"/>
    </row>
    <row r="777" spans="27:28" x14ac:dyDescent="0.35">
      <c r="AA777" s="45"/>
      <c r="AB777" s="45"/>
    </row>
    <row r="778" spans="27:28" x14ac:dyDescent="0.35">
      <c r="AA778" s="45"/>
      <c r="AB778" s="45"/>
    </row>
    <row r="779" spans="27:28" x14ac:dyDescent="0.35">
      <c r="AA779" s="45"/>
      <c r="AB779" s="45"/>
    </row>
    <row r="780" spans="27:28" x14ac:dyDescent="0.35">
      <c r="AA780" s="45"/>
      <c r="AB780" s="45"/>
    </row>
    <row r="781" spans="27:28" x14ac:dyDescent="0.35">
      <c r="AA781" s="45"/>
      <c r="AB781" s="45"/>
    </row>
    <row r="782" spans="27:28" x14ac:dyDescent="0.35">
      <c r="AA782" s="45"/>
      <c r="AB782" s="45"/>
    </row>
    <row r="783" spans="27:28" x14ac:dyDescent="0.35">
      <c r="AA783" s="45"/>
      <c r="AB783" s="45"/>
    </row>
    <row r="784" spans="27:28" x14ac:dyDescent="0.35">
      <c r="AA784" s="45"/>
      <c r="AB784" s="45"/>
    </row>
    <row r="785" spans="27:28" x14ac:dyDescent="0.35">
      <c r="AA785" s="45"/>
      <c r="AB785" s="45"/>
    </row>
    <row r="786" spans="27:28" x14ac:dyDescent="0.35">
      <c r="AA786" s="45"/>
      <c r="AB786" s="45"/>
    </row>
    <row r="787" spans="27:28" x14ac:dyDescent="0.35">
      <c r="AA787" s="45"/>
      <c r="AB787" s="45"/>
    </row>
    <row r="788" spans="27:28" x14ac:dyDescent="0.35">
      <c r="AA788" s="45"/>
      <c r="AB788" s="45"/>
    </row>
    <row r="789" spans="27:28" x14ac:dyDescent="0.35">
      <c r="AA789" s="45"/>
      <c r="AB789" s="45"/>
    </row>
    <row r="790" spans="27:28" x14ac:dyDescent="0.35">
      <c r="AA790" s="45"/>
      <c r="AB790" s="45"/>
    </row>
    <row r="791" spans="27:28" x14ac:dyDescent="0.35">
      <c r="AA791" s="45"/>
      <c r="AB791" s="45"/>
    </row>
    <row r="792" spans="27:28" x14ac:dyDescent="0.35">
      <c r="AA792" s="45"/>
      <c r="AB792" s="45"/>
    </row>
    <row r="793" spans="27:28" x14ac:dyDescent="0.35">
      <c r="AA793" s="45"/>
      <c r="AB793" s="45"/>
    </row>
    <row r="794" spans="27:28" x14ac:dyDescent="0.35">
      <c r="AA794" s="45"/>
      <c r="AB794" s="45"/>
    </row>
    <row r="795" spans="27:28" x14ac:dyDescent="0.35">
      <c r="AA795" s="45"/>
      <c r="AB795" s="45"/>
    </row>
    <row r="796" spans="27:28" x14ac:dyDescent="0.35">
      <c r="AA796" s="45"/>
      <c r="AB796" s="45"/>
    </row>
    <row r="797" spans="27:28" x14ac:dyDescent="0.35">
      <c r="AA797" s="45"/>
      <c r="AB797" s="45"/>
    </row>
    <row r="798" spans="27:28" x14ac:dyDescent="0.35">
      <c r="AA798" s="45"/>
      <c r="AB798" s="45"/>
    </row>
    <row r="799" spans="27:28" x14ac:dyDescent="0.35">
      <c r="AA799" s="45"/>
      <c r="AB799" s="45"/>
    </row>
    <row r="800" spans="27:28" x14ac:dyDescent="0.35">
      <c r="AA800" s="45"/>
      <c r="AB800" s="45"/>
    </row>
    <row r="801" spans="27:28" x14ac:dyDescent="0.35">
      <c r="AA801" s="45"/>
      <c r="AB801" s="45"/>
    </row>
    <row r="802" spans="27:28" x14ac:dyDescent="0.35">
      <c r="AA802" s="45"/>
      <c r="AB802" s="45"/>
    </row>
    <row r="803" spans="27:28" x14ac:dyDescent="0.35">
      <c r="AA803" s="45"/>
      <c r="AB803" s="45"/>
    </row>
    <row r="804" spans="27:28" x14ac:dyDescent="0.35">
      <c r="AA804" s="45"/>
      <c r="AB804" s="45"/>
    </row>
    <row r="805" spans="27:28" x14ac:dyDescent="0.35">
      <c r="AA805" s="45"/>
      <c r="AB805" s="45"/>
    </row>
    <row r="806" spans="27:28" x14ac:dyDescent="0.35">
      <c r="AA806" s="45"/>
      <c r="AB806" s="45"/>
    </row>
    <row r="807" spans="27:28" x14ac:dyDescent="0.35">
      <c r="AA807" s="45"/>
      <c r="AB807" s="45"/>
    </row>
    <row r="808" spans="27:28" x14ac:dyDescent="0.35">
      <c r="AA808" s="45"/>
      <c r="AB808" s="45"/>
    </row>
    <row r="809" spans="27:28" x14ac:dyDescent="0.35">
      <c r="AA809" s="45"/>
      <c r="AB809" s="45"/>
    </row>
    <row r="810" spans="27:28" x14ac:dyDescent="0.35">
      <c r="AA810" s="45"/>
      <c r="AB810" s="45"/>
    </row>
    <row r="811" spans="27:28" x14ac:dyDescent="0.35">
      <c r="AA811" s="45"/>
      <c r="AB811" s="45"/>
    </row>
    <row r="812" spans="27:28" x14ac:dyDescent="0.35">
      <c r="AA812" s="45"/>
      <c r="AB812" s="45"/>
    </row>
    <row r="813" spans="27:28" x14ac:dyDescent="0.35">
      <c r="AA813" s="45"/>
      <c r="AB813" s="45"/>
    </row>
    <row r="814" spans="27:28" x14ac:dyDescent="0.35">
      <c r="AA814" s="45"/>
      <c r="AB814" s="45"/>
    </row>
    <row r="815" spans="27:28" x14ac:dyDescent="0.35">
      <c r="AA815" s="45"/>
      <c r="AB815" s="45"/>
    </row>
    <row r="816" spans="27:28" x14ac:dyDescent="0.35">
      <c r="AA816" s="45"/>
      <c r="AB816" s="45"/>
    </row>
    <row r="817" spans="27:28" x14ac:dyDescent="0.35">
      <c r="AA817" s="45"/>
      <c r="AB817" s="45"/>
    </row>
    <row r="818" spans="27:28" x14ac:dyDescent="0.35">
      <c r="AA818" s="45"/>
      <c r="AB818" s="45"/>
    </row>
    <row r="819" spans="27:28" x14ac:dyDescent="0.35">
      <c r="AA819" s="45"/>
      <c r="AB819" s="45"/>
    </row>
    <row r="820" spans="27:28" x14ac:dyDescent="0.35">
      <c r="AA820" s="45"/>
      <c r="AB820" s="45"/>
    </row>
    <row r="821" spans="27:28" x14ac:dyDescent="0.35">
      <c r="AA821" s="45"/>
      <c r="AB821" s="45"/>
    </row>
    <row r="822" spans="27:28" x14ac:dyDescent="0.35">
      <c r="AA822" s="45"/>
      <c r="AB822" s="45"/>
    </row>
    <row r="823" spans="27:28" x14ac:dyDescent="0.35">
      <c r="AA823" s="45"/>
      <c r="AB823" s="45"/>
    </row>
    <row r="824" spans="27:28" x14ac:dyDescent="0.35">
      <c r="AA824" s="45"/>
      <c r="AB824" s="45"/>
    </row>
    <row r="825" spans="27:28" x14ac:dyDescent="0.35">
      <c r="AA825" s="45"/>
      <c r="AB825" s="45"/>
    </row>
    <row r="826" spans="27:28" x14ac:dyDescent="0.35">
      <c r="AA826" s="45"/>
      <c r="AB826" s="45"/>
    </row>
    <row r="827" spans="27:28" x14ac:dyDescent="0.35">
      <c r="AA827" s="45"/>
      <c r="AB827" s="45"/>
    </row>
    <row r="828" spans="27:28" x14ac:dyDescent="0.35">
      <c r="AA828" s="45"/>
      <c r="AB828" s="45"/>
    </row>
    <row r="829" spans="27:28" x14ac:dyDescent="0.35">
      <c r="AA829" s="45"/>
      <c r="AB829" s="45"/>
    </row>
    <row r="830" spans="27:28" x14ac:dyDescent="0.35">
      <c r="AA830" s="45"/>
      <c r="AB830" s="45"/>
    </row>
    <row r="831" spans="27:28" x14ac:dyDescent="0.35">
      <c r="AA831" s="45"/>
      <c r="AB831" s="45"/>
    </row>
    <row r="832" spans="27:28" x14ac:dyDescent="0.35">
      <c r="AA832" s="45"/>
      <c r="AB832" s="45"/>
    </row>
    <row r="833" spans="27:28" x14ac:dyDescent="0.35">
      <c r="AA833" s="45"/>
      <c r="AB833" s="45"/>
    </row>
    <row r="834" spans="27:28" x14ac:dyDescent="0.35">
      <c r="AA834" s="45"/>
      <c r="AB834" s="45"/>
    </row>
    <row r="835" spans="27:28" x14ac:dyDescent="0.35">
      <c r="AA835" s="45"/>
      <c r="AB835" s="45"/>
    </row>
    <row r="836" spans="27:28" x14ac:dyDescent="0.35">
      <c r="AA836" s="45"/>
      <c r="AB836" s="45"/>
    </row>
    <row r="837" spans="27:28" x14ac:dyDescent="0.35">
      <c r="AA837" s="45"/>
      <c r="AB837" s="45"/>
    </row>
    <row r="838" spans="27:28" x14ac:dyDescent="0.35">
      <c r="AA838" s="45"/>
      <c r="AB838" s="45"/>
    </row>
    <row r="839" spans="27:28" x14ac:dyDescent="0.35">
      <c r="AA839" s="45"/>
      <c r="AB839" s="45"/>
    </row>
    <row r="840" spans="27:28" x14ac:dyDescent="0.35">
      <c r="AA840" s="45"/>
      <c r="AB840" s="45"/>
    </row>
    <row r="841" spans="27:28" x14ac:dyDescent="0.35">
      <c r="AA841" s="45"/>
      <c r="AB841" s="45"/>
    </row>
    <row r="842" spans="27:28" x14ac:dyDescent="0.35">
      <c r="AA842" s="45"/>
      <c r="AB842" s="45"/>
    </row>
    <row r="843" spans="27:28" x14ac:dyDescent="0.35">
      <c r="AA843" s="45"/>
      <c r="AB843" s="45"/>
    </row>
    <row r="844" spans="27:28" x14ac:dyDescent="0.35">
      <c r="AA844" s="45"/>
      <c r="AB844" s="45"/>
    </row>
    <row r="845" spans="27:28" x14ac:dyDescent="0.35">
      <c r="AA845" s="45"/>
      <c r="AB845" s="45"/>
    </row>
    <row r="846" spans="27:28" x14ac:dyDescent="0.35">
      <c r="AA846" s="45"/>
      <c r="AB846" s="45"/>
    </row>
    <row r="847" spans="27:28" x14ac:dyDescent="0.35">
      <c r="AA847" s="45"/>
      <c r="AB847" s="45"/>
    </row>
    <row r="848" spans="27:28" x14ac:dyDescent="0.35">
      <c r="AA848" s="45"/>
      <c r="AB848" s="45"/>
    </row>
    <row r="849" spans="27:28" x14ac:dyDescent="0.35">
      <c r="AA849" s="45"/>
      <c r="AB849" s="45"/>
    </row>
    <row r="850" spans="27:28" x14ac:dyDescent="0.35">
      <c r="AA850" s="45"/>
      <c r="AB850" s="45"/>
    </row>
    <row r="851" spans="27:28" x14ac:dyDescent="0.35">
      <c r="AA851" s="45"/>
      <c r="AB851" s="45"/>
    </row>
    <row r="852" spans="27:28" x14ac:dyDescent="0.35">
      <c r="AA852" s="45"/>
      <c r="AB852" s="45"/>
    </row>
    <row r="853" spans="27:28" x14ac:dyDescent="0.35">
      <c r="AA853" s="45"/>
      <c r="AB853" s="45"/>
    </row>
    <row r="854" spans="27:28" x14ac:dyDescent="0.35">
      <c r="AA854" s="45"/>
      <c r="AB854" s="45"/>
    </row>
    <row r="855" spans="27:28" x14ac:dyDescent="0.35">
      <c r="AA855" s="45"/>
      <c r="AB855" s="45"/>
    </row>
    <row r="856" spans="27:28" x14ac:dyDescent="0.35">
      <c r="AA856" s="45"/>
      <c r="AB856" s="45"/>
    </row>
    <row r="857" spans="27:28" x14ac:dyDescent="0.35">
      <c r="AA857" s="45"/>
      <c r="AB857" s="45"/>
    </row>
    <row r="858" spans="27:28" x14ac:dyDescent="0.35">
      <c r="AA858" s="45"/>
      <c r="AB858" s="45"/>
    </row>
    <row r="859" spans="27:28" x14ac:dyDescent="0.35">
      <c r="AA859" s="45"/>
      <c r="AB859" s="45"/>
    </row>
    <row r="860" spans="27:28" x14ac:dyDescent="0.35">
      <c r="AA860" s="45"/>
      <c r="AB860" s="45"/>
    </row>
    <row r="861" spans="27:28" x14ac:dyDescent="0.35">
      <c r="AA861" s="45"/>
      <c r="AB861" s="45"/>
    </row>
    <row r="862" spans="27:28" x14ac:dyDescent="0.35">
      <c r="AA862" s="45"/>
      <c r="AB862" s="45"/>
    </row>
    <row r="863" spans="27:28" x14ac:dyDescent="0.35">
      <c r="AA863" s="45"/>
      <c r="AB863" s="45"/>
    </row>
    <row r="864" spans="27:28" x14ac:dyDescent="0.35">
      <c r="AA864" s="45"/>
      <c r="AB864" s="45"/>
    </row>
    <row r="865" spans="27:28" x14ac:dyDescent="0.35">
      <c r="AA865" s="45"/>
      <c r="AB865" s="45"/>
    </row>
    <row r="866" spans="27:28" x14ac:dyDescent="0.35">
      <c r="AA866" s="45"/>
      <c r="AB866" s="45"/>
    </row>
    <row r="867" spans="27:28" x14ac:dyDescent="0.35">
      <c r="AA867" s="45"/>
      <c r="AB867" s="45"/>
    </row>
    <row r="868" spans="27:28" x14ac:dyDescent="0.35">
      <c r="AA868" s="45"/>
      <c r="AB868" s="45"/>
    </row>
    <row r="869" spans="27:28" x14ac:dyDescent="0.35">
      <c r="AA869" s="45"/>
      <c r="AB869" s="45"/>
    </row>
    <row r="870" spans="27:28" x14ac:dyDescent="0.35">
      <c r="AA870" s="45"/>
      <c r="AB870" s="45"/>
    </row>
    <row r="871" spans="27:28" x14ac:dyDescent="0.35">
      <c r="AA871" s="45"/>
      <c r="AB871" s="45"/>
    </row>
    <row r="872" spans="27:28" x14ac:dyDescent="0.35">
      <c r="AA872" s="45"/>
      <c r="AB872" s="45"/>
    </row>
    <row r="873" spans="27:28" x14ac:dyDescent="0.35">
      <c r="AA873" s="45"/>
      <c r="AB873" s="45"/>
    </row>
    <row r="874" spans="27:28" x14ac:dyDescent="0.35">
      <c r="AA874" s="45"/>
      <c r="AB874" s="45"/>
    </row>
    <row r="875" spans="27:28" x14ac:dyDescent="0.35">
      <c r="AA875" s="45"/>
      <c r="AB875" s="45"/>
    </row>
    <row r="876" spans="27:28" x14ac:dyDescent="0.35">
      <c r="AA876" s="45"/>
      <c r="AB876" s="45"/>
    </row>
    <row r="877" spans="27:28" x14ac:dyDescent="0.35">
      <c r="AA877" s="45"/>
      <c r="AB877" s="45"/>
    </row>
    <row r="878" spans="27:28" x14ac:dyDescent="0.35">
      <c r="AA878" s="45"/>
      <c r="AB878" s="45"/>
    </row>
    <row r="879" spans="27:28" x14ac:dyDescent="0.35">
      <c r="AA879" s="45"/>
      <c r="AB879" s="45"/>
    </row>
    <row r="880" spans="27:28" x14ac:dyDescent="0.35">
      <c r="AA880" s="45"/>
      <c r="AB880" s="45"/>
    </row>
    <row r="881" spans="27:28" x14ac:dyDescent="0.35">
      <c r="AA881" s="45"/>
      <c r="AB881" s="45"/>
    </row>
    <row r="882" spans="27:28" x14ac:dyDescent="0.35">
      <c r="AA882" s="45"/>
      <c r="AB882" s="45"/>
    </row>
    <row r="883" spans="27:28" x14ac:dyDescent="0.35">
      <c r="AA883" s="45"/>
      <c r="AB883" s="45"/>
    </row>
    <row r="884" spans="27:28" x14ac:dyDescent="0.35">
      <c r="AA884" s="45"/>
      <c r="AB884" s="45"/>
    </row>
    <row r="885" spans="27:28" x14ac:dyDescent="0.35">
      <c r="AA885" s="45"/>
      <c r="AB885" s="45"/>
    </row>
    <row r="886" spans="27:28" x14ac:dyDescent="0.35">
      <c r="AA886" s="45"/>
      <c r="AB886" s="45"/>
    </row>
    <row r="887" spans="27:28" x14ac:dyDescent="0.35">
      <c r="AA887" s="45"/>
      <c r="AB887" s="45"/>
    </row>
    <row r="888" spans="27:28" x14ac:dyDescent="0.35">
      <c r="AA888" s="45"/>
      <c r="AB888" s="45"/>
    </row>
    <row r="889" spans="27:28" x14ac:dyDescent="0.35">
      <c r="AA889" s="45"/>
      <c r="AB889" s="45"/>
    </row>
    <row r="890" spans="27:28" x14ac:dyDescent="0.35">
      <c r="AA890" s="45"/>
      <c r="AB890" s="45"/>
    </row>
    <row r="891" spans="27:28" x14ac:dyDescent="0.35">
      <c r="AA891" s="45"/>
      <c r="AB891" s="45"/>
    </row>
    <row r="892" spans="27:28" x14ac:dyDescent="0.35">
      <c r="AA892" s="45"/>
      <c r="AB892" s="45"/>
    </row>
    <row r="893" spans="27:28" x14ac:dyDescent="0.35">
      <c r="AA893" s="45"/>
      <c r="AB893" s="45"/>
    </row>
    <row r="894" spans="27:28" x14ac:dyDescent="0.35">
      <c r="AA894" s="45"/>
      <c r="AB894" s="45"/>
    </row>
    <row r="895" spans="27:28" x14ac:dyDescent="0.35">
      <c r="AA895" s="45"/>
      <c r="AB895" s="45"/>
    </row>
    <row r="896" spans="27:28" x14ac:dyDescent="0.35">
      <c r="AA896" s="45"/>
      <c r="AB896" s="45"/>
    </row>
    <row r="897" spans="27:28" x14ac:dyDescent="0.35">
      <c r="AA897" s="45"/>
      <c r="AB897" s="45"/>
    </row>
    <row r="898" spans="27:28" x14ac:dyDescent="0.35">
      <c r="AA898" s="45"/>
      <c r="AB898" s="45"/>
    </row>
    <row r="899" spans="27:28" x14ac:dyDescent="0.35">
      <c r="AA899" s="45"/>
      <c r="AB899" s="45"/>
    </row>
    <row r="900" spans="27:28" x14ac:dyDescent="0.35">
      <c r="AA900" s="45"/>
      <c r="AB900" s="45"/>
    </row>
    <row r="901" spans="27:28" x14ac:dyDescent="0.35">
      <c r="AA901" s="45"/>
      <c r="AB901" s="45"/>
    </row>
    <row r="902" spans="27:28" x14ac:dyDescent="0.35">
      <c r="AA902" s="45"/>
      <c r="AB902" s="45"/>
    </row>
    <row r="903" spans="27:28" x14ac:dyDescent="0.35">
      <c r="AA903" s="45"/>
      <c r="AB903" s="45"/>
    </row>
    <row r="904" spans="27:28" x14ac:dyDescent="0.35">
      <c r="AA904" s="45"/>
      <c r="AB904" s="45"/>
    </row>
    <row r="905" spans="27:28" x14ac:dyDescent="0.35">
      <c r="AA905" s="45"/>
      <c r="AB905" s="45"/>
    </row>
    <row r="906" spans="27:28" x14ac:dyDescent="0.35">
      <c r="AA906" s="45"/>
      <c r="AB906" s="45"/>
    </row>
    <row r="907" spans="27:28" x14ac:dyDescent="0.35">
      <c r="AA907" s="45"/>
      <c r="AB907" s="45"/>
    </row>
    <row r="908" spans="27:28" x14ac:dyDescent="0.35">
      <c r="AA908" s="45"/>
      <c r="AB908" s="45"/>
    </row>
    <row r="909" spans="27:28" x14ac:dyDescent="0.35">
      <c r="AA909" s="45"/>
      <c r="AB909" s="45"/>
    </row>
    <row r="910" spans="27:28" x14ac:dyDescent="0.35">
      <c r="AA910" s="45"/>
      <c r="AB910" s="45"/>
    </row>
    <row r="911" spans="27:28" x14ac:dyDescent="0.35">
      <c r="AA911" s="45"/>
      <c r="AB911" s="45"/>
    </row>
    <row r="912" spans="27:28" x14ac:dyDescent="0.35">
      <c r="AA912" s="45"/>
      <c r="AB912" s="45"/>
    </row>
    <row r="913" spans="27:28" x14ac:dyDescent="0.35">
      <c r="AA913" s="45"/>
      <c r="AB913" s="45"/>
    </row>
    <row r="914" spans="27:28" x14ac:dyDescent="0.35">
      <c r="AA914" s="45"/>
      <c r="AB914" s="45"/>
    </row>
    <row r="915" spans="27:28" x14ac:dyDescent="0.35">
      <c r="AA915" s="45"/>
      <c r="AB915" s="45"/>
    </row>
    <row r="916" spans="27:28" x14ac:dyDescent="0.35">
      <c r="AA916" s="45"/>
      <c r="AB916" s="45"/>
    </row>
    <row r="917" spans="27:28" x14ac:dyDescent="0.35">
      <c r="AA917" s="45"/>
      <c r="AB917" s="45"/>
    </row>
    <row r="918" spans="27:28" x14ac:dyDescent="0.35">
      <c r="AA918" s="45"/>
      <c r="AB918" s="45"/>
    </row>
    <row r="919" spans="27:28" x14ac:dyDescent="0.35">
      <c r="AA919" s="45"/>
      <c r="AB919" s="45"/>
    </row>
    <row r="920" spans="27:28" x14ac:dyDescent="0.35">
      <c r="AA920" s="45"/>
      <c r="AB920" s="45"/>
    </row>
    <row r="921" spans="27:28" x14ac:dyDescent="0.35">
      <c r="AA921" s="45"/>
      <c r="AB921" s="45"/>
    </row>
    <row r="922" spans="27:28" x14ac:dyDescent="0.35">
      <c r="AA922" s="45"/>
      <c r="AB922" s="45"/>
    </row>
    <row r="923" spans="27:28" x14ac:dyDescent="0.35">
      <c r="AA923" s="45"/>
      <c r="AB923" s="45"/>
    </row>
    <row r="924" spans="27:28" x14ac:dyDescent="0.35">
      <c r="AA924" s="45"/>
      <c r="AB924" s="45"/>
    </row>
    <row r="925" spans="27:28" x14ac:dyDescent="0.35">
      <c r="AA925" s="45"/>
      <c r="AB925" s="45"/>
    </row>
    <row r="926" spans="27:28" x14ac:dyDescent="0.35">
      <c r="AA926" s="45"/>
      <c r="AB926" s="45"/>
    </row>
    <row r="927" spans="27:28" x14ac:dyDescent="0.35">
      <c r="AA927" s="45"/>
      <c r="AB927" s="45"/>
    </row>
    <row r="928" spans="27:28" x14ac:dyDescent="0.35">
      <c r="AA928" s="45"/>
      <c r="AB928" s="45"/>
    </row>
    <row r="929" spans="27:28" x14ac:dyDescent="0.35">
      <c r="AA929" s="45"/>
      <c r="AB929" s="45"/>
    </row>
    <row r="930" spans="27:28" x14ac:dyDescent="0.35">
      <c r="AA930" s="45"/>
      <c r="AB930" s="45"/>
    </row>
    <row r="931" spans="27:28" x14ac:dyDescent="0.35">
      <c r="AA931" s="45"/>
      <c r="AB931" s="45"/>
    </row>
    <row r="932" spans="27:28" x14ac:dyDescent="0.35">
      <c r="AA932" s="45"/>
      <c r="AB932" s="45"/>
    </row>
    <row r="933" spans="27:28" x14ac:dyDescent="0.35">
      <c r="AA933" s="45"/>
      <c r="AB933" s="45"/>
    </row>
    <row r="934" spans="27:28" x14ac:dyDescent="0.35">
      <c r="AA934" s="45"/>
      <c r="AB934" s="45"/>
    </row>
    <row r="935" spans="27:28" x14ac:dyDescent="0.35">
      <c r="AA935" s="45"/>
      <c r="AB935" s="45"/>
    </row>
    <row r="936" spans="27:28" x14ac:dyDescent="0.35">
      <c r="AA936" s="45"/>
      <c r="AB936" s="45"/>
    </row>
    <row r="937" spans="27:28" x14ac:dyDescent="0.35">
      <c r="AA937" s="45"/>
      <c r="AB937" s="45"/>
    </row>
    <row r="938" spans="27:28" x14ac:dyDescent="0.35">
      <c r="AA938" s="45"/>
      <c r="AB938" s="45"/>
    </row>
    <row r="939" spans="27:28" x14ac:dyDescent="0.35">
      <c r="AA939" s="45"/>
      <c r="AB939" s="45"/>
    </row>
    <row r="940" spans="27:28" x14ac:dyDescent="0.35">
      <c r="AA940" s="45"/>
      <c r="AB940" s="45"/>
    </row>
    <row r="941" spans="27:28" x14ac:dyDescent="0.35">
      <c r="AA941" s="45"/>
      <c r="AB941" s="45"/>
    </row>
    <row r="942" spans="27:28" x14ac:dyDescent="0.35">
      <c r="AA942" s="45"/>
      <c r="AB942" s="45"/>
    </row>
    <row r="943" spans="27:28" x14ac:dyDescent="0.35">
      <c r="AA943" s="45"/>
      <c r="AB943" s="45"/>
    </row>
    <row r="944" spans="27:28" x14ac:dyDescent="0.35">
      <c r="AA944" s="45"/>
      <c r="AB944" s="45"/>
    </row>
    <row r="945" spans="27:28" x14ac:dyDescent="0.35">
      <c r="AA945" s="45"/>
      <c r="AB945" s="45"/>
    </row>
    <row r="946" spans="27:28" x14ac:dyDescent="0.35">
      <c r="AA946" s="45"/>
      <c r="AB946" s="45"/>
    </row>
    <row r="947" spans="27:28" x14ac:dyDescent="0.35">
      <c r="AA947" s="45"/>
      <c r="AB947" s="45"/>
    </row>
    <row r="948" spans="27:28" x14ac:dyDescent="0.35">
      <c r="AA948" s="45"/>
      <c r="AB948" s="45"/>
    </row>
    <row r="949" spans="27:28" x14ac:dyDescent="0.35">
      <c r="AA949" s="45"/>
      <c r="AB949" s="45"/>
    </row>
    <row r="950" spans="27:28" x14ac:dyDescent="0.35">
      <c r="AA950" s="45"/>
      <c r="AB950" s="45"/>
    </row>
    <row r="951" spans="27:28" x14ac:dyDescent="0.35">
      <c r="AA951" s="45"/>
      <c r="AB951" s="45"/>
    </row>
    <row r="952" spans="27:28" x14ac:dyDescent="0.35">
      <c r="AA952" s="45"/>
      <c r="AB952" s="45"/>
    </row>
    <row r="953" spans="27:28" x14ac:dyDescent="0.35">
      <c r="AA953" s="45"/>
      <c r="AB953" s="45"/>
    </row>
    <row r="954" spans="27:28" x14ac:dyDescent="0.35">
      <c r="AA954" s="45"/>
      <c r="AB954" s="45"/>
    </row>
    <row r="955" spans="27:28" x14ac:dyDescent="0.35">
      <c r="AA955" s="45"/>
      <c r="AB955" s="45"/>
    </row>
    <row r="956" spans="27:28" x14ac:dyDescent="0.35">
      <c r="AA956" s="45"/>
      <c r="AB956" s="45"/>
    </row>
    <row r="957" spans="27:28" x14ac:dyDescent="0.35">
      <c r="AA957" s="45"/>
      <c r="AB957" s="45"/>
    </row>
    <row r="958" spans="27:28" x14ac:dyDescent="0.35">
      <c r="AA958" s="45"/>
      <c r="AB958" s="45"/>
    </row>
    <row r="959" spans="27:28" x14ac:dyDescent="0.35">
      <c r="AA959" s="45"/>
      <c r="AB959" s="45"/>
    </row>
    <row r="960" spans="27:28" x14ac:dyDescent="0.35">
      <c r="AA960" s="45"/>
      <c r="AB960" s="45"/>
    </row>
    <row r="961" spans="27:28" x14ac:dyDescent="0.35">
      <c r="AA961" s="45"/>
      <c r="AB961" s="45"/>
    </row>
    <row r="962" spans="27:28" x14ac:dyDescent="0.35">
      <c r="AA962" s="45"/>
      <c r="AB962" s="45"/>
    </row>
    <row r="963" spans="27:28" x14ac:dyDescent="0.35">
      <c r="AA963" s="45"/>
      <c r="AB963" s="45"/>
    </row>
    <row r="964" spans="27:28" x14ac:dyDescent="0.35">
      <c r="AA964" s="45"/>
      <c r="AB964" s="45"/>
    </row>
    <row r="965" spans="27:28" x14ac:dyDescent="0.35">
      <c r="AA965" s="45"/>
      <c r="AB965" s="45"/>
    </row>
    <row r="966" spans="27:28" x14ac:dyDescent="0.35">
      <c r="AA966" s="45"/>
      <c r="AB966" s="45"/>
    </row>
    <row r="967" spans="27:28" x14ac:dyDescent="0.35">
      <c r="AA967" s="45"/>
      <c r="AB967" s="45"/>
    </row>
    <row r="968" spans="27:28" x14ac:dyDescent="0.35">
      <c r="AA968" s="45"/>
      <c r="AB968" s="45"/>
    </row>
    <row r="969" spans="27:28" x14ac:dyDescent="0.35">
      <c r="AA969" s="45"/>
      <c r="AB969" s="45"/>
    </row>
    <row r="970" spans="27:28" x14ac:dyDescent="0.35">
      <c r="AA970" s="45"/>
      <c r="AB970" s="45"/>
    </row>
    <row r="971" spans="27:28" x14ac:dyDescent="0.35">
      <c r="AA971" s="45"/>
      <c r="AB971" s="45"/>
    </row>
    <row r="972" spans="27:28" x14ac:dyDescent="0.35">
      <c r="AA972" s="45"/>
      <c r="AB972" s="45"/>
    </row>
    <row r="973" spans="27:28" x14ac:dyDescent="0.35">
      <c r="AA973" s="45"/>
      <c r="AB973" s="45"/>
    </row>
    <row r="974" spans="27:28" x14ac:dyDescent="0.35">
      <c r="AA974" s="45"/>
      <c r="AB974" s="45"/>
    </row>
    <row r="975" spans="27:28" x14ac:dyDescent="0.35">
      <c r="AA975" s="45"/>
      <c r="AB975" s="45"/>
    </row>
    <row r="976" spans="27:28" x14ac:dyDescent="0.35">
      <c r="AA976" s="45"/>
      <c r="AB976" s="45"/>
    </row>
    <row r="977" spans="27:28" x14ac:dyDescent="0.35">
      <c r="AA977" s="45"/>
      <c r="AB977" s="45"/>
    </row>
    <row r="978" spans="27:28" x14ac:dyDescent="0.35">
      <c r="AA978" s="45"/>
      <c r="AB978" s="45"/>
    </row>
    <row r="979" spans="27:28" x14ac:dyDescent="0.35">
      <c r="AA979" s="45"/>
      <c r="AB979" s="45"/>
    </row>
    <row r="980" spans="27:28" x14ac:dyDescent="0.35">
      <c r="AA980" s="45"/>
      <c r="AB980" s="45"/>
    </row>
    <row r="981" spans="27:28" x14ac:dyDescent="0.35">
      <c r="AA981" s="45"/>
      <c r="AB981" s="45"/>
    </row>
    <row r="982" spans="27:28" x14ac:dyDescent="0.35">
      <c r="AA982" s="45"/>
      <c r="AB982" s="45"/>
    </row>
    <row r="983" spans="27:28" x14ac:dyDescent="0.35">
      <c r="AA983" s="45"/>
      <c r="AB983" s="45"/>
    </row>
    <row r="984" spans="27:28" x14ac:dyDescent="0.35">
      <c r="AA984" s="45"/>
      <c r="AB984" s="45"/>
    </row>
    <row r="985" spans="27:28" x14ac:dyDescent="0.35">
      <c r="AA985" s="45"/>
      <c r="AB985" s="45"/>
    </row>
    <row r="986" spans="27:28" x14ac:dyDescent="0.35">
      <c r="AA986" s="45"/>
      <c r="AB986" s="45"/>
    </row>
    <row r="987" spans="27:28" x14ac:dyDescent="0.35">
      <c r="AA987" s="45"/>
      <c r="AB987" s="45"/>
    </row>
    <row r="988" spans="27:28" x14ac:dyDescent="0.35">
      <c r="AA988" s="45"/>
      <c r="AB988" s="45"/>
    </row>
    <row r="989" spans="27:28" x14ac:dyDescent="0.35">
      <c r="AA989" s="45"/>
      <c r="AB989" s="45"/>
    </row>
    <row r="990" spans="27:28" x14ac:dyDescent="0.35">
      <c r="AA990" s="45"/>
      <c r="AB990" s="45"/>
    </row>
    <row r="991" spans="27:28" x14ac:dyDescent="0.35">
      <c r="AA991" s="45"/>
      <c r="AB991" s="45"/>
    </row>
    <row r="992" spans="27:28" x14ac:dyDescent="0.35">
      <c r="AA992" s="45"/>
      <c r="AB992" s="45"/>
    </row>
    <row r="993" spans="27:28" x14ac:dyDescent="0.35">
      <c r="AA993" s="45"/>
      <c r="AB993" s="45"/>
    </row>
    <row r="994" spans="27:28" x14ac:dyDescent="0.35">
      <c r="AA994" s="45"/>
      <c r="AB994" s="45"/>
    </row>
    <row r="995" spans="27:28" x14ac:dyDescent="0.35">
      <c r="AA995" s="45"/>
      <c r="AB995" s="45"/>
    </row>
    <row r="996" spans="27:28" x14ac:dyDescent="0.35">
      <c r="AA996" s="45"/>
      <c r="AB996" s="45"/>
    </row>
    <row r="997" spans="27:28" x14ac:dyDescent="0.35">
      <c r="AA997" s="45"/>
      <c r="AB997" s="45"/>
    </row>
    <row r="998" spans="27:28" x14ac:dyDescent="0.35">
      <c r="AA998" s="45"/>
      <c r="AB998" s="45"/>
    </row>
    <row r="999" spans="27:28" x14ac:dyDescent="0.35">
      <c r="AA999" s="45"/>
      <c r="AB999" s="45"/>
    </row>
    <row r="1000" spans="27:28" x14ac:dyDescent="0.35">
      <c r="AA1000" s="45"/>
      <c r="AB1000" s="4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1000"/>
  <sheetViews>
    <sheetView workbookViewId="0"/>
  </sheetViews>
  <sheetFormatPr defaultColWidth="14.453125" defaultRowHeight="15" customHeight="1" x14ac:dyDescent="0.35"/>
  <cols>
    <col min="1" max="1" width="15.08984375" customWidth="1"/>
    <col min="2" max="2" width="9.54296875" customWidth="1"/>
    <col min="3" max="3" width="6" customWidth="1"/>
    <col min="4" max="4" width="12.08984375" customWidth="1"/>
    <col min="6" max="6" width="14" customWidth="1"/>
    <col min="7" max="7" width="13" customWidth="1"/>
    <col min="9" max="9" width="19.26953125" customWidth="1"/>
    <col min="10" max="10" width="18.81640625" customWidth="1"/>
    <col min="11" max="22" width="16.453125" customWidth="1"/>
  </cols>
  <sheetData>
    <row r="1" spans="1:22" ht="57" customHeight="1" x14ac:dyDescent="0.35">
      <c r="A1" s="3" t="s">
        <v>0</v>
      </c>
      <c r="B1" s="2" t="s">
        <v>1</v>
      </c>
      <c r="C1" s="3" t="s">
        <v>2</v>
      </c>
      <c r="D1" s="3" t="s">
        <v>5</v>
      </c>
      <c r="E1" s="4" t="s">
        <v>27</v>
      </c>
      <c r="F1" s="3" t="s">
        <v>29</v>
      </c>
      <c r="G1" s="5" t="s">
        <v>31</v>
      </c>
      <c r="H1" s="3" t="s">
        <v>33</v>
      </c>
      <c r="I1" s="10" t="s">
        <v>46</v>
      </c>
      <c r="J1" s="11" t="s">
        <v>47</v>
      </c>
      <c r="K1" s="46" t="s">
        <v>359</v>
      </c>
      <c r="L1" s="46" t="s">
        <v>360</v>
      </c>
      <c r="M1" s="46" t="s">
        <v>361</v>
      </c>
      <c r="N1" s="46" t="s">
        <v>362</v>
      </c>
      <c r="O1" s="46" t="s">
        <v>363</v>
      </c>
      <c r="P1" s="46" t="s">
        <v>364</v>
      </c>
      <c r="Q1" s="47" t="s">
        <v>365</v>
      </c>
      <c r="R1" s="47" t="s">
        <v>366</v>
      </c>
      <c r="S1" s="47" t="s">
        <v>367</v>
      </c>
      <c r="T1" s="47" t="s">
        <v>368</v>
      </c>
      <c r="U1" s="47" t="s">
        <v>369</v>
      </c>
      <c r="V1" s="47" t="s">
        <v>370</v>
      </c>
    </row>
    <row r="2" spans="1:22" ht="14.25" customHeight="1" x14ac:dyDescent="0.35">
      <c r="A2" s="2" t="s">
        <v>65</v>
      </c>
      <c r="B2" s="13" t="s">
        <v>50</v>
      </c>
      <c r="C2" s="13">
        <v>41002</v>
      </c>
      <c r="D2" s="14">
        <v>90995</v>
      </c>
      <c r="E2" s="15" t="e">
        <f>#REF!+#REF!+#REF!+#REF!+#REF!+#REF!+#REF!+GreenMobility!L2+#REF!+#REF!+#REF!+Partago!L2+#REF!+#REF!+#REF!</f>
        <v>#REF!</v>
      </c>
      <c r="F2" s="16" t="e">
        <f t="shared" ref="F2:F256" si="0">(E2/D2)*1000</f>
        <v>#REF!</v>
      </c>
      <c r="G2" s="19" t="e">
        <f>#REF!+#REF!+#REF!+#REF!+#REF!+#REF!+#REF!+#REF!+#REF!+Moovee!A2+#REF!+#REF!+#REF!</f>
        <v>#REF!</v>
      </c>
      <c r="H2" s="16" t="e">
        <f t="shared" ref="H2:H256" si="1">(G2/D2)*1000</f>
        <v>#REF!</v>
      </c>
      <c r="I2" s="30">
        <f t="shared" ref="I2:I256" si="2">D2/1000*2</f>
        <v>181.99</v>
      </c>
      <c r="J2" s="31" t="e">
        <f t="shared" ref="J2:J256" si="3">I2-G2</f>
        <v>#REF!</v>
      </c>
      <c r="K2" s="25" t="e">
        <f t="shared" ref="K2:K8" si="4">J2*0.05</f>
        <v>#REF!</v>
      </c>
      <c r="L2" s="25" t="e">
        <f t="shared" ref="L2:L8" si="5">J2*0.1</f>
        <v>#REF!</v>
      </c>
      <c r="M2" s="25" t="e">
        <f t="shared" ref="M2:M8" si="6">J2*0.15</f>
        <v>#REF!</v>
      </c>
      <c r="N2" s="25" t="e">
        <f t="shared" ref="N2:N8" si="7">J2*0.2</f>
        <v>#REF!</v>
      </c>
      <c r="O2" s="25" t="e">
        <f t="shared" ref="O2:O8" si="8">J2*0.233333</f>
        <v>#REF!</v>
      </c>
      <c r="P2" s="25" t="e">
        <f t="shared" ref="P2:P8" si="9">J2*0.266667</f>
        <v>#REF!</v>
      </c>
      <c r="Q2" s="25" t="e">
        <f t="shared" ref="Q2:Q8" si="10">J2*0.0158729999</f>
        <v>#REF!</v>
      </c>
      <c r="R2" s="25" t="e">
        <f t="shared" ref="R2:R8" si="11">J2*0.031746</f>
        <v>#REF!</v>
      </c>
      <c r="S2" s="25" t="e">
        <f t="shared" ref="S2:S8" si="12">J2*0.063492</f>
        <v>#REF!</v>
      </c>
      <c r="T2" s="25" t="e">
        <f t="shared" ref="T2:T8" si="13">J2*0.126984</f>
        <v>#REF!</v>
      </c>
      <c r="U2" s="25" t="e">
        <f t="shared" ref="U2:U8" si="14">J2*0.253968</f>
        <v>#REF!</v>
      </c>
      <c r="V2" s="25" t="e">
        <f t="shared" ref="V2:V8" si="15">J2*0.507936</f>
        <v>#REF!</v>
      </c>
    </row>
    <row r="3" spans="1:22" ht="14.25" customHeight="1" x14ac:dyDescent="0.35">
      <c r="A3" s="2" t="s">
        <v>231</v>
      </c>
      <c r="B3" s="13" t="s">
        <v>50</v>
      </c>
      <c r="C3" s="13">
        <v>44084</v>
      </c>
      <c r="D3" s="14">
        <v>29787</v>
      </c>
      <c r="E3" s="15" t="e">
        <f>#REF!+#REF!+#REF!+#REF!+#REF!+#REF!+#REF!+GreenMobility!L3+#REF!+#REF!+#REF!+Partago!L3+#REF!+#REF!+#REF!</f>
        <v>#REF!</v>
      </c>
      <c r="F3" s="16" t="e">
        <f t="shared" si="0"/>
        <v>#REF!</v>
      </c>
      <c r="G3" s="19" t="e">
        <f>#REF!+#REF!+#REF!+#REF!+#REF!+#REF!+#REF!+#REF!+#REF!+Moovee!A3+#REF!+#REF!+#REF!</f>
        <v>#REF!</v>
      </c>
      <c r="H3" s="16" t="e">
        <f t="shared" si="1"/>
        <v>#REF!</v>
      </c>
      <c r="I3" s="30">
        <f t="shared" si="2"/>
        <v>59.573999999999998</v>
      </c>
      <c r="J3" s="34" t="e">
        <f t="shared" si="3"/>
        <v>#REF!</v>
      </c>
      <c r="K3" s="25" t="e">
        <f t="shared" si="4"/>
        <v>#REF!</v>
      </c>
      <c r="L3" s="25" t="e">
        <f t="shared" si="5"/>
        <v>#REF!</v>
      </c>
      <c r="M3" s="25" t="e">
        <f t="shared" si="6"/>
        <v>#REF!</v>
      </c>
      <c r="N3" s="25" t="e">
        <f t="shared" si="7"/>
        <v>#REF!</v>
      </c>
      <c r="O3" s="25" t="e">
        <f t="shared" si="8"/>
        <v>#REF!</v>
      </c>
      <c r="P3" s="25" t="e">
        <f t="shared" si="9"/>
        <v>#REF!</v>
      </c>
      <c r="Q3" s="25" t="e">
        <f t="shared" si="10"/>
        <v>#REF!</v>
      </c>
      <c r="R3" s="25" t="e">
        <f t="shared" si="11"/>
        <v>#REF!</v>
      </c>
      <c r="S3" s="25" t="e">
        <f t="shared" si="12"/>
        <v>#REF!</v>
      </c>
      <c r="T3" s="25" t="e">
        <f t="shared" si="13"/>
        <v>#REF!</v>
      </c>
      <c r="U3" s="25" t="e">
        <f t="shared" si="14"/>
        <v>#REF!</v>
      </c>
      <c r="V3" s="25" t="e">
        <f t="shared" si="15"/>
        <v>#REF!</v>
      </c>
    </row>
    <row r="4" spans="1:22" ht="14.25" customHeight="1" x14ac:dyDescent="0.35">
      <c r="A4" s="2" t="s">
        <v>84</v>
      </c>
      <c r="B4" s="13" t="s">
        <v>52</v>
      </c>
      <c r="C4" s="13">
        <v>24001</v>
      </c>
      <c r="D4" s="14">
        <v>31138</v>
      </c>
      <c r="E4" s="15" t="e">
        <f>#REF!+#REF!+#REF!+#REF!+#REF!+#REF!+#REF!+GreenMobility!L4+#REF!+#REF!+#REF!+Partago!L4+#REF!+#REF!+#REF!</f>
        <v>#REF!</v>
      </c>
      <c r="F4" s="16" t="e">
        <f t="shared" si="0"/>
        <v>#REF!</v>
      </c>
      <c r="G4" s="19" t="e">
        <f>#REF!+#REF!+#REF!+#REF!+#REF!+#REF!+#REF!+#REF!+#REF!+Moovee!A4+#REF!+#REF!+#REF!</f>
        <v>#REF!</v>
      </c>
      <c r="H4" s="16" t="e">
        <f t="shared" si="1"/>
        <v>#REF!</v>
      </c>
      <c r="I4" s="30">
        <f t="shared" si="2"/>
        <v>62.276000000000003</v>
      </c>
      <c r="J4" s="31" t="e">
        <f t="shared" si="3"/>
        <v>#REF!</v>
      </c>
      <c r="K4" s="25" t="e">
        <f t="shared" si="4"/>
        <v>#REF!</v>
      </c>
      <c r="L4" s="25" t="e">
        <f t="shared" si="5"/>
        <v>#REF!</v>
      </c>
      <c r="M4" s="25" t="e">
        <f t="shared" si="6"/>
        <v>#REF!</v>
      </c>
      <c r="N4" s="25" t="e">
        <f t="shared" si="7"/>
        <v>#REF!</v>
      </c>
      <c r="O4" s="25" t="e">
        <f t="shared" si="8"/>
        <v>#REF!</v>
      </c>
      <c r="P4" s="25" t="e">
        <f t="shared" si="9"/>
        <v>#REF!</v>
      </c>
      <c r="Q4" s="25" t="e">
        <f t="shared" si="10"/>
        <v>#REF!</v>
      </c>
      <c r="R4" s="25" t="e">
        <f t="shared" si="11"/>
        <v>#REF!</v>
      </c>
      <c r="S4" s="25" t="e">
        <f t="shared" si="12"/>
        <v>#REF!</v>
      </c>
      <c r="T4" s="25" t="e">
        <f t="shared" si="13"/>
        <v>#REF!</v>
      </c>
      <c r="U4" s="25" t="e">
        <f t="shared" si="14"/>
        <v>#REF!</v>
      </c>
      <c r="V4" s="25" t="e">
        <f t="shared" si="15"/>
        <v>#REF!</v>
      </c>
    </row>
    <row r="5" spans="1:22" ht="14.25" customHeight="1" x14ac:dyDescent="0.35">
      <c r="A5" s="2" t="s">
        <v>335</v>
      </c>
      <c r="B5" s="13" t="s">
        <v>48</v>
      </c>
      <c r="C5" s="13">
        <v>11001</v>
      </c>
      <c r="D5" s="14">
        <v>14890</v>
      </c>
      <c r="E5" s="15" t="e">
        <f>#REF!+#REF!+#REF!+#REF!+#REF!+#REF!+#REF!+GreenMobility!L5+#REF!+#REF!+#REF!+Partago!L5+#REF!+#REF!+#REF!</f>
        <v>#REF!</v>
      </c>
      <c r="F5" s="16" t="e">
        <f t="shared" si="0"/>
        <v>#REF!</v>
      </c>
      <c r="G5" s="19" t="e">
        <f>#REF!+#REF!+#REF!+#REF!+#REF!+#REF!+#REF!+#REF!+#REF!+Moovee!A5+#REF!+#REF!+#REF!</f>
        <v>#REF!</v>
      </c>
      <c r="H5" s="16" t="e">
        <f t="shared" si="1"/>
        <v>#REF!</v>
      </c>
      <c r="I5" s="30">
        <f t="shared" si="2"/>
        <v>29.78</v>
      </c>
      <c r="J5" s="31" t="e">
        <f t="shared" si="3"/>
        <v>#REF!</v>
      </c>
      <c r="K5" s="25" t="e">
        <f t="shared" si="4"/>
        <v>#REF!</v>
      </c>
      <c r="L5" s="25" t="e">
        <f t="shared" si="5"/>
        <v>#REF!</v>
      </c>
      <c r="M5" s="25" t="e">
        <f t="shared" si="6"/>
        <v>#REF!</v>
      </c>
      <c r="N5" s="25" t="e">
        <f t="shared" si="7"/>
        <v>#REF!</v>
      </c>
      <c r="O5" s="25" t="e">
        <f t="shared" si="8"/>
        <v>#REF!</v>
      </c>
      <c r="P5" s="25" t="e">
        <f t="shared" si="9"/>
        <v>#REF!</v>
      </c>
      <c r="Q5" s="25" t="e">
        <f t="shared" si="10"/>
        <v>#REF!</v>
      </c>
      <c r="R5" s="25" t="e">
        <f t="shared" si="11"/>
        <v>#REF!</v>
      </c>
      <c r="S5" s="25" t="e">
        <f t="shared" si="12"/>
        <v>#REF!</v>
      </c>
      <c r="T5" s="25" t="e">
        <f t="shared" si="13"/>
        <v>#REF!</v>
      </c>
      <c r="U5" s="25" t="e">
        <f t="shared" si="14"/>
        <v>#REF!</v>
      </c>
      <c r="V5" s="25" t="e">
        <f t="shared" si="15"/>
        <v>#REF!</v>
      </c>
    </row>
    <row r="6" spans="1:22" ht="14.25" customHeight="1" x14ac:dyDescent="0.35">
      <c r="A6" s="2" t="s">
        <v>306</v>
      </c>
      <c r="B6" s="13" t="s">
        <v>52</v>
      </c>
      <c r="C6" s="13">
        <v>23105</v>
      </c>
      <c r="D6" s="14">
        <v>13651</v>
      </c>
      <c r="E6" s="15" t="e">
        <f>#REF!+#REF!+#REF!+#REF!+#REF!+#REF!+#REF!+GreenMobility!L6+#REF!+#REF!+#REF!+Partago!L6+#REF!+#REF!+#REF!</f>
        <v>#REF!</v>
      </c>
      <c r="F6" s="16" t="e">
        <f t="shared" si="0"/>
        <v>#REF!</v>
      </c>
      <c r="G6" s="19" t="e">
        <f>#REF!+#REF!+#REF!+#REF!+#REF!+#REF!+#REF!+#REF!+#REF!+Moovee!A6+#REF!+#REF!+#REF!</f>
        <v>#REF!</v>
      </c>
      <c r="H6" s="16" t="e">
        <f t="shared" si="1"/>
        <v>#REF!</v>
      </c>
      <c r="I6" s="30">
        <f t="shared" si="2"/>
        <v>27.302</v>
      </c>
      <c r="J6" s="31" t="e">
        <f t="shared" si="3"/>
        <v>#REF!</v>
      </c>
      <c r="K6" s="25" t="e">
        <f t="shared" si="4"/>
        <v>#REF!</v>
      </c>
      <c r="L6" s="25" t="e">
        <f t="shared" si="5"/>
        <v>#REF!</v>
      </c>
      <c r="M6" s="25" t="e">
        <f t="shared" si="6"/>
        <v>#REF!</v>
      </c>
      <c r="N6" s="25" t="e">
        <f t="shared" si="7"/>
        <v>#REF!</v>
      </c>
      <c r="O6" s="25" t="e">
        <f t="shared" si="8"/>
        <v>#REF!</v>
      </c>
      <c r="P6" s="25" t="e">
        <f t="shared" si="9"/>
        <v>#REF!</v>
      </c>
      <c r="Q6" s="25" t="e">
        <f t="shared" si="10"/>
        <v>#REF!</v>
      </c>
      <c r="R6" s="25" t="e">
        <f t="shared" si="11"/>
        <v>#REF!</v>
      </c>
      <c r="S6" s="25" t="e">
        <f t="shared" si="12"/>
        <v>#REF!</v>
      </c>
      <c r="T6" s="25" t="e">
        <f t="shared" si="13"/>
        <v>#REF!</v>
      </c>
      <c r="U6" s="25" t="e">
        <f t="shared" si="14"/>
        <v>#REF!</v>
      </c>
      <c r="V6" s="25" t="e">
        <f t="shared" si="15"/>
        <v>#REF!</v>
      </c>
    </row>
    <row r="7" spans="1:22" ht="14.25" customHeight="1" x14ac:dyDescent="0.35">
      <c r="A7" s="2" t="s">
        <v>279</v>
      </c>
      <c r="B7" s="13" t="s">
        <v>59</v>
      </c>
      <c r="C7" s="13">
        <v>73001</v>
      </c>
      <c r="D7" s="14">
        <v>11918</v>
      </c>
      <c r="E7" s="15" t="e">
        <f>#REF!+#REF!+#REF!+#REF!+#REF!+#REF!+#REF!+GreenMobility!L7+#REF!+#REF!+#REF!+Partago!L7+#REF!+#REF!+#REF!</f>
        <v>#REF!</v>
      </c>
      <c r="F7" s="16" t="e">
        <f t="shared" si="0"/>
        <v>#REF!</v>
      </c>
      <c r="G7" s="19" t="e">
        <f>#REF!+#REF!+#REF!+#REF!+#REF!+#REF!+#REF!+#REF!+#REF!+Moovee!A7+#REF!+#REF!+#REF!</f>
        <v>#REF!</v>
      </c>
      <c r="H7" s="16" t="e">
        <f t="shared" si="1"/>
        <v>#REF!</v>
      </c>
      <c r="I7" s="30">
        <f t="shared" si="2"/>
        <v>23.835999999999999</v>
      </c>
      <c r="J7" s="31" t="e">
        <f t="shared" si="3"/>
        <v>#REF!</v>
      </c>
      <c r="K7" s="25" t="e">
        <f t="shared" si="4"/>
        <v>#REF!</v>
      </c>
      <c r="L7" s="25" t="e">
        <f t="shared" si="5"/>
        <v>#REF!</v>
      </c>
      <c r="M7" s="25" t="e">
        <f t="shared" si="6"/>
        <v>#REF!</v>
      </c>
      <c r="N7" s="25" t="e">
        <f t="shared" si="7"/>
        <v>#REF!</v>
      </c>
      <c r="O7" s="25" t="e">
        <f t="shared" si="8"/>
        <v>#REF!</v>
      </c>
      <c r="P7" s="25" t="e">
        <f t="shared" si="9"/>
        <v>#REF!</v>
      </c>
      <c r="Q7" s="25" t="e">
        <f t="shared" si="10"/>
        <v>#REF!</v>
      </c>
      <c r="R7" s="25" t="e">
        <f t="shared" si="11"/>
        <v>#REF!</v>
      </c>
      <c r="S7" s="25" t="e">
        <f t="shared" si="12"/>
        <v>#REF!</v>
      </c>
      <c r="T7" s="25" t="e">
        <f t="shared" si="13"/>
        <v>#REF!</v>
      </c>
      <c r="U7" s="25" t="e">
        <f t="shared" si="14"/>
        <v>#REF!</v>
      </c>
      <c r="V7" s="25" t="e">
        <f t="shared" si="15"/>
        <v>#REF!</v>
      </c>
    </row>
    <row r="8" spans="1:22" ht="14.25" customHeight="1" x14ac:dyDescent="0.35">
      <c r="A8" s="2" t="s">
        <v>242</v>
      </c>
      <c r="B8" s="13" t="s">
        <v>55</v>
      </c>
      <c r="C8" s="13">
        <v>38002</v>
      </c>
      <c r="D8" s="14">
        <v>5023</v>
      </c>
      <c r="E8" s="15" t="e">
        <f>#REF!+#REF!+#REF!+#REF!+#REF!+#REF!+#REF!+GreenMobility!L8+#REF!+#REF!+#REF!+Partago!L8+#REF!+#REF!+#REF!</f>
        <v>#REF!</v>
      </c>
      <c r="F8" s="16" t="e">
        <f t="shared" si="0"/>
        <v>#REF!</v>
      </c>
      <c r="G8" s="19" t="e">
        <f>#REF!+#REF!+#REF!+#REF!+#REF!+#REF!+#REF!+#REF!+#REF!+Moovee!A8+#REF!+#REF!+#REF!</f>
        <v>#REF!</v>
      </c>
      <c r="H8" s="16" t="e">
        <f t="shared" si="1"/>
        <v>#REF!</v>
      </c>
      <c r="I8" s="30">
        <f t="shared" si="2"/>
        <v>10.045999999999999</v>
      </c>
      <c r="J8" s="31" t="e">
        <f t="shared" si="3"/>
        <v>#REF!</v>
      </c>
      <c r="K8" s="25" t="e">
        <f t="shared" si="4"/>
        <v>#REF!</v>
      </c>
      <c r="L8" s="25" t="e">
        <f t="shared" si="5"/>
        <v>#REF!</v>
      </c>
      <c r="M8" s="25" t="e">
        <f t="shared" si="6"/>
        <v>#REF!</v>
      </c>
      <c r="N8" s="25" t="e">
        <f t="shared" si="7"/>
        <v>#REF!</v>
      </c>
      <c r="O8" s="25" t="e">
        <f t="shared" si="8"/>
        <v>#REF!</v>
      </c>
      <c r="P8" s="25" t="e">
        <f t="shared" si="9"/>
        <v>#REF!</v>
      </c>
      <c r="Q8" s="25" t="e">
        <f t="shared" si="10"/>
        <v>#REF!</v>
      </c>
      <c r="R8" s="25" t="e">
        <f t="shared" si="11"/>
        <v>#REF!</v>
      </c>
      <c r="S8" s="25" t="e">
        <f t="shared" si="12"/>
        <v>#REF!</v>
      </c>
      <c r="T8" s="25" t="e">
        <f t="shared" si="13"/>
        <v>#REF!</v>
      </c>
      <c r="U8" s="25" t="e">
        <f t="shared" si="14"/>
        <v>#REF!</v>
      </c>
      <c r="V8" s="25" t="e">
        <f t="shared" si="15"/>
        <v>#REF!</v>
      </c>
    </row>
    <row r="9" spans="1:22" ht="14.25" customHeight="1" x14ac:dyDescent="0.35">
      <c r="A9" s="2" t="s">
        <v>48</v>
      </c>
      <c r="B9" s="13" t="s">
        <v>48</v>
      </c>
      <c r="C9" s="13">
        <v>11002</v>
      </c>
      <c r="D9" s="14">
        <v>544759</v>
      </c>
      <c r="E9" s="15" t="e">
        <f>#REF!+#REF!+#REF!+#REF!+#REF!+#REF!+#REF!+GreenMobility!L9+#REF!+#REF!+#REF!+Partago!L9+#REF!+#REF!+#REF!</f>
        <v>#REF!</v>
      </c>
      <c r="F9" s="48" t="e">
        <f t="shared" si="0"/>
        <v>#REF!</v>
      </c>
      <c r="G9" s="19" t="e">
        <f>#REF!+#REF!+#REF!+#REF!+#REF!+#REF!+#REF!+#REF!+#REF!+Moovee!A9+#REF!+#REF!+#REF!</f>
        <v>#REF!</v>
      </c>
      <c r="H9" s="17" t="e">
        <f t="shared" si="1"/>
        <v>#REF!</v>
      </c>
      <c r="I9" s="30">
        <f t="shared" si="2"/>
        <v>1089.518</v>
      </c>
      <c r="J9" s="31" t="e">
        <f t="shared" si="3"/>
        <v>#REF!</v>
      </c>
      <c r="K9" s="25"/>
      <c r="L9" s="25"/>
      <c r="M9" s="25"/>
      <c r="N9" s="25"/>
      <c r="O9" s="25"/>
      <c r="P9" s="25"/>
      <c r="Q9" s="25"/>
      <c r="R9" s="25"/>
      <c r="S9" s="25"/>
      <c r="T9" s="25"/>
      <c r="U9" s="25"/>
      <c r="V9" s="25"/>
    </row>
    <row r="10" spans="1:22" ht="14.25" customHeight="1" x14ac:dyDescent="0.35">
      <c r="A10" s="2" t="s">
        <v>276</v>
      </c>
      <c r="B10" s="13" t="s">
        <v>55</v>
      </c>
      <c r="C10" s="13">
        <v>34002</v>
      </c>
      <c r="D10" s="14">
        <v>15148</v>
      </c>
      <c r="E10" s="15" t="e">
        <f>#REF!+#REF!+#REF!+#REF!+#REF!+#REF!+#REF!+GreenMobility!L10+#REF!+#REF!+#REF!+Partago!L10+#REF!+#REF!+#REF!</f>
        <v>#REF!</v>
      </c>
      <c r="F10" s="16" t="e">
        <f t="shared" si="0"/>
        <v>#REF!</v>
      </c>
      <c r="G10" s="19" t="e">
        <f>#REF!+#REF!+#REF!+#REF!+#REF!+#REF!+#REF!+#REF!+#REF!+Moovee!A10+#REF!+#REF!+#REF!</f>
        <v>#REF!</v>
      </c>
      <c r="H10" s="16" t="e">
        <f t="shared" si="1"/>
        <v>#REF!</v>
      </c>
      <c r="I10" s="30">
        <f t="shared" si="2"/>
        <v>30.295999999999999</v>
      </c>
      <c r="J10" s="31" t="e">
        <f t="shared" si="3"/>
        <v>#REF!</v>
      </c>
      <c r="K10" s="25" t="e">
        <f t="shared" ref="K10:K76" si="16">J10*0.05</f>
        <v>#REF!</v>
      </c>
      <c r="L10" s="25" t="e">
        <f t="shared" ref="L10:L76" si="17">J10*0.1</f>
        <v>#REF!</v>
      </c>
      <c r="M10" s="25" t="e">
        <f t="shared" ref="M10:M76" si="18">J10*0.15</f>
        <v>#REF!</v>
      </c>
      <c r="N10" s="25" t="e">
        <f t="shared" ref="N10:N76" si="19">J10*0.2</f>
        <v>#REF!</v>
      </c>
      <c r="O10" s="25" t="e">
        <f t="shared" ref="O10:O76" si="20">J10*0.233333</f>
        <v>#REF!</v>
      </c>
      <c r="P10" s="25" t="e">
        <f t="shared" ref="P10:P76" si="21">J10*0.266667</f>
        <v>#REF!</v>
      </c>
      <c r="Q10" s="25" t="e">
        <f t="shared" ref="Q10:Q76" si="22">J10*0.0158729999</f>
        <v>#REF!</v>
      </c>
      <c r="R10" s="25" t="e">
        <f t="shared" ref="R10:R76" si="23">J10*0.031746</f>
        <v>#REF!</v>
      </c>
      <c r="S10" s="25" t="e">
        <f t="shared" ref="S10:S76" si="24">J10*0.063492</f>
        <v>#REF!</v>
      </c>
      <c r="T10" s="25" t="e">
        <f t="shared" ref="T10:T76" si="25">J10*0.126984</f>
        <v>#REF!</v>
      </c>
      <c r="U10" s="25" t="e">
        <f t="shared" ref="U10:U76" si="26">J10*0.253968</f>
        <v>#REF!</v>
      </c>
      <c r="V10" s="25" t="e">
        <f t="shared" ref="V10:V76" si="27">J10*0.507936</f>
        <v>#REF!</v>
      </c>
    </row>
    <row r="11" spans="1:22" ht="14.25" customHeight="1" x14ac:dyDescent="0.35">
      <c r="A11" s="2" t="s">
        <v>199</v>
      </c>
      <c r="B11" s="13" t="s">
        <v>55</v>
      </c>
      <c r="C11" s="13">
        <v>37020</v>
      </c>
      <c r="D11" s="14">
        <v>9355</v>
      </c>
      <c r="E11" s="15" t="e">
        <f>#REF!+#REF!+#REF!+#REF!+#REF!+#REF!+#REF!+GreenMobility!L11+#REF!+#REF!+#REF!+Partago!L11+#REF!+#REF!+#REF!</f>
        <v>#REF!</v>
      </c>
      <c r="F11" s="16" t="e">
        <f t="shared" si="0"/>
        <v>#REF!</v>
      </c>
      <c r="G11" s="19" t="e">
        <f>#REF!+#REF!+#REF!+#REF!+#REF!+#REF!+#REF!+#REF!+#REF!+Moovee!A11+#REF!+#REF!+#REF!</f>
        <v>#REF!</v>
      </c>
      <c r="H11" s="16" t="e">
        <f t="shared" si="1"/>
        <v>#REF!</v>
      </c>
      <c r="I11" s="30">
        <f t="shared" si="2"/>
        <v>18.71</v>
      </c>
      <c r="J11" s="31" t="e">
        <f t="shared" si="3"/>
        <v>#REF!</v>
      </c>
      <c r="K11" s="25" t="e">
        <f t="shared" si="16"/>
        <v>#REF!</v>
      </c>
      <c r="L11" s="25" t="e">
        <f t="shared" si="17"/>
        <v>#REF!</v>
      </c>
      <c r="M11" s="25" t="e">
        <f t="shared" si="18"/>
        <v>#REF!</v>
      </c>
      <c r="N11" s="25" t="e">
        <f t="shared" si="19"/>
        <v>#REF!</v>
      </c>
      <c r="O11" s="25" t="e">
        <f t="shared" si="20"/>
        <v>#REF!</v>
      </c>
      <c r="P11" s="25" t="e">
        <f t="shared" si="21"/>
        <v>#REF!</v>
      </c>
      <c r="Q11" s="25" t="e">
        <f t="shared" si="22"/>
        <v>#REF!</v>
      </c>
      <c r="R11" s="25" t="e">
        <f t="shared" si="23"/>
        <v>#REF!</v>
      </c>
      <c r="S11" s="25" t="e">
        <f t="shared" si="24"/>
        <v>#REF!</v>
      </c>
      <c r="T11" s="25" t="e">
        <f t="shared" si="25"/>
        <v>#REF!</v>
      </c>
      <c r="U11" s="25" t="e">
        <f t="shared" si="26"/>
        <v>#REF!</v>
      </c>
      <c r="V11" s="25" t="e">
        <f t="shared" si="27"/>
        <v>#REF!</v>
      </c>
    </row>
    <row r="12" spans="1:22" ht="14.25" customHeight="1" x14ac:dyDescent="0.35">
      <c r="A12" s="2" t="s">
        <v>304</v>
      </c>
      <c r="B12" s="13" t="s">
        <v>48</v>
      </c>
      <c r="C12" s="13">
        <v>13001</v>
      </c>
      <c r="D12" s="14">
        <v>13391</v>
      </c>
      <c r="E12" s="15" t="e">
        <f>#REF!+#REF!+#REF!+#REF!+#REF!+#REF!+#REF!+GreenMobility!L12+#REF!+#REF!+#REF!+Partago!L12+#REF!+#REF!+#REF!</f>
        <v>#REF!</v>
      </c>
      <c r="F12" s="16" t="e">
        <f t="shared" si="0"/>
        <v>#REF!</v>
      </c>
      <c r="G12" s="19" t="e">
        <f>#REF!+#REF!+#REF!+#REF!+#REF!+#REF!+#REF!+#REF!+#REF!+Moovee!A12+#REF!+#REF!+#REF!</f>
        <v>#REF!</v>
      </c>
      <c r="H12" s="16" t="e">
        <f t="shared" si="1"/>
        <v>#REF!</v>
      </c>
      <c r="I12" s="30">
        <f t="shared" si="2"/>
        <v>26.782</v>
      </c>
      <c r="J12" s="31" t="e">
        <f t="shared" si="3"/>
        <v>#REF!</v>
      </c>
      <c r="K12" s="25" t="e">
        <f t="shared" si="16"/>
        <v>#REF!</v>
      </c>
      <c r="L12" s="25" t="e">
        <f t="shared" si="17"/>
        <v>#REF!</v>
      </c>
      <c r="M12" s="25" t="e">
        <f t="shared" si="18"/>
        <v>#REF!</v>
      </c>
      <c r="N12" s="25" t="e">
        <f t="shared" si="19"/>
        <v>#REF!</v>
      </c>
      <c r="O12" s="25" t="e">
        <f t="shared" si="20"/>
        <v>#REF!</v>
      </c>
      <c r="P12" s="25" t="e">
        <f t="shared" si="21"/>
        <v>#REF!</v>
      </c>
      <c r="Q12" s="25" t="e">
        <f t="shared" si="22"/>
        <v>#REF!</v>
      </c>
      <c r="R12" s="25" t="e">
        <f t="shared" si="23"/>
        <v>#REF!</v>
      </c>
      <c r="S12" s="25" t="e">
        <f t="shared" si="24"/>
        <v>#REF!</v>
      </c>
      <c r="T12" s="25" t="e">
        <f t="shared" si="25"/>
        <v>#REF!</v>
      </c>
      <c r="U12" s="25" t="e">
        <f t="shared" si="26"/>
        <v>#REF!</v>
      </c>
      <c r="V12" s="25" t="e">
        <f t="shared" si="27"/>
        <v>#REF!</v>
      </c>
    </row>
    <row r="13" spans="1:22" ht="14.25" customHeight="1" x14ac:dyDescent="0.35">
      <c r="A13" s="2" t="s">
        <v>307</v>
      </c>
      <c r="B13" s="13" t="s">
        <v>59</v>
      </c>
      <c r="C13" s="13">
        <v>71002</v>
      </c>
      <c r="D13" s="14">
        <v>8259</v>
      </c>
      <c r="E13" s="15" t="e">
        <f>#REF!+#REF!+#REF!+#REF!+#REF!+#REF!+#REF!+GreenMobility!L13+#REF!+#REF!+#REF!+Partago!L13+#REF!+#REF!+#REF!</f>
        <v>#REF!</v>
      </c>
      <c r="F13" s="16" t="e">
        <f t="shared" si="0"/>
        <v>#REF!</v>
      </c>
      <c r="G13" s="19" t="e">
        <f>#REF!+#REF!+#REF!+#REF!+#REF!+#REF!+#REF!+#REF!+#REF!+Moovee!A13+#REF!+#REF!+#REF!</f>
        <v>#REF!</v>
      </c>
      <c r="H13" s="16" t="e">
        <f t="shared" si="1"/>
        <v>#REF!</v>
      </c>
      <c r="I13" s="30">
        <f t="shared" si="2"/>
        <v>16.518000000000001</v>
      </c>
      <c r="J13" s="31" t="e">
        <f t="shared" si="3"/>
        <v>#REF!</v>
      </c>
      <c r="K13" s="25" t="e">
        <f t="shared" si="16"/>
        <v>#REF!</v>
      </c>
      <c r="L13" s="25" t="e">
        <f t="shared" si="17"/>
        <v>#REF!</v>
      </c>
      <c r="M13" s="25" t="e">
        <f t="shared" si="18"/>
        <v>#REF!</v>
      </c>
      <c r="N13" s="25" t="e">
        <f t="shared" si="19"/>
        <v>#REF!</v>
      </c>
      <c r="O13" s="25" t="e">
        <f t="shared" si="20"/>
        <v>#REF!</v>
      </c>
      <c r="P13" s="25" t="e">
        <f t="shared" si="21"/>
        <v>#REF!</v>
      </c>
      <c r="Q13" s="25" t="e">
        <f t="shared" si="22"/>
        <v>#REF!</v>
      </c>
      <c r="R13" s="25" t="e">
        <f t="shared" si="23"/>
        <v>#REF!</v>
      </c>
      <c r="S13" s="25" t="e">
        <f t="shared" si="24"/>
        <v>#REF!</v>
      </c>
      <c r="T13" s="25" t="e">
        <f t="shared" si="25"/>
        <v>#REF!</v>
      </c>
      <c r="U13" s="25" t="e">
        <f t="shared" si="26"/>
        <v>#REF!</v>
      </c>
      <c r="V13" s="25" t="e">
        <f t="shared" si="27"/>
        <v>#REF!</v>
      </c>
    </row>
    <row r="14" spans="1:22" ht="14.25" customHeight="1" x14ac:dyDescent="0.35">
      <c r="A14" s="2" t="s">
        <v>131</v>
      </c>
      <c r="B14" s="13" t="s">
        <v>52</v>
      </c>
      <c r="C14" s="13">
        <v>23002</v>
      </c>
      <c r="D14" s="14">
        <v>35755</v>
      </c>
      <c r="E14" s="15" t="e">
        <f>#REF!+#REF!+#REF!+#REF!+#REF!+#REF!+#REF!+GreenMobility!L14+#REF!+#REF!+#REF!+Partago!L14+#REF!+#REF!+#REF!</f>
        <v>#REF!</v>
      </c>
      <c r="F14" s="16" t="e">
        <f t="shared" si="0"/>
        <v>#REF!</v>
      </c>
      <c r="G14" s="19" t="e">
        <f>#REF!+#REF!+#REF!+#REF!+#REF!+#REF!+#REF!+#REF!+#REF!+Moovee!A14+#REF!+#REF!+#REF!</f>
        <v>#REF!</v>
      </c>
      <c r="H14" s="16" t="e">
        <f t="shared" si="1"/>
        <v>#REF!</v>
      </c>
      <c r="I14" s="30">
        <f t="shared" si="2"/>
        <v>71.510000000000005</v>
      </c>
      <c r="J14" s="31" t="e">
        <f t="shared" si="3"/>
        <v>#REF!</v>
      </c>
      <c r="K14" s="25" t="e">
        <f t="shared" si="16"/>
        <v>#REF!</v>
      </c>
      <c r="L14" s="25" t="e">
        <f t="shared" si="17"/>
        <v>#REF!</v>
      </c>
      <c r="M14" s="25" t="e">
        <f t="shared" si="18"/>
        <v>#REF!</v>
      </c>
      <c r="N14" s="25" t="e">
        <f t="shared" si="19"/>
        <v>#REF!</v>
      </c>
      <c r="O14" s="25" t="e">
        <f t="shared" si="20"/>
        <v>#REF!</v>
      </c>
      <c r="P14" s="25" t="e">
        <f t="shared" si="21"/>
        <v>#REF!</v>
      </c>
      <c r="Q14" s="25" t="e">
        <f t="shared" si="22"/>
        <v>#REF!</v>
      </c>
      <c r="R14" s="25" t="e">
        <f t="shared" si="23"/>
        <v>#REF!</v>
      </c>
      <c r="S14" s="25" t="e">
        <f t="shared" si="24"/>
        <v>#REF!</v>
      </c>
      <c r="T14" s="25" t="e">
        <f t="shared" si="25"/>
        <v>#REF!</v>
      </c>
      <c r="U14" s="25" t="e">
        <f t="shared" si="26"/>
        <v>#REF!</v>
      </c>
      <c r="V14" s="25" t="e">
        <f t="shared" si="27"/>
        <v>#REF!</v>
      </c>
    </row>
    <row r="15" spans="1:22" ht="14.25" customHeight="1" x14ac:dyDescent="0.35">
      <c r="A15" s="2" t="s">
        <v>177</v>
      </c>
      <c r="B15" s="13" t="s">
        <v>50</v>
      </c>
      <c r="C15" s="13">
        <v>43002</v>
      </c>
      <c r="D15" s="14">
        <v>14650</v>
      </c>
      <c r="E15" s="15" t="e">
        <f>#REF!+#REF!+#REF!+#REF!+#REF!+#REF!+#REF!+GreenMobility!L15+#REF!+#REF!+#REF!+Partago!L15+#REF!+#REF!+#REF!</f>
        <v>#REF!</v>
      </c>
      <c r="F15" s="16" t="e">
        <f t="shared" si="0"/>
        <v>#REF!</v>
      </c>
      <c r="G15" s="19" t="e">
        <f>#REF!+#REF!+#REF!+#REF!+#REF!+#REF!+#REF!+#REF!+#REF!+Moovee!A15+#REF!+#REF!+#REF!</f>
        <v>#REF!</v>
      </c>
      <c r="H15" s="16" t="e">
        <f t="shared" si="1"/>
        <v>#REF!</v>
      </c>
      <c r="I15" s="30">
        <f t="shared" si="2"/>
        <v>29.3</v>
      </c>
      <c r="J15" s="31" t="e">
        <f t="shared" si="3"/>
        <v>#REF!</v>
      </c>
      <c r="K15" s="25" t="e">
        <f t="shared" si="16"/>
        <v>#REF!</v>
      </c>
      <c r="L15" s="25" t="e">
        <f t="shared" si="17"/>
        <v>#REF!</v>
      </c>
      <c r="M15" s="25" t="e">
        <f t="shared" si="18"/>
        <v>#REF!</v>
      </c>
      <c r="N15" s="25" t="e">
        <f t="shared" si="19"/>
        <v>#REF!</v>
      </c>
      <c r="O15" s="25" t="e">
        <f t="shared" si="20"/>
        <v>#REF!</v>
      </c>
      <c r="P15" s="25" t="e">
        <f t="shared" si="21"/>
        <v>#REF!</v>
      </c>
      <c r="Q15" s="25" t="e">
        <f t="shared" si="22"/>
        <v>#REF!</v>
      </c>
      <c r="R15" s="25" t="e">
        <f t="shared" si="23"/>
        <v>#REF!</v>
      </c>
      <c r="S15" s="25" t="e">
        <f t="shared" si="24"/>
        <v>#REF!</v>
      </c>
      <c r="T15" s="25" t="e">
        <f t="shared" si="25"/>
        <v>#REF!</v>
      </c>
      <c r="U15" s="25" t="e">
        <f t="shared" si="26"/>
        <v>#REF!</v>
      </c>
      <c r="V15" s="25" t="e">
        <f t="shared" si="27"/>
        <v>#REF!</v>
      </c>
    </row>
    <row r="16" spans="1:22" ht="14.25" customHeight="1" x14ac:dyDescent="0.35">
      <c r="A16" s="2" t="s">
        <v>260</v>
      </c>
      <c r="B16" s="13" t="s">
        <v>55</v>
      </c>
      <c r="C16" s="13">
        <v>34003</v>
      </c>
      <c r="D16" s="14">
        <v>10406</v>
      </c>
      <c r="E16" s="15" t="e">
        <f>#REF!+#REF!+#REF!+#REF!+#REF!+#REF!+#REF!+GreenMobility!L16+#REF!+#REF!+#REF!+Partago!L16+#REF!+#REF!+#REF!</f>
        <v>#REF!</v>
      </c>
      <c r="F16" s="16" t="e">
        <f t="shared" si="0"/>
        <v>#REF!</v>
      </c>
      <c r="G16" s="19" t="e">
        <f>#REF!+#REF!+#REF!+#REF!+#REF!+#REF!+#REF!+#REF!+#REF!+Moovee!A16+#REF!+#REF!+#REF!</f>
        <v>#REF!</v>
      </c>
      <c r="H16" s="16" t="e">
        <f t="shared" si="1"/>
        <v>#REF!</v>
      </c>
      <c r="I16" s="30">
        <f t="shared" si="2"/>
        <v>20.812000000000001</v>
      </c>
      <c r="J16" s="31" t="e">
        <f t="shared" si="3"/>
        <v>#REF!</v>
      </c>
      <c r="K16" s="25" t="e">
        <f t="shared" si="16"/>
        <v>#REF!</v>
      </c>
      <c r="L16" s="25" t="e">
        <f t="shared" si="17"/>
        <v>#REF!</v>
      </c>
      <c r="M16" s="25" t="e">
        <f t="shared" si="18"/>
        <v>#REF!</v>
      </c>
      <c r="N16" s="25" t="e">
        <f t="shared" si="19"/>
        <v>#REF!</v>
      </c>
      <c r="O16" s="25" t="e">
        <f t="shared" si="20"/>
        <v>#REF!</v>
      </c>
      <c r="P16" s="25" t="e">
        <f t="shared" si="21"/>
        <v>#REF!</v>
      </c>
      <c r="Q16" s="25" t="e">
        <f t="shared" si="22"/>
        <v>#REF!</v>
      </c>
      <c r="R16" s="25" t="e">
        <f t="shared" si="23"/>
        <v>#REF!</v>
      </c>
      <c r="S16" s="25" t="e">
        <f t="shared" si="24"/>
        <v>#REF!</v>
      </c>
      <c r="T16" s="25" t="e">
        <f t="shared" si="25"/>
        <v>#REF!</v>
      </c>
      <c r="U16" s="25" t="e">
        <f t="shared" si="26"/>
        <v>#REF!</v>
      </c>
      <c r="V16" s="25" t="e">
        <f t="shared" si="27"/>
        <v>#REF!</v>
      </c>
    </row>
    <row r="17" spans="1:22" ht="14.25" customHeight="1" x14ac:dyDescent="0.35">
      <c r="A17" s="2" t="s">
        <v>317</v>
      </c>
      <c r="B17" s="13" t="s">
        <v>48</v>
      </c>
      <c r="C17" s="13">
        <v>13002</v>
      </c>
      <c r="D17" s="14">
        <v>3001</v>
      </c>
      <c r="E17" s="15" t="e">
        <f>#REF!+#REF!+#REF!+#REF!+#REF!+#REF!+#REF!+GreenMobility!L17+#REF!+#REF!+#REF!+Partago!L17+#REF!+#REF!+#REF!</f>
        <v>#REF!</v>
      </c>
      <c r="F17" s="16" t="e">
        <f t="shared" si="0"/>
        <v>#REF!</v>
      </c>
      <c r="G17" s="19" t="e">
        <f>#REF!+#REF!+#REF!+#REF!+#REF!+#REF!+#REF!+#REF!+#REF!+Moovee!A17+#REF!+#REF!+#REF!</f>
        <v>#REF!</v>
      </c>
      <c r="H17" s="16" t="e">
        <f t="shared" si="1"/>
        <v>#REF!</v>
      </c>
      <c r="I17" s="30">
        <f t="shared" si="2"/>
        <v>6.0019999999999998</v>
      </c>
      <c r="J17" s="31" t="e">
        <f t="shared" si="3"/>
        <v>#REF!</v>
      </c>
      <c r="K17" s="25" t="e">
        <f t="shared" si="16"/>
        <v>#REF!</v>
      </c>
      <c r="L17" s="25" t="e">
        <f t="shared" si="17"/>
        <v>#REF!</v>
      </c>
      <c r="M17" s="25" t="e">
        <f t="shared" si="18"/>
        <v>#REF!</v>
      </c>
      <c r="N17" s="25" t="e">
        <f t="shared" si="19"/>
        <v>#REF!</v>
      </c>
      <c r="O17" s="25" t="e">
        <f t="shared" si="20"/>
        <v>#REF!</v>
      </c>
      <c r="P17" s="25" t="e">
        <f t="shared" si="21"/>
        <v>#REF!</v>
      </c>
      <c r="Q17" s="25" t="e">
        <f t="shared" si="22"/>
        <v>#REF!</v>
      </c>
      <c r="R17" s="25" t="e">
        <f t="shared" si="23"/>
        <v>#REF!</v>
      </c>
      <c r="S17" s="25" t="e">
        <f t="shared" si="24"/>
        <v>#REF!</v>
      </c>
      <c r="T17" s="25" t="e">
        <f t="shared" si="25"/>
        <v>#REF!</v>
      </c>
      <c r="U17" s="25" t="e">
        <f t="shared" si="26"/>
        <v>#REF!</v>
      </c>
      <c r="V17" s="25" t="e">
        <f t="shared" si="27"/>
        <v>#REF!</v>
      </c>
    </row>
    <row r="18" spans="1:22" ht="14.25" customHeight="1" x14ac:dyDescent="0.35">
      <c r="A18" s="2" t="s">
        <v>125</v>
      </c>
      <c r="B18" s="13" t="s">
        <v>48</v>
      </c>
      <c r="C18" s="13">
        <v>13003</v>
      </c>
      <c r="D18" s="14">
        <v>23523</v>
      </c>
      <c r="E18" s="15" t="e">
        <f>#REF!+#REF!+#REF!+#REF!+#REF!+#REF!+#REF!+GreenMobility!L18+#REF!+#REF!+#REF!+Partago!L18+#REF!+#REF!+#REF!</f>
        <v>#REF!</v>
      </c>
      <c r="F18" s="16" t="e">
        <f t="shared" si="0"/>
        <v>#REF!</v>
      </c>
      <c r="G18" s="19" t="e">
        <f>#REF!+#REF!+#REF!+#REF!+#REF!+#REF!+#REF!+#REF!+#REF!+Moovee!A18+#REF!+#REF!+#REF!</f>
        <v>#REF!</v>
      </c>
      <c r="H18" s="16" t="e">
        <f t="shared" si="1"/>
        <v>#REF!</v>
      </c>
      <c r="I18" s="30">
        <f t="shared" si="2"/>
        <v>47.045999999999999</v>
      </c>
      <c r="J18" s="31" t="e">
        <f t="shared" si="3"/>
        <v>#REF!</v>
      </c>
      <c r="K18" s="25" t="e">
        <f t="shared" si="16"/>
        <v>#REF!</v>
      </c>
      <c r="L18" s="25" t="e">
        <f t="shared" si="17"/>
        <v>#REF!</v>
      </c>
      <c r="M18" s="25" t="e">
        <f t="shared" si="18"/>
        <v>#REF!</v>
      </c>
      <c r="N18" s="25" t="e">
        <f t="shared" si="19"/>
        <v>#REF!</v>
      </c>
      <c r="O18" s="25" t="e">
        <f t="shared" si="20"/>
        <v>#REF!</v>
      </c>
      <c r="P18" s="25" t="e">
        <f t="shared" si="21"/>
        <v>#REF!</v>
      </c>
      <c r="Q18" s="25" t="e">
        <f t="shared" si="22"/>
        <v>#REF!</v>
      </c>
      <c r="R18" s="25" t="e">
        <f t="shared" si="23"/>
        <v>#REF!</v>
      </c>
      <c r="S18" s="25" t="e">
        <f t="shared" si="24"/>
        <v>#REF!</v>
      </c>
      <c r="T18" s="25" t="e">
        <f t="shared" si="25"/>
        <v>#REF!</v>
      </c>
      <c r="U18" s="25" t="e">
        <f t="shared" si="26"/>
        <v>#REF!</v>
      </c>
      <c r="V18" s="25" t="e">
        <f t="shared" si="27"/>
        <v>#REF!</v>
      </c>
    </row>
    <row r="19" spans="1:22" ht="14.25" customHeight="1" x14ac:dyDescent="0.35">
      <c r="A19" s="2" t="s">
        <v>112</v>
      </c>
      <c r="B19" s="13" t="s">
        <v>55</v>
      </c>
      <c r="C19" s="13">
        <v>31003</v>
      </c>
      <c r="D19" s="14">
        <v>16259</v>
      </c>
      <c r="E19" s="15" t="e">
        <f>#REF!+#REF!+#REF!+#REF!+#REF!+#REF!+#REF!+GreenMobility!L19+#REF!+#REF!+#REF!+Partago!L19+#REF!+#REF!+#REF!</f>
        <v>#REF!</v>
      </c>
      <c r="F19" s="16" t="e">
        <f t="shared" si="0"/>
        <v>#REF!</v>
      </c>
      <c r="G19" s="19" t="e">
        <f>#REF!+#REF!+#REF!+#REF!+#REF!+#REF!+#REF!+#REF!+#REF!+Moovee!A19+#REF!+#REF!+#REF!</f>
        <v>#REF!</v>
      </c>
      <c r="H19" s="16" t="e">
        <f t="shared" si="1"/>
        <v>#REF!</v>
      </c>
      <c r="I19" s="30">
        <f t="shared" si="2"/>
        <v>32.518000000000001</v>
      </c>
      <c r="J19" s="31" t="e">
        <f t="shared" si="3"/>
        <v>#REF!</v>
      </c>
      <c r="K19" s="25" t="e">
        <f t="shared" si="16"/>
        <v>#REF!</v>
      </c>
      <c r="L19" s="25" t="e">
        <f t="shared" si="17"/>
        <v>#REF!</v>
      </c>
      <c r="M19" s="25" t="e">
        <f t="shared" si="18"/>
        <v>#REF!</v>
      </c>
      <c r="N19" s="25" t="e">
        <f t="shared" si="19"/>
        <v>#REF!</v>
      </c>
      <c r="O19" s="25" t="e">
        <f t="shared" si="20"/>
        <v>#REF!</v>
      </c>
      <c r="P19" s="25" t="e">
        <f t="shared" si="21"/>
        <v>#REF!</v>
      </c>
      <c r="Q19" s="25" t="e">
        <f t="shared" si="22"/>
        <v>#REF!</v>
      </c>
      <c r="R19" s="25" t="e">
        <f t="shared" si="23"/>
        <v>#REF!</v>
      </c>
      <c r="S19" s="25" t="e">
        <f t="shared" si="24"/>
        <v>#REF!</v>
      </c>
      <c r="T19" s="25" t="e">
        <f t="shared" si="25"/>
        <v>#REF!</v>
      </c>
      <c r="U19" s="25" t="e">
        <f t="shared" si="26"/>
        <v>#REF!</v>
      </c>
      <c r="V19" s="25" t="e">
        <f t="shared" si="27"/>
        <v>#REF!</v>
      </c>
    </row>
    <row r="20" spans="1:22" ht="14.25" customHeight="1" x14ac:dyDescent="0.35">
      <c r="A20" s="2" t="s">
        <v>221</v>
      </c>
      <c r="B20" s="13" t="s">
        <v>48</v>
      </c>
      <c r="C20" s="13">
        <v>13004</v>
      </c>
      <c r="D20" s="14">
        <v>18601</v>
      </c>
      <c r="E20" s="15" t="e">
        <f>#REF!+#REF!+#REF!+#REF!+#REF!+#REF!+#REF!+GreenMobility!L20+#REF!+#REF!+#REF!+Partago!L20+#REF!+#REF!+#REF!</f>
        <v>#REF!</v>
      </c>
      <c r="F20" s="16" t="e">
        <f t="shared" si="0"/>
        <v>#REF!</v>
      </c>
      <c r="G20" s="19" t="e">
        <f>#REF!+#REF!+#REF!+#REF!+#REF!+#REF!+#REF!+#REF!+#REF!+Moovee!A20+#REF!+#REF!+#REF!</f>
        <v>#REF!</v>
      </c>
      <c r="H20" s="16" t="e">
        <f t="shared" si="1"/>
        <v>#REF!</v>
      </c>
      <c r="I20" s="30">
        <f t="shared" si="2"/>
        <v>37.201999999999998</v>
      </c>
      <c r="J20" s="31" t="e">
        <f t="shared" si="3"/>
        <v>#REF!</v>
      </c>
      <c r="K20" s="25" t="e">
        <f t="shared" si="16"/>
        <v>#REF!</v>
      </c>
      <c r="L20" s="25" t="e">
        <f t="shared" si="17"/>
        <v>#REF!</v>
      </c>
      <c r="M20" s="25" t="e">
        <f t="shared" si="18"/>
        <v>#REF!</v>
      </c>
      <c r="N20" s="25" t="e">
        <f t="shared" si="19"/>
        <v>#REF!</v>
      </c>
      <c r="O20" s="25" t="e">
        <f t="shared" si="20"/>
        <v>#REF!</v>
      </c>
      <c r="P20" s="25" t="e">
        <f t="shared" si="21"/>
        <v>#REF!</v>
      </c>
      <c r="Q20" s="25" t="e">
        <f t="shared" si="22"/>
        <v>#REF!</v>
      </c>
      <c r="R20" s="25" t="e">
        <f t="shared" si="23"/>
        <v>#REF!</v>
      </c>
      <c r="S20" s="25" t="e">
        <f t="shared" si="24"/>
        <v>#REF!</v>
      </c>
      <c r="T20" s="25" t="e">
        <f t="shared" si="25"/>
        <v>#REF!</v>
      </c>
      <c r="U20" s="25" t="e">
        <f t="shared" si="26"/>
        <v>#REF!</v>
      </c>
      <c r="V20" s="25" t="e">
        <f t="shared" si="27"/>
        <v>#REF!</v>
      </c>
    </row>
    <row r="21" spans="1:22" ht="14.25" customHeight="1" x14ac:dyDescent="0.35">
      <c r="A21" s="2" t="s">
        <v>128</v>
      </c>
      <c r="B21" s="13" t="s">
        <v>52</v>
      </c>
      <c r="C21" s="13">
        <v>23003</v>
      </c>
      <c r="D21" s="14">
        <v>26505</v>
      </c>
      <c r="E21" s="15" t="e">
        <f>#REF!+#REF!+#REF!+#REF!+#REF!+#REF!+#REF!+GreenMobility!L21+#REF!+#REF!+#REF!+Partago!L21+#REF!+#REF!+#REF!</f>
        <v>#REF!</v>
      </c>
      <c r="F21" s="16" t="e">
        <f t="shared" si="0"/>
        <v>#REF!</v>
      </c>
      <c r="G21" s="19" t="e">
        <f>#REF!+#REF!+#REF!+#REF!+#REF!+#REF!+#REF!+#REF!+#REF!+Moovee!A21+#REF!+#REF!+#REF!</f>
        <v>#REF!</v>
      </c>
      <c r="H21" s="16" t="e">
        <f t="shared" si="1"/>
        <v>#REF!</v>
      </c>
      <c r="I21" s="30">
        <f t="shared" si="2"/>
        <v>53.01</v>
      </c>
      <c r="J21" s="31" t="e">
        <f t="shared" si="3"/>
        <v>#REF!</v>
      </c>
      <c r="K21" s="25" t="e">
        <f t="shared" si="16"/>
        <v>#REF!</v>
      </c>
      <c r="L21" s="25" t="e">
        <f t="shared" si="17"/>
        <v>#REF!</v>
      </c>
      <c r="M21" s="25" t="e">
        <f t="shared" si="18"/>
        <v>#REF!</v>
      </c>
      <c r="N21" s="25" t="e">
        <f t="shared" si="19"/>
        <v>#REF!</v>
      </c>
      <c r="O21" s="25" t="e">
        <f t="shared" si="20"/>
        <v>#REF!</v>
      </c>
      <c r="P21" s="25" t="e">
        <f t="shared" si="21"/>
        <v>#REF!</v>
      </c>
      <c r="Q21" s="25" t="e">
        <f t="shared" si="22"/>
        <v>#REF!</v>
      </c>
      <c r="R21" s="25" t="e">
        <f t="shared" si="23"/>
        <v>#REF!</v>
      </c>
      <c r="S21" s="25" t="e">
        <f t="shared" si="24"/>
        <v>#REF!</v>
      </c>
      <c r="T21" s="25" t="e">
        <f t="shared" si="25"/>
        <v>#REF!</v>
      </c>
      <c r="U21" s="25" t="e">
        <f t="shared" si="26"/>
        <v>#REF!</v>
      </c>
      <c r="V21" s="25" t="e">
        <f t="shared" si="27"/>
        <v>#REF!</v>
      </c>
    </row>
    <row r="22" spans="1:22" ht="14.25" customHeight="1" x14ac:dyDescent="0.35">
      <c r="A22" s="2" t="s">
        <v>327</v>
      </c>
      <c r="B22" s="13" t="s">
        <v>52</v>
      </c>
      <c r="C22" s="13">
        <v>24007</v>
      </c>
      <c r="D22" s="14">
        <v>10615</v>
      </c>
      <c r="E22" s="15" t="e">
        <f>#REF!+#REF!+#REF!+#REF!+#REF!+#REF!+#REF!+GreenMobility!L22+#REF!+#REF!+#REF!+Partago!L22+#REF!+#REF!+#REF!</f>
        <v>#REF!</v>
      </c>
      <c r="F22" s="16" t="e">
        <f t="shared" si="0"/>
        <v>#REF!</v>
      </c>
      <c r="G22" s="19" t="e">
        <f>#REF!+#REF!+#REF!+#REF!+#REF!+#REF!+#REF!+#REF!+#REF!+Moovee!A22+#REF!+#REF!+#REF!</f>
        <v>#REF!</v>
      </c>
      <c r="H22" s="16" t="e">
        <f t="shared" si="1"/>
        <v>#REF!</v>
      </c>
      <c r="I22" s="30">
        <f t="shared" si="2"/>
        <v>21.23</v>
      </c>
      <c r="J22" s="31" t="e">
        <f t="shared" si="3"/>
        <v>#REF!</v>
      </c>
      <c r="K22" s="25" t="e">
        <f t="shared" si="16"/>
        <v>#REF!</v>
      </c>
      <c r="L22" s="25" t="e">
        <f t="shared" si="17"/>
        <v>#REF!</v>
      </c>
      <c r="M22" s="25" t="e">
        <f t="shared" si="18"/>
        <v>#REF!</v>
      </c>
      <c r="N22" s="25" t="e">
        <f t="shared" si="19"/>
        <v>#REF!</v>
      </c>
      <c r="O22" s="25" t="e">
        <f t="shared" si="20"/>
        <v>#REF!</v>
      </c>
      <c r="P22" s="25" t="e">
        <f t="shared" si="21"/>
        <v>#REF!</v>
      </c>
      <c r="Q22" s="25" t="e">
        <f t="shared" si="22"/>
        <v>#REF!</v>
      </c>
      <c r="R22" s="25" t="e">
        <f t="shared" si="23"/>
        <v>#REF!</v>
      </c>
      <c r="S22" s="25" t="e">
        <f t="shared" si="24"/>
        <v>#REF!</v>
      </c>
      <c r="T22" s="25" t="e">
        <f t="shared" si="25"/>
        <v>#REF!</v>
      </c>
      <c r="U22" s="25" t="e">
        <f t="shared" si="26"/>
        <v>#REF!</v>
      </c>
      <c r="V22" s="25" t="e">
        <f t="shared" si="27"/>
        <v>#REF!</v>
      </c>
    </row>
    <row r="23" spans="1:22" ht="14.25" customHeight="1" x14ac:dyDescent="0.35">
      <c r="A23" s="2" t="s">
        <v>249</v>
      </c>
      <c r="B23" s="13" t="s">
        <v>52</v>
      </c>
      <c r="C23" s="13">
        <v>24008</v>
      </c>
      <c r="D23" s="14">
        <v>6771</v>
      </c>
      <c r="E23" s="15" t="e">
        <f>#REF!+#REF!+#REF!+#REF!+#REF!+#REF!+#REF!+GreenMobility!L23+#REF!+#REF!+#REF!+Partago!L23+#REF!+#REF!+#REF!</f>
        <v>#REF!</v>
      </c>
      <c r="F23" s="16" t="e">
        <f t="shared" si="0"/>
        <v>#REF!</v>
      </c>
      <c r="G23" s="19" t="e">
        <f>#REF!+#REF!+#REF!+#REF!+#REF!+#REF!+#REF!+#REF!+#REF!+Moovee!A23+#REF!+#REF!+#REF!</f>
        <v>#REF!</v>
      </c>
      <c r="H23" s="16" t="e">
        <f t="shared" si="1"/>
        <v>#REF!</v>
      </c>
      <c r="I23" s="30">
        <f t="shared" si="2"/>
        <v>13.542</v>
      </c>
      <c r="J23" s="31" t="e">
        <f t="shared" si="3"/>
        <v>#REF!</v>
      </c>
      <c r="K23" s="25" t="e">
        <f t="shared" si="16"/>
        <v>#REF!</v>
      </c>
      <c r="L23" s="25" t="e">
        <f t="shared" si="17"/>
        <v>#REF!</v>
      </c>
      <c r="M23" s="25" t="e">
        <f t="shared" si="18"/>
        <v>#REF!</v>
      </c>
      <c r="N23" s="25" t="e">
        <f t="shared" si="19"/>
        <v>#REF!</v>
      </c>
      <c r="O23" s="25" t="e">
        <f t="shared" si="20"/>
        <v>#REF!</v>
      </c>
      <c r="P23" s="25" t="e">
        <f t="shared" si="21"/>
        <v>#REF!</v>
      </c>
      <c r="Q23" s="25" t="e">
        <f t="shared" si="22"/>
        <v>#REF!</v>
      </c>
      <c r="R23" s="25" t="e">
        <f t="shared" si="23"/>
        <v>#REF!</v>
      </c>
      <c r="S23" s="25" t="e">
        <f t="shared" si="24"/>
        <v>#REF!</v>
      </c>
      <c r="T23" s="25" t="e">
        <f t="shared" si="25"/>
        <v>#REF!</v>
      </c>
      <c r="U23" s="25" t="e">
        <f t="shared" si="26"/>
        <v>#REF!</v>
      </c>
      <c r="V23" s="25" t="e">
        <f t="shared" si="27"/>
        <v>#REF!</v>
      </c>
    </row>
    <row r="24" spans="1:22" ht="14.25" customHeight="1" x14ac:dyDescent="0.35">
      <c r="A24" s="2" t="s">
        <v>235</v>
      </c>
      <c r="B24" s="13" t="s">
        <v>59</v>
      </c>
      <c r="C24" s="13">
        <v>71004</v>
      </c>
      <c r="D24" s="14">
        <v>48353</v>
      </c>
      <c r="E24" s="15" t="e">
        <f>#REF!+#REF!+#REF!+#REF!+#REF!+#REF!+#REF!+GreenMobility!L24+#REF!+#REF!+#REF!+Partago!L24+#REF!+#REF!+#REF!</f>
        <v>#REF!</v>
      </c>
      <c r="F24" s="16" t="e">
        <f t="shared" si="0"/>
        <v>#REF!</v>
      </c>
      <c r="G24" s="19" t="e">
        <f>#REF!+#REF!+#REF!+#REF!+#REF!+#REF!+#REF!+#REF!+#REF!+Moovee!A24+#REF!+#REF!+#REF!</f>
        <v>#REF!</v>
      </c>
      <c r="H24" s="16" t="e">
        <f t="shared" si="1"/>
        <v>#REF!</v>
      </c>
      <c r="I24" s="30">
        <f t="shared" si="2"/>
        <v>96.706000000000003</v>
      </c>
      <c r="J24" s="31" t="e">
        <f t="shared" si="3"/>
        <v>#REF!</v>
      </c>
      <c r="K24" s="25" t="e">
        <f t="shared" si="16"/>
        <v>#REF!</v>
      </c>
      <c r="L24" s="25" t="e">
        <f t="shared" si="17"/>
        <v>#REF!</v>
      </c>
      <c r="M24" s="25" t="e">
        <f t="shared" si="18"/>
        <v>#REF!</v>
      </c>
      <c r="N24" s="25" t="e">
        <f t="shared" si="19"/>
        <v>#REF!</v>
      </c>
      <c r="O24" s="25" t="e">
        <f t="shared" si="20"/>
        <v>#REF!</v>
      </c>
      <c r="P24" s="25" t="e">
        <f t="shared" si="21"/>
        <v>#REF!</v>
      </c>
      <c r="Q24" s="25" t="e">
        <f t="shared" si="22"/>
        <v>#REF!</v>
      </c>
      <c r="R24" s="25" t="e">
        <f t="shared" si="23"/>
        <v>#REF!</v>
      </c>
      <c r="S24" s="25" t="e">
        <f t="shared" si="24"/>
        <v>#REF!</v>
      </c>
      <c r="T24" s="25" t="e">
        <f t="shared" si="25"/>
        <v>#REF!</v>
      </c>
      <c r="U24" s="25" t="e">
        <f t="shared" si="26"/>
        <v>#REF!</v>
      </c>
      <c r="V24" s="25" t="e">
        <f t="shared" si="27"/>
        <v>#REF!</v>
      </c>
    </row>
    <row r="25" spans="1:22" ht="14.25" customHeight="1" x14ac:dyDescent="0.35">
      <c r="A25" s="2" t="s">
        <v>136</v>
      </c>
      <c r="B25" s="13" t="s">
        <v>48</v>
      </c>
      <c r="C25" s="13">
        <v>12002</v>
      </c>
      <c r="D25" s="14">
        <v>12061</v>
      </c>
      <c r="E25" s="15" t="e">
        <f>#REF!+#REF!+#REF!+#REF!+#REF!+#REF!+#REF!+GreenMobility!L25+#REF!+#REF!+#REF!+Partago!L25+#REF!+#REF!+#REF!</f>
        <v>#REF!</v>
      </c>
      <c r="F25" s="16" t="e">
        <f t="shared" si="0"/>
        <v>#REF!</v>
      </c>
      <c r="G25" s="19" t="e">
        <f>#REF!+#REF!+#REF!+#REF!+#REF!+#REF!+#REF!+#REF!+#REF!+Moovee!A25+#REF!+#REF!+#REF!</f>
        <v>#REF!</v>
      </c>
      <c r="H25" s="16" t="e">
        <f t="shared" si="1"/>
        <v>#REF!</v>
      </c>
      <c r="I25" s="30">
        <f t="shared" si="2"/>
        <v>24.122</v>
      </c>
      <c r="J25" s="31" t="e">
        <f t="shared" si="3"/>
        <v>#REF!</v>
      </c>
      <c r="K25" s="25" t="e">
        <f t="shared" si="16"/>
        <v>#REF!</v>
      </c>
      <c r="L25" s="25" t="e">
        <f t="shared" si="17"/>
        <v>#REF!</v>
      </c>
      <c r="M25" s="25" t="e">
        <f t="shared" si="18"/>
        <v>#REF!</v>
      </c>
      <c r="N25" s="25" t="e">
        <f t="shared" si="19"/>
        <v>#REF!</v>
      </c>
      <c r="O25" s="25" t="e">
        <f t="shared" si="20"/>
        <v>#REF!</v>
      </c>
      <c r="P25" s="25" t="e">
        <f t="shared" si="21"/>
        <v>#REF!</v>
      </c>
      <c r="Q25" s="25" t="e">
        <f t="shared" si="22"/>
        <v>#REF!</v>
      </c>
      <c r="R25" s="25" t="e">
        <f t="shared" si="23"/>
        <v>#REF!</v>
      </c>
      <c r="S25" s="25" t="e">
        <f t="shared" si="24"/>
        <v>#REF!</v>
      </c>
      <c r="T25" s="25" t="e">
        <f t="shared" si="25"/>
        <v>#REF!</v>
      </c>
      <c r="U25" s="25" t="e">
        <f t="shared" si="26"/>
        <v>#REF!</v>
      </c>
      <c r="V25" s="25" t="e">
        <f t="shared" si="27"/>
        <v>#REF!</v>
      </c>
    </row>
    <row r="26" spans="1:22" ht="14.25" customHeight="1" x14ac:dyDescent="0.35">
      <c r="A26" s="2" t="s">
        <v>216</v>
      </c>
      <c r="B26" s="13" t="s">
        <v>50</v>
      </c>
      <c r="C26" s="13">
        <v>42003</v>
      </c>
      <c r="D26" s="14">
        <v>15486</v>
      </c>
      <c r="E26" s="15" t="e">
        <f>#REF!+#REF!+#REF!+#REF!+#REF!+#REF!+#REF!+GreenMobility!L26+#REF!+#REF!+#REF!+Partago!L26+#REF!+#REF!+#REF!</f>
        <v>#REF!</v>
      </c>
      <c r="F26" s="16" t="e">
        <f t="shared" si="0"/>
        <v>#REF!</v>
      </c>
      <c r="G26" s="19" t="e">
        <f>#REF!+#REF!+#REF!+#REF!+#REF!+#REF!+#REF!+#REF!+#REF!+Moovee!A26+#REF!+#REF!+#REF!</f>
        <v>#REF!</v>
      </c>
      <c r="H26" s="16" t="e">
        <f t="shared" si="1"/>
        <v>#REF!</v>
      </c>
      <c r="I26" s="30">
        <f t="shared" si="2"/>
        <v>30.972000000000001</v>
      </c>
      <c r="J26" s="31" t="e">
        <f t="shared" si="3"/>
        <v>#REF!</v>
      </c>
      <c r="K26" s="25" t="e">
        <f t="shared" si="16"/>
        <v>#REF!</v>
      </c>
      <c r="L26" s="25" t="e">
        <f t="shared" si="17"/>
        <v>#REF!</v>
      </c>
      <c r="M26" s="25" t="e">
        <f t="shared" si="18"/>
        <v>#REF!</v>
      </c>
      <c r="N26" s="25" t="e">
        <f t="shared" si="19"/>
        <v>#REF!</v>
      </c>
      <c r="O26" s="25" t="e">
        <f t="shared" si="20"/>
        <v>#REF!</v>
      </c>
      <c r="P26" s="25" t="e">
        <f t="shared" si="21"/>
        <v>#REF!</v>
      </c>
      <c r="Q26" s="25" t="e">
        <f t="shared" si="22"/>
        <v>#REF!</v>
      </c>
      <c r="R26" s="25" t="e">
        <f t="shared" si="23"/>
        <v>#REF!</v>
      </c>
      <c r="S26" s="25" t="e">
        <f t="shared" si="24"/>
        <v>#REF!</v>
      </c>
      <c r="T26" s="25" t="e">
        <f t="shared" si="25"/>
        <v>#REF!</v>
      </c>
      <c r="U26" s="25" t="e">
        <f t="shared" si="26"/>
        <v>#REF!</v>
      </c>
      <c r="V26" s="25" t="e">
        <f t="shared" si="27"/>
        <v>#REF!</v>
      </c>
    </row>
    <row r="27" spans="1:22" ht="14.25" customHeight="1" x14ac:dyDescent="0.35">
      <c r="A27" s="2" t="s">
        <v>259</v>
      </c>
      <c r="B27" s="13" t="s">
        <v>52</v>
      </c>
      <c r="C27" s="13">
        <v>24009</v>
      </c>
      <c r="D27" s="14">
        <v>10242</v>
      </c>
      <c r="E27" s="15" t="e">
        <f>#REF!+#REF!+#REF!+#REF!+#REF!+#REF!+#REF!+GreenMobility!L27+#REF!+#REF!+#REF!+Partago!L27+#REF!+#REF!+#REF!</f>
        <v>#REF!</v>
      </c>
      <c r="F27" s="16" t="e">
        <f t="shared" si="0"/>
        <v>#REF!</v>
      </c>
      <c r="G27" s="19" t="e">
        <f>#REF!+#REF!+#REF!+#REF!+#REF!+#REF!+#REF!+#REF!+#REF!+Moovee!A27+#REF!+#REF!+#REF!</f>
        <v>#REF!</v>
      </c>
      <c r="H27" s="16" t="e">
        <f t="shared" si="1"/>
        <v>#REF!</v>
      </c>
      <c r="I27" s="30">
        <f t="shared" si="2"/>
        <v>20.484000000000002</v>
      </c>
      <c r="J27" s="31" t="e">
        <f t="shared" si="3"/>
        <v>#REF!</v>
      </c>
      <c r="K27" s="25" t="e">
        <f t="shared" si="16"/>
        <v>#REF!</v>
      </c>
      <c r="L27" s="25" t="e">
        <f t="shared" si="17"/>
        <v>#REF!</v>
      </c>
      <c r="M27" s="25" t="e">
        <f t="shared" si="18"/>
        <v>#REF!</v>
      </c>
      <c r="N27" s="25" t="e">
        <f t="shared" si="19"/>
        <v>#REF!</v>
      </c>
      <c r="O27" s="25" t="e">
        <f t="shared" si="20"/>
        <v>#REF!</v>
      </c>
      <c r="P27" s="25" t="e">
        <f t="shared" si="21"/>
        <v>#REF!</v>
      </c>
      <c r="Q27" s="25" t="e">
        <f t="shared" si="22"/>
        <v>#REF!</v>
      </c>
      <c r="R27" s="25" t="e">
        <f t="shared" si="23"/>
        <v>#REF!</v>
      </c>
      <c r="S27" s="25" t="e">
        <f t="shared" si="24"/>
        <v>#REF!</v>
      </c>
      <c r="T27" s="25" t="e">
        <f t="shared" si="25"/>
        <v>#REF!</v>
      </c>
      <c r="U27" s="25" t="e">
        <f t="shared" si="26"/>
        <v>#REF!</v>
      </c>
      <c r="V27" s="25" t="e">
        <f t="shared" si="27"/>
        <v>#REF!</v>
      </c>
    </row>
    <row r="28" spans="1:22" ht="14.25" customHeight="1" x14ac:dyDescent="0.35">
      <c r="A28" s="2" t="s">
        <v>315</v>
      </c>
      <c r="B28" s="13" t="s">
        <v>52</v>
      </c>
      <c r="C28" s="13">
        <v>23009</v>
      </c>
      <c r="D28" s="14">
        <v>2276</v>
      </c>
      <c r="E28" s="15" t="e">
        <f>#REF!+#REF!+#REF!+#REF!+#REF!+#REF!+#REF!+GreenMobility!L28+#REF!+#REF!+#REF!+Partago!L28+#REF!+#REF!+#REF!</f>
        <v>#REF!</v>
      </c>
      <c r="F28" s="16" t="e">
        <f t="shared" si="0"/>
        <v>#REF!</v>
      </c>
      <c r="G28" s="19" t="e">
        <f>#REF!+#REF!+#REF!+#REF!+#REF!+#REF!+#REF!+#REF!+#REF!+Moovee!A28+#REF!+#REF!+#REF!</f>
        <v>#REF!</v>
      </c>
      <c r="H28" s="16" t="e">
        <f t="shared" si="1"/>
        <v>#REF!</v>
      </c>
      <c r="I28" s="30">
        <f t="shared" si="2"/>
        <v>4.5519999999999996</v>
      </c>
      <c r="J28" s="31" t="e">
        <f t="shared" si="3"/>
        <v>#REF!</v>
      </c>
      <c r="K28" s="25" t="e">
        <f t="shared" si="16"/>
        <v>#REF!</v>
      </c>
      <c r="L28" s="25" t="e">
        <f t="shared" si="17"/>
        <v>#REF!</v>
      </c>
      <c r="M28" s="25" t="e">
        <f t="shared" si="18"/>
        <v>#REF!</v>
      </c>
      <c r="N28" s="25" t="e">
        <f t="shared" si="19"/>
        <v>#REF!</v>
      </c>
      <c r="O28" s="25" t="e">
        <f t="shared" si="20"/>
        <v>#REF!</v>
      </c>
      <c r="P28" s="25" t="e">
        <f t="shared" si="21"/>
        <v>#REF!</v>
      </c>
      <c r="Q28" s="25" t="e">
        <f t="shared" si="22"/>
        <v>#REF!</v>
      </c>
      <c r="R28" s="25" t="e">
        <f t="shared" si="23"/>
        <v>#REF!</v>
      </c>
      <c r="S28" s="25" t="e">
        <f t="shared" si="24"/>
        <v>#REF!</v>
      </c>
      <c r="T28" s="25" t="e">
        <f t="shared" si="25"/>
        <v>#REF!</v>
      </c>
      <c r="U28" s="25" t="e">
        <f t="shared" si="26"/>
        <v>#REF!</v>
      </c>
      <c r="V28" s="25" t="e">
        <f t="shared" si="27"/>
        <v>#REF!</v>
      </c>
    </row>
    <row r="29" spans="1:22" ht="14.25" customHeight="1" x14ac:dyDescent="0.35">
      <c r="A29" s="2" t="s">
        <v>337</v>
      </c>
      <c r="B29" s="13" t="s">
        <v>50</v>
      </c>
      <c r="C29" s="13">
        <v>46003</v>
      </c>
      <c r="D29" s="14">
        <v>50838</v>
      </c>
      <c r="E29" s="15" t="e">
        <f>#REF!+#REF!+#REF!+#REF!+#REF!+#REF!+#REF!+GreenMobility!L29+#REF!+#REF!+#REF!+Partago!L29+#REF!+#REF!+#REF!</f>
        <v>#REF!</v>
      </c>
      <c r="F29" s="16" t="e">
        <f t="shared" si="0"/>
        <v>#REF!</v>
      </c>
      <c r="G29" s="19" t="e">
        <f>#REF!+#REF!+#REF!+#REF!+#REF!+#REF!+#REF!+#REF!+#REF!+Moovee!A29+#REF!+#REF!+#REF!</f>
        <v>#REF!</v>
      </c>
      <c r="H29" s="16" t="e">
        <f t="shared" si="1"/>
        <v>#REF!</v>
      </c>
      <c r="I29" s="30">
        <f t="shared" si="2"/>
        <v>101.676</v>
      </c>
      <c r="J29" s="31" t="e">
        <f t="shared" si="3"/>
        <v>#REF!</v>
      </c>
      <c r="K29" s="25" t="e">
        <f t="shared" si="16"/>
        <v>#REF!</v>
      </c>
      <c r="L29" s="25" t="e">
        <f t="shared" si="17"/>
        <v>#REF!</v>
      </c>
      <c r="M29" s="25" t="e">
        <f t="shared" si="18"/>
        <v>#REF!</v>
      </c>
      <c r="N29" s="25" t="e">
        <f t="shared" si="19"/>
        <v>#REF!</v>
      </c>
      <c r="O29" s="25" t="e">
        <f t="shared" si="20"/>
        <v>#REF!</v>
      </c>
      <c r="P29" s="25" t="e">
        <f t="shared" si="21"/>
        <v>#REF!</v>
      </c>
      <c r="Q29" s="25" t="e">
        <f t="shared" si="22"/>
        <v>#REF!</v>
      </c>
      <c r="R29" s="25" t="e">
        <f t="shared" si="23"/>
        <v>#REF!</v>
      </c>
      <c r="S29" s="25" t="e">
        <f t="shared" si="24"/>
        <v>#REF!</v>
      </c>
      <c r="T29" s="25" t="e">
        <f t="shared" si="25"/>
        <v>#REF!</v>
      </c>
      <c r="U29" s="25" t="e">
        <f t="shared" si="26"/>
        <v>#REF!</v>
      </c>
      <c r="V29" s="25" t="e">
        <f t="shared" si="27"/>
        <v>#REF!</v>
      </c>
    </row>
    <row r="30" spans="1:22" ht="14.25" customHeight="1" x14ac:dyDescent="0.35">
      <c r="A30" s="2" t="s">
        <v>109</v>
      </c>
      <c r="B30" s="13" t="s">
        <v>52</v>
      </c>
      <c r="C30" s="13">
        <v>24011</v>
      </c>
      <c r="D30" s="14">
        <v>10534</v>
      </c>
      <c r="E30" s="15" t="e">
        <f>#REF!+#REF!+#REF!+#REF!+#REF!+#REF!+#REF!+GreenMobility!L30+#REF!+#REF!+#REF!+Partago!L30+#REF!+#REF!+#REF!</f>
        <v>#REF!</v>
      </c>
      <c r="F30" s="16" t="e">
        <f t="shared" si="0"/>
        <v>#REF!</v>
      </c>
      <c r="G30" s="19" t="e">
        <f>#REF!+#REF!+#REF!+#REF!+#REF!+#REF!+#REF!+#REF!+#REF!+Moovee!A30+#REF!+#REF!+#REF!</f>
        <v>#REF!</v>
      </c>
      <c r="H30" s="16" t="e">
        <f t="shared" si="1"/>
        <v>#REF!</v>
      </c>
      <c r="I30" s="30">
        <f t="shared" si="2"/>
        <v>21.068000000000001</v>
      </c>
      <c r="J30" s="31" t="e">
        <f t="shared" si="3"/>
        <v>#REF!</v>
      </c>
      <c r="K30" s="25" t="e">
        <f t="shared" si="16"/>
        <v>#REF!</v>
      </c>
      <c r="L30" s="25" t="e">
        <f t="shared" si="17"/>
        <v>#REF!</v>
      </c>
      <c r="M30" s="25" t="e">
        <f t="shared" si="18"/>
        <v>#REF!</v>
      </c>
      <c r="N30" s="25" t="e">
        <f t="shared" si="19"/>
        <v>#REF!</v>
      </c>
      <c r="O30" s="25" t="e">
        <f t="shared" si="20"/>
        <v>#REF!</v>
      </c>
      <c r="P30" s="25" t="e">
        <f t="shared" si="21"/>
        <v>#REF!</v>
      </c>
      <c r="Q30" s="25" t="e">
        <f t="shared" si="22"/>
        <v>#REF!</v>
      </c>
      <c r="R30" s="25" t="e">
        <f t="shared" si="23"/>
        <v>#REF!</v>
      </c>
      <c r="S30" s="25" t="e">
        <f t="shared" si="24"/>
        <v>#REF!</v>
      </c>
      <c r="T30" s="25" t="e">
        <f t="shared" si="25"/>
        <v>#REF!</v>
      </c>
      <c r="U30" s="25" t="e">
        <f t="shared" si="26"/>
        <v>#REF!</v>
      </c>
      <c r="V30" s="25" t="e">
        <f t="shared" si="27"/>
        <v>#REF!</v>
      </c>
    </row>
    <row r="31" spans="1:22" ht="14.25" customHeight="1" x14ac:dyDescent="0.35">
      <c r="A31" s="2" t="s">
        <v>338</v>
      </c>
      <c r="B31" s="13" t="s">
        <v>59</v>
      </c>
      <c r="C31" s="13">
        <v>73006</v>
      </c>
      <c r="D31" s="14">
        <v>32782</v>
      </c>
      <c r="E31" s="15" t="e">
        <f>#REF!+#REF!+#REF!+#REF!+#REF!+#REF!+#REF!+GreenMobility!L31+#REF!+#REF!+#REF!+Partago!L31+#REF!+#REF!+#REF!</f>
        <v>#REF!</v>
      </c>
      <c r="F31" s="16" t="e">
        <f t="shared" si="0"/>
        <v>#REF!</v>
      </c>
      <c r="G31" s="19" t="e">
        <f>#REF!+#REF!+#REF!+#REF!+#REF!+#REF!+#REF!+#REF!+#REF!+Moovee!A31+#REF!+#REF!+#REF!</f>
        <v>#REF!</v>
      </c>
      <c r="H31" s="16" t="e">
        <f t="shared" si="1"/>
        <v>#REF!</v>
      </c>
      <c r="I31" s="30">
        <f t="shared" si="2"/>
        <v>65.563999999999993</v>
      </c>
      <c r="J31" s="31" t="e">
        <f t="shared" si="3"/>
        <v>#REF!</v>
      </c>
      <c r="K31" s="25" t="e">
        <f t="shared" si="16"/>
        <v>#REF!</v>
      </c>
      <c r="L31" s="25" t="e">
        <f t="shared" si="17"/>
        <v>#REF!</v>
      </c>
      <c r="M31" s="25" t="e">
        <f t="shared" si="18"/>
        <v>#REF!</v>
      </c>
      <c r="N31" s="25" t="e">
        <f t="shared" si="19"/>
        <v>#REF!</v>
      </c>
      <c r="O31" s="25" t="e">
        <f t="shared" si="20"/>
        <v>#REF!</v>
      </c>
      <c r="P31" s="25" t="e">
        <f t="shared" si="21"/>
        <v>#REF!</v>
      </c>
      <c r="Q31" s="25" t="e">
        <f t="shared" si="22"/>
        <v>#REF!</v>
      </c>
      <c r="R31" s="25" t="e">
        <f t="shared" si="23"/>
        <v>#REF!</v>
      </c>
      <c r="S31" s="25" t="e">
        <f t="shared" si="24"/>
        <v>#REF!</v>
      </c>
      <c r="T31" s="25" t="e">
        <f t="shared" si="25"/>
        <v>#REF!</v>
      </c>
      <c r="U31" s="25" t="e">
        <f t="shared" si="26"/>
        <v>#REF!</v>
      </c>
      <c r="V31" s="25" t="e">
        <f t="shared" si="27"/>
        <v>#REF!</v>
      </c>
    </row>
    <row r="32" spans="1:22" ht="14.25" customHeight="1" x14ac:dyDescent="0.35">
      <c r="A32" s="2" t="s">
        <v>99</v>
      </c>
      <c r="B32" s="13" t="s">
        <v>55</v>
      </c>
      <c r="C32" s="13">
        <v>31004</v>
      </c>
      <c r="D32" s="14">
        <v>20559</v>
      </c>
      <c r="E32" s="15" t="e">
        <f>#REF!+#REF!+#REF!+#REF!+#REF!+#REF!+#REF!+GreenMobility!L32+#REF!+#REF!+#REF!+Partago!L32+#REF!+#REF!+#REF!</f>
        <v>#REF!</v>
      </c>
      <c r="F32" s="16" t="e">
        <f t="shared" si="0"/>
        <v>#REF!</v>
      </c>
      <c r="G32" s="19" t="e">
        <f>#REF!+#REF!+#REF!+#REF!+#REF!+#REF!+#REF!+#REF!+#REF!+Moovee!A32+#REF!+#REF!+#REF!</f>
        <v>#REF!</v>
      </c>
      <c r="H32" s="16" t="e">
        <f t="shared" si="1"/>
        <v>#REF!</v>
      </c>
      <c r="I32" s="30">
        <f t="shared" si="2"/>
        <v>41.118000000000002</v>
      </c>
      <c r="J32" s="31" t="e">
        <f t="shared" si="3"/>
        <v>#REF!</v>
      </c>
      <c r="K32" s="25" t="e">
        <f t="shared" si="16"/>
        <v>#REF!</v>
      </c>
      <c r="L32" s="25" t="e">
        <f t="shared" si="17"/>
        <v>#REF!</v>
      </c>
      <c r="M32" s="25" t="e">
        <f t="shared" si="18"/>
        <v>#REF!</v>
      </c>
      <c r="N32" s="25" t="e">
        <f t="shared" si="19"/>
        <v>#REF!</v>
      </c>
      <c r="O32" s="25" t="e">
        <f t="shared" si="20"/>
        <v>#REF!</v>
      </c>
      <c r="P32" s="25" t="e">
        <f t="shared" si="21"/>
        <v>#REF!</v>
      </c>
      <c r="Q32" s="25" t="e">
        <f t="shared" si="22"/>
        <v>#REF!</v>
      </c>
      <c r="R32" s="25" t="e">
        <f t="shared" si="23"/>
        <v>#REF!</v>
      </c>
      <c r="S32" s="25" t="e">
        <f t="shared" si="24"/>
        <v>#REF!</v>
      </c>
      <c r="T32" s="25" t="e">
        <f t="shared" si="25"/>
        <v>#REF!</v>
      </c>
      <c r="U32" s="25" t="e">
        <f t="shared" si="26"/>
        <v>#REF!</v>
      </c>
      <c r="V32" s="25" t="e">
        <f t="shared" si="27"/>
        <v>#REF!</v>
      </c>
    </row>
    <row r="33" spans="1:22" ht="14.25" customHeight="1" x14ac:dyDescent="0.35">
      <c r="A33" s="2" t="s">
        <v>329</v>
      </c>
      <c r="B33" s="13" t="s">
        <v>59</v>
      </c>
      <c r="C33" s="13">
        <v>72003</v>
      </c>
      <c r="D33" s="14">
        <v>13753</v>
      </c>
      <c r="E33" s="15" t="e">
        <f>#REF!+#REF!+#REF!+#REF!+#REF!+#REF!+#REF!+GreenMobility!L33+#REF!+#REF!+#REF!+Partago!L33+#REF!+#REF!+#REF!</f>
        <v>#REF!</v>
      </c>
      <c r="F33" s="16" t="e">
        <f t="shared" si="0"/>
        <v>#REF!</v>
      </c>
      <c r="G33" s="19" t="e">
        <f>#REF!+#REF!+#REF!+#REF!+#REF!+#REF!+#REF!+#REF!+#REF!+Moovee!A33+#REF!+#REF!+#REF!</f>
        <v>#REF!</v>
      </c>
      <c r="H33" s="16" t="e">
        <f t="shared" si="1"/>
        <v>#REF!</v>
      </c>
      <c r="I33" s="30">
        <f t="shared" si="2"/>
        <v>27.506</v>
      </c>
      <c r="J33" s="31" t="e">
        <f t="shared" si="3"/>
        <v>#REF!</v>
      </c>
      <c r="K33" s="25" t="e">
        <f t="shared" si="16"/>
        <v>#REF!</v>
      </c>
      <c r="L33" s="25" t="e">
        <f t="shared" si="17"/>
        <v>#REF!</v>
      </c>
      <c r="M33" s="25" t="e">
        <f t="shared" si="18"/>
        <v>#REF!</v>
      </c>
      <c r="N33" s="25" t="e">
        <f t="shared" si="19"/>
        <v>#REF!</v>
      </c>
      <c r="O33" s="25" t="e">
        <f t="shared" si="20"/>
        <v>#REF!</v>
      </c>
      <c r="P33" s="25" t="e">
        <f t="shared" si="21"/>
        <v>#REF!</v>
      </c>
      <c r="Q33" s="25" t="e">
        <f t="shared" si="22"/>
        <v>#REF!</v>
      </c>
      <c r="R33" s="25" t="e">
        <f t="shared" si="23"/>
        <v>#REF!</v>
      </c>
      <c r="S33" s="25" t="e">
        <f t="shared" si="24"/>
        <v>#REF!</v>
      </c>
      <c r="T33" s="25" t="e">
        <f t="shared" si="25"/>
        <v>#REF!</v>
      </c>
      <c r="U33" s="25" t="e">
        <f t="shared" si="26"/>
        <v>#REF!</v>
      </c>
      <c r="V33" s="25" t="e">
        <f t="shared" si="27"/>
        <v>#REF!</v>
      </c>
    </row>
    <row r="34" spans="1:22" ht="14.25" customHeight="1" x14ac:dyDescent="0.35">
      <c r="A34" s="2" t="s">
        <v>271</v>
      </c>
      <c r="B34" s="13" t="s">
        <v>48</v>
      </c>
      <c r="C34" s="13">
        <v>11004</v>
      </c>
      <c r="D34" s="14">
        <v>13831</v>
      </c>
      <c r="E34" s="15" t="e">
        <f>#REF!+#REF!+#REF!+#REF!+#REF!+#REF!+#REF!+GreenMobility!L34+#REF!+#REF!+#REF!+Partago!L34+#REF!+#REF!+#REF!</f>
        <v>#REF!</v>
      </c>
      <c r="F34" s="16" t="e">
        <f t="shared" si="0"/>
        <v>#REF!</v>
      </c>
      <c r="G34" s="19" t="e">
        <f>#REF!+#REF!+#REF!+#REF!+#REF!+#REF!+#REF!+#REF!+#REF!+Moovee!A34+#REF!+#REF!+#REF!</f>
        <v>#REF!</v>
      </c>
      <c r="H34" s="16" t="e">
        <f t="shared" si="1"/>
        <v>#REF!</v>
      </c>
      <c r="I34" s="30">
        <f t="shared" si="2"/>
        <v>27.661999999999999</v>
      </c>
      <c r="J34" s="31" t="e">
        <f t="shared" si="3"/>
        <v>#REF!</v>
      </c>
      <c r="K34" s="25" t="e">
        <f t="shared" si="16"/>
        <v>#REF!</v>
      </c>
      <c r="L34" s="25" t="e">
        <f t="shared" si="17"/>
        <v>#REF!</v>
      </c>
      <c r="M34" s="25" t="e">
        <f t="shared" si="18"/>
        <v>#REF!</v>
      </c>
      <c r="N34" s="25" t="e">
        <f t="shared" si="19"/>
        <v>#REF!</v>
      </c>
      <c r="O34" s="25" t="e">
        <f t="shared" si="20"/>
        <v>#REF!</v>
      </c>
      <c r="P34" s="25" t="e">
        <f t="shared" si="21"/>
        <v>#REF!</v>
      </c>
      <c r="Q34" s="25" t="e">
        <f t="shared" si="22"/>
        <v>#REF!</v>
      </c>
      <c r="R34" s="25" t="e">
        <f t="shared" si="23"/>
        <v>#REF!</v>
      </c>
      <c r="S34" s="25" t="e">
        <f t="shared" si="24"/>
        <v>#REF!</v>
      </c>
      <c r="T34" s="25" t="e">
        <f t="shared" si="25"/>
        <v>#REF!</v>
      </c>
      <c r="U34" s="25" t="e">
        <f t="shared" si="26"/>
        <v>#REF!</v>
      </c>
      <c r="V34" s="25" t="e">
        <f t="shared" si="27"/>
        <v>#REF!</v>
      </c>
    </row>
    <row r="35" spans="1:22" ht="14.25" customHeight="1" x14ac:dyDescent="0.35">
      <c r="A35" s="2" t="s">
        <v>97</v>
      </c>
      <c r="B35" s="13" t="s">
        <v>48</v>
      </c>
      <c r="C35" s="13">
        <v>12005</v>
      </c>
      <c r="D35" s="14">
        <v>15454</v>
      </c>
      <c r="E35" s="15" t="e">
        <f>#REF!+#REF!+#REF!+#REF!+#REF!+#REF!+#REF!+GreenMobility!L35+#REF!+#REF!+#REF!+Partago!L35+#REF!+#REF!+#REF!</f>
        <v>#REF!</v>
      </c>
      <c r="F35" s="16" t="e">
        <f t="shared" si="0"/>
        <v>#REF!</v>
      </c>
      <c r="G35" s="19" t="e">
        <f>#REF!+#REF!+#REF!+#REF!+#REF!+#REF!+#REF!+#REF!+#REF!+Moovee!A35+#REF!+#REF!+#REF!</f>
        <v>#REF!</v>
      </c>
      <c r="H35" s="16" t="e">
        <f t="shared" si="1"/>
        <v>#REF!</v>
      </c>
      <c r="I35" s="30">
        <f t="shared" si="2"/>
        <v>30.908000000000001</v>
      </c>
      <c r="J35" s="31" t="e">
        <f t="shared" si="3"/>
        <v>#REF!</v>
      </c>
      <c r="K35" s="25" t="e">
        <f t="shared" si="16"/>
        <v>#REF!</v>
      </c>
      <c r="L35" s="25" t="e">
        <f t="shared" si="17"/>
        <v>#REF!</v>
      </c>
      <c r="M35" s="25" t="e">
        <f t="shared" si="18"/>
        <v>#REF!</v>
      </c>
      <c r="N35" s="25" t="e">
        <f t="shared" si="19"/>
        <v>#REF!</v>
      </c>
      <c r="O35" s="25" t="e">
        <f t="shared" si="20"/>
        <v>#REF!</v>
      </c>
      <c r="P35" s="25" t="e">
        <f t="shared" si="21"/>
        <v>#REF!</v>
      </c>
      <c r="Q35" s="25" t="e">
        <f t="shared" si="22"/>
        <v>#REF!</v>
      </c>
      <c r="R35" s="25" t="e">
        <f t="shared" si="23"/>
        <v>#REF!</v>
      </c>
      <c r="S35" s="25" t="e">
        <f t="shared" si="24"/>
        <v>#REF!</v>
      </c>
      <c r="T35" s="25" t="e">
        <f t="shared" si="25"/>
        <v>#REF!</v>
      </c>
      <c r="U35" s="25" t="e">
        <f t="shared" si="26"/>
        <v>#REF!</v>
      </c>
      <c r="V35" s="25" t="e">
        <f t="shared" si="27"/>
        <v>#REF!</v>
      </c>
    </row>
    <row r="36" spans="1:22" ht="14.25" customHeight="1" x14ac:dyDescent="0.35">
      <c r="A36" s="2" t="s">
        <v>224</v>
      </c>
      <c r="B36" s="13" t="s">
        <v>48</v>
      </c>
      <c r="C36" s="13">
        <v>11005</v>
      </c>
      <c r="D36" s="14">
        <v>19431</v>
      </c>
      <c r="E36" s="15" t="e">
        <f>#REF!+#REF!+#REF!+#REF!+#REF!+#REF!+#REF!+GreenMobility!L36+#REF!+#REF!+#REF!+Partago!L36+#REF!+#REF!+#REF!</f>
        <v>#REF!</v>
      </c>
      <c r="F36" s="16" t="e">
        <f t="shared" si="0"/>
        <v>#REF!</v>
      </c>
      <c r="G36" s="19" t="e">
        <f>#REF!+#REF!+#REF!+#REF!+#REF!+#REF!+#REF!+#REF!+#REF!+Moovee!A36+#REF!+#REF!+#REF!</f>
        <v>#REF!</v>
      </c>
      <c r="H36" s="16" t="e">
        <f t="shared" si="1"/>
        <v>#REF!</v>
      </c>
      <c r="I36" s="30">
        <f t="shared" si="2"/>
        <v>38.862000000000002</v>
      </c>
      <c r="J36" s="31" t="e">
        <f t="shared" si="3"/>
        <v>#REF!</v>
      </c>
      <c r="K36" s="25" t="e">
        <f t="shared" si="16"/>
        <v>#REF!</v>
      </c>
      <c r="L36" s="25" t="e">
        <f t="shared" si="17"/>
        <v>#REF!</v>
      </c>
      <c r="M36" s="25" t="e">
        <f t="shared" si="18"/>
        <v>#REF!</v>
      </c>
      <c r="N36" s="25" t="e">
        <f t="shared" si="19"/>
        <v>#REF!</v>
      </c>
      <c r="O36" s="25" t="e">
        <f t="shared" si="20"/>
        <v>#REF!</v>
      </c>
      <c r="P36" s="25" t="e">
        <f t="shared" si="21"/>
        <v>#REF!</v>
      </c>
      <c r="Q36" s="25" t="e">
        <f t="shared" si="22"/>
        <v>#REF!</v>
      </c>
      <c r="R36" s="25" t="e">
        <f t="shared" si="23"/>
        <v>#REF!</v>
      </c>
      <c r="S36" s="25" t="e">
        <f t="shared" si="24"/>
        <v>#REF!</v>
      </c>
      <c r="T36" s="25" t="e">
        <f t="shared" si="25"/>
        <v>#REF!</v>
      </c>
      <c r="U36" s="25" t="e">
        <f t="shared" si="26"/>
        <v>#REF!</v>
      </c>
      <c r="V36" s="25" t="e">
        <f t="shared" si="27"/>
        <v>#REF!</v>
      </c>
    </row>
    <row r="37" spans="1:22" ht="14.25" customHeight="1" x14ac:dyDescent="0.35">
      <c r="A37" s="2" t="s">
        <v>157</v>
      </c>
      <c r="B37" s="13" t="s">
        <v>52</v>
      </c>
      <c r="C37" s="13">
        <v>24014</v>
      </c>
      <c r="D37" s="14">
        <v>13348</v>
      </c>
      <c r="E37" s="15" t="e">
        <f>#REF!+#REF!+#REF!+#REF!+#REF!+#REF!+#REF!+GreenMobility!L37+#REF!+#REF!+#REF!+Partago!L37+#REF!+#REF!+#REF!</f>
        <v>#REF!</v>
      </c>
      <c r="F37" s="16" t="e">
        <f t="shared" si="0"/>
        <v>#REF!</v>
      </c>
      <c r="G37" s="19" t="e">
        <f>#REF!+#REF!+#REF!+#REF!+#REF!+#REF!+#REF!+#REF!+#REF!+Moovee!A37+#REF!+#REF!+#REF!</f>
        <v>#REF!</v>
      </c>
      <c r="H37" s="16" t="e">
        <f t="shared" si="1"/>
        <v>#REF!</v>
      </c>
      <c r="I37" s="30">
        <f t="shared" si="2"/>
        <v>26.696000000000002</v>
      </c>
      <c r="J37" s="31" t="e">
        <f t="shared" si="3"/>
        <v>#REF!</v>
      </c>
      <c r="K37" s="25" t="e">
        <f t="shared" si="16"/>
        <v>#REF!</v>
      </c>
      <c r="L37" s="25" t="e">
        <f t="shared" si="17"/>
        <v>#REF!</v>
      </c>
      <c r="M37" s="25" t="e">
        <f t="shared" si="18"/>
        <v>#REF!</v>
      </c>
      <c r="N37" s="25" t="e">
        <f t="shared" si="19"/>
        <v>#REF!</v>
      </c>
      <c r="O37" s="25" t="e">
        <f t="shared" si="20"/>
        <v>#REF!</v>
      </c>
      <c r="P37" s="25" t="e">
        <f t="shared" si="21"/>
        <v>#REF!</v>
      </c>
      <c r="Q37" s="25" t="e">
        <f t="shared" si="22"/>
        <v>#REF!</v>
      </c>
      <c r="R37" s="25" t="e">
        <f t="shared" si="23"/>
        <v>#REF!</v>
      </c>
      <c r="S37" s="25" t="e">
        <f t="shared" si="24"/>
        <v>#REF!</v>
      </c>
      <c r="T37" s="25" t="e">
        <f t="shared" si="25"/>
        <v>#REF!</v>
      </c>
      <c r="U37" s="25" t="e">
        <f t="shared" si="26"/>
        <v>#REF!</v>
      </c>
      <c r="V37" s="25" t="e">
        <f t="shared" si="27"/>
        <v>#REF!</v>
      </c>
    </row>
    <row r="38" spans="1:22" ht="14.25" customHeight="1" x14ac:dyDescent="0.35">
      <c r="A38" s="2" t="s">
        <v>339</v>
      </c>
      <c r="B38" s="13" t="s">
        <v>59</v>
      </c>
      <c r="C38" s="13">
        <v>73009</v>
      </c>
      <c r="D38" s="14">
        <v>11580</v>
      </c>
      <c r="E38" s="15" t="e">
        <f>#REF!+#REF!+#REF!+#REF!+#REF!+#REF!+#REF!+GreenMobility!L38+#REF!+#REF!+#REF!+Partago!L38+#REF!+#REF!+#REF!</f>
        <v>#REF!</v>
      </c>
      <c r="F38" s="16" t="e">
        <f t="shared" si="0"/>
        <v>#REF!</v>
      </c>
      <c r="G38" s="19" t="e">
        <f>#REF!+#REF!+#REF!+#REF!+#REF!+#REF!+#REF!+#REF!+#REF!+Moovee!A38+#REF!+#REF!+#REF!</f>
        <v>#REF!</v>
      </c>
      <c r="H38" s="16" t="e">
        <f t="shared" si="1"/>
        <v>#REF!</v>
      </c>
      <c r="I38" s="30">
        <f t="shared" si="2"/>
        <v>23.16</v>
      </c>
      <c r="J38" s="31" t="e">
        <f t="shared" si="3"/>
        <v>#REF!</v>
      </c>
      <c r="K38" s="25" t="e">
        <f t="shared" si="16"/>
        <v>#REF!</v>
      </c>
      <c r="L38" s="25" t="e">
        <f t="shared" si="17"/>
        <v>#REF!</v>
      </c>
      <c r="M38" s="25" t="e">
        <f t="shared" si="18"/>
        <v>#REF!</v>
      </c>
      <c r="N38" s="25" t="e">
        <f t="shared" si="19"/>
        <v>#REF!</v>
      </c>
      <c r="O38" s="25" t="e">
        <f t="shared" si="20"/>
        <v>#REF!</v>
      </c>
      <c r="P38" s="25" t="e">
        <f t="shared" si="21"/>
        <v>#REF!</v>
      </c>
      <c r="Q38" s="25" t="e">
        <f t="shared" si="22"/>
        <v>#REF!</v>
      </c>
      <c r="R38" s="25" t="e">
        <f t="shared" si="23"/>
        <v>#REF!</v>
      </c>
      <c r="S38" s="25" t="e">
        <f t="shared" si="24"/>
        <v>#REF!</v>
      </c>
      <c r="T38" s="25" t="e">
        <f t="shared" si="25"/>
        <v>#REF!</v>
      </c>
      <c r="U38" s="25" t="e">
        <f t="shared" si="26"/>
        <v>#REF!</v>
      </c>
      <c r="V38" s="25" t="e">
        <f t="shared" si="27"/>
        <v>#REF!</v>
      </c>
    </row>
    <row r="39" spans="1:22" ht="14.25" customHeight="1" x14ac:dyDescent="0.35">
      <c r="A39" s="2" t="s">
        <v>184</v>
      </c>
      <c r="B39" s="13" t="s">
        <v>48</v>
      </c>
      <c r="C39" s="13">
        <v>12007</v>
      </c>
      <c r="D39" s="14">
        <v>22076</v>
      </c>
      <c r="E39" s="15" t="e">
        <f>#REF!+#REF!+#REF!+#REF!+#REF!+#REF!+#REF!+GreenMobility!L39+#REF!+#REF!+#REF!+Partago!L39+#REF!+#REF!+#REF!</f>
        <v>#REF!</v>
      </c>
      <c r="F39" s="16" t="e">
        <f t="shared" si="0"/>
        <v>#REF!</v>
      </c>
      <c r="G39" s="19" t="e">
        <f>#REF!+#REF!+#REF!+#REF!+#REF!+#REF!+#REF!+#REF!+#REF!+Moovee!A39+#REF!+#REF!+#REF!</f>
        <v>#REF!</v>
      </c>
      <c r="H39" s="16" t="e">
        <f t="shared" si="1"/>
        <v>#REF!</v>
      </c>
      <c r="I39" s="30">
        <f t="shared" si="2"/>
        <v>44.152000000000001</v>
      </c>
      <c r="J39" s="31" t="e">
        <f t="shared" si="3"/>
        <v>#REF!</v>
      </c>
      <c r="K39" s="25" t="e">
        <f t="shared" si="16"/>
        <v>#REF!</v>
      </c>
      <c r="L39" s="25" t="e">
        <f t="shared" si="17"/>
        <v>#REF!</v>
      </c>
      <c r="M39" s="25" t="e">
        <f t="shared" si="18"/>
        <v>#REF!</v>
      </c>
      <c r="N39" s="25" t="e">
        <f t="shared" si="19"/>
        <v>#REF!</v>
      </c>
      <c r="O39" s="25" t="e">
        <f t="shared" si="20"/>
        <v>#REF!</v>
      </c>
      <c r="P39" s="25" t="e">
        <f t="shared" si="21"/>
        <v>#REF!</v>
      </c>
      <c r="Q39" s="25" t="e">
        <f t="shared" si="22"/>
        <v>#REF!</v>
      </c>
      <c r="R39" s="25" t="e">
        <f t="shared" si="23"/>
        <v>#REF!</v>
      </c>
      <c r="S39" s="25" t="e">
        <f t="shared" si="24"/>
        <v>#REF!</v>
      </c>
      <c r="T39" s="25" t="e">
        <f t="shared" si="25"/>
        <v>#REF!</v>
      </c>
      <c r="U39" s="25" t="e">
        <f t="shared" si="26"/>
        <v>#REF!</v>
      </c>
      <c r="V39" s="25" t="e">
        <f t="shared" si="27"/>
        <v>#REF!</v>
      </c>
    </row>
    <row r="40" spans="1:22" ht="14.25" customHeight="1" x14ac:dyDescent="0.35">
      <c r="A40" s="2" t="s">
        <v>340</v>
      </c>
      <c r="B40" s="13" t="s">
        <v>48</v>
      </c>
      <c r="C40" s="13">
        <v>11007</v>
      </c>
      <c r="D40" s="14">
        <v>11379</v>
      </c>
      <c r="E40" s="15" t="e">
        <f>#REF!+#REF!+#REF!+#REF!+#REF!+#REF!+#REF!+GreenMobility!L40+#REF!+#REF!+#REF!+Partago!L40+#REF!+#REF!+#REF!</f>
        <v>#REF!</v>
      </c>
      <c r="F40" s="16" t="e">
        <f t="shared" si="0"/>
        <v>#REF!</v>
      </c>
      <c r="G40" s="19" t="e">
        <f>#REF!+#REF!+#REF!+#REF!+#REF!+#REF!+#REF!+#REF!+#REF!+Moovee!A40+#REF!+#REF!+#REF!</f>
        <v>#REF!</v>
      </c>
      <c r="H40" s="16" t="e">
        <f t="shared" si="1"/>
        <v>#REF!</v>
      </c>
      <c r="I40" s="30">
        <f t="shared" si="2"/>
        <v>22.757999999999999</v>
      </c>
      <c r="J40" s="31" t="e">
        <f t="shared" si="3"/>
        <v>#REF!</v>
      </c>
      <c r="K40" s="25" t="e">
        <f t="shared" si="16"/>
        <v>#REF!</v>
      </c>
      <c r="L40" s="25" t="e">
        <f t="shared" si="17"/>
        <v>#REF!</v>
      </c>
      <c r="M40" s="25" t="e">
        <f t="shared" si="18"/>
        <v>#REF!</v>
      </c>
      <c r="N40" s="25" t="e">
        <f t="shared" si="19"/>
        <v>#REF!</v>
      </c>
      <c r="O40" s="25" t="e">
        <f t="shared" si="20"/>
        <v>#REF!</v>
      </c>
      <c r="P40" s="25" t="e">
        <f t="shared" si="21"/>
        <v>#REF!</v>
      </c>
      <c r="Q40" s="25" t="e">
        <f t="shared" si="22"/>
        <v>#REF!</v>
      </c>
      <c r="R40" s="25" t="e">
        <f t="shared" si="23"/>
        <v>#REF!</v>
      </c>
      <c r="S40" s="25" t="e">
        <f t="shared" si="24"/>
        <v>#REF!</v>
      </c>
      <c r="T40" s="25" t="e">
        <f t="shared" si="25"/>
        <v>#REF!</v>
      </c>
      <c r="U40" s="25" t="e">
        <f t="shared" si="26"/>
        <v>#REF!</v>
      </c>
      <c r="V40" s="25" t="e">
        <f t="shared" si="27"/>
        <v>#REF!</v>
      </c>
    </row>
    <row r="41" spans="1:22" ht="14.25" customHeight="1" x14ac:dyDescent="0.35">
      <c r="A41" s="2" t="s">
        <v>170</v>
      </c>
      <c r="B41" s="13" t="s">
        <v>52</v>
      </c>
      <c r="C41" s="13">
        <v>24016</v>
      </c>
      <c r="D41" s="14">
        <v>8634</v>
      </c>
      <c r="E41" s="15" t="e">
        <f>#REF!+#REF!+#REF!+#REF!+#REF!+#REF!+#REF!+GreenMobility!L41+#REF!+#REF!+#REF!+Partago!L41+#REF!+#REF!+#REF!</f>
        <v>#REF!</v>
      </c>
      <c r="F41" s="16" t="e">
        <f t="shared" si="0"/>
        <v>#REF!</v>
      </c>
      <c r="G41" s="19" t="e">
        <f>#REF!+#REF!+#REF!+#REF!+#REF!+#REF!+#REF!+#REF!+#REF!+Moovee!A41+#REF!+#REF!+#REF!</f>
        <v>#REF!</v>
      </c>
      <c r="H41" s="16" t="e">
        <f t="shared" si="1"/>
        <v>#REF!</v>
      </c>
      <c r="I41" s="30">
        <f t="shared" si="2"/>
        <v>17.268000000000001</v>
      </c>
      <c r="J41" s="31" t="e">
        <f t="shared" si="3"/>
        <v>#REF!</v>
      </c>
      <c r="K41" s="25" t="e">
        <f t="shared" si="16"/>
        <v>#REF!</v>
      </c>
      <c r="L41" s="25" t="e">
        <f t="shared" si="17"/>
        <v>#REF!</v>
      </c>
      <c r="M41" s="25" t="e">
        <f t="shared" si="18"/>
        <v>#REF!</v>
      </c>
      <c r="N41" s="25" t="e">
        <f t="shared" si="19"/>
        <v>#REF!</v>
      </c>
      <c r="O41" s="25" t="e">
        <f t="shared" si="20"/>
        <v>#REF!</v>
      </c>
      <c r="P41" s="25" t="e">
        <f t="shared" si="21"/>
        <v>#REF!</v>
      </c>
      <c r="Q41" s="25" t="e">
        <f t="shared" si="22"/>
        <v>#REF!</v>
      </c>
      <c r="R41" s="25" t="e">
        <f t="shared" si="23"/>
        <v>#REF!</v>
      </c>
      <c r="S41" s="25" t="e">
        <f t="shared" si="24"/>
        <v>#REF!</v>
      </c>
      <c r="T41" s="25" t="e">
        <f t="shared" si="25"/>
        <v>#REF!</v>
      </c>
      <c r="U41" s="25" t="e">
        <f t="shared" si="26"/>
        <v>#REF!</v>
      </c>
      <c r="V41" s="25" t="e">
        <f t="shared" si="27"/>
        <v>#REF!</v>
      </c>
    </row>
    <row r="42" spans="1:22" ht="14.25" customHeight="1" x14ac:dyDescent="0.35">
      <c r="A42" s="2" t="s">
        <v>275</v>
      </c>
      <c r="B42" s="13" t="s">
        <v>50</v>
      </c>
      <c r="C42" s="13">
        <v>45059</v>
      </c>
      <c r="D42" s="14">
        <v>15073</v>
      </c>
      <c r="E42" s="15" t="e">
        <f>#REF!+#REF!+#REF!+#REF!+#REF!+#REF!+#REF!+GreenMobility!L42+#REF!+#REF!+#REF!+Partago!L42+#REF!+#REF!+#REF!</f>
        <v>#REF!</v>
      </c>
      <c r="F42" s="16" t="e">
        <f t="shared" si="0"/>
        <v>#REF!</v>
      </c>
      <c r="G42" s="19" t="e">
        <f>#REF!+#REF!+#REF!+#REF!+#REF!+#REF!+#REF!+#REF!+#REF!+Moovee!A42+#REF!+#REF!+#REF!</f>
        <v>#REF!</v>
      </c>
      <c r="H42" s="16" t="e">
        <f t="shared" si="1"/>
        <v>#REF!</v>
      </c>
      <c r="I42" s="30">
        <f t="shared" si="2"/>
        <v>30.146000000000001</v>
      </c>
      <c r="J42" s="31" t="e">
        <f t="shared" si="3"/>
        <v>#REF!</v>
      </c>
      <c r="K42" s="25" t="e">
        <f t="shared" si="16"/>
        <v>#REF!</v>
      </c>
      <c r="L42" s="25" t="e">
        <f t="shared" si="17"/>
        <v>#REF!</v>
      </c>
      <c r="M42" s="25" t="e">
        <f t="shared" si="18"/>
        <v>#REF!</v>
      </c>
      <c r="N42" s="25" t="e">
        <f t="shared" si="19"/>
        <v>#REF!</v>
      </c>
      <c r="O42" s="25" t="e">
        <f t="shared" si="20"/>
        <v>#REF!</v>
      </c>
      <c r="P42" s="25" t="e">
        <f t="shared" si="21"/>
        <v>#REF!</v>
      </c>
      <c r="Q42" s="25" t="e">
        <f t="shared" si="22"/>
        <v>#REF!</v>
      </c>
      <c r="R42" s="25" t="e">
        <f t="shared" si="23"/>
        <v>#REF!</v>
      </c>
      <c r="S42" s="25" t="e">
        <f t="shared" si="24"/>
        <v>#REF!</v>
      </c>
      <c r="T42" s="25" t="e">
        <f t="shared" si="25"/>
        <v>#REF!</v>
      </c>
      <c r="U42" s="25" t="e">
        <f t="shared" si="26"/>
        <v>#REF!</v>
      </c>
      <c r="V42" s="25" t="e">
        <f t="shared" si="27"/>
        <v>#REF!</v>
      </c>
    </row>
    <row r="43" spans="1:22" ht="14.25" customHeight="1" x14ac:dyDescent="0.35">
      <c r="A43" s="2" t="s">
        <v>106</v>
      </c>
      <c r="B43" s="13" t="s">
        <v>48</v>
      </c>
      <c r="C43" s="13">
        <v>11008</v>
      </c>
      <c r="D43" s="14">
        <v>38470</v>
      </c>
      <c r="E43" s="15" t="e">
        <f>#REF!+#REF!+#REF!+#REF!+#REF!+#REF!+#REF!+GreenMobility!L43+#REF!+#REF!+#REF!+Partago!L43+#REF!+#REF!+#REF!</f>
        <v>#REF!</v>
      </c>
      <c r="F43" s="16" t="e">
        <f t="shared" si="0"/>
        <v>#REF!</v>
      </c>
      <c r="G43" s="19" t="e">
        <f>#REF!+#REF!+#REF!+#REF!+#REF!+#REF!+#REF!+#REF!+#REF!+Moovee!A43+#REF!+#REF!+#REF!</f>
        <v>#REF!</v>
      </c>
      <c r="H43" s="16" t="e">
        <f t="shared" si="1"/>
        <v>#REF!</v>
      </c>
      <c r="I43" s="30">
        <f t="shared" si="2"/>
        <v>76.94</v>
      </c>
      <c r="J43" s="31" t="e">
        <f t="shared" si="3"/>
        <v>#REF!</v>
      </c>
      <c r="K43" s="25" t="e">
        <f t="shared" si="16"/>
        <v>#REF!</v>
      </c>
      <c r="L43" s="25" t="e">
        <f t="shared" si="17"/>
        <v>#REF!</v>
      </c>
      <c r="M43" s="25" t="e">
        <f t="shared" si="18"/>
        <v>#REF!</v>
      </c>
      <c r="N43" s="25" t="e">
        <f t="shared" si="19"/>
        <v>#REF!</v>
      </c>
      <c r="O43" s="25" t="e">
        <f t="shared" si="20"/>
        <v>#REF!</v>
      </c>
      <c r="P43" s="25" t="e">
        <f t="shared" si="21"/>
        <v>#REF!</v>
      </c>
      <c r="Q43" s="25" t="e">
        <f t="shared" si="22"/>
        <v>#REF!</v>
      </c>
      <c r="R43" s="25" t="e">
        <f t="shared" si="23"/>
        <v>#REF!</v>
      </c>
      <c r="S43" s="25" t="e">
        <f t="shared" si="24"/>
        <v>#REF!</v>
      </c>
      <c r="T43" s="25" t="e">
        <f t="shared" si="25"/>
        <v>#REF!</v>
      </c>
      <c r="U43" s="25" t="e">
        <f t="shared" si="26"/>
        <v>#REF!</v>
      </c>
      <c r="V43" s="25" t="e">
        <f t="shared" si="27"/>
        <v>#REF!</v>
      </c>
    </row>
    <row r="44" spans="1:22" ht="14.25" customHeight="1" x14ac:dyDescent="0.35">
      <c r="A44" s="2" t="s">
        <v>294</v>
      </c>
      <c r="B44" s="13" t="s">
        <v>48</v>
      </c>
      <c r="C44" s="13">
        <v>11009</v>
      </c>
      <c r="D44" s="14">
        <v>30610</v>
      </c>
      <c r="E44" s="15" t="e">
        <f>#REF!+#REF!+#REF!+#REF!+#REF!+#REF!+#REF!+GreenMobility!L44+#REF!+#REF!+#REF!+Partago!L44+#REF!+#REF!+#REF!</f>
        <v>#REF!</v>
      </c>
      <c r="F44" s="16" t="e">
        <f t="shared" si="0"/>
        <v>#REF!</v>
      </c>
      <c r="G44" s="19" t="e">
        <f>#REF!+#REF!+#REF!+#REF!+#REF!+#REF!+#REF!+#REF!+#REF!+Moovee!A44+#REF!+#REF!+#REF!</f>
        <v>#REF!</v>
      </c>
      <c r="H44" s="16" t="e">
        <f t="shared" si="1"/>
        <v>#REF!</v>
      </c>
      <c r="I44" s="30">
        <f t="shared" si="2"/>
        <v>61.22</v>
      </c>
      <c r="J44" s="31" t="e">
        <f t="shared" si="3"/>
        <v>#REF!</v>
      </c>
      <c r="K44" s="25" t="e">
        <f t="shared" si="16"/>
        <v>#REF!</v>
      </c>
      <c r="L44" s="25" t="e">
        <f t="shared" si="17"/>
        <v>#REF!</v>
      </c>
      <c r="M44" s="25" t="e">
        <f t="shared" si="18"/>
        <v>#REF!</v>
      </c>
      <c r="N44" s="25" t="e">
        <f t="shared" si="19"/>
        <v>#REF!</v>
      </c>
      <c r="O44" s="25" t="e">
        <f t="shared" si="20"/>
        <v>#REF!</v>
      </c>
      <c r="P44" s="25" t="e">
        <f t="shared" si="21"/>
        <v>#REF!</v>
      </c>
      <c r="Q44" s="25" t="e">
        <f t="shared" si="22"/>
        <v>#REF!</v>
      </c>
      <c r="R44" s="25" t="e">
        <f t="shared" si="23"/>
        <v>#REF!</v>
      </c>
      <c r="S44" s="25" t="e">
        <f t="shared" si="24"/>
        <v>#REF!</v>
      </c>
      <c r="T44" s="25" t="e">
        <f t="shared" si="25"/>
        <v>#REF!</v>
      </c>
      <c r="U44" s="25" t="e">
        <f t="shared" si="26"/>
        <v>#REF!</v>
      </c>
      <c r="V44" s="25" t="e">
        <f t="shared" si="27"/>
        <v>#REF!</v>
      </c>
    </row>
    <row r="45" spans="1:22" ht="14.25" customHeight="1" x14ac:dyDescent="0.35">
      <c r="A45" s="2" t="s">
        <v>219</v>
      </c>
      <c r="B45" s="13" t="s">
        <v>55</v>
      </c>
      <c r="C45" s="13">
        <v>35002</v>
      </c>
      <c r="D45" s="14">
        <v>18180</v>
      </c>
      <c r="E45" s="15" t="e">
        <f>#REF!+#REF!+#REF!+#REF!+#REF!+#REF!+#REF!+GreenMobility!L45+#REF!+#REF!+#REF!+Partago!L45+#REF!+#REF!+#REF!</f>
        <v>#REF!</v>
      </c>
      <c r="F45" s="16" t="e">
        <f t="shared" si="0"/>
        <v>#REF!</v>
      </c>
      <c r="G45" s="19" t="e">
        <f>#REF!+#REF!+#REF!+#REF!+#REF!+#REF!+#REF!+#REF!+#REF!+Moovee!A45+#REF!+#REF!+#REF!</f>
        <v>#REF!</v>
      </c>
      <c r="H45" s="16" t="e">
        <f t="shared" si="1"/>
        <v>#REF!</v>
      </c>
      <c r="I45" s="30">
        <f t="shared" si="2"/>
        <v>36.36</v>
      </c>
      <c r="J45" s="31" t="e">
        <f t="shared" si="3"/>
        <v>#REF!</v>
      </c>
      <c r="K45" s="25" t="e">
        <f t="shared" si="16"/>
        <v>#REF!</v>
      </c>
      <c r="L45" s="25" t="e">
        <f t="shared" si="17"/>
        <v>#REF!</v>
      </c>
      <c r="M45" s="25" t="e">
        <f t="shared" si="18"/>
        <v>#REF!</v>
      </c>
      <c r="N45" s="25" t="e">
        <f t="shared" si="19"/>
        <v>#REF!</v>
      </c>
      <c r="O45" s="25" t="e">
        <f t="shared" si="20"/>
        <v>#REF!</v>
      </c>
      <c r="P45" s="25" t="e">
        <f t="shared" si="21"/>
        <v>#REF!</v>
      </c>
      <c r="Q45" s="25" t="e">
        <f t="shared" si="22"/>
        <v>#REF!</v>
      </c>
      <c r="R45" s="25" t="e">
        <f t="shared" si="23"/>
        <v>#REF!</v>
      </c>
      <c r="S45" s="25" t="e">
        <f t="shared" si="24"/>
        <v>#REF!</v>
      </c>
      <c r="T45" s="25" t="e">
        <f t="shared" si="25"/>
        <v>#REF!</v>
      </c>
      <c r="U45" s="25" t="e">
        <f t="shared" si="26"/>
        <v>#REF!</v>
      </c>
      <c r="V45" s="25" t="e">
        <f t="shared" si="27"/>
        <v>#REF!</v>
      </c>
    </row>
    <row r="46" spans="1:22" ht="14.25" customHeight="1" x14ac:dyDescent="0.35">
      <c r="A46" s="2" t="s">
        <v>227</v>
      </c>
      <c r="B46" s="13" t="s">
        <v>59</v>
      </c>
      <c r="C46" s="13">
        <v>72004</v>
      </c>
      <c r="D46" s="14">
        <v>16967</v>
      </c>
      <c r="E46" s="15" t="e">
        <f>#REF!+#REF!+#REF!+#REF!+#REF!+#REF!+#REF!+GreenMobility!L46+#REF!+#REF!+#REF!+Partago!L46+#REF!+#REF!+#REF!</f>
        <v>#REF!</v>
      </c>
      <c r="F46" s="16" t="e">
        <f t="shared" si="0"/>
        <v>#REF!</v>
      </c>
      <c r="G46" s="19" t="e">
        <f>#REF!+#REF!+#REF!+#REF!+#REF!+#REF!+#REF!+#REF!+#REF!+Moovee!A46+#REF!+#REF!+#REF!</f>
        <v>#REF!</v>
      </c>
      <c r="H46" s="16" t="e">
        <f t="shared" si="1"/>
        <v>#REF!</v>
      </c>
      <c r="I46" s="30">
        <f t="shared" si="2"/>
        <v>33.933999999999997</v>
      </c>
      <c r="J46" s="31" t="e">
        <f t="shared" si="3"/>
        <v>#REF!</v>
      </c>
      <c r="K46" s="25" t="e">
        <f t="shared" si="16"/>
        <v>#REF!</v>
      </c>
      <c r="L46" s="25" t="e">
        <f t="shared" si="17"/>
        <v>#REF!</v>
      </c>
      <c r="M46" s="25" t="e">
        <f t="shared" si="18"/>
        <v>#REF!</v>
      </c>
      <c r="N46" s="25" t="e">
        <f t="shared" si="19"/>
        <v>#REF!</v>
      </c>
      <c r="O46" s="25" t="e">
        <f t="shared" si="20"/>
        <v>#REF!</v>
      </c>
      <c r="P46" s="25" t="e">
        <f t="shared" si="21"/>
        <v>#REF!</v>
      </c>
      <c r="Q46" s="25" t="e">
        <f t="shared" si="22"/>
        <v>#REF!</v>
      </c>
      <c r="R46" s="25" t="e">
        <f t="shared" si="23"/>
        <v>#REF!</v>
      </c>
      <c r="S46" s="25" t="e">
        <f t="shared" si="24"/>
        <v>#REF!</v>
      </c>
      <c r="T46" s="25" t="e">
        <f t="shared" si="25"/>
        <v>#REF!</v>
      </c>
      <c r="U46" s="25" t="e">
        <f t="shared" si="26"/>
        <v>#REF!</v>
      </c>
      <c r="V46" s="25" t="e">
        <f t="shared" si="27"/>
        <v>#REF!</v>
      </c>
    </row>
    <row r="47" spans="1:22" ht="14.25" customHeight="1" x14ac:dyDescent="0.35">
      <c r="A47" s="2" t="s">
        <v>54</v>
      </c>
      <c r="B47" s="13" t="s">
        <v>55</v>
      </c>
      <c r="C47" s="13">
        <v>31005</v>
      </c>
      <c r="D47" s="14">
        <v>119869</v>
      </c>
      <c r="E47" s="15" t="e">
        <f>#REF!+#REF!+#REF!+#REF!+#REF!+#REF!+#REF!+GreenMobility!L47+#REF!+#REF!+#REF!+Partago!L47+#REF!+#REF!+#REF!</f>
        <v>#REF!</v>
      </c>
      <c r="F47" s="16" t="e">
        <f t="shared" si="0"/>
        <v>#REF!</v>
      </c>
      <c r="G47" s="19" t="e">
        <f>#REF!+#REF!+#REF!+#REF!+#REF!+#REF!+#REF!+#REF!+#REF!+Moovee!A47+#REF!+#REF!+#REF!</f>
        <v>#REF!</v>
      </c>
      <c r="H47" s="16" t="e">
        <f t="shared" si="1"/>
        <v>#REF!</v>
      </c>
      <c r="I47" s="30">
        <f t="shared" si="2"/>
        <v>239.738</v>
      </c>
      <c r="J47" s="31" t="e">
        <f t="shared" si="3"/>
        <v>#REF!</v>
      </c>
      <c r="K47" s="25" t="e">
        <f t="shared" si="16"/>
        <v>#REF!</v>
      </c>
      <c r="L47" s="25" t="e">
        <f t="shared" si="17"/>
        <v>#REF!</v>
      </c>
      <c r="M47" s="25" t="e">
        <f t="shared" si="18"/>
        <v>#REF!</v>
      </c>
      <c r="N47" s="25" t="e">
        <f t="shared" si="19"/>
        <v>#REF!</v>
      </c>
      <c r="O47" s="25" t="e">
        <f t="shared" si="20"/>
        <v>#REF!</v>
      </c>
      <c r="P47" s="25" t="e">
        <f t="shared" si="21"/>
        <v>#REF!</v>
      </c>
      <c r="Q47" s="25" t="e">
        <f t="shared" si="22"/>
        <v>#REF!</v>
      </c>
      <c r="R47" s="25" t="e">
        <f t="shared" si="23"/>
        <v>#REF!</v>
      </c>
      <c r="S47" s="25" t="e">
        <f t="shared" si="24"/>
        <v>#REF!</v>
      </c>
      <c r="T47" s="25" t="e">
        <f t="shared" si="25"/>
        <v>#REF!</v>
      </c>
      <c r="U47" s="25" t="e">
        <f t="shared" si="26"/>
        <v>#REF!</v>
      </c>
      <c r="V47" s="25" t="e">
        <f t="shared" si="27"/>
        <v>#REF!</v>
      </c>
    </row>
    <row r="48" spans="1:22" ht="14.25" customHeight="1" x14ac:dyDescent="0.35">
      <c r="A48" s="2" t="s">
        <v>274</v>
      </c>
      <c r="B48" s="13" t="s">
        <v>50</v>
      </c>
      <c r="C48" s="13">
        <v>42004</v>
      </c>
      <c r="D48" s="14">
        <v>14957</v>
      </c>
      <c r="E48" s="15" t="e">
        <f>#REF!+#REF!+#REF!+#REF!+#REF!+#REF!+#REF!+GreenMobility!L48+#REF!+#REF!+#REF!+Partago!L48+#REF!+#REF!+#REF!</f>
        <v>#REF!</v>
      </c>
      <c r="F48" s="16" t="e">
        <f t="shared" si="0"/>
        <v>#REF!</v>
      </c>
      <c r="G48" s="19" t="e">
        <f>#REF!+#REF!+#REF!+#REF!+#REF!+#REF!+#REF!+#REF!+#REF!+Moovee!A48+#REF!+#REF!+#REF!</f>
        <v>#REF!</v>
      </c>
      <c r="H48" s="16" t="e">
        <f t="shared" si="1"/>
        <v>#REF!</v>
      </c>
      <c r="I48" s="30">
        <f t="shared" si="2"/>
        <v>29.914000000000001</v>
      </c>
      <c r="J48" s="31" t="e">
        <f t="shared" si="3"/>
        <v>#REF!</v>
      </c>
      <c r="K48" s="25" t="e">
        <f t="shared" si="16"/>
        <v>#REF!</v>
      </c>
      <c r="L48" s="25" t="e">
        <f t="shared" si="17"/>
        <v>#REF!</v>
      </c>
      <c r="M48" s="25" t="e">
        <f t="shared" si="18"/>
        <v>#REF!</v>
      </c>
      <c r="N48" s="25" t="e">
        <f t="shared" si="19"/>
        <v>#REF!</v>
      </c>
      <c r="O48" s="25" t="e">
        <f t="shared" si="20"/>
        <v>#REF!</v>
      </c>
      <c r="P48" s="25" t="e">
        <f t="shared" si="21"/>
        <v>#REF!</v>
      </c>
      <c r="Q48" s="25" t="e">
        <f t="shared" si="22"/>
        <v>#REF!</v>
      </c>
      <c r="R48" s="25" t="e">
        <f t="shared" si="23"/>
        <v>#REF!</v>
      </c>
      <c r="S48" s="25" t="e">
        <f t="shared" si="24"/>
        <v>#REF!</v>
      </c>
      <c r="T48" s="25" t="e">
        <f t="shared" si="25"/>
        <v>#REF!</v>
      </c>
      <c r="U48" s="25" t="e">
        <f t="shared" si="26"/>
        <v>#REF!</v>
      </c>
      <c r="V48" s="25" t="e">
        <f t="shared" si="27"/>
        <v>#REF!</v>
      </c>
    </row>
    <row r="49" spans="1:22" ht="14.25" customHeight="1" x14ac:dyDescent="0.35">
      <c r="A49" s="2" t="s">
        <v>96</v>
      </c>
      <c r="B49" s="13" t="s">
        <v>55</v>
      </c>
      <c r="C49" s="13">
        <v>31006</v>
      </c>
      <c r="D49" s="14">
        <v>11207</v>
      </c>
      <c r="E49" s="15" t="e">
        <f>#REF!+#REF!+#REF!+#REF!+#REF!+#REF!+#REF!+GreenMobility!L49+#REF!+#REF!+#REF!+Partago!L49+#REF!+#REF!+#REF!</f>
        <v>#REF!</v>
      </c>
      <c r="F49" s="16" t="e">
        <f t="shared" si="0"/>
        <v>#REF!</v>
      </c>
      <c r="G49" s="19" t="e">
        <f>#REF!+#REF!+#REF!+#REF!+#REF!+#REF!+#REF!+#REF!+#REF!+Moovee!A49+#REF!+#REF!+#REF!</f>
        <v>#REF!</v>
      </c>
      <c r="H49" s="16" t="e">
        <f t="shared" si="1"/>
        <v>#REF!</v>
      </c>
      <c r="I49" s="30">
        <f t="shared" si="2"/>
        <v>22.414000000000001</v>
      </c>
      <c r="J49" s="31" t="e">
        <f t="shared" si="3"/>
        <v>#REF!</v>
      </c>
      <c r="K49" s="25" t="e">
        <f t="shared" si="16"/>
        <v>#REF!</v>
      </c>
      <c r="L49" s="25" t="e">
        <f t="shared" si="17"/>
        <v>#REF!</v>
      </c>
      <c r="M49" s="25" t="e">
        <f t="shared" si="18"/>
        <v>#REF!</v>
      </c>
      <c r="N49" s="25" t="e">
        <f t="shared" si="19"/>
        <v>#REF!</v>
      </c>
      <c r="O49" s="25" t="e">
        <f t="shared" si="20"/>
        <v>#REF!</v>
      </c>
      <c r="P49" s="25" t="e">
        <f t="shared" si="21"/>
        <v>#REF!</v>
      </c>
      <c r="Q49" s="25" t="e">
        <f t="shared" si="22"/>
        <v>#REF!</v>
      </c>
      <c r="R49" s="25" t="e">
        <f t="shared" si="23"/>
        <v>#REF!</v>
      </c>
      <c r="S49" s="25" t="e">
        <f t="shared" si="24"/>
        <v>#REF!</v>
      </c>
      <c r="T49" s="25" t="e">
        <f t="shared" si="25"/>
        <v>#REF!</v>
      </c>
      <c r="U49" s="25" t="e">
        <f t="shared" si="26"/>
        <v>#REF!</v>
      </c>
      <c r="V49" s="25" t="e">
        <f t="shared" si="27"/>
        <v>#REF!</v>
      </c>
    </row>
    <row r="50" spans="1:22" ht="14.25" customHeight="1" x14ac:dyDescent="0.35">
      <c r="A50" s="2" t="s">
        <v>268</v>
      </c>
      <c r="B50" s="13" t="s">
        <v>55</v>
      </c>
      <c r="C50" s="13">
        <v>35029</v>
      </c>
      <c r="D50" s="14">
        <v>12718</v>
      </c>
      <c r="E50" s="15" t="e">
        <f>#REF!+#REF!+#REF!+#REF!+#REF!+#REF!+#REF!+GreenMobility!L50+#REF!+#REF!+#REF!+Partago!L50+#REF!+#REF!+#REF!</f>
        <v>#REF!</v>
      </c>
      <c r="F50" s="16" t="e">
        <f t="shared" si="0"/>
        <v>#REF!</v>
      </c>
      <c r="G50" s="19" t="e">
        <f>#REF!+#REF!+#REF!+#REF!+#REF!+#REF!+#REF!+#REF!+#REF!+Moovee!A50+#REF!+#REF!+#REF!</f>
        <v>#REF!</v>
      </c>
      <c r="H50" s="16" t="e">
        <f t="shared" si="1"/>
        <v>#REF!</v>
      </c>
      <c r="I50" s="30">
        <f t="shared" si="2"/>
        <v>25.436</v>
      </c>
      <c r="J50" s="31" t="e">
        <f t="shared" si="3"/>
        <v>#REF!</v>
      </c>
      <c r="K50" s="25" t="e">
        <f t="shared" si="16"/>
        <v>#REF!</v>
      </c>
      <c r="L50" s="25" t="e">
        <f t="shared" si="17"/>
        <v>#REF!</v>
      </c>
      <c r="M50" s="25" t="e">
        <f t="shared" si="18"/>
        <v>#REF!</v>
      </c>
      <c r="N50" s="25" t="e">
        <f t="shared" si="19"/>
        <v>#REF!</v>
      </c>
      <c r="O50" s="25" t="e">
        <f t="shared" si="20"/>
        <v>#REF!</v>
      </c>
      <c r="P50" s="25" t="e">
        <f t="shared" si="21"/>
        <v>#REF!</v>
      </c>
      <c r="Q50" s="25" t="e">
        <f t="shared" si="22"/>
        <v>#REF!</v>
      </c>
      <c r="R50" s="25" t="e">
        <f t="shared" si="23"/>
        <v>#REF!</v>
      </c>
      <c r="S50" s="25" t="e">
        <f t="shared" si="24"/>
        <v>#REF!</v>
      </c>
      <c r="T50" s="25" t="e">
        <f t="shared" si="25"/>
        <v>#REF!</v>
      </c>
      <c r="U50" s="25" t="e">
        <f t="shared" si="26"/>
        <v>#REF!</v>
      </c>
      <c r="V50" s="25" t="e">
        <f t="shared" si="27"/>
        <v>#REF!</v>
      </c>
    </row>
    <row r="51" spans="1:22" ht="14.25" customHeight="1" x14ac:dyDescent="0.35">
      <c r="A51" s="2" t="s">
        <v>135</v>
      </c>
      <c r="B51" s="13" t="s">
        <v>55</v>
      </c>
      <c r="C51" s="13">
        <v>38008</v>
      </c>
      <c r="D51" s="14">
        <v>11021</v>
      </c>
      <c r="E51" s="15" t="e">
        <f>#REF!+#REF!+#REF!+#REF!+#REF!+#REF!+#REF!+GreenMobility!L51+#REF!+#REF!+#REF!+Partago!L51+#REF!+#REF!+#REF!</f>
        <v>#REF!</v>
      </c>
      <c r="F51" s="16" t="e">
        <f t="shared" si="0"/>
        <v>#REF!</v>
      </c>
      <c r="G51" s="19" t="e">
        <f>#REF!+#REF!+#REF!+#REF!+#REF!+#REF!+#REF!+#REF!+#REF!+Moovee!A51+#REF!+#REF!+#REF!</f>
        <v>#REF!</v>
      </c>
      <c r="H51" s="16" t="e">
        <f t="shared" si="1"/>
        <v>#REF!</v>
      </c>
      <c r="I51" s="30">
        <f t="shared" si="2"/>
        <v>22.042000000000002</v>
      </c>
      <c r="J51" s="31" t="e">
        <f t="shared" si="3"/>
        <v>#REF!</v>
      </c>
      <c r="K51" s="25" t="e">
        <f t="shared" si="16"/>
        <v>#REF!</v>
      </c>
      <c r="L51" s="25" t="e">
        <f t="shared" si="17"/>
        <v>#REF!</v>
      </c>
      <c r="M51" s="25" t="e">
        <f t="shared" si="18"/>
        <v>#REF!</v>
      </c>
      <c r="N51" s="25" t="e">
        <f t="shared" si="19"/>
        <v>#REF!</v>
      </c>
      <c r="O51" s="25" t="e">
        <f t="shared" si="20"/>
        <v>#REF!</v>
      </c>
      <c r="P51" s="25" t="e">
        <f t="shared" si="21"/>
        <v>#REF!</v>
      </c>
      <c r="Q51" s="25" t="e">
        <f t="shared" si="22"/>
        <v>#REF!</v>
      </c>
      <c r="R51" s="25" t="e">
        <f t="shared" si="23"/>
        <v>#REF!</v>
      </c>
      <c r="S51" s="25" t="e">
        <f t="shared" si="24"/>
        <v>#REF!</v>
      </c>
      <c r="T51" s="25" t="e">
        <f t="shared" si="25"/>
        <v>#REF!</v>
      </c>
      <c r="U51" s="25" t="e">
        <f t="shared" si="26"/>
        <v>#REF!</v>
      </c>
      <c r="V51" s="25" t="e">
        <f t="shared" si="27"/>
        <v>#REF!</v>
      </c>
    </row>
    <row r="52" spans="1:22" ht="14.25" customHeight="1" x14ac:dyDescent="0.35">
      <c r="A52" s="2" t="s">
        <v>341</v>
      </c>
      <c r="B52" s="13" t="s">
        <v>50</v>
      </c>
      <c r="C52" s="13">
        <v>44012</v>
      </c>
      <c r="D52" s="14">
        <v>11091</v>
      </c>
      <c r="E52" s="15" t="e">
        <f>#REF!+#REF!+#REF!+#REF!+#REF!+#REF!+#REF!+GreenMobility!L52+#REF!+#REF!+#REF!+Partago!L52+#REF!+#REF!+#REF!</f>
        <v>#REF!</v>
      </c>
      <c r="F52" s="16" t="e">
        <f t="shared" si="0"/>
        <v>#REF!</v>
      </c>
      <c r="G52" s="19" t="e">
        <f>#REF!+#REF!+#REF!+#REF!+#REF!+#REF!+#REF!+#REF!+#REF!+Moovee!A52+#REF!+#REF!+#REF!</f>
        <v>#REF!</v>
      </c>
      <c r="H52" s="16" t="e">
        <f t="shared" si="1"/>
        <v>#REF!</v>
      </c>
      <c r="I52" s="30">
        <f t="shared" si="2"/>
        <v>22.181999999999999</v>
      </c>
      <c r="J52" s="31" t="e">
        <f t="shared" si="3"/>
        <v>#REF!</v>
      </c>
      <c r="K52" s="25" t="e">
        <f t="shared" si="16"/>
        <v>#REF!</v>
      </c>
      <c r="L52" s="25" t="e">
        <f t="shared" si="17"/>
        <v>#REF!</v>
      </c>
      <c r="M52" s="25" t="e">
        <f t="shared" si="18"/>
        <v>#REF!</v>
      </c>
      <c r="N52" s="25" t="e">
        <f t="shared" si="19"/>
        <v>#REF!</v>
      </c>
      <c r="O52" s="25" t="e">
        <f t="shared" si="20"/>
        <v>#REF!</v>
      </c>
      <c r="P52" s="25" t="e">
        <f t="shared" si="21"/>
        <v>#REF!</v>
      </c>
      <c r="Q52" s="25" t="e">
        <f t="shared" si="22"/>
        <v>#REF!</v>
      </c>
      <c r="R52" s="25" t="e">
        <f t="shared" si="23"/>
        <v>#REF!</v>
      </c>
      <c r="S52" s="25" t="e">
        <f t="shared" si="24"/>
        <v>#REF!</v>
      </c>
      <c r="T52" s="25" t="e">
        <f t="shared" si="25"/>
        <v>#REF!</v>
      </c>
      <c r="U52" s="25" t="e">
        <f t="shared" si="26"/>
        <v>#REF!</v>
      </c>
      <c r="V52" s="25" t="e">
        <f t="shared" si="27"/>
        <v>#REF!</v>
      </c>
    </row>
    <row r="53" spans="1:22" ht="14.25" customHeight="1" x14ac:dyDescent="0.35">
      <c r="A53" s="2" t="s">
        <v>156</v>
      </c>
      <c r="B53" s="13" t="s">
        <v>55</v>
      </c>
      <c r="C53" s="13">
        <v>34009</v>
      </c>
      <c r="D53" s="14">
        <v>12670</v>
      </c>
      <c r="E53" s="15" t="e">
        <f>#REF!+#REF!+#REF!+#REF!+#REF!+#REF!+#REF!+GreenMobility!L53+#REF!+#REF!+#REF!+Partago!L53+#REF!+#REF!+#REF!</f>
        <v>#REF!</v>
      </c>
      <c r="F53" s="16" t="e">
        <f t="shared" si="0"/>
        <v>#REF!</v>
      </c>
      <c r="G53" s="19" t="e">
        <f>#REF!+#REF!+#REF!+#REF!+#REF!+#REF!+#REF!+#REF!+#REF!+Moovee!A53+#REF!+#REF!+#REF!</f>
        <v>#REF!</v>
      </c>
      <c r="H53" s="16" t="e">
        <f t="shared" si="1"/>
        <v>#REF!</v>
      </c>
      <c r="I53" s="30">
        <f t="shared" si="2"/>
        <v>25.34</v>
      </c>
      <c r="J53" s="31" t="e">
        <f t="shared" si="3"/>
        <v>#REF!</v>
      </c>
      <c r="K53" s="25" t="e">
        <f t="shared" si="16"/>
        <v>#REF!</v>
      </c>
      <c r="L53" s="25" t="e">
        <f t="shared" si="17"/>
        <v>#REF!</v>
      </c>
      <c r="M53" s="25" t="e">
        <f t="shared" si="18"/>
        <v>#REF!</v>
      </c>
      <c r="N53" s="25" t="e">
        <f t="shared" si="19"/>
        <v>#REF!</v>
      </c>
      <c r="O53" s="25" t="e">
        <f t="shared" si="20"/>
        <v>#REF!</v>
      </c>
      <c r="P53" s="25" t="e">
        <f t="shared" si="21"/>
        <v>#REF!</v>
      </c>
      <c r="Q53" s="25" t="e">
        <f t="shared" si="22"/>
        <v>#REF!</v>
      </c>
      <c r="R53" s="25" t="e">
        <f t="shared" si="23"/>
        <v>#REF!</v>
      </c>
      <c r="S53" s="25" t="e">
        <f t="shared" si="24"/>
        <v>#REF!</v>
      </c>
      <c r="T53" s="25" t="e">
        <f t="shared" si="25"/>
        <v>#REF!</v>
      </c>
      <c r="U53" s="25" t="e">
        <f t="shared" si="26"/>
        <v>#REF!</v>
      </c>
      <c r="V53" s="25" t="e">
        <f t="shared" si="27"/>
        <v>#REF!</v>
      </c>
    </row>
    <row r="54" spans="1:22" ht="14.25" customHeight="1" x14ac:dyDescent="0.35">
      <c r="A54" s="2" t="s">
        <v>62</v>
      </c>
      <c r="B54" s="13" t="s">
        <v>50</v>
      </c>
      <c r="C54" s="13">
        <v>44083</v>
      </c>
      <c r="D54" s="14">
        <v>45471</v>
      </c>
      <c r="E54" s="15" t="e">
        <f>#REF!+#REF!+#REF!+#REF!+#REF!+#REF!+#REF!+GreenMobility!L54+#REF!+#REF!+#REF!+Partago!L54+#REF!+#REF!+#REF!</f>
        <v>#REF!</v>
      </c>
      <c r="F54" s="16" t="e">
        <f t="shared" si="0"/>
        <v>#REF!</v>
      </c>
      <c r="G54" s="19" t="e">
        <f>#REF!+#REF!+#REF!+#REF!+#REF!+#REF!+#REF!+#REF!+#REF!+Moovee!A54+#REF!+#REF!+#REF!</f>
        <v>#REF!</v>
      </c>
      <c r="H54" s="16" t="e">
        <f t="shared" si="1"/>
        <v>#REF!</v>
      </c>
      <c r="I54" s="30">
        <f t="shared" si="2"/>
        <v>90.941999999999993</v>
      </c>
      <c r="J54" s="31" t="e">
        <f t="shared" si="3"/>
        <v>#REF!</v>
      </c>
      <c r="K54" s="25" t="e">
        <f t="shared" si="16"/>
        <v>#REF!</v>
      </c>
      <c r="L54" s="25" t="e">
        <f t="shared" si="17"/>
        <v>#REF!</v>
      </c>
      <c r="M54" s="25" t="e">
        <f t="shared" si="18"/>
        <v>#REF!</v>
      </c>
      <c r="N54" s="25" t="e">
        <f t="shared" si="19"/>
        <v>#REF!</v>
      </c>
      <c r="O54" s="25" t="e">
        <f t="shared" si="20"/>
        <v>#REF!</v>
      </c>
      <c r="P54" s="25" t="e">
        <f t="shared" si="21"/>
        <v>#REF!</v>
      </c>
      <c r="Q54" s="25" t="e">
        <f t="shared" si="22"/>
        <v>#REF!</v>
      </c>
      <c r="R54" s="25" t="e">
        <f t="shared" si="23"/>
        <v>#REF!</v>
      </c>
      <c r="S54" s="25" t="e">
        <f t="shared" si="24"/>
        <v>#REF!</v>
      </c>
      <c r="T54" s="25" t="e">
        <f t="shared" si="25"/>
        <v>#REF!</v>
      </c>
      <c r="U54" s="25" t="e">
        <f t="shared" si="26"/>
        <v>#REF!</v>
      </c>
      <c r="V54" s="25" t="e">
        <f t="shared" si="27"/>
        <v>#REF!</v>
      </c>
    </row>
    <row r="55" spans="1:22" ht="14.25" customHeight="1" x14ac:dyDescent="0.35">
      <c r="A55" s="2" t="s">
        <v>182</v>
      </c>
      <c r="B55" s="13" t="s">
        <v>50</v>
      </c>
      <c r="C55" s="13">
        <v>41011</v>
      </c>
      <c r="D55" s="14">
        <v>21056</v>
      </c>
      <c r="E55" s="15" t="e">
        <f>#REF!+#REF!+#REF!+#REF!+#REF!+#REF!+#REF!+GreenMobility!L55+#REF!+#REF!+#REF!+Partago!L55+#REF!+#REF!+#REF!</f>
        <v>#REF!</v>
      </c>
      <c r="F55" s="16" t="e">
        <f t="shared" si="0"/>
        <v>#REF!</v>
      </c>
      <c r="G55" s="19" t="e">
        <f>#REF!+#REF!+#REF!+#REF!+#REF!+#REF!+#REF!+#REF!+#REF!+Moovee!A55+#REF!+#REF!+#REF!</f>
        <v>#REF!</v>
      </c>
      <c r="H55" s="16" t="e">
        <f t="shared" si="1"/>
        <v>#REF!</v>
      </c>
      <c r="I55" s="30">
        <f t="shared" si="2"/>
        <v>42.112000000000002</v>
      </c>
      <c r="J55" s="31" t="e">
        <f t="shared" si="3"/>
        <v>#REF!</v>
      </c>
      <c r="K55" s="25" t="e">
        <f t="shared" si="16"/>
        <v>#REF!</v>
      </c>
      <c r="L55" s="25" t="e">
        <f t="shared" si="17"/>
        <v>#REF!</v>
      </c>
      <c r="M55" s="25" t="e">
        <f t="shared" si="18"/>
        <v>#REF!</v>
      </c>
      <c r="N55" s="25" t="e">
        <f t="shared" si="19"/>
        <v>#REF!</v>
      </c>
      <c r="O55" s="25" t="e">
        <f t="shared" si="20"/>
        <v>#REF!</v>
      </c>
      <c r="P55" s="25" t="e">
        <f t="shared" si="21"/>
        <v>#REF!</v>
      </c>
      <c r="Q55" s="25" t="e">
        <f t="shared" si="22"/>
        <v>#REF!</v>
      </c>
      <c r="R55" s="25" t="e">
        <f t="shared" si="23"/>
        <v>#REF!</v>
      </c>
      <c r="S55" s="25" t="e">
        <f t="shared" si="24"/>
        <v>#REF!</v>
      </c>
      <c r="T55" s="25" t="e">
        <f t="shared" si="25"/>
        <v>#REF!</v>
      </c>
      <c r="U55" s="25" t="e">
        <f t="shared" si="26"/>
        <v>#REF!</v>
      </c>
      <c r="V55" s="25" t="e">
        <f t="shared" si="27"/>
        <v>#REF!</v>
      </c>
    </row>
    <row r="56" spans="1:22" ht="14.25" customHeight="1" x14ac:dyDescent="0.35">
      <c r="A56" s="2" t="s">
        <v>80</v>
      </c>
      <c r="B56" s="13" t="s">
        <v>50</v>
      </c>
      <c r="C56" s="13">
        <v>42006</v>
      </c>
      <c r="D56" s="14">
        <v>47185</v>
      </c>
      <c r="E56" s="15" t="e">
        <f>#REF!+#REF!+#REF!+#REF!+#REF!+#REF!+#REF!+GreenMobility!L56+#REF!+#REF!+#REF!+Partago!L56+#REF!+#REF!+#REF!</f>
        <v>#REF!</v>
      </c>
      <c r="F56" s="16" t="e">
        <f t="shared" si="0"/>
        <v>#REF!</v>
      </c>
      <c r="G56" s="19" t="e">
        <f>#REF!+#REF!+#REF!+#REF!+#REF!+#REF!+#REF!+#REF!+#REF!+Moovee!A56+#REF!+#REF!+#REF!</f>
        <v>#REF!</v>
      </c>
      <c r="H56" s="16" t="e">
        <f t="shared" si="1"/>
        <v>#REF!</v>
      </c>
      <c r="I56" s="30">
        <f t="shared" si="2"/>
        <v>94.37</v>
      </c>
      <c r="J56" s="31" t="e">
        <f t="shared" si="3"/>
        <v>#REF!</v>
      </c>
      <c r="K56" s="25" t="e">
        <f t="shared" si="16"/>
        <v>#REF!</v>
      </c>
      <c r="L56" s="25" t="e">
        <f t="shared" si="17"/>
        <v>#REF!</v>
      </c>
      <c r="M56" s="25" t="e">
        <f t="shared" si="18"/>
        <v>#REF!</v>
      </c>
      <c r="N56" s="25" t="e">
        <f t="shared" si="19"/>
        <v>#REF!</v>
      </c>
      <c r="O56" s="25" t="e">
        <f t="shared" si="20"/>
        <v>#REF!</v>
      </c>
      <c r="P56" s="25" t="e">
        <f t="shared" si="21"/>
        <v>#REF!</v>
      </c>
      <c r="Q56" s="25" t="e">
        <f t="shared" si="22"/>
        <v>#REF!</v>
      </c>
      <c r="R56" s="25" t="e">
        <f t="shared" si="23"/>
        <v>#REF!</v>
      </c>
      <c r="S56" s="25" t="e">
        <f t="shared" si="24"/>
        <v>#REF!</v>
      </c>
      <c r="T56" s="25" t="e">
        <f t="shared" si="25"/>
        <v>#REF!</v>
      </c>
      <c r="U56" s="25" t="e">
        <f t="shared" si="26"/>
        <v>#REF!</v>
      </c>
      <c r="V56" s="25" t="e">
        <f t="shared" si="27"/>
        <v>#REF!</v>
      </c>
    </row>
    <row r="57" spans="1:22" ht="14.25" customHeight="1" x14ac:dyDescent="0.35">
      <c r="A57" s="2" t="s">
        <v>168</v>
      </c>
      <c r="B57" s="13" t="s">
        <v>55</v>
      </c>
      <c r="C57" s="13">
        <v>37002</v>
      </c>
      <c r="D57" s="14">
        <v>8722</v>
      </c>
      <c r="E57" s="15" t="e">
        <f>#REF!+#REF!+#REF!+#REF!+#REF!+#REF!+#REF!+GreenMobility!L57+#REF!+#REF!+#REF!+Partago!L57+#REF!+#REF!+#REF!</f>
        <v>#REF!</v>
      </c>
      <c r="F57" s="16" t="e">
        <f t="shared" si="0"/>
        <v>#REF!</v>
      </c>
      <c r="G57" s="19" t="e">
        <f>#REF!+#REF!+#REF!+#REF!+#REF!+#REF!+#REF!+#REF!+#REF!+Moovee!A57+#REF!+#REF!+#REF!</f>
        <v>#REF!</v>
      </c>
      <c r="H57" s="16" t="e">
        <f t="shared" si="1"/>
        <v>#REF!</v>
      </c>
      <c r="I57" s="30">
        <f t="shared" si="2"/>
        <v>17.443999999999999</v>
      </c>
      <c r="J57" s="31" t="e">
        <f t="shared" si="3"/>
        <v>#REF!</v>
      </c>
      <c r="K57" s="25" t="e">
        <f t="shared" si="16"/>
        <v>#REF!</v>
      </c>
      <c r="L57" s="25" t="e">
        <f t="shared" si="17"/>
        <v>#REF!</v>
      </c>
      <c r="M57" s="25" t="e">
        <f t="shared" si="18"/>
        <v>#REF!</v>
      </c>
      <c r="N57" s="25" t="e">
        <f t="shared" si="19"/>
        <v>#REF!</v>
      </c>
      <c r="O57" s="25" t="e">
        <f t="shared" si="20"/>
        <v>#REF!</v>
      </c>
      <c r="P57" s="25" t="e">
        <f t="shared" si="21"/>
        <v>#REF!</v>
      </c>
      <c r="Q57" s="25" t="e">
        <f t="shared" si="22"/>
        <v>#REF!</v>
      </c>
      <c r="R57" s="25" t="e">
        <f t="shared" si="23"/>
        <v>#REF!</v>
      </c>
      <c r="S57" s="25" t="e">
        <f t="shared" si="24"/>
        <v>#REF!</v>
      </c>
      <c r="T57" s="25" t="e">
        <f t="shared" si="25"/>
        <v>#REF!</v>
      </c>
      <c r="U57" s="25" t="e">
        <f t="shared" si="26"/>
        <v>#REF!</v>
      </c>
      <c r="V57" s="25" t="e">
        <f t="shared" si="27"/>
        <v>#REF!</v>
      </c>
    </row>
    <row r="58" spans="1:22" ht="14.25" customHeight="1" x14ac:dyDescent="0.35">
      <c r="A58" s="2" t="s">
        <v>301</v>
      </c>
      <c r="B58" s="13" t="s">
        <v>48</v>
      </c>
      <c r="C58" s="13">
        <v>13006</v>
      </c>
      <c r="D58" s="14">
        <v>9892</v>
      </c>
      <c r="E58" s="15" t="e">
        <f>#REF!+#REF!+#REF!+#REF!+#REF!+#REF!+#REF!+GreenMobility!L58+#REF!+#REF!+#REF!+Partago!L58+#REF!+#REF!+#REF!</f>
        <v>#REF!</v>
      </c>
      <c r="F58" s="16" t="e">
        <f t="shared" si="0"/>
        <v>#REF!</v>
      </c>
      <c r="G58" s="19" t="e">
        <f>#REF!+#REF!+#REF!+#REF!+#REF!+#REF!+#REF!+#REF!+#REF!+Moovee!A58+#REF!+#REF!+#REF!</f>
        <v>#REF!</v>
      </c>
      <c r="H58" s="16" t="e">
        <f t="shared" si="1"/>
        <v>#REF!</v>
      </c>
      <c r="I58" s="30">
        <f t="shared" si="2"/>
        <v>19.783999999999999</v>
      </c>
      <c r="J58" s="31" t="e">
        <f t="shared" si="3"/>
        <v>#REF!</v>
      </c>
      <c r="K58" s="25" t="e">
        <f t="shared" si="16"/>
        <v>#REF!</v>
      </c>
      <c r="L58" s="25" t="e">
        <f t="shared" si="17"/>
        <v>#REF!</v>
      </c>
      <c r="M58" s="25" t="e">
        <f t="shared" si="18"/>
        <v>#REF!</v>
      </c>
      <c r="N58" s="25" t="e">
        <f t="shared" si="19"/>
        <v>#REF!</v>
      </c>
      <c r="O58" s="25" t="e">
        <f t="shared" si="20"/>
        <v>#REF!</v>
      </c>
      <c r="P58" s="25" t="e">
        <f t="shared" si="21"/>
        <v>#REF!</v>
      </c>
      <c r="Q58" s="25" t="e">
        <f t="shared" si="22"/>
        <v>#REF!</v>
      </c>
      <c r="R58" s="25" t="e">
        <f t="shared" si="23"/>
        <v>#REF!</v>
      </c>
      <c r="S58" s="25" t="e">
        <f t="shared" si="24"/>
        <v>#REF!</v>
      </c>
      <c r="T58" s="25" t="e">
        <f t="shared" si="25"/>
        <v>#REF!</v>
      </c>
      <c r="U58" s="25" t="e">
        <f t="shared" si="26"/>
        <v>#REF!</v>
      </c>
      <c r="V58" s="25" t="e">
        <f t="shared" si="27"/>
        <v>#REF!</v>
      </c>
    </row>
    <row r="59" spans="1:22" ht="14.25" customHeight="1" x14ac:dyDescent="0.35">
      <c r="A59" s="2" t="s">
        <v>71</v>
      </c>
      <c r="B59" s="13" t="s">
        <v>50</v>
      </c>
      <c r="C59" s="13">
        <v>44013</v>
      </c>
      <c r="D59" s="14">
        <v>19110</v>
      </c>
      <c r="E59" s="15" t="e">
        <f>#REF!+#REF!+#REF!+#REF!+#REF!+#REF!+#REF!+GreenMobility!L59+#REF!+#REF!+#REF!+Partago!L59+#REF!+#REF!+#REF!</f>
        <v>#REF!</v>
      </c>
      <c r="F59" s="16" t="e">
        <f t="shared" si="0"/>
        <v>#REF!</v>
      </c>
      <c r="G59" s="19" t="e">
        <f>#REF!+#REF!+#REF!+#REF!+#REF!+#REF!+#REF!+#REF!+#REF!+Moovee!A59+#REF!+#REF!+#REF!</f>
        <v>#REF!</v>
      </c>
      <c r="H59" s="16" t="e">
        <f t="shared" si="1"/>
        <v>#REF!</v>
      </c>
      <c r="I59" s="30">
        <f t="shared" si="2"/>
        <v>38.22</v>
      </c>
      <c r="J59" s="31" t="e">
        <f t="shared" si="3"/>
        <v>#REF!</v>
      </c>
      <c r="K59" s="25" t="e">
        <f t="shared" si="16"/>
        <v>#REF!</v>
      </c>
      <c r="L59" s="25" t="e">
        <f t="shared" si="17"/>
        <v>#REF!</v>
      </c>
      <c r="M59" s="25" t="e">
        <f t="shared" si="18"/>
        <v>#REF!</v>
      </c>
      <c r="N59" s="25" t="e">
        <f t="shared" si="19"/>
        <v>#REF!</v>
      </c>
      <c r="O59" s="25" t="e">
        <f t="shared" si="20"/>
        <v>#REF!</v>
      </c>
      <c r="P59" s="25" t="e">
        <f t="shared" si="21"/>
        <v>#REF!</v>
      </c>
      <c r="Q59" s="25" t="e">
        <f t="shared" si="22"/>
        <v>#REF!</v>
      </c>
      <c r="R59" s="25" t="e">
        <f t="shared" si="23"/>
        <v>#REF!</v>
      </c>
      <c r="S59" s="25" t="e">
        <f t="shared" si="24"/>
        <v>#REF!</v>
      </c>
      <c r="T59" s="25" t="e">
        <f t="shared" si="25"/>
        <v>#REF!</v>
      </c>
      <c r="U59" s="25" t="e">
        <f t="shared" si="26"/>
        <v>#REF!</v>
      </c>
      <c r="V59" s="25" t="e">
        <f t="shared" si="27"/>
        <v>#REF!</v>
      </c>
    </row>
    <row r="60" spans="1:22" ht="14.25" customHeight="1" x14ac:dyDescent="0.35">
      <c r="A60" s="2" t="s">
        <v>309</v>
      </c>
      <c r="B60" s="13" t="s">
        <v>59</v>
      </c>
      <c r="C60" s="13">
        <v>71011</v>
      </c>
      <c r="D60" s="14">
        <v>19607</v>
      </c>
      <c r="E60" s="15" t="e">
        <f>#REF!+#REF!+#REF!+#REF!+#REF!+#REF!+#REF!+GreenMobility!L60+#REF!+#REF!+#REF!+Partago!L60+#REF!+#REF!+#REF!</f>
        <v>#REF!</v>
      </c>
      <c r="F60" s="16" t="e">
        <f t="shared" si="0"/>
        <v>#REF!</v>
      </c>
      <c r="G60" s="19" t="e">
        <f>#REF!+#REF!+#REF!+#REF!+#REF!+#REF!+#REF!+#REF!+#REF!+Moovee!A60+#REF!+#REF!+#REF!</f>
        <v>#REF!</v>
      </c>
      <c r="H60" s="16" t="e">
        <f t="shared" si="1"/>
        <v>#REF!</v>
      </c>
      <c r="I60" s="30">
        <f t="shared" si="2"/>
        <v>39.213999999999999</v>
      </c>
      <c r="J60" s="31" t="e">
        <f t="shared" si="3"/>
        <v>#REF!</v>
      </c>
      <c r="K60" s="25" t="e">
        <f t="shared" si="16"/>
        <v>#REF!</v>
      </c>
      <c r="L60" s="25" t="e">
        <f t="shared" si="17"/>
        <v>#REF!</v>
      </c>
      <c r="M60" s="25" t="e">
        <f t="shared" si="18"/>
        <v>#REF!</v>
      </c>
      <c r="N60" s="25" t="e">
        <f t="shared" si="19"/>
        <v>#REF!</v>
      </c>
      <c r="O60" s="25" t="e">
        <f t="shared" si="20"/>
        <v>#REF!</v>
      </c>
      <c r="P60" s="25" t="e">
        <f t="shared" si="21"/>
        <v>#REF!</v>
      </c>
      <c r="Q60" s="25" t="e">
        <f t="shared" si="22"/>
        <v>#REF!</v>
      </c>
      <c r="R60" s="25" t="e">
        <f t="shared" si="23"/>
        <v>#REF!</v>
      </c>
      <c r="S60" s="25" t="e">
        <f t="shared" si="24"/>
        <v>#REF!</v>
      </c>
      <c r="T60" s="25" t="e">
        <f t="shared" si="25"/>
        <v>#REF!</v>
      </c>
      <c r="U60" s="25" t="e">
        <f t="shared" si="26"/>
        <v>#REF!</v>
      </c>
      <c r="V60" s="25" t="e">
        <f t="shared" si="27"/>
        <v>#REF!</v>
      </c>
    </row>
    <row r="61" spans="1:22" ht="14.25" customHeight="1" x14ac:dyDescent="0.35">
      <c r="A61" s="2" t="s">
        <v>88</v>
      </c>
      <c r="B61" s="13" t="s">
        <v>52</v>
      </c>
      <c r="C61" s="13">
        <v>24020</v>
      </c>
      <c r="D61" s="14">
        <v>24971</v>
      </c>
      <c r="E61" s="15" t="e">
        <f>#REF!+#REF!+#REF!+#REF!+#REF!+#REF!+#REF!+GreenMobility!L61+#REF!+#REF!+#REF!+Partago!L61+#REF!+#REF!+#REF!</f>
        <v>#REF!</v>
      </c>
      <c r="F61" s="16" t="e">
        <f t="shared" si="0"/>
        <v>#REF!</v>
      </c>
      <c r="G61" s="19" t="e">
        <f>#REF!+#REF!+#REF!+#REF!+#REF!+#REF!+#REF!+#REF!+#REF!+Moovee!A61+#REF!+#REF!+#REF!</f>
        <v>#REF!</v>
      </c>
      <c r="H61" s="16" t="e">
        <f t="shared" si="1"/>
        <v>#REF!</v>
      </c>
      <c r="I61" s="30">
        <f t="shared" si="2"/>
        <v>49.942</v>
      </c>
      <c r="J61" s="31" t="e">
        <f t="shared" si="3"/>
        <v>#REF!</v>
      </c>
      <c r="K61" s="25" t="e">
        <f t="shared" si="16"/>
        <v>#REF!</v>
      </c>
      <c r="L61" s="25" t="e">
        <f t="shared" si="17"/>
        <v>#REF!</v>
      </c>
      <c r="M61" s="25" t="e">
        <f t="shared" si="18"/>
        <v>#REF!</v>
      </c>
      <c r="N61" s="25" t="e">
        <f t="shared" si="19"/>
        <v>#REF!</v>
      </c>
      <c r="O61" s="25" t="e">
        <f t="shared" si="20"/>
        <v>#REF!</v>
      </c>
      <c r="P61" s="25" t="e">
        <f t="shared" si="21"/>
        <v>#REF!</v>
      </c>
      <c r="Q61" s="25" t="e">
        <f t="shared" si="22"/>
        <v>#REF!</v>
      </c>
      <c r="R61" s="25" t="e">
        <f t="shared" si="23"/>
        <v>#REF!</v>
      </c>
      <c r="S61" s="25" t="e">
        <f t="shared" si="24"/>
        <v>#REF!</v>
      </c>
      <c r="T61" s="25" t="e">
        <f t="shared" si="25"/>
        <v>#REF!</v>
      </c>
      <c r="U61" s="25" t="e">
        <f t="shared" si="26"/>
        <v>#REF!</v>
      </c>
      <c r="V61" s="25" t="e">
        <f t="shared" si="27"/>
        <v>#REF!</v>
      </c>
    </row>
    <row r="62" spans="1:22" ht="14.25" customHeight="1" x14ac:dyDescent="0.35">
      <c r="A62" s="2" t="s">
        <v>280</v>
      </c>
      <c r="B62" s="13" t="s">
        <v>55</v>
      </c>
      <c r="C62" s="13">
        <v>32003</v>
      </c>
      <c r="D62" s="14">
        <v>17228</v>
      </c>
      <c r="E62" s="15" t="e">
        <f>#REF!+#REF!+#REF!+#REF!+#REF!+#REF!+#REF!+GreenMobility!L62+#REF!+#REF!+#REF!+Partago!L62+#REF!+#REF!+#REF!</f>
        <v>#REF!</v>
      </c>
      <c r="F62" s="16" t="e">
        <f t="shared" si="0"/>
        <v>#REF!</v>
      </c>
      <c r="G62" s="19" t="e">
        <f>#REF!+#REF!+#REF!+#REF!+#REF!+#REF!+#REF!+#REF!+#REF!+Moovee!A62+#REF!+#REF!+#REF!</f>
        <v>#REF!</v>
      </c>
      <c r="H62" s="16" t="e">
        <f t="shared" si="1"/>
        <v>#REF!</v>
      </c>
      <c r="I62" s="30">
        <f t="shared" si="2"/>
        <v>34.456000000000003</v>
      </c>
      <c r="J62" s="31" t="e">
        <f t="shared" si="3"/>
        <v>#REF!</v>
      </c>
      <c r="K62" s="25" t="e">
        <f t="shared" si="16"/>
        <v>#REF!</v>
      </c>
      <c r="L62" s="25" t="e">
        <f t="shared" si="17"/>
        <v>#REF!</v>
      </c>
      <c r="M62" s="25" t="e">
        <f t="shared" si="18"/>
        <v>#REF!</v>
      </c>
      <c r="N62" s="25" t="e">
        <f t="shared" si="19"/>
        <v>#REF!</v>
      </c>
      <c r="O62" s="25" t="e">
        <f t="shared" si="20"/>
        <v>#REF!</v>
      </c>
      <c r="P62" s="25" t="e">
        <f t="shared" si="21"/>
        <v>#REF!</v>
      </c>
      <c r="Q62" s="25" t="e">
        <f t="shared" si="22"/>
        <v>#REF!</v>
      </c>
      <c r="R62" s="25" t="e">
        <f t="shared" si="23"/>
        <v>#REF!</v>
      </c>
      <c r="S62" s="25" t="e">
        <f t="shared" si="24"/>
        <v>#REF!</v>
      </c>
      <c r="T62" s="25" t="e">
        <f t="shared" si="25"/>
        <v>#REF!</v>
      </c>
      <c r="U62" s="25" t="e">
        <f t="shared" si="26"/>
        <v>#REF!</v>
      </c>
      <c r="V62" s="25" t="e">
        <f t="shared" si="27"/>
        <v>#REF!</v>
      </c>
    </row>
    <row r="63" spans="1:22" ht="14.25" customHeight="1" x14ac:dyDescent="0.35">
      <c r="A63" s="2" t="s">
        <v>85</v>
      </c>
      <c r="B63" s="13" t="s">
        <v>52</v>
      </c>
      <c r="C63" s="13">
        <v>23016</v>
      </c>
      <c r="D63" s="14">
        <v>44878</v>
      </c>
      <c r="E63" s="15" t="e">
        <f>#REF!+#REF!+#REF!+#REF!+#REF!+#REF!+#REF!+GreenMobility!L63+#REF!+#REF!+#REF!+Partago!L63+#REF!+#REF!+#REF!</f>
        <v>#REF!</v>
      </c>
      <c r="F63" s="16" t="e">
        <f t="shared" si="0"/>
        <v>#REF!</v>
      </c>
      <c r="G63" s="19" t="e">
        <f>#REF!+#REF!+#REF!+#REF!+#REF!+#REF!+#REF!+#REF!+#REF!+Moovee!A63+#REF!+#REF!+#REF!</f>
        <v>#REF!</v>
      </c>
      <c r="H63" s="16" t="e">
        <f t="shared" si="1"/>
        <v>#REF!</v>
      </c>
      <c r="I63" s="30">
        <f t="shared" si="2"/>
        <v>89.756</v>
      </c>
      <c r="J63" s="31" t="e">
        <f t="shared" si="3"/>
        <v>#REF!</v>
      </c>
      <c r="K63" s="25" t="e">
        <f t="shared" si="16"/>
        <v>#REF!</v>
      </c>
      <c r="L63" s="25" t="e">
        <f t="shared" si="17"/>
        <v>#REF!</v>
      </c>
      <c r="M63" s="25" t="e">
        <f t="shared" si="18"/>
        <v>#REF!</v>
      </c>
      <c r="N63" s="25" t="e">
        <f t="shared" si="19"/>
        <v>#REF!</v>
      </c>
      <c r="O63" s="25" t="e">
        <f t="shared" si="20"/>
        <v>#REF!</v>
      </c>
      <c r="P63" s="25" t="e">
        <f t="shared" si="21"/>
        <v>#REF!</v>
      </c>
      <c r="Q63" s="25" t="e">
        <f t="shared" si="22"/>
        <v>#REF!</v>
      </c>
      <c r="R63" s="25" t="e">
        <f t="shared" si="23"/>
        <v>#REF!</v>
      </c>
      <c r="S63" s="25" t="e">
        <f t="shared" si="24"/>
        <v>#REF!</v>
      </c>
      <c r="T63" s="25" t="e">
        <f t="shared" si="25"/>
        <v>#REF!</v>
      </c>
      <c r="U63" s="25" t="e">
        <f t="shared" si="26"/>
        <v>#REF!</v>
      </c>
      <c r="V63" s="25" t="e">
        <f t="shared" si="27"/>
        <v>#REF!</v>
      </c>
    </row>
    <row r="64" spans="1:22" ht="14.25" customHeight="1" x14ac:dyDescent="0.35">
      <c r="A64" s="2" t="s">
        <v>333</v>
      </c>
      <c r="B64" s="13" t="s">
        <v>59</v>
      </c>
      <c r="C64" s="13">
        <v>72041</v>
      </c>
      <c r="D64" s="14">
        <v>21346</v>
      </c>
      <c r="E64" s="15" t="e">
        <f>#REF!+#REF!+#REF!+#REF!+#REF!+#REF!+#REF!+GreenMobility!L64+#REF!+#REF!+#REF!+Partago!L64+#REF!+#REF!+#REF!</f>
        <v>#REF!</v>
      </c>
      <c r="F64" s="16" t="e">
        <f t="shared" si="0"/>
        <v>#REF!</v>
      </c>
      <c r="G64" s="19" t="e">
        <f>#REF!+#REF!+#REF!+#REF!+#REF!+#REF!+#REF!+#REF!+#REF!+Moovee!A64+#REF!+#REF!+#REF!</f>
        <v>#REF!</v>
      </c>
      <c r="H64" s="16" t="e">
        <f t="shared" si="1"/>
        <v>#REF!</v>
      </c>
      <c r="I64" s="30">
        <f t="shared" si="2"/>
        <v>42.692</v>
      </c>
      <c r="J64" s="31" t="e">
        <f t="shared" si="3"/>
        <v>#REF!</v>
      </c>
      <c r="K64" s="25" t="e">
        <f t="shared" si="16"/>
        <v>#REF!</v>
      </c>
      <c r="L64" s="25" t="e">
        <f t="shared" si="17"/>
        <v>#REF!</v>
      </c>
      <c r="M64" s="25" t="e">
        <f t="shared" si="18"/>
        <v>#REF!</v>
      </c>
      <c r="N64" s="25" t="e">
        <f t="shared" si="19"/>
        <v>#REF!</v>
      </c>
      <c r="O64" s="25" t="e">
        <f t="shared" si="20"/>
        <v>#REF!</v>
      </c>
      <c r="P64" s="25" t="e">
        <f t="shared" si="21"/>
        <v>#REF!</v>
      </c>
      <c r="Q64" s="25" t="e">
        <f t="shared" si="22"/>
        <v>#REF!</v>
      </c>
      <c r="R64" s="25" t="e">
        <f t="shared" si="23"/>
        <v>#REF!</v>
      </c>
      <c r="S64" s="25" t="e">
        <f t="shared" si="24"/>
        <v>#REF!</v>
      </c>
      <c r="T64" s="25" t="e">
        <f t="shared" si="25"/>
        <v>#REF!</v>
      </c>
      <c r="U64" s="25" t="e">
        <f t="shared" si="26"/>
        <v>#REF!</v>
      </c>
      <c r="V64" s="25" t="e">
        <f t="shared" si="27"/>
        <v>#REF!</v>
      </c>
    </row>
    <row r="65" spans="1:22" ht="14.25" customHeight="1" x14ac:dyDescent="0.35">
      <c r="A65" s="2" t="s">
        <v>298</v>
      </c>
      <c r="B65" s="13" t="s">
        <v>52</v>
      </c>
      <c r="C65" s="13">
        <v>23098</v>
      </c>
      <c r="D65" s="14">
        <v>5944</v>
      </c>
      <c r="E65" s="15" t="e">
        <f>#REF!+#REF!+#REF!+#REF!+#REF!+#REF!+#REF!+GreenMobility!L65+#REF!+#REF!+#REF!+Partago!L65+#REF!+#REF!+#REF!</f>
        <v>#REF!</v>
      </c>
      <c r="F65" s="16" t="e">
        <f t="shared" si="0"/>
        <v>#REF!</v>
      </c>
      <c r="G65" s="19" t="e">
        <f>#REF!+#REF!+#REF!+#REF!+#REF!+#REF!+#REF!+#REF!+#REF!+Moovee!A65+#REF!+#REF!+#REF!</f>
        <v>#REF!</v>
      </c>
      <c r="H65" s="16" t="e">
        <f t="shared" si="1"/>
        <v>#REF!</v>
      </c>
      <c r="I65" s="30">
        <f t="shared" si="2"/>
        <v>11.888</v>
      </c>
      <c r="J65" s="31" t="e">
        <f t="shared" si="3"/>
        <v>#REF!</v>
      </c>
      <c r="K65" s="25" t="e">
        <f t="shared" si="16"/>
        <v>#REF!</v>
      </c>
      <c r="L65" s="25" t="e">
        <f t="shared" si="17"/>
        <v>#REF!</v>
      </c>
      <c r="M65" s="25" t="e">
        <f t="shared" si="18"/>
        <v>#REF!</v>
      </c>
      <c r="N65" s="25" t="e">
        <f t="shared" si="19"/>
        <v>#REF!</v>
      </c>
      <c r="O65" s="25" t="e">
        <f t="shared" si="20"/>
        <v>#REF!</v>
      </c>
      <c r="P65" s="25" t="e">
        <f t="shared" si="21"/>
        <v>#REF!</v>
      </c>
      <c r="Q65" s="25" t="e">
        <f t="shared" si="22"/>
        <v>#REF!</v>
      </c>
      <c r="R65" s="25" t="e">
        <f t="shared" si="23"/>
        <v>#REF!</v>
      </c>
      <c r="S65" s="25" t="e">
        <f t="shared" si="24"/>
        <v>#REF!</v>
      </c>
      <c r="T65" s="25" t="e">
        <f t="shared" si="25"/>
        <v>#REF!</v>
      </c>
      <c r="U65" s="25" t="e">
        <f t="shared" si="26"/>
        <v>#REF!</v>
      </c>
      <c r="V65" s="25" t="e">
        <f t="shared" si="27"/>
        <v>#REF!</v>
      </c>
    </row>
    <row r="66" spans="1:22" ht="14.25" customHeight="1" x14ac:dyDescent="0.35">
      <c r="A66" s="2" t="s">
        <v>140</v>
      </c>
      <c r="B66" s="13" t="s">
        <v>48</v>
      </c>
      <c r="C66" s="13">
        <v>12009</v>
      </c>
      <c r="D66" s="14">
        <v>18062</v>
      </c>
      <c r="E66" s="15" t="e">
        <f>#REF!+#REF!+#REF!+#REF!+#REF!+#REF!+#REF!+GreenMobility!L66+#REF!+#REF!+#REF!+Partago!L66+#REF!+#REF!+#REF!</f>
        <v>#REF!</v>
      </c>
      <c r="F66" s="16" t="e">
        <f t="shared" si="0"/>
        <v>#REF!</v>
      </c>
      <c r="G66" s="19" t="e">
        <f>#REF!+#REF!+#REF!+#REF!+#REF!+#REF!+#REF!+#REF!+#REF!+Moovee!A66+#REF!+#REF!+#REF!</f>
        <v>#REF!</v>
      </c>
      <c r="H66" s="16" t="e">
        <f t="shared" si="1"/>
        <v>#REF!</v>
      </c>
      <c r="I66" s="30">
        <f t="shared" si="2"/>
        <v>36.124000000000002</v>
      </c>
      <c r="J66" s="31" t="e">
        <f t="shared" si="3"/>
        <v>#REF!</v>
      </c>
      <c r="K66" s="25" t="e">
        <f t="shared" si="16"/>
        <v>#REF!</v>
      </c>
      <c r="L66" s="25" t="e">
        <f t="shared" si="17"/>
        <v>#REF!</v>
      </c>
      <c r="M66" s="25" t="e">
        <f t="shared" si="18"/>
        <v>#REF!</v>
      </c>
      <c r="N66" s="25" t="e">
        <f t="shared" si="19"/>
        <v>#REF!</v>
      </c>
      <c r="O66" s="25" t="e">
        <f t="shared" si="20"/>
        <v>#REF!</v>
      </c>
      <c r="P66" s="25" t="e">
        <f t="shared" si="21"/>
        <v>#REF!</v>
      </c>
      <c r="Q66" s="25" t="e">
        <f t="shared" si="22"/>
        <v>#REF!</v>
      </c>
      <c r="R66" s="25" t="e">
        <f t="shared" si="23"/>
        <v>#REF!</v>
      </c>
      <c r="S66" s="25" t="e">
        <f t="shared" si="24"/>
        <v>#REF!</v>
      </c>
      <c r="T66" s="25" t="e">
        <f t="shared" si="25"/>
        <v>#REF!</v>
      </c>
      <c r="U66" s="25" t="e">
        <f t="shared" si="26"/>
        <v>#REF!</v>
      </c>
      <c r="V66" s="25" t="e">
        <f t="shared" si="27"/>
        <v>#REF!</v>
      </c>
    </row>
    <row r="67" spans="1:22" ht="14.25" customHeight="1" x14ac:dyDescent="0.35">
      <c r="A67" s="2" t="s">
        <v>123</v>
      </c>
      <c r="B67" s="13" t="s">
        <v>48</v>
      </c>
      <c r="C67" s="13">
        <v>11013</v>
      </c>
      <c r="D67" s="14">
        <v>23009</v>
      </c>
      <c r="E67" s="15" t="e">
        <f>#REF!+#REF!+#REF!+#REF!+#REF!+#REF!+#REF!+GreenMobility!L67+#REF!+#REF!+#REF!+Partago!L67+#REF!+#REF!+#REF!</f>
        <v>#REF!</v>
      </c>
      <c r="F67" s="16" t="e">
        <f t="shared" si="0"/>
        <v>#REF!</v>
      </c>
      <c r="G67" s="19" t="e">
        <f>#REF!+#REF!+#REF!+#REF!+#REF!+#REF!+#REF!+#REF!+#REF!+Moovee!A67+#REF!+#REF!+#REF!</f>
        <v>#REF!</v>
      </c>
      <c r="H67" s="16" t="e">
        <f t="shared" si="1"/>
        <v>#REF!</v>
      </c>
      <c r="I67" s="30">
        <f t="shared" si="2"/>
        <v>46.018000000000001</v>
      </c>
      <c r="J67" s="31" t="e">
        <f t="shared" si="3"/>
        <v>#REF!</v>
      </c>
      <c r="K67" s="25" t="e">
        <f t="shared" si="16"/>
        <v>#REF!</v>
      </c>
      <c r="L67" s="25" t="e">
        <f t="shared" si="17"/>
        <v>#REF!</v>
      </c>
      <c r="M67" s="25" t="e">
        <f t="shared" si="18"/>
        <v>#REF!</v>
      </c>
      <c r="N67" s="25" t="e">
        <f t="shared" si="19"/>
        <v>#REF!</v>
      </c>
      <c r="O67" s="25" t="e">
        <f t="shared" si="20"/>
        <v>#REF!</v>
      </c>
      <c r="P67" s="25" t="e">
        <f t="shared" si="21"/>
        <v>#REF!</v>
      </c>
      <c r="Q67" s="25" t="e">
        <f t="shared" si="22"/>
        <v>#REF!</v>
      </c>
      <c r="R67" s="25" t="e">
        <f t="shared" si="23"/>
        <v>#REF!</v>
      </c>
      <c r="S67" s="25" t="e">
        <f t="shared" si="24"/>
        <v>#REF!</v>
      </c>
      <c r="T67" s="25" t="e">
        <f t="shared" si="25"/>
        <v>#REF!</v>
      </c>
      <c r="U67" s="25" t="e">
        <f t="shared" si="26"/>
        <v>#REF!</v>
      </c>
      <c r="V67" s="25" t="e">
        <f t="shared" si="27"/>
        <v>#REF!</v>
      </c>
    </row>
    <row r="68" spans="1:22" ht="14.25" customHeight="1" x14ac:dyDescent="0.35">
      <c r="A68" s="2" t="s">
        <v>118</v>
      </c>
      <c r="B68" s="13" t="s">
        <v>50</v>
      </c>
      <c r="C68" s="13">
        <v>43005</v>
      </c>
      <c r="D68" s="14">
        <v>22401</v>
      </c>
      <c r="E68" s="15" t="e">
        <f>#REF!+#REF!+#REF!+#REF!+#REF!+#REF!+#REF!+GreenMobility!L68+#REF!+#REF!+#REF!+Partago!L68+#REF!+#REF!+#REF!</f>
        <v>#REF!</v>
      </c>
      <c r="F68" s="16" t="e">
        <f t="shared" si="0"/>
        <v>#REF!</v>
      </c>
      <c r="G68" s="19" t="e">
        <f>#REF!+#REF!+#REF!+#REF!+#REF!+#REF!+#REF!+#REF!+#REF!+Moovee!A68+#REF!+#REF!+#REF!</f>
        <v>#REF!</v>
      </c>
      <c r="H68" s="16" t="e">
        <f t="shared" si="1"/>
        <v>#REF!</v>
      </c>
      <c r="I68" s="30">
        <f t="shared" si="2"/>
        <v>44.802</v>
      </c>
      <c r="J68" s="31" t="e">
        <f t="shared" si="3"/>
        <v>#REF!</v>
      </c>
      <c r="K68" s="25" t="e">
        <f t="shared" si="16"/>
        <v>#REF!</v>
      </c>
      <c r="L68" s="25" t="e">
        <f t="shared" si="17"/>
        <v>#REF!</v>
      </c>
      <c r="M68" s="25" t="e">
        <f t="shared" si="18"/>
        <v>#REF!</v>
      </c>
      <c r="N68" s="25" t="e">
        <f t="shared" si="19"/>
        <v>#REF!</v>
      </c>
      <c r="O68" s="25" t="e">
        <f t="shared" si="20"/>
        <v>#REF!</v>
      </c>
      <c r="P68" s="25" t="e">
        <f t="shared" si="21"/>
        <v>#REF!</v>
      </c>
      <c r="Q68" s="25" t="e">
        <f t="shared" si="22"/>
        <v>#REF!</v>
      </c>
      <c r="R68" s="25" t="e">
        <f t="shared" si="23"/>
        <v>#REF!</v>
      </c>
      <c r="S68" s="25" t="e">
        <f t="shared" si="24"/>
        <v>#REF!</v>
      </c>
      <c r="T68" s="25" t="e">
        <f t="shared" si="25"/>
        <v>#REF!</v>
      </c>
      <c r="U68" s="25" t="e">
        <f t="shared" si="26"/>
        <v>#REF!</v>
      </c>
      <c r="V68" s="25" t="e">
        <f t="shared" si="27"/>
        <v>#REF!</v>
      </c>
    </row>
    <row r="69" spans="1:22" ht="14.25" customHeight="1" x14ac:dyDescent="0.35">
      <c r="A69" s="2" t="s">
        <v>116</v>
      </c>
      <c r="B69" s="13" t="s">
        <v>50</v>
      </c>
      <c r="C69" s="13">
        <v>41082</v>
      </c>
      <c r="D69" s="14">
        <v>21013</v>
      </c>
      <c r="E69" s="15" t="e">
        <f>#REF!+#REF!+#REF!+#REF!+#REF!+#REF!+#REF!+GreenMobility!L69+#REF!+#REF!+#REF!+Partago!L69+#REF!+#REF!+#REF!</f>
        <v>#REF!</v>
      </c>
      <c r="F69" s="16" t="e">
        <f t="shared" si="0"/>
        <v>#REF!</v>
      </c>
      <c r="G69" s="19" t="e">
        <f>#REF!+#REF!+#REF!+#REF!+#REF!+#REF!+#REF!+#REF!+#REF!+Moovee!A69+#REF!+#REF!+#REF!</f>
        <v>#REF!</v>
      </c>
      <c r="H69" s="16" t="e">
        <f t="shared" si="1"/>
        <v>#REF!</v>
      </c>
      <c r="I69" s="30">
        <f t="shared" si="2"/>
        <v>42.026000000000003</v>
      </c>
      <c r="J69" s="31" t="e">
        <f t="shared" si="3"/>
        <v>#REF!</v>
      </c>
      <c r="K69" s="25" t="e">
        <f t="shared" si="16"/>
        <v>#REF!</v>
      </c>
      <c r="L69" s="25" t="e">
        <f t="shared" si="17"/>
        <v>#REF!</v>
      </c>
      <c r="M69" s="25" t="e">
        <f t="shared" si="18"/>
        <v>#REF!</v>
      </c>
      <c r="N69" s="25" t="e">
        <f t="shared" si="19"/>
        <v>#REF!</v>
      </c>
      <c r="O69" s="25" t="e">
        <f t="shared" si="20"/>
        <v>#REF!</v>
      </c>
      <c r="P69" s="25" t="e">
        <f t="shared" si="21"/>
        <v>#REF!</v>
      </c>
      <c r="Q69" s="25" t="e">
        <f t="shared" si="22"/>
        <v>#REF!</v>
      </c>
      <c r="R69" s="25" t="e">
        <f t="shared" si="23"/>
        <v>#REF!</v>
      </c>
      <c r="S69" s="25" t="e">
        <f t="shared" si="24"/>
        <v>#REF!</v>
      </c>
      <c r="T69" s="25" t="e">
        <f t="shared" si="25"/>
        <v>#REF!</v>
      </c>
      <c r="U69" s="25" t="e">
        <f t="shared" si="26"/>
        <v>#REF!</v>
      </c>
      <c r="V69" s="25" t="e">
        <f t="shared" si="27"/>
        <v>#REF!</v>
      </c>
    </row>
    <row r="70" spans="1:22" ht="14.25" customHeight="1" x14ac:dyDescent="0.35">
      <c r="A70" s="2" t="s">
        <v>180</v>
      </c>
      <c r="B70" s="13" t="s">
        <v>48</v>
      </c>
      <c r="C70" s="13">
        <v>11016</v>
      </c>
      <c r="D70" s="14">
        <v>19630</v>
      </c>
      <c r="E70" s="15" t="e">
        <f>#REF!+#REF!+#REF!+#REF!+#REF!+#REF!+#REF!+GreenMobility!L70+#REF!+#REF!+#REF!+Partago!L70+#REF!+#REF!+#REF!</f>
        <v>#REF!</v>
      </c>
      <c r="F70" s="16" t="e">
        <f t="shared" si="0"/>
        <v>#REF!</v>
      </c>
      <c r="G70" s="19" t="e">
        <f>#REF!+#REF!+#REF!+#REF!+#REF!+#REF!+#REF!+#REF!+#REF!+Moovee!A70+#REF!+#REF!+#REF!</f>
        <v>#REF!</v>
      </c>
      <c r="H70" s="16" t="e">
        <f t="shared" si="1"/>
        <v>#REF!</v>
      </c>
      <c r="I70" s="30">
        <f t="shared" si="2"/>
        <v>39.26</v>
      </c>
      <c r="J70" s="31" t="e">
        <f t="shared" si="3"/>
        <v>#REF!</v>
      </c>
      <c r="K70" s="25" t="e">
        <f t="shared" si="16"/>
        <v>#REF!</v>
      </c>
      <c r="L70" s="25" t="e">
        <f t="shared" si="17"/>
        <v>#REF!</v>
      </c>
      <c r="M70" s="25" t="e">
        <f t="shared" si="18"/>
        <v>#REF!</v>
      </c>
      <c r="N70" s="25" t="e">
        <f t="shared" si="19"/>
        <v>#REF!</v>
      </c>
      <c r="O70" s="25" t="e">
        <f t="shared" si="20"/>
        <v>#REF!</v>
      </c>
      <c r="P70" s="25" t="e">
        <f t="shared" si="21"/>
        <v>#REF!</v>
      </c>
      <c r="Q70" s="25" t="e">
        <f t="shared" si="22"/>
        <v>#REF!</v>
      </c>
      <c r="R70" s="25" t="e">
        <f t="shared" si="23"/>
        <v>#REF!</v>
      </c>
      <c r="S70" s="25" t="e">
        <f t="shared" si="24"/>
        <v>#REF!</v>
      </c>
      <c r="T70" s="25" t="e">
        <f t="shared" si="25"/>
        <v>#REF!</v>
      </c>
      <c r="U70" s="25" t="e">
        <f t="shared" si="26"/>
        <v>#REF!</v>
      </c>
      <c r="V70" s="25" t="e">
        <f t="shared" si="27"/>
        <v>#REF!</v>
      </c>
    </row>
    <row r="71" spans="1:22" ht="14.25" customHeight="1" x14ac:dyDescent="0.35">
      <c r="A71" s="2" t="s">
        <v>90</v>
      </c>
      <c r="B71" s="13" t="s">
        <v>50</v>
      </c>
      <c r="C71" s="13">
        <v>44019</v>
      </c>
      <c r="D71" s="14">
        <v>36860</v>
      </c>
      <c r="E71" s="15" t="e">
        <f>#REF!+#REF!+#REF!+#REF!+#REF!+#REF!+#REF!+GreenMobility!L71+#REF!+#REF!+#REF!+Partago!L71+#REF!+#REF!+#REF!</f>
        <v>#REF!</v>
      </c>
      <c r="F71" s="16" t="e">
        <f t="shared" si="0"/>
        <v>#REF!</v>
      </c>
      <c r="G71" s="19" t="e">
        <f>#REF!+#REF!+#REF!+#REF!+#REF!+#REF!+#REF!+#REF!+#REF!+Moovee!A71+#REF!+#REF!+#REF!</f>
        <v>#REF!</v>
      </c>
      <c r="H71" s="16" t="e">
        <f t="shared" si="1"/>
        <v>#REF!</v>
      </c>
      <c r="I71" s="30">
        <f t="shared" si="2"/>
        <v>73.72</v>
      </c>
      <c r="J71" s="31" t="e">
        <f t="shared" si="3"/>
        <v>#REF!</v>
      </c>
      <c r="K71" s="25" t="e">
        <f t="shared" si="16"/>
        <v>#REF!</v>
      </c>
      <c r="L71" s="25" t="e">
        <f t="shared" si="17"/>
        <v>#REF!</v>
      </c>
      <c r="M71" s="25" t="e">
        <f t="shared" si="18"/>
        <v>#REF!</v>
      </c>
      <c r="N71" s="25" t="e">
        <f t="shared" si="19"/>
        <v>#REF!</v>
      </c>
      <c r="O71" s="25" t="e">
        <f t="shared" si="20"/>
        <v>#REF!</v>
      </c>
      <c r="P71" s="25" t="e">
        <f t="shared" si="21"/>
        <v>#REF!</v>
      </c>
      <c r="Q71" s="25" t="e">
        <f t="shared" si="22"/>
        <v>#REF!</v>
      </c>
      <c r="R71" s="25" t="e">
        <f t="shared" si="23"/>
        <v>#REF!</v>
      </c>
      <c r="S71" s="25" t="e">
        <f t="shared" si="24"/>
        <v>#REF!</v>
      </c>
      <c r="T71" s="25" t="e">
        <f t="shared" si="25"/>
        <v>#REF!</v>
      </c>
      <c r="U71" s="25" t="e">
        <f t="shared" si="26"/>
        <v>#REF!</v>
      </c>
      <c r="V71" s="25" t="e">
        <f t="shared" si="27"/>
        <v>#REF!</v>
      </c>
    </row>
    <row r="72" spans="1:22" ht="14.25" customHeight="1" x14ac:dyDescent="0.35">
      <c r="A72" s="2" t="s">
        <v>342</v>
      </c>
      <c r="B72" s="13" t="s">
        <v>52</v>
      </c>
      <c r="C72" s="13">
        <v>23023</v>
      </c>
      <c r="D72" s="14">
        <v>8931</v>
      </c>
      <c r="E72" s="15" t="e">
        <f>#REF!+#REF!+#REF!+#REF!+#REF!+#REF!+#REF!+GreenMobility!L72+#REF!+#REF!+#REF!+Partago!L72+#REF!+#REF!+#REF!</f>
        <v>#REF!</v>
      </c>
      <c r="F72" s="16" t="e">
        <f t="shared" si="0"/>
        <v>#REF!</v>
      </c>
      <c r="G72" s="19" t="e">
        <f>#REF!+#REF!+#REF!+#REF!+#REF!+#REF!+#REF!+#REF!+#REF!+Moovee!A72+#REF!+#REF!+#REF!</f>
        <v>#REF!</v>
      </c>
      <c r="H72" s="16" t="e">
        <f t="shared" si="1"/>
        <v>#REF!</v>
      </c>
      <c r="I72" s="30">
        <f t="shared" si="2"/>
        <v>17.861999999999998</v>
      </c>
      <c r="J72" s="31" t="e">
        <f t="shared" si="3"/>
        <v>#REF!</v>
      </c>
      <c r="K72" s="25" t="e">
        <f t="shared" si="16"/>
        <v>#REF!</v>
      </c>
      <c r="L72" s="25" t="e">
        <f t="shared" si="17"/>
        <v>#REF!</v>
      </c>
      <c r="M72" s="25" t="e">
        <f t="shared" si="18"/>
        <v>#REF!</v>
      </c>
      <c r="N72" s="25" t="e">
        <f t="shared" si="19"/>
        <v>#REF!</v>
      </c>
      <c r="O72" s="25" t="e">
        <f t="shared" si="20"/>
        <v>#REF!</v>
      </c>
      <c r="P72" s="25" t="e">
        <f t="shared" si="21"/>
        <v>#REF!</v>
      </c>
      <c r="Q72" s="25" t="e">
        <f t="shared" si="22"/>
        <v>#REF!</v>
      </c>
      <c r="R72" s="25" t="e">
        <f t="shared" si="23"/>
        <v>#REF!</v>
      </c>
      <c r="S72" s="25" t="e">
        <f t="shared" si="24"/>
        <v>#REF!</v>
      </c>
      <c r="T72" s="25" t="e">
        <f t="shared" si="25"/>
        <v>#REF!</v>
      </c>
      <c r="U72" s="25" t="e">
        <f t="shared" si="26"/>
        <v>#REF!</v>
      </c>
      <c r="V72" s="25" t="e">
        <f t="shared" si="27"/>
        <v>#REF!</v>
      </c>
    </row>
    <row r="73" spans="1:22" ht="14.25" customHeight="1" x14ac:dyDescent="0.35">
      <c r="A73" s="2" t="s">
        <v>209</v>
      </c>
      <c r="B73" s="13" t="s">
        <v>50</v>
      </c>
      <c r="C73" s="13">
        <v>44020</v>
      </c>
      <c r="D73" s="14">
        <v>13311</v>
      </c>
      <c r="E73" s="15" t="e">
        <f>#REF!+#REF!+#REF!+#REF!+#REF!+#REF!+#REF!+GreenMobility!L73+#REF!+#REF!+#REF!+Partago!L73+#REF!+#REF!+#REF!</f>
        <v>#REF!</v>
      </c>
      <c r="F73" s="16" t="e">
        <f t="shared" si="0"/>
        <v>#REF!</v>
      </c>
      <c r="G73" s="19" t="e">
        <f>#REF!+#REF!+#REF!+#REF!+#REF!+#REF!+#REF!+#REF!+#REF!+Moovee!A73+#REF!+#REF!+#REF!</f>
        <v>#REF!</v>
      </c>
      <c r="H73" s="16" t="e">
        <f t="shared" si="1"/>
        <v>#REF!</v>
      </c>
      <c r="I73" s="30">
        <f t="shared" si="2"/>
        <v>26.622</v>
      </c>
      <c r="J73" s="31" t="e">
        <f t="shared" si="3"/>
        <v>#REF!</v>
      </c>
      <c r="K73" s="25" t="e">
        <f t="shared" si="16"/>
        <v>#REF!</v>
      </c>
      <c r="L73" s="25" t="e">
        <f t="shared" si="17"/>
        <v>#REF!</v>
      </c>
      <c r="M73" s="25" t="e">
        <f t="shared" si="18"/>
        <v>#REF!</v>
      </c>
      <c r="N73" s="25" t="e">
        <f t="shared" si="19"/>
        <v>#REF!</v>
      </c>
      <c r="O73" s="25" t="e">
        <f t="shared" si="20"/>
        <v>#REF!</v>
      </c>
      <c r="P73" s="25" t="e">
        <f t="shared" si="21"/>
        <v>#REF!</v>
      </c>
      <c r="Q73" s="25" t="e">
        <f t="shared" si="22"/>
        <v>#REF!</v>
      </c>
      <c r="R73" s="25" t="e">
        <f t="shared" si="23"/>
        <v>#REF!</v>
      </c>
      <c r="S73" s="25" t="e">
        <f t="shared" si="24"/>
        <v>#REF!</v>
      </c>
      <c r="T73" s="25" t="e">
        <f t="shared" si="25"/>
        <v>#REF!</v>
      </c>
      <c r="U73" s="25" t="e">
        <f t="shared" si="26"/>
        <v>#REF!</v>
      </c>
      <c r="V73" s="25" t="e">
        <f t="shared" si="27"/>
        <v>#REF!</v>
      </c>
    </row>
    <row r="74" spans="1:22" ht="14.25" customHeight="1" x14ac:dyDescent="0.35">
      <c r="A74" s="2" t="s">
        <v>91</v>
      </c>
      <c r="B74" s="13" t="s">
        <v>48</v>
      </c>
      <c r="C74" s="13">
        <v>13008</v>
      </c>
      <c r="D74" s="14">
        <v>42331</v>
      </c>
      <c r="E74" s="15" t="e">
        <f>#REF!+#REF!+#REF!+#REF!+#REF!+#REF!+#REF!+GreenMobility!L74+#REF!+#REF!+#REF!+Partago!L74+#REF!+#REF!+#REF!</f>
        <v>#REF!</v>
      </c>
      <c r="F74" s="16" t="e">
        <f t="shared" si="0"/>
        <v>#REF!</v>
      </c>
      <c r="G74" s="19" t="e">
        <f>#REF!+#REF!+#REF!+#REF!+#REF!+#REF!+#REF!+#REF!+#REF!+Moovee!A74+#REF!+#REF!+#REF!</f>
        <v>#REF!</v>
      </c>
      <c r="H74" s="16" t="e">
        <f t="shared" si="1"/>
        <v>#REF!</v>
      </c>
      <c r="I74" s="30">
        <f t="shared" si="2"/>
        <v>84.662000000000006</v>
      </c>
      <c r="J74" s="31" t="e">
        <f t="shared" si="3"/>
        <v>#REF!</v>
      </c>
      <c r="K74" s="25" t="e">
        <f t="shared" si="16"/>
        <v>#REF!</v>
      </c>
      <c r="L74" s="25" t="e">
        <f t="shared" si="17"/>
        <v>#REF!</v>
      </c>
      <c r="M74" s="25" t="e">
        <f t="shared" si="18"/>
        <v>#REF!</v>
      </c>
      <c r="N74" s="25" t="e">
        <f t="shared" si="19"/>
        <v>#REF!</v>
      </c>
      <c r="O74" s="25" t="e">
        <f t="shared" si="20"/>
        <v>#REF!</v>
      </c>
      <c r="P74" s="25" t="e">
        <f t="shared" si="21"/>
        <v>#REF!</v>
      </c>
      <c r="Q74" s="25" t="e">
        <f t="shared" si="22"/>
        <v>#REF!</v>
      </c>
      <c r="R74" s="25" t="e">
        <f t="shared" si="23"/>
        <v>#REF!</v>
      </c>
      <c r="S74" s="25" t="e">
        <f t="shared" si="24"/>
        <v>#REF!</v>
      </c>
      <c r="T74" s="25" t="e">
        <f t="shared" si="25"/>
        <v>#REF!</v>
      </c>
      <c r="U74" s="25" t="e">
        <f t="shared" si="26"/>
        <v>#REF!</v>
      </c>
      <c r="V74" s="25" t="e">
        <f t="shared" si="27"/>
        <v>#REF!</v>
      </c>
    </row>
    <row r="75" spans="1:22" ht="14.25" customHeight="1" x14ac:dyDescent="0.35">
      <c r="A75" s="2" t="s">
        <v>245</v>
      </c>
      <c r="B75" s="13" t="s">
        <v>52</v>
      </c>
      <c r="C75" s="13">
        <v>24028</v>
      </c>
      <c r="D75" s="14">
        <v>6261</v>
      </c>
      <c r="E75" s="15" t="e">
        <f>#REF!+#REF!+#REF!+#REF!+#REF!+#REF!+#REF!+GreenMobility!L75+#REF!+#REF!+#REF!+Partago!L75+#REF!+#REF!+#REF!</f>
        <v>#REF!</v>
      </c>
      <c r="F75" s="16" t="e">
        <f t="shared" si="0"/>
        <v>#REF!</v>
      </c>
      <c r="G75" s="19" t="e">
        <f>#REF!+#REF!+#REF!+#REF!+#REF!+#REF!+#REF!+#REF!+#REF!+Moovee!A75+#REF!+#REF!+#REF!</f>
        <v>#REF!</v>
      </c>
      <c r="H75" s="16" t="e">
        <f t="shared" si="1"/>
        <v>#REF!</v>
      </c>
      <c r="I75" s="30">
        <f t="shared" si="2"/>
        <v>12.522</v>
      </c>
      <c r="J75" s="31" t="e">
        <f t="shared" si="3"/>
        <v>#REF!</v>
      </c>
      <c r="K75" s="25" t="e">
        <f t="shared" si="16"/>
        <v>#REF!</v>
      </c>
      <c r="L75" s="25" t="e">
        <f t="shared" si="17"/>
        <v>#REF!</v>
      </c>
      <c r="M75" s="25" t="e">
        <f t="shared" si="18"/>
        <v>#REF!</v>
      </c>
      <c r="N75" s="25" t="e">
        <f t="shared" si="19"/>
        <v>#REF!</v>
      </c>
      <c r="O75" s="25" t="e">
        <f t="shared" si="20"/>
        <v>#REF!</v>
      </c>
      <c r="P75" s="25" t="e">
        <f t="shared" si="21"/>
        <v>#REF!</v>
      </c>
      <c r="Q75" s="25" t="e">
        <f t="shared" si="22"/>
        <v>#REF!</v>
      </c>
      <c r="R75" s="25" t="e">
        <f t="shared" si="23"/>
        <v>#REF!</v>
      </c>
      <c r="S75" s="25" t="e">
        <f t="shared" si="24"/>
        <v>#REF!</v>
      </c>
      <c r="T75" s="25" t="e">
        <f t="shared" si="25"/>
        <v>#REF!</v>
      </c>
      <c r="U75" s="25" t="e">
        <f t="shared" si="26"/>
        <v>#REF!</v>
      </c>
      <c r="V75" s="25" t="e">
        <f t="shared" si="27"/>
        <v>#REF!</v>
      </c>
    </row>
    <row r="76" spans="1:22" ht="14.25" customHeight="1" x14ac:dyDescent="0.35">
      <c r="A76" s="2" t="s">
        <v>95</v>
      </c>
      <c r="B76" s="13" t="s">
        <v>59</v>
      </c>
      <c r="C76" s="13">
        <v>71016</v>
      </c>
      <c r="D76" s="14">
        <v>67877</v>
      </c>
      <c r="E76" s="15" t="e">
        <f>#REF!+#REF!+#REF!+#REF!+#REF!+#REF!+#REF!+GreenMobility!L76+#REF!+#REF!+#REF!+Partago!L76+#REF!+#REF!+#REF!</f>
        <v>#REF!</v>
      </c>
      <c r="F76" s="16" t="e">
        <f t="shared" si="0"/>
        <v>#REF!</v>
      </c>
      <c r="G76" s="19" t="e">
        <f>#REF!+#REF!+#REF!+#REF!+#REF!+#REF!+#REF!+#REF!+#REF!+Moovee!A76+#REF!+#REF!+#REF!</f>
        <v>#REF!</v>
      </c>
      <c r="H76" s="16" t="e">
        <f t="shared" si="1"/>
        <v>#REF!</v>
      </c>
      <c r="I76" s="30">
        <f t="shared" si="2"/>
        <v>135.75399999999999</v>
      </c>
      <c r="J76" s="31" t="e">
        <f t="shared" si="3"/>
        <v>#REF!</v>
      </c>
      <c r="K76" s="25" t="e">
        <f t="shared" si="16"/>
        <v>#REF!</v>
      </c>
      <c r="L76" s="25" t="e">
        <f t="shared" si="17"/>
        <v>#REF!</v>
      </c>
      <c r="M76" s="25" t="e">
        <f t="shared" si="18"/>
        <v>#REF!</v>
      </c>
      <c r="N76" s="25" t="e">
        <f t="shared" si="19"/>
        <v>#REF!</v>
      </c>
      <c r="O76" s="25" t="e">
        <f t="shared" si="20"/>
        <v>#REF!</v>
      </c>
      <c r="P76" s="25" t="e">
        <f t="shared" si="21"/>
        <v>#REF!</v>
      </c>
      <c r="Q76" s="25" t="e">
        <f t="shared" si="22"/>
        <v>#REF!</v>
      </c>
      <c r="R76" s="25" t="e">
        <f t="shared" si="23"/>
        <v>#REF!</v>
      </c>
      <c r="S76" s="25" t="e">
        <f t="shared" si="24"/>
        <v>#REF!</v>
      </c>
      <c r="T76" s="25" t="e">
        <f t="shared" si="25"/>
        <v>#REF!</v>
      </c>
      <c r="U76" s="25" t="e">
        <f t="shared" si="26"/>
        <v>#REF!</v>
      </c>
      <c r="V76" s="25" t="e">
        <f t="shared" si="27"/>
        <v>#REF!</v>
      </c>
    </row>
    <row r="77" spans="1:22" ht="14.25" customHeight="1" x14ac:dyDescent="0.35">
      <c r="A77" s="2" t="s">
        <v>49</v>
      </c>
      <c r="B77" s="13" t="s">
        <v>50</v>
      </c>
      <c r="C77" s="13">
        <v>44021</v>
      </c>
      <c r="D77" s="14">
        <v>269597</v>
      </c>
      <c r="E77" s="15" t="e">
        <f>#REF!+#REF!+#REF!+#REF!+#REF!+#REF!+#REF!+GreenMobility!L77+#REF!+#REF!+#REF!+Partago!L77+#REF!+#REF!+#REF!</f>
        <v>#REF!</v>
      </c>
      <c r="F77" s="48" t="e">
        <f t="shared" si="0"/>
        <v>#REF!</v>
      </c>
      <c r="G77" s="19" t="e">
        <f>#REF!+#REF!+#REF!+#REF!+#REF!+#REF!+#REF!+#REF!+#REF!+Moovee!A77+#REF!+#REF!+#REF!</f>
        <v>#REF!</v>
      </c>
      <c r="H77" s="17" t="e">
        <f t="shared" si="1"/>
        <v>#REF!</v>
      </c>
      <c r="I77" s="30">
        <f t="shared" si="2"/>
        <v>539.19399999999996</v>
      </c>
      <c r="J77" s="31" t="e">
        <f t="shared" si="3"/>
        <v>#REF!</v>
      </c>
      <c r="K77" s="25"/>
      <c r="L77" s="25"/>
      <c r="M77" s="25"/>
      <c r="N77" s="25"/>
      <c r="O77" s="25"/>
      <c r="P77" s="25"/>
      <c r="Q77" s="25"/>
      <c r="R77" s="25"/>
      <c r="S77" s="25"/>
      <c r="T77" s="25"/>
      <c r="U77" s="25"/>
      <c r="V77" s="25"/>
    </row>
    <row r="78" spans="1:22" ht="14.25" customHeight="1" x14ac:dyDescent="0.35">
      <c r="A78" s="2" t="s">
        <v>144</v>
      </c>
      <c r="B78" s="13" t="s">
        <v>50</v>
      </c>
      <c r="C78" s="13">
        <v>41018</v>
      </c>
      <c r="D78" s="14">
        <v>34999</v>
      </c>
      <c r="E78" s="15" t="e">
        <f>#REF!+#REF!+#REF!+#REF!+#REF!+#REF!+#REF!+GreenMobility!L78+#REF!+#REF!+#REF!+Partago!L78+#REF!+#REF!+#REF!</f>
        <v>#REF!</v>
      </c>
      <c r="F78" s="16" t="e">
        <f t="shared" si="0"/>
        <v>#REF!</v>
      </c>
      <c r="G78" s="19" t="e">
        <f>#REF!+#REF!+#REF!+#REF!+#REF!+#REF!+#REF!+#REF!+#REF!+Moovee!A78+#REF!+#REF!+#REF!</f>
        <v>#REF!</v>
      </c>
      <c r="H78" s="16" t="e">
        <f t="shared" si="1"/>
        <v>#REF!</v>
      </c>
      <c r="I78" s="30">
        <f t="shared" si="2"/>
        <v>69.998000000000005</v>
      </c>
      <c r="J78" s="31" t="e">
        <f t="shared" si="3"/>
        <v>#REF!</v>
      </c>
      <c r="K78" s="25" t="e">
        <f t="shared" ref="K78:K157" si="28">J78*0.05</f>
        <v>#REF!</v>
      </c>
      <c r="L78" s="25" t="e">
        <f t="shared" ref="L78:L157" si="29">J78*0.1</f>
        <v>#REF!</v>
      </c>
      <c r="M78" s="25" t="e">
        <f t="shared" ref="M78:M157" si="30">J78*0.15</f>
        <v>#REF!</v>
      </c>
      <c r="N78" s="25" t="e">
        <f t="shared" ref="N78:N157" si="31">J78*0.2</f>
        <v>#REF!</v>
      </c>
      <c r="O78" s="25" t="e">
        <f t="shared" ref="O78:O157" si="32">J78*0.233333</f>
        <v>#REF!</v>
      </c>
      <c r="P78" s="25" t="e">
        <f t="shared" ref="P78:P157" si="33">J78*0.266667</f>
        <v>#REF!</v>
      </c>
      <c r="Q78" s="25" t="e">
        <f t="shared" ref="Q78:Q157" si="34">J78*0.0158729999</f>
        <v>#REF!</v>
      </c>
      <c r="R78" s="25" t="e">
        <f t="shared" ref="R78:R157" si="35">J78*0.031746</f>
        <v>#REF!</v>
      </c>
      <c r="S78" s="25" t="e">
        <f t="shared" ref="S78:S157" si="36">J78*0.063492</f>
        <v>#REF!</v>
      </c>
      <c r="T78" s="25" t="e">
        <f t="shared" ref="T78:T157" si="37">J78*0.126984</f>
        <v>#REF!</v>
      </c>
      <c r="U78" s="25" t="e">
        <f t="shared" ref="U78:U157" si="38">J78*0.253968</f>
        <v>#REF!</v>
      </c>
      <c r="V78" s="25" t="e">
        <f t="shared" ref="V78:V157" si="39">J78*0.507936</f>
        <v>#REF!</v>
      </c>
    </row>
    <row r="79" spans="1:22" ht="14.25" customHeight="1" x14ac:dyDescent="0.35">
      <c r="A79" s="2" t="s">
        <v>323</v>
      </c>
      <c r="B79" s="13" t="s">
        <v>59</v>
      </c>
      <c r="C79" s="13">
        <v>71017</v>
      </c>
      <c r="D79" s="14">
        <v>8732</v>
      </c>
      <c r="E79" s="15" t="e">
        <f>#REF!+#REF!+#REF!+#REF!+#REF!+#REF!+#REF!+GreenMobility!L79+#REF!+#REF!+#REF!+Partago!L79+#REF!+#REF!+#REF!</f>
        <v>#REF!</v>
      </c>
      <c r="F79" s="16" t="e">
        <f t="shared" si="0"/>
        <v>#REF!</v>
      </c>
      <c r="G79" s="19" t="e">
        <f>#REF!+#REF!+#REF!+#REF!+#REF!+#REF!+#REF!+#REF!+#REF!+Moovee!A79+#REF!+#REF!+#REF!</f>
        <v>#REF!</v>
      </c>
      <c r="H79" s="16" t="e">
        <f t="shared" si="1"/>
        <v>#REF!</v>
      </c>
      <c r="I79" s="30">
        <f t="shared" si="2"/>
        <v>17.463999999999999</v>
      </c>
      <c r="J79" s="31" t="e">
        <f t="shared" si="3"/>
        <v>#REF!</v>
      </c>
      <c r="K79" s="25" t="e">
        <f t="shared" si="28"/>
        <v>#REF!</v>
      </c>
      <c r="L79" s="25" t="e">
        <f t="shared" si="29"/>
        <v>#REF!</v>
      </c>
      <c r="M79" s="25" t="e">
        <f t="shared" si="30"/>
        <v>#REF!</v>
      </c>
      <c r="N79" s="25" t="e">
        <f t="shared" si="31"/>
        <v>#REF!</v>
      </c>
      <c r="O79" s="25" t="e">
        <f t="shared" si="32"/>
        <v>#REF!</v>
      </c>
      <c r="P79" s="25" t="e">
        <f t="shared" si="33"/>
        <v>#REF!</v>
      </c>
      <c r="Q79" s="25" t="e">
        <f t="shared" si="34"/>
        <v>#REF!</v>
      </c>
      <c r="R79" s="25" t="e">
        <f t="shared" si="35"/>
        <v>#REF!</v>
      </c>
      <c r="S79" s="25" t="e">
        <f t="shared" si="36"/>
        <v>#REF!</v>
      </c>
      <c r="T79" s="25" t="e">
        <f t="shared" si="37"/>
        <v>#REF!</v>
      </c>
      <c r="U79" s="25" t="e">
        <f t="shared" si="38"/>
        <v>#REF!</v>
      </c>
      <c r="V79" s="25" t="e">
        <f t="shared" si="39"/>
        <v>#REF!</v>
      </c>
    </row>
    <row r="80" spans="1:22" ht="14.25" customHeight="1" x14ac:dyDescent="0.35">
      <c r="A80" s="2" t="s">
        <v>206</v>
      </c>
      <c r="B80" s="13" t="s">
        <v>55</v>
      </c>
      <c r="C80" s="13">
        <v>35005</v>
      </c>
      <c r="D80" s="14">
        <v>12244</v>
      </c>
      <c r="E80" s="15" t="e">
        <f>#REF!+#REF!+#REF!+#REF!+#REF!+#REF!+#REF!+GreenMobility!L80+#REF!+#REF!+#REF!+Partago!L80+#REF!+#REF!+#REF!</f>
        <v>#REF!</v>
      </c>
      <c r="F80" s="16" t="e">
        <f t="shared" si="0"/>
        <v>#REF!</v>
      </c>
      <c r="G80" s="19" t="e">
        <f>#REF!+#REF!+#REF!+#REF!+#REF!+#REF!+#REF!+#REF!+#REF!+Moovee!A80+#REF!+#REF!+#REF!</f>
        <v>#REF!</v>
      </c>
      <c r="H80" s="16" t="e">
        <f t="shared" si="1"/>
        <v>#REF!</v>
      </c>
      <c r="I80" s="30">
        <f t="shared" si="2"/>
        <v>24.488</v>
      </c>
      <c r="J80" s="31" t="e">
        <f t="shared" si="3"/>
        <v>#REF!</v>
      </c>
      <c r="K80" s="25" t="e">
        <f t="shared" si="28"/>
        <v>#REF!</v>
      </c>
      <c r="L80" s="25" t="e">
        <f t="shared" si="29"/>
        <v>#REF!</v>
      </c>
      <c r="M80" s="25" t="e">
        <f t="shared" si="30"/>
        <v>#REF!</v>
      </c>
      <c r="N80" s="25" t="e">
        <f t="shared" si="31"/>
        <v>#REF!</v>
      </c>
      <c r="O80" s="25" t="e">
        <f t="shared" si="32"/>
        <v>#REF!</v>
      </c>
      <c r="P80" s="25" t="e">
        <f t="shared" si="33"/>
        <v>#REF!</v>
      </c>
      <c r="Q80" s="25" t="e">
        <f t="shared" si="34"/>
        <v>#REF!</v>
      </c>
      <c r="R80" s="25" t="e">
        <f t="shared" si="35"/>
        <v>#REF!</v>
      </c>
      <c r="S80" s="25" t="e">
        <f t="shared" si="36"/>
        <v>#REF!</v>
      </c>
      <c r="T80" s="25" t="e">
        <f t="shared" si="37"/>
        <v>#REF!</v>
      </c>
      <c r="U80" s="25" t="e">
        <f t="shared" si="38"/>
        <v>#REF!</v>
      </c>
      <c r="V80" s="25" t="e">
        <f t="shared" si="39"/>
        <v>#REF!</v>
      </c>
    </row>
    <row r="81" spans="1:22" ht="14.25" customHeight="1" x14ac:dyDescent="0.35">
      <c r="A81" s="2" t="s">
        <v>243</v>
      </c>
      <c r="B81" s="13" t="s">
        <v>52</v>
      </c>
      <c r="C81" s="13">
        <v>24137</v>
      </c>
      <c r="D81" s="14">
        <v>5425</v>
      </c>
      <c r="E81" s="15" t="e">
        <f>#REF!+#REF!+#REF!+#REF!+#REF!+#REF!+#REF!+GreenMobility!L81+#REF!+#REF!+#REF!+Partago!L81+#REF!+#REF!+#REF!</f>
        <v>#REF!</v>
      </c>
      <c r="F81" s="16" t="e">
        <f t="shared" si="0"/>
        <v>#REF!</v>
      </c>
      <c r="G81" s="19" t="e">
        <f>#REF!+#REF!+#REF!+#REF!+#REF!+#REF!+#REF!+#REF!+#REF!+Moovee!A81+#REF!+#REF!+#REF!</f>
        <v>#REF!</v>
      </c>
      <c r="H81" s="16" t="e">
        <f t="shared" si="1"/>
        <v>#REF!</v>
      </c>
      <c r="I81" s="30">
        <f t="shared" si="2"/>
        <v>10.85</v>
      </c>
      <c r="J81" s="31" t="e">
        <f t="shared" si="3"/>
        <v>#REF!</v>
      </c>
      <c r="K81" s="25" t="e">
        <f t="shared" si="28"/>
        <v>#REF!</v>
      </c>
      <c r="L81" s="25" t="e">
        <f t="shared" si="29"/>
        <v>#REF!</v>
      </c>
      <c r="M81" s="25" t="e">
        <f t="shared" si="30"/>
        <v>#REF!</v>
      </c>
      <c r="N81" s="25" t="e">
        <f t="shared" si="31"/>
        <v>#REF!</v>
      </c>
      <c r="O81" s="25" t="e">
        <f t="shared" si="32"/>
        <v>#REF!</v>
      </c>
      <c r="P81" s="25" t="e">
        <f t="shared" si="33"/>
        <v>#REF!</v>
      </c>
      <c r="Q81" s="25" t="e">
        <f t="shared" si="34"/>
        <v>#REF!</v>
      </c>
      <c r="R81" s="25" t="e">
        <f t="shared" si="35"/>
        <v>#REF!</v>
      </c>
      <c r="S81" s="25" t="e">
        <f t="shared" si="36"/>
        <v>#REF!</v>
      </c>
      <c r="T81" s="25" t="e">
        <f t="shared" si="37"/>
        <v>#REF!</v>
      </c>
      <c r="U81" s="25" t="e">
        <f t="shared" si="38"/>
        <v>#REF!</v>
      </c>
      <c r="V81" s="25" t="e">
        <f t="shared" si="39"/>
        <v>#REF!</v>
      </c>
    </row>
    <row r="82" spans="1:22" ht="14.25" customHeight="1" x14ac:dyDescent="0.35">
      <c r="A82" s="2" t="s">
        <v>343</v>
      </c>
      <c r="B82" s="13" t="s">
        <v>52</v>
      </c>
      <c r="C82" s="13">
        <v>23024</v>
      </c>
      <c r="D82" s="14">
        <v>9527</v>
      </c>
      <c r="E82" s="15" t="e">
        <f>#REF!+#REF!+#REF!+#REF!+#REF!+#REF!+#REF!+GreenMobility!L82+#REF!+#REF!+#REF!+Partago!L82+#REF!+#REF!+#REF!</f>
        <v>#REF!</v>
      </c>
      <c r="F82" s="16" t="e">
        <f t="shared" si="0"/>
        <v>#REF!</v>
      </c>
      <c r="G82" s="19" t="e">
        <f>#REF!+#REF!+#REF!+#REF!+#REF!+#REF!+#REF!+#REF!+#REF!+Moovee!A82+#REF!+#REF!+#REF!</f>
        <v>#REF!</v>
      </c>
      <c r="H82" s="16" t="e">
        <f t="shared" si="1"/>
        <v>#REF!</v>
      </c>
      <c r="I82" s="30">
        <f t="shared" si="2"/>
        <v>19.053999999999998</v>
      </c>
      <c r="J82" s="31" t="e">
        <f t="shared" si="3"/>
        <v>#REF!</v>
      </c>
      <c r="K82" s="25" t="e">
        <f t="shared" si="28"/>
        <v>#REF!</v>
      </c>
      <c r="L82" s="25" t="e">
        <f t="shared" si="29"/>
        <v>#REF!</v>
      </c>
      <c r="M82" s="25" t="e">
        <f t="shared" si="30"/>
        <v>#REF!</v>
      </c>
      <c r="N82" s="25" t="e">
        <f t="shared" si="31"/>
        <v>#REF!</v>
      </c>
      <c r="O82" s="25" t="e">
        <f t="shared" si="32"/>
        <v>#REF!</v>
      </c>
      <c r="P82" s="25" t="e">
        <f t="shared" si="33"/>
        <v>#REF!</v>
      </c>
      <c r="Q82" s="25" t="e">
        <f t="shared" si="34"/>
        <v>#REF!</v>
      </c>
      <c r="R82" s="25" t="e">
        <f t="shared" si="35"/>
        <v>#REF!</v>
      </c>
      <c r="S82" s="25" t="e">
        <f t="shared" si="36"/>
        <v>#REF!</v>
      </c>
      <c r="T82" s="25" t="e">
        <f t="shared" si="37"/>
        <v>#REF!</v>
      </c>
      <c r="U82" s="25" t="e">
        <f t="shared" si="38"/>
        <v>#REF!</v>
      </c>
      <c r="V82" s="25" t="e">
        <f t="shared" si="39"/>
        <v>#REF!</v>
      </c>
    </row>
    <row r="83" spans="1:22" ht="14.25" customHeight="1" x14ac:dyDescent="0.35">
      <c r="A83" s="2" t="s">
        <v>107</v>
      </c>
      <c r="B83" s="13" t="s">
        <v>52</v>
      </c>
      <c r="C83" s="13">
        <v>23025</v>
      </c>
      <c r="D83" s="14">
        <v>39860</v>
      </c>
      <c r="E83" s="15" t="e">
        <f>#REF!+#REF!+#REF!+#REF!+#REF!+#REF!+#REF!+GreenMobility!L83+#REF!+#REF!+#REF!+Partago!L83+#REF!+#REF!+#REF!</f>
        <v>#REF!</v>
      </c>
      <c r="F83" s="16" t="e">
        <f t="shared" si="0"/>
        <v>#REF!</v>
      </c>
      <c r="G83" s="19" t="e">
        <f>#REF!+#REF!+#REF!+#REF!+#REF!+#REF!+#REF!+#REF!+#REF!+Moovee!A83+#REF!+#REF!+#REF!</f>
        <v>#REF!</v>
      </c>
      <c r="H83" s="16" t="e">
        <f t="shared" si="1"/>
        <v>#REF!</v>
      </c>
      <c r="I83" s="30">
        <f t="shared" si="2"/>
        <v>79.72</v>
      </c>
      <c r="J83" s="31" t="e">
        <f t="shared" si="3"/>
        <v>#REF!</v>
      </c>
      <c r="K83" s="25" t="e">
        <f t="shared" si="28"/>
        <v>#REF!</v>
      </c>
      <c r="L83" s="25" t="e">
        <f t="shared" si="29"/>
        <v>#REF!</v>
      </c>
      <c r="M83" s="25" t="e">
        <f t="shared" si="30"/>
        <v>#REF!</v>
      </c>
      <c r="N83" s="25" t="e">
        <f t="shared" si="31"/>
        <v>#REF!</v>
      </c>
      <c r="O83" s="25" t="e">
        <f t="shared" si="32"/>
        <v>#REF!</v>
      </c>
      <c r="P83" s="25" t="e">
        <f t="shared" si="33"/>
        <v>#REF!</v>
      </c>
      <c r="Q83" s="25" t="e">
        <f t="shared" si="34"/>
        <v>#REF!</v>
      </c>
      <c r="R83" s="25" t="e">
        <f t="shared" si="35"/>
        <v>#REF!</v>
      </c>
      <c r="S83" s="25" t="e">
        <f t="shared" si="36"/>
        <v>#REF!</v>
      </c>
      <c r="T83" s="25" t="e">
        <f t="shared" si="37"/>
        <v>#REF!</v>
      </c>
      <c r="U83" s="25" t="e">
        <f t="shared" si="38"/>
        <v>#REF!</v>
      </c>
      <c r="V83" s="25" t="e">
        <f t="shared" si="39"/>
        <v>#REF!</v>
      </c>
    </row>
    <row r="84" spans="1:22" ht="14.25" customHeight="1" x14ac:dyDescent="0.35">
      <c r="A84" s="2" t="s">
        <v>303</v>
      </c>
      <c r="B84" s="13" t="s">
        <v>48</v>
      </c>
      <c r="C84" s="13">
        <v>13010</v>
      </c>
      <c r="D84" s="14">
        <v>11607</v>
      </c>
      <c r="E84" s="15" t="e">
        <f>#REF!+#REF!+#REF!+#REF!+#REF!+#REF!+#REF!+GreenMobility!L84+#REF!+#REF!+#REF!+Partago!L84+#REF!+#REF!+#REF!</f>
        <v>#REF!</v>
      </c>
      <c r="F84" s="16" t="e">
        <f t="shared" si="0"/>
        <v>#REF!</v>
      </c>
      <c r="G84" s="19" t="e">
        <f>#REF!+#REF!+#REF!+#REF!+#REF!+#REF!+#REF!+#REF!+#REF!+Moovee!A84+#REF!+#REF!+#REF!</f>
        <v>#REF!</v>
      </c>
      <c r="H84" s="16" t="e">
        <f t="shared" si="1"/>
        <v>#REF!</v>
      </c>
      <c r="I84" s="30">
        <f t="shared" si="2"/>
        <v>23.213999999999999</v>
      </c>
      <c r="J84" s="31" t="e">
        <f t="shared" si="3"/>
        <v>#REF!</v>
      </c>
      <c r="K84" s="25" t="e">
        <f t="shared" si="28"/>
        <v>#REF!</v>
      </c>
      <c r="L84" s="25" t="e">
        <f t="shared" si="29"/>
        <v>#REF!</v>
      </c>
      <c r="M84" s="25" t="e">
        <f t="shared" si="30"/>
        <v>#REF!</v>
      </c>
      <c r="N84" s="25" t="e">
        <f t="shared" si="31"/>
        <v>#REF!</v>
      </c>
      <c r="O84" s="25" t="e">
        <f t="shared" si="32"/>
        <v>#REF!</v>
      </c>
      <c r="P84" s="25" t="e">
        <f t="shared" si="33"/>
        <v>#REF!</v>
      </c>
      <c r="Q84" s="25" t="e">
        <f t="shared" si="34"/>
        <v>#REF!</v>
      </c>
      <c r="R84" s="25" t="e">
        <f t="shared" si="35"/>
        <v>#REF!</v>
      </c>
      <c r="S84" s="25" t="e">
        <f t="shared" si="36"/>
        <v>#REF!</v>
      </c>
      <c r="T84" s="25" t="e">
        <f t="shared" si="37"/>
        <v>#REF!</v>
      </c>
      <c r="U84" s="25" t="e">
        <f t="shared" si="38"/>
        <v>#REF!</v>
      </c>
      <c r="V84" s="25" t="e">
        <f t="shared" si="39"/>
        <v>#REF!</v>
      </c>
    </row>
    <row r="85" spans="1:22" ht="14.25" customHeight="1" x14ac:dyDescent="0.35">
      <c r="A85" s="2" t="s">
        <v>92</v>
      </c>
      <c r="B85" s="13" t="s">
        <v>52</v>
      </c>
      <c r="C85" s="13">
        <v>24033</v>
      </c>
      <c r="D85" s="14">
        <v>15516</v>
      </c>
      <c r="E85" s="15" t="e">
        <f>#REF!+#REF!+#REF!+#REF!+#REF!+#REF!+#REF!+GreenMobility!L85+#REF!+#REF!+#REF!+Partago!L85+#REF!+#REF!+#REF!</f>
        <v>#REF!</v>
      </c>
      <c r="F85" s="16" t="e">
        <f t="shared" si="0"/>
        <v>#REF!</v>
      </c>
      <c r="G85" s="19" t="e">
        <f>#REF!+#REF!+#REF!+#REF!+#REF!+#REF!+#REF!+#REF!+#REF!+Moovee!A85+#REF!+#REF!+#REF!</f>
        <v>#REF!</v>
      </c>
      <c r="H85" s="16" t="e">
        <f t="shared" si="1"/>
        <v>#REF!</v>
      </c>
      <c r="I85" s="30">
        <f t="shared" si="2"/>
        <v>31.032</v>
      </c>
      <c r="J85" s="31" t="e">
        <f t="shared" si="3"/>
        <v>#REF!</v>
      </c>
      <c r="K85" s="25" t="e">
        <f t="shared" si="28"/>
        <v>#REF!</v>
      </c>
      <c r="L85" s="25" t="e">
        <f t="shared" si="29"/>
        <v>#REF!</v>
      </c>
      <c r="M85" s="25" t="e">
        <f t="shared" si="30"/>
        <v>#REF!</v>
      </c>
      <c r="N85" s="25" t="e">
        <f t="shared" si="31"/>
        <v>#REF!</v>
      </c>
      <c r="O85" s="25" t="e">
        <f t="shared" si="32"/>
        <v>#REF!</v>
      </c>
      <c r="P85" s="25" t="e">
        <f t="shared" si="33"/>
        <v>#REF!</v>
      </c>
      <c r="Q85" s="25" t="e">
        <f t="shared" si="34"/>
        <v>#REF!</v>
      </c>
      <c r="R85" s="25" t="e">
        <f t="shared" si="35"/>
        <v>#REF!</v>
      </c>
      <c r="S85" s="25" t="e">
        <f t="shared" si="36"/>
        <v>#REF!</v>
      </c>
      <c r="T85" s="25" t="e">
        <f t="shared" si="37"/>
        <v>#REF!</v>
      </c>
      <c r="U85" s="25" t="e">
        <f t="shared" si="38"/>
        <v>#REF!</v>
      </c>
      <c r="V85" s="25" t="e">
        <f t="shared" si="39"/>
        <v>#REF!</v>
      </c>
    </row>
    <row r="86" spans="1:22" ht="14.25" customHeight="1" x14ac:dyDescent="0.35">
      <c r="A86" s="2" t="s">
        <v>223</v>
      </c>
      <c r="B86" s="13" t="s">
        <v>50</v>
      </c>
      <c r="C86" s="13">
        <v>41024</v>
      </c>
      <c r="D86" s="14">
        <v>19402</v>
      </c>
      <c r="E86" s="15" t="e">
        <f>#REF!+#REF!+#REF!+#REF!+#REF!+#REF!+#REF!+GreenMobility!L86+#REF!+#REF!+#REF!+Partago!L86+#REF!+#REF!+#REF!</f>
        <v>#REF!</v>
      </c>
      <c r="F86" s="16" t="e">
        <f t="shared" si="0"/>
        <v>#REF!</v>
      </c>
      <c r="G86" s="19" t="e">
        <f>#REF!+#REF!+#REF!+#REF!+#REF!+#REF!+#REF!+#REF!+#REF!+Moovee!A86+#REF!+#REF!+#REF!</f>
        <v>#REF!</v>
      </c>
      <c r="H86" s="16" t="e">
        <f t="shared" si="1"/>
        <v>#REF!</v>
      </c>
      <c r="I86" s="30">
        <f t="shared" si="2"/>
        <v>38.804000000000002</v>
      </c>
      <c r="J86" s="31" t="e">
        <f t="shared" si="3"/>
        <v>#REF!</v>
      </c>
      <c r="K86" s="25" t="e">
        <f t="shared" si="28"/>
        <v>#REF!</v>
      </c>
      <c r="L86" s="25" t="e">
        <f t="shared" si="29"/>
        <v>#REF!</v>
      </c>
      <c r="M86" s="25" t="e">
        <f t="shared" si="30"/>
        <v>#REF!</v>
      </c>
      <c r="N86" s="25" t="e">
        <f t="shared" si="31"/>
        <v>#REF!</v>
      </c>
      <c r="O86" s="25" t="e">
        <f t="shared" si="32"/>
        <v>#REF!</v>
      </c>
      <c r="P86" s="25" t="e">
        <f t="shared" si="33"/>
        <v>#REF!</v>
      </c>
      <c r="Q86" s="25" t="e">
        <f t="shared" si="34"/>
        <v>#REF!</v>
      </c>
      <c r="R86" s="25" t="e">
        <f t="shared" si="35"/>
        <v>#REF!</v>
      </c>
      <c r="S86" s="25" t="e">
        <f t="shared" si="36"/>
        <v>#REF!</v>
      </c>
      <c r="T86" s="25" t="e">
        <f t="shared" si="37"/>
        <v>#REF!</v>
      </c>
      <c r="U86" s="25" t="e">
        <f t="shared" si="38"/>
        <v>#REF!</v>
      </c>
      <c r="V86" s="25" t="e">
        <f t="shared" si="39"/>
        <v>#REF!</v>
      </c>
    </row>
    <row r="87" spans="1:22" ht="14.25" customHeight="1" x14ac:dyDescent="0.35">
      <c r="A87" s="2" t="s">
        <v>324</v>
      </c>
      <c r="B87" s="13" t="s">
        <v>59</v>
      </c>
      <c r="C87" s="13">
        <v>71020</v>
      </c>
      <c r="D87" s="14">
        <v>9545</v>
      </c>
      <c r="E87" s="15" t="e">
        <f>#REF!+#REF!+#REF!+#REF!+#REF!+#REF!+#REF!+GreenMobility!L87+#REF!+#REF!+#REF!+Partago!L87+#REF!+#REF!+#REF!</f>
        <v>#REF!</v>
      </c>
      <c r="F87" s="16" t="e">
        <f t="shared" si="0"/>
        <v>#REF!</v>
      </c>
      <c r="G87" s="19" t="e">
        <f>#REF!+#REF!+#REF!+#REF!+#REF!+#REF!+#REF!+#REF!+#REF!+Moovee!A87+#REF!+#REF!+#REF!</f>
        <v>#REF!</v>
      </c>
      <c r="H87" s="16" t="e">
        <f t="shared" si="1"/>
        <v>#REF!</v>
      </c>
      <c r="I87" s="30">
        <f t="shared" si="2"/>
        <v>19.09</v>
      </c>
      <c r="J87" s="31" t="e">
        <f t="shared" si="3"/>
        <v>#REF!</v>
      </c>
      <c r="K87" s="25" t="e">
        <f t="shared" si="28"/>
        <v>#REF!</v>
      </c>
      <c r="L87" s="25" t="e">
        <f t="shared" si="29"/>
        <v>#REF!</v>
      </c>
      <c r="M87" s="25" t="e">
        <f t="shared" si="30"/>
        <v>#REF!</v>
      </c>
      <c r="N87" s="25" t="e">
        <f t="shared" si="31"/>
        <v>#REF!</v>
      </c>
      <c r="O87" s="25" t="e">
        <f t="shared" si="32"/>
        <v>#REF!</v>
      </c>
      <c r="P87" s="25" t="e">
        <f t="shared" si="33"/>
        <v>#REF!</v>
      </c>
      <c r="Q87" s="25" t="e">
        <f t="shared" si="34"/>
        <v>#REF!</v>
      </c>
      <c r="R87" s="25" t="e">
        <f t="shared" si="35"/>
        <v>#REF!</v>
      </c>
      <c r="S87" s="25" t="e">
        <f t="shared" si="36"/>
        <v>#REF!</v>
      </c>
      <c r="T87" s="25" t="e">
        <f t="shared" si="37"/>
        <v>#REF!</v>
      </c>
      <c r="U87" s="25" t="e">
        <f t="shared" si="38"/>
        <v>#REF!</v>
      </c>
      <c r="V87" s="25" t="e">
        <f t="shared" si="39"/>
        <v>#REF!</v>
      </c>
    </row>
    <row r="88" spans="1:22" ht="14.25" customHeight="1" x14ac:dyDescent="0.35">
      <c r="A88" s="2" t="s">
        <v>70</v>
      </c>
      <c r="B88" s="13" t="s">
        <v>52</v>
      </c>
      <c r="C88" s="13">
        <v>23027</v>
      </c>
      <c r="D88" s="14">
        <v>42595</v>
      </c>
      <c r="E88" s="15" t="e">
        <f>#REF!+#REF!+#REF!+#REF!+#REF!+#REF!+#REF!+GreenMobility!L88+#REF!+#REF!+#REF!+Partago!L88+#REF!+#REF!+#REF!</f>
        <v>#REF!</v>
      </c>
      <c r="F88" s="16" t="e">
        <f t="shared" si="0"/>
        <v>#REF!</v>
      </c>
      <c r="G88" s="19" t="e">
        <f>#REF!+#REF!+#REF!+#REF!+#REF!+#REF!+#REF!+#REF!+#REF!+Moovee!A88+#REF!+#REF!+#REF!</f>
        <v>#REF!</v>
      </c>
      <c r="H88" s="16" t="e">
        <f t="shared" si="1"/>
        <v>#REF!</v>
      </c>
      <c r="I88" s="30">
        <f t="shared" si="2"/>
        <v>85.19</v>
      </c>
      <c r="J88" s="31" t="e">
        <f t="shared" si="3"/>
        <v>#REF!</v>
      </c>
      <c r="K88" s="25" t="e">
        <f t="shared" si="28"/>
        <v>#REF!</v>
      </c>
      <c r="L88" s="25" t="e">
        <f t="shared" si="29"/>
        <v>#REF!</v>
      </c>
      <c r="M88" s="25" t="e">
        <f t="shared" si="30"/>
        <v>#REF!</v>
      </c>
      <c r="N88" s="25" t="e">
        <f t="shared" si="31"/>
        <v>#REF!</v>
      </c>
      <c r="O88" s="25" t="e">
        <f t="shared" si="32"/>
        <v>#REF!</v>
      </c>
      <c r="P88" s="25" t="e">
        <f t="shared" si="33"/>
        <v>#REF!</v>
      </c>
      <c r="Q88" s="25" t="e">
        <f t="shared" si="34"/>
        <v>#REF!</v>
      </c>
      <c r="R88" s="25" t="e">
        <f t="shared" si="35"/>
        <v>#REF!</v>
      </c>
      <c r="S88" s="25" t="e">
        <f t="shared" si="36"/>
        <v>#REF!</v>
      </c>
      <c r="T88" s="25" t="e">
        <f t="shared" si="37"/>
        <v>#REF!</v>
      </c>
      <c r="U88" s="25" t="e">
        <f t="shared" si="38"/>
        <v>#REF!</v>
      </c>
      <c r="V88" s="25" t="e">
        <f t="shared" si="39"/>
        <v>#REF!</v>
      </c>
    </row>
    <row r="89" spans="1:22" ht="14.25" customHeight="1" x14ac:dyDescent="0.35">
      <c r="A89" s="2" t="s">
        <v>344</v>
      </c>
      <c r="B89" s="13" t="s">
        <v>59</v>
      </c>
      <c r="C89" s="13">
        <v>71069</v>
      </c>
      <c r="D89" s="14">
        <v>11338</v>
      </c>
      <c r="E89" s="15" t="e">
        <f>#REF!+#REF!+#REF!+#REF!+#REF!+#REF!+#REF!+GreenMobility!L89+#REF!+#REF!+#REF!+Partago!L89+#REF!+#REF!+#REF!</f>
        <v>#REF!</v>
      </c>
      <c r="F89" s="16" t="e">
        <f t="shared" si="0"/>
        <v>#REF!</v>
      </c>
      <c r="G89" s="19" t="e">
        <f>#REF!+#REF!+#REF!+#REF!+#REF!+#REF!+#REF!+#REF!+#REF!+Moovee!A89+#REF!+#REF!+#REF!</f>
        <v>#REF!</v>
      </c>
      <c r="H89" s="16" t="e">
        <f t="shared" si="1"/>
        <v>#REF!</v>
      </c>
      <c r="I89" s="30">
        <f t="shared" si="2"/>
        <v>22.675999999999998</v>
      </c>
      <c r="J89" s="31" t="e">
        <f t="shared" si="3"/>
        <v>#REF!</v>
      </c>
      <c r="K89" s="25" t="e">
        <f t="shared" si="28"/>
        <v>#REF!</v>
      </c>
      <c r="L89" s="25" t="e">
        <f t="shared" si="29"/>
        <v>#REF!</v>
      </c>
      <c r="M89" s="25" t="e">
        <f t="shared" si="30"/>
        <v>#REF!</v>
      </c>
      <c r="N89" s="25" t="e">
        <f t="shared" si="31"/>
        <v>#REF!</v>
      </c>
      <c r="O89" s="25" t="e">
        <f t="shared" si="32"/>
        <v>#REF!</v>
      </c>
      <c r="P89" s="25" t="e">
        <f t="shared" si="33"/>
        <v>#REF!</v>
      </c>
      <c r="Q89" s="25" t="e">
        <f t="shared" si="34"/>
        <v>#REF!</v>
      </c>
      <c r="R89" s="25" t="e">
        <f t="shared" si="35"/>
        <v>#REF!</v>
      </c>
      <c r="S89" s="25" t="e">
        <f t="shared" si="36"/>
        <v>#REF!</v>
      </c>
      <c r="T89" s="25" t="e">
        <f t="shared" si="37"/>
        <v>#REF!</v>
      </c>
      <c r="U89" s="25" t="e">
        <f t="shared" si="38"/>
        <v>#REF!</v>
      </c>
      <c r="V89" s="25" t="e">
        <f t="shared" si="39"/>
        <v>#REF!</v>
      </c>
    </row>
    <row r="90" spans="1:22" ht="14.25" customHeight="1" x14ac:dyDescent="0.35">
      <c r="A90" s="2" t="s">
        <v>127</v>
      </c>
      <c r="B90" s="13" t="s">
        <v>50</v>
      </c>
      <c r="C90" s="13">
        <v>42008</v>
      </c>
      <c r="D90" s="14">
        <v>25554</v>
      </c>
      <c r="E90" s="15" t="e">
        <f>#REF!+#REF!+#REF!+#REF!+#REF!+#REF!+#REF!+GreenMobility!L90+#REF!+#REF!+#REF!+Partago!L90+#REF!+#REF!+#REF!</f>
        <v>#REF!</v>
      </c>
      <c r="F90" s="16" t="e">
        <f t="shared" si="0"/>
        <v>#REF!</v>
      </c>
      <c r="G90" s="19" t="e">
        <f>#REF!+#REF!+#REF!+#REF!+#REF!+#REF!+#REF!+#REF!+#REF!+Moovee!A90+#REF!+#REF!+#REF!</f>
        <v>#REF!</v>
      </c>
      <c r="H90" s="16" t="e">
        <f t="shared" si="1"/>
        <v>#REF!</v>
      </c>
      <c r="I90" s="30">
        <f t="shared" si="2"/>
        <v>51.107999999999997</v>
      </c>
      <c r="J90" s="31" t="e">
        <f t="shared" si="3"/>
        <v>#REF!</v>
      </c>
      <c r="K90" s="25" t="e">
        <f t="shared" si="28"/>
        <v>#REF!</v>
      </c>
      <c r="L90" s="25" t="e">
        <f t="shared" si="29"/>
        <v>#REF!</v>
      </c>
      <c r="M90" s="25" t="e">
        <f t="shared" si="30"/>
        <v>#REF!</v>
      </c>
      <c r="N90" s="25" t="e">
        <f t="shared" si="31"/>
        <v>#REF!</v>
      </c>
      <c r="O90" s="25" t="e">
        <f t="shared" si="32"/>
        <v>#REF!</v>
      </c>
      <c r="P90" s="25" t="e">
        <f t="shared" si="33"/>
        <v>#REF!</v>
      </c>
      <c r="Q90" s="25" t="e">
        <f t="shared" si="34"/>
        <v>#REF!</v>
      </c>
      <c r="R90" s="25" t="e">
        <f t="shared" si="35"/>
        <v>#REF!</v>
      </c>
      <c r="S90" s="25" t="e">
        <f t="shared" si="36"/>
        <v>#REF!</v>
      </c>
      <c r="T90" s="25" t="e">
        <f t="shared" si="37"/>
        <v>#REF!</v>
      </c>
      <c r="U90" s="25" t="e">
        <f t="shared" si="38"/>
        <v>#REF!</v>
      </c>
      <c r="V90" s="25" t="e">
        <f t="shared" si="39"/>
        <v>#REF!</v>
      </c>
    </row>
    <row r="91" spans="1:22" ht="14.25" customHeight="1" x14ac:dyDescent="0.35">
      <c r="A91" s="2" t="s">
        <v>331</v>
      </c>
      <c r="B91" s="13" t="s">
        <v>59</v>
      </c>
      <c r="C91" s="13">
        <v>72037</v>
      </c>
      <c r="D91" s="14">
        <v>14507</v>
      </c>
      <c r="E91" s="15" t="e">
        <f>#REF!+#REF!+#REF!+#REF!+#REF!+#REF!+#REF!+GreenMobility!L91+#REF!+#REF!+#REF!+Partago!L91+#REF!+#REF!+#REF!</f>
        <v>#REF!</v>
      </c>
      <c r="F91" s="16" t="e">
        <f t="shared" si="0"/>
        <v>#REF!</v>
      </c>
      <c r="G91" s="19" t="e">
        <f>#REF!+#REF!+#REF!+#REF!+#REF!+#REF!+#REF!+#REF!+#REF!+Moovee!A91+#REF!+#REF!+#REF!</f>
        <v>#REF!</v>
      </c>
      <c r="H91" s="16" t="e">
        <f t="shared" si="1"/>
        <v>#REF!</v>
      </c>
      <c r="I91" s="30">
        <f t="shared" si="2"/>
        <v>29.013999999999999</v>
      </c>
      <c r="J91" s="31" t="e">
        <f t="shared" si="3"/>
        <v>#REF!</v>
      </c>
      <c r="K91" s="25" t="e">
        <f t="shared" si="28"/>
        <v>#REF!</v>
      </c>
      <c r="L91" s="25" t="e">
        <f t="shared" si="29"/>
        <v>#REF!</v>
      </c>
      <c r="M91" s="25" t="e">
        <f t="shared" si="30"/>
        <v>#REF!</v>
      </c>
      <c r="N91" s="25" t="e">
        <f t="shared" si="31"/>
        <v>#REF!</v>
      </c>
      <c r="O91" s="25" t="e">
        <f t="shared" si="32"/>
        <v>#REF!</v>
      </c>
      <c r="P91" s="25" t="e">
        <f t="shared" si="33"/>
        <v>#REF!</v>
      </c>
      <c r="Q91" s="25" t="e">
        <f t="shared" si="34"/>
        <v>#REF!</v>
      </c>
      <c r="R91" s="25" t="e">
        <f t="shared" si="35"/>
        <v>#REF!</v>
      </c>
      <c r="S91" s="25" t="e">
        <f t="shared" si="36"/>
        <v>#REF!</v>
      </c>
      <c r="T91" s="25" t="e">
        <f t="shared" si="37"/>
        <v>#REF!</v>
      </c>
      <c r="U91" s="25" t="e">
        <f t="shared" si="38"/>
        <v>#REF!</v>
      </c>
      <c r="V91" s="25" t="e">
        <f t="shared" si="39"/>
        <v>#REF!</v>
      </c>
    </row>
    <row r="92" spans="1:22" ht="14.25" customHeight="1" x14ac:dyDescent="0.35">
      <c r="A92" s="2" t="s">
        <v>73</v>
      </c>
      <c r="B92" s="13" t="s">
        <v>55</v>
      </c>
      <c r="C92" s="13">
        <v>34013</v>
      </c>
      <c r="D92" s="14">
        <v>29904</v>
      </c>
      <c r="E92" s="15" t="e">
        <f>#REF!+#REF!+#REF!+#REF!+#REF!+#REF!+#REF!+GreenMobility!L92+#REF!+#REF!+#REF!+Partago!L92+#REF!+#REF!+#REF!</f>
        <v>#REF!</v>
      </c>
      <c r="F92" s="16" t="e">
        <f t="shared" si="0"/>
        <v>#REF!</v>
      </c>
      <c r="G92" s="19" t="e">
        <f>#REF!+#REF!+#REF!+#REF!+#REF!+#REF!+#REF!+#REF!+#REF!+Moovee!A92+#REF!+#REF!+#REF!</f>
        <v>#REF!</v>
      </c>
      <c r="H92" s="16" t="e">
        <f t="shared" si="1"/>
        <v>#REF!</v>
      </c>
      <c r="I92" s="30">
        <f t="shared" si="2"/>
        <v>59.808</v>
      </c>
      <c r="J92" s="31" t="e">
        <f t="shared" si="3"/>
        <v>#REF!</v>
      </c>
      <c r="K92" s="25" t="e">
        <f t="shared" si="28"/>
        <v>#REF!</v>
      </c>
      <c r="L92" s="25" t="e">
        <f t="shared" si="29"/>
        <v>#REF!</v>
      </c>
      <c r="M92" s="25" t="e">
        <f t="shared" si="30"/>
        <v>#REF!</v>
      </c>
      <c r="N92" s="25" t="e">
        <f t="shared" si="31"/>
        <v>#REF!</v>
      </c>
      <c r="O92" s="25" t="e">
        <f t="shared" si="32"/>
        <v>#REF!</v>
      </c>
      <c r="P92" s="25" t="e">
        <f t="shared" si="33"/>
        <v>#REF!</v>
      </c>
      <c r="Q92" s="25" t="e">
        <f t="shared" si="34"/>
        <v>#REF!</v>
      </c>
      <c r="R92" s="25" t="e">
        <f t="shared" si="35"/>
        <v>#REF!</v>
      </c>
      <c r="S92" s="25" t="e">
        <f t="shared" si="36"/>
        <v>#REF!</v>
      </c>
      <c r="T92" s="25" t="e">
        <f t="shared" si="37"/>
        <v>#REF!</v>
      </c>
      <c r="U92" s="25" t="e">
        <f t="shared" si="38"/>
        <v>#REF!</v>
      </c>
      <c r="V92" s="25" t="e">
        <f t="shared" si="39"/>
        <v>#REF!</v>
      </c>
    </row>
    <row r="93" spans="1:22" ht="14.25" customHeight="1" x14ac:dyDescent="0.35">
      <c r="A93" s="2" t="s">
        <v>58</v>
      </c>
      <c r="B93" s="13" t="s">
        <v>59</v>
      </c>
      <c r="C93" s="13">
        <v>71022</v>
      </c>
      <c r="D93" s="14">
        <v>80828</v>
      </c>
      <c r="E93" s="15" t="e">
        <f>#REF!+#REF!+#REF!+#REF!+#REF!+#REF!+#REF!+GreenMobility!L93+#REF!+#REF!+#REF!+Partago!L93+#REF!+#REF!+#REF!</f>
        <v>#REF!</v>
      </c>
      <c r="F93" s="16" t="e">
        <f t="shared" si="0"/>
        <v>#REF!</v>
      </c>
      <c r="G93" s="19" t="e">
        <f>#REF!+#REF!+#REF!+#REF!+#REF!+#REF!+#REF!+#REF!+#REF!+Moovee!A93+#REF!+#REF!+#REF!</f>
        <v>#REF!</v>
      </c>
      <c r="H93" s="16" t="e">
        <f t="shared" si="1"/>
        <v>#REF!</v>
      </c>
      <c r="I93" s="30">
        <f t="shared" si="2"/>
        <v>161.65600000000001</v>
      </c>
      <c r="J93" s="31" t="e">
        <f t="shared" si="3"/>
        <v>#REF!</v>
      </c>
      <c r="K93" s="25" t="e">
        <f t="shared" si="28"/>
        <v>#REF!</v>
      </c>
      <c r="L93" s="25" t="e">
        <f t="shared" si="29"/>
        <v>#REF!</v>
      </c>
      <c r="M93" s="25" t="e">
        <f t="shared" si="30"/>
        <v>#REF!</v>
      </c>
      <c r="N93" s="25" t="e">
        <f t="shared" si="31"/>
        <v>#REF!</v>
      </c>
      <c r="O93" s="25" t="e">
        <f t="shared" si="32"/>
        <v>#REF!</v>
      </c>
      <c r="P93" s="25" t="e">
        <f t="shared" si="33"/>
        <v>#REF!</v>
      </c>
      <c r="Q93" s="25" t="e">
        <f t="shared" si="34"/>
        <v>#REF!</v>
      </c>
      <c r="R93" s="25" t="e">
        <f t="shared" si="35"/>
        <v>#REF!</v>
      </c>
      <c r="S93" s="25" t="e">
        <f t="shared" si="36"/>
        <v>#REF!</v>
      </c>
      <c r="T93" s="25" t="e">
        <f t="shared" si="37"/>
        <v>#REF!</v>
      </c>
      <c r="U93" s="25" t="e">
        <f t="shared" si="38"/>
        <v>#REF!</v>
      </c>
      <c r="V93" s="25" t="e">
        <f t="shared" si="39"/>
        <v>#REF!</v>
      </c>
    </row>
    <row r="94" spans="1:22" ht="14.25" customHeight="1" x14ac:dyDescent="0.35">
      <c r="A94" s="2" t="s">
        <v>265</v>
      </c>
      <c r="B94" s="13" t="s">
        <v>59</v>
      </c>
      <c r="C94" s="13">
        <v>72038</v>
      </c>
      <c r="D94" s="14">
        <v>12965</v>
      </c>
      <c r="E94" s="15" t="e">
        <f>#REF!+#REF!+#REF!+#REF!+#REF!+#REF!+#REF!+GreenMobility!L94+#REF!+#REF!+#REF!+Partago!L94+#REF!+#REF!+#REF!</f>
        <v>#REF!</v>
      </c>
      <c r="F94" s="16" t="e">
        <f t="shared" si="0"/>
        <v>#REF!</v>
      </c>
      <c r="G94" s="19" t="e">
        <f>#REF!+#REF!+#REF!+#REF!+#REF!+#REF!+#REF!+#REF!+#REF!+Moovee!A94+#REF!+#REF!+#REF!</f>
        <v>#REF!</v>
      </c>
      <c r="H94" s="16" t="e">
        <f t="shared" si="1"/>
        <v>#REF!</v>
      </c>
      <c r="I94" s="30">
        <f t="shared" si="2"/>
        <v>25.93</v>
      </c>
      <c r="J94" s="31" t="e">
        <f t="shared" si="3"/>
        <v>#REF!</v>
      </c>
      <c r="K94" s="25" t="e">
        <f t="shared" si="28"/>
        <v>#REF!</v>
      </c>
      <c r="L94" s="25" t="e">
        <f t="shared" si="29"/>
        <v>#REF!</v>
      </c>
      <c r="M94" s="25" t="e">
        <f t="shared" si="30"/>
        <v>#REF!</v>
      </c>
      <c r="N94" s="25" t="e">
        <f t="shared" si="31"/>
        <v>#REF!</v>
      </c>
      <c r="O94" s="25" t="e">
        <f t="shared" si="32"/>
        <v>#REF!</v>
      </c>
      <c r="P94" s="25" t="e">
        <f t="shared" si="33"/>
        <v>#REF!</v>
      </c>
      <c r="Q94" s="25" t="e">
        <f t="shared" si="34"/>
        <v>#REF!</v>
      </c>
      <c r="R94" s="25" t="e">
        <f t="shared" si="35"/>
        <v>#REF!</v>
      </c>
      <c r="S94" s="25" t="e">
        <f t="shared" si="36"/>
        <v>#REF!</v>
      </c>
      <c r="T94" s="25" t="e">
        <f t="shared" si="37"/>
        <v>#REF!</v>
      </c>
      <c r="U94" s="25" t="e">
        <f t="shared" si="38"/>
        <v>#REF!</v>
      </c>
      <c r="V94" s="25" t="e">
        <f t="shared" si="39"/>
        <v>#REF!</v>
      </c>
    </row>
    <row r="95" spans="1:22" ht="14.25" customHeight="1" x14ac:dyDescent="0.35">
      <c r="A95" s="2" t="s">
        <v>300</v>
      </c>
      <c r="B95" s="13" t="s">
        <v>59</v>
      </c>
      <c r="C95" s="13">
        <v>73022</v>
      </c>
      <c r="D95" s="14">
        <v>7593</v>
      </c>
      <c r="E95" s="15" t="e">
        <f>#REF!+#REF!+#REF!+#REF!+#REF!+#REF!+#REF!+GreenMobility!L95+#REF!+#REF!+#REF!+Partago!L95+#REF!+#REF!+#REF!</f>
        <v>#REF!</v>
      </c>
      <c r="F95" s="16" t="e">
        <f t="shared" si="0"/>
        <v>#REF!</v>
      </c>
      <c r="G95" s="19" t="e">
        <f>#REF!+#REF!+#REF!+#REF!+#REF!+#REF!+#REF!+#REF!+#REF!+Moovee!A95+#REF!+#REF!+#REF!</f>
        <v>#REF!</v>
      </c>
      <c r="H95" s="16" t="e">
        <f t="shared" si="1"/>
        <v>#REF!</v>
      </c>
      <c r="I95" s="30">
        <f t="shared" si="2"/>
        <v>15.186</v>
      </c>
      <c r="J95" s="31" t="e">
        <f t="shared" si="3"/>
        <v>#REF!</v>
      </c>
      <c r="K95" s="25" t="e">
        <f t="shared" si="28"/>
        <v>#REF!</v>
      </c>
      <c r="L95" s="25" t="e">
        <f t="shared" si="29"/>
        <v>#REF!</v>
      </c>
      <c r="M95" s="25" t="e">
        <f t="shared" si="30"/>
        <v>#REF!</v>
      </c>
      <c r="N95" s="25" t="e">
        <f t="shared" si="31"/>
        <v>#REF!</v>
      </c>
      <c r="O95" s="25" t="e">
        <f t="shared" si="32"/>
        <v>#REF!</v>
      </c>
      <c r="P95" s="25" t="e">
        <f t="shared" si="33"/>
        <v>#REF!</v>
      </c>
      <c r="Q95" s="25" t="e">
        <f t="shared" si="34"/>
        <v>#REF!</v>
      </c>
      <c r="R95" s="25" t="e">
        <f t="shared" si="35"/>
        <v>#REF!</v>
      </c>
      <c r="S95" s="25" t="e">
        <f t="shared" si="36"/>
        <v>#REF!</v>
      </c>
      <c r="T95" s="25" t="e">
        <f t="shared" si="37"/>
        <v>#REF!</v>
      </c>
      <c r="U95" s="25" t="e">
        <f t="shared" si="38"/>
        <v>#REF!</v>
      </c>
      <c r="V95" s="25" t="e">
        <f t="shared" si="39"/>
        <v>#REF!</v>
      </c>
    </row>
    <row r="96" spans="1:22" ht="14.25" customHeight="1" x14ac:dyDescent="0.35">
      <c r="A96" s="2" t="s">
        <v>108</v>
      </c>
      <c r="B96" s="13" t="s">
        <v>48</v>
      </c>
      <c r="C96" s="13">
        <v>12014</v>
      </c>
      <c r="D96" s="14">
        <v>44505</v>
      </c>
      <c r="E96" s="15" t="e">
        <f>#REF!+#REF!+#REF!+#REF!+#REF!+#REF!+#REF!+GreenMobility!L96+#REF!+#REF!+#REF!+Partago!L96+#REF!+#REF!+#REF!</f>
        <v>#REF!</v>
      </c>
      <c r="F96" s="16" t="e">
        <f t="shared" si="0"/>
        <v>#REF!</v>
      </c>
      <c r="G96" s="19" t="e">
        <f>#REF!+#REF!+#REF!+#REF!+#REF!+#REF!+#REF!+#REF!+#REF!+Moovee!A96+#REF!+#REF!+#REF!</f>
        <v>#REF!</v>
      </c>
      <c r="H96" s="16" t="e">
        <f t="shared" si="1"/>
        <v>#REF!</v>
      </c>
      <c r="I96" s="30">
        <f t="shared" si="2"/>
        <v>89.01</v>
      </c>
      <c r="J96" s="31" t="e">
        <f t="shared" si="3"/>
        <v>#REF!</v>
      </c>
      <c r="K96" s="25" t="e">
        <f t="shared" si="28"/>
        <v>#REF!</v>
      </c>
      <c r="L96" s="25" t="e">
        <f t="shared" si="29"/>
        <v>#REF!</v>
      </c>
      <c r="M96" s="25" t="e">
        <f t="shared" si="30"/>
        <v>#REF!</v>
      </c>
      <c r="N96" s="25" t="e">
        <f t="shared" si="31"/>
        <v>#REF!</v>
      </c>
      <c r="O96" s="25" t="e">
        <f t="shared" si="32"/>
        <v>#REF!</v>
      </c>
      <c r="P96" s="25" t="e">
        <f t="shared" si="33"/>
        <v>#REF!</v>
      </c>
      <c r="Q96" s="25" t="e">
        <f t="shared" si="34"/>
        <v>#REF!</v>
      </c>
      <c r="R96" s="25" t="e">
        <f t="shared" si="35"/>
        <v>#REF!</v>
      </c>
      <c r="S96" s="25" t="e">
        <f t="shared" si="36"/>
        <v>#REF!</v>
      </c>
      <c r="T96" s="25" t="e">
        <f t="shared" si="37"/>
        <v>#REF!</v>
      </c>
      <c r="U96" s="25" t="e">
        <f t="shared" si="38"/>
        <v>#REF!</v>
      </c>
      <c r="V96" s="25" t="e">
        <f t="shared" si="39"/>
        <v>#REF!</v>
      </c>
    </row>
    <row r="97" spans="1:22" ht="14.25" customHeight="1" x14ac:dyDescent="0.35">
      <c r="A97" s="2" t="s">
        <v>266</v>
      </c>
      <c r="B97" s="13" t="s">
        <v>48</v>
      </c>
      <c r="C97" s="13">
        <v>11018</v>
      </c>
      <c r="D97" s="14">
        <v>12396</v>
      </c>
      <c r="E97" s="15" t="e">
        <f>#REF!+#REF!+#REF!+#REF!+#REF!+#REF!+#REF!+GreenMobility!L97+#REF!+#REF!+#REF!+Partago!L97+#REF!+#REF!+#REF!</f>
        <v>#REF!</v>
      </c>
      <c r="F97" s="16" t="e">
        <f t="shared" si="0"/>
        <v>#REF!</v>
      </c>
      <c r="G97" s="19" t="e">
        <f>#REF!+#REF!+#REF!+#REF!+#REF!+#REF!+#REF!+#REF!+#REF!+Moovee!A97+#REF!+#REF!+#REF!</f>
        <v>#REF!</v>
      </c>
      <c r="H97" s="16" t="e">
        <f t="shared" si="1"/>
        <v>#REF!</v>
      </c>
      <c r="I97" s="30">
        <f t="shared" si="2"/>
        <v>24.792000000000002</v>
      </c>
      <c r="J97" s="31" t="e">
        <f t="shared" si="3"/>
        <v>#REF!</v>
      </c>
      <c r="K97" s="25" t="e">
        <f t="shared" si="28"/>
        <v>#REF!</v>
      </c>
      <c r="L97" s="25" t="e">
        <f t="shared" si="29"/>
        <v>#REF!</v>
      </c>
      <c r="M97" s="25" t="e">
        <f t="shared" si="30"/>
        <v>#REF!</v>
      </c>
      <c r="N97" s="25" t="e">
        <f t="shared" si="31"/>
        <v>#REF!</v>
      </c>
      <c r="O97" s="25" t="e">
        <f t="shared" si="32"/>
        <v>#REF!</v>
      </c>
      <c r="P97" s="25" t="e">
        <f t="shared" si="33"/>
        <v>#REF!</v>
      </c>
      <c r="Q97" s="25" t="e">
        <f t="shared" si="34"/>
        <v>#REF!</v>
      </c>
      <c r="R97" s="25" t="e">
        <f t="shared" si="35"/>
        <v>#REF!</v>
      </c>
      <c r="S97" s="25" t="e">
        <f t="shared" si="36"/>
        <v>#REF!</v>
      </c>
      <c r="T97" s="25" t="e">
        <f t="shared" si="37"/>
        <v>#REF!</v>
      </c>
      <c r="U97" s="25" t="e">
        <f t="shared" si="38"/>
        <v>#REF!</v>
      </c>
      <c r="V97" s="25" t="e">
        <f t="shared" si="39"/>
        <v>#REF!</v>
      </c>
    </row>
    <row r="98" spans="1:22" ht="14.25" customHeight="1" x14ac:dyDescent="0.35">
      <c r="A98" s="2" t="s">
        <v>69</v>
      </c>
      <c r="B98" s="13" t="s">
        <v>52</v>
      </c>
      <c r="C98" s="13">
        <v>24038</v>
      </c>
      <c r="D98" s="14">
        <v>23007</v>
      </c>
      <c r="E98" s="15" t="e">
        <f>#REF!+#REF!+#REF!+#REF!+#REF!+#REF!+#REF!+GreenMobility!L98+#REF!+#REF!+#REF!+Partago!L98+#REF!+#REF!+#REF!</f>
        <v>#REF!</v>
      </c>
      <c r="F98" s="16" t="e">
        <f t="shared" si="0"/>
        <v>#REF!</v>
      </c>
      <c r="G98" s="19" t="e">
        <f>#REF!+#REF!+#REF!+#REF!+#REF!+#REF!+#REF!+#REF!+#REF!+Moovee!A98+#REF!+#REF!+#REF!</f>
        <v>#REF!</v>
      </c>
      <c r="H98" s="16" t="e">
        <f t="shared" si="1"/>
        <v>#REF!</v>
      </c>
      <c r="I98" s="30">
        <f t="shared" si="2"/>
        <v>46.014000000000003</v>
      </c>
      <c r="J98" s="31" t="e">
        <f t="shared" si="3"/>
        <v>#REF!</v>
      </c>
      <c r="K98" s="25" t="e">
        <f t="shared" si="28"/>
        <v>#REF!</v>
      </c>
      <c r="L98" s="25" t="e">
        <f t="shared" si="29"/>
        <v>#REF!</v>
      </c>
      <c r="M98" s="25" t="e">
        <f t="shared" si="30"/>
        <v>#REF!</v>
      </c>
      <c r="N98" s="25" t="e">
        <f t="shared" si="31"/>
        <v>#REF!</v>
      </c>
      <c r="O98" s="25" t="e">
        <f t="shared" si="32"/>
        <v>#REF!</v>
      </c>
      <c r="P98" s="25" t="e">
        <f t="shared" si="33"/>
        <v>#REF!</v>
      </c>
      <c r="Q98" s="25" t="e">
        <f t="shared" si="34"/>
        <v>#REF!</v>
      </c>
      <c r="R98" s="25" t="e">
        <f t="shared" si="35"/>
        <v>#REF!</v>
      </c>
      <c r="S98" s="25" t="e">
        <f t="shared" si="36"/>
        <v>#REF!</v>
      </c>
      <c r="T98" s="25" t="e">
        <f t="shared" si="37"/>
        <v>#REF!</v>
      </c>
      <c r="U98" s="25" t="e">
        <f t="shared" si="38"/>
        <v>#REF!</v>
      </c>
      <c r="V98" s="25" t="e">
        <f t="shared" si="39"/>
        <v>#REF!</v>
      </c>
    </row>
    <row r="99" spans="1:22" ht="14.25" customHeight="1" x14ac:dyDescent="0.35">
      <c r="A99" s="2" t="s">
        <v>83</v>
      </c>
      <c r="B99" s="13" t="s">
        <v>48</v>
      </c>
      <c r="C99" s="13">
        <v>13011</v>
      </c>
      <c r="D99" s="14">
        <v>28865</v>
      </c>
      <c r="E99" s="15" t="e">
        <f>#REF!+#REF!+#REF!+#REF!+#REF!+#REF!+#REF!+GreenMobility!L99+#REF!+#REF!+#REF!+Partago!L99+#REF!+#REF!+#REF!</f>
        <v>#REF!</v>
      </c>
      <c r="F99" s="16" t="e">
        <f t="shared" si="0"/>
        <v>#REF!</v>
      </c>
      <c r="G99" s="19" t="e">
        <f>#REF!+#REF!+#REF!+#REF!+#REF!+#REF!+#REF!+#REF!+#REF!+Moovee!A99+#REF!+#REF!+#REF!</f>
        <v>#REF!</v>
      </c>
      <c r="H99" s="16" t="e">
        <f t="shared" si="1"/>
        <v>#REF!</v>
      </c>
      <c r="I99" s="30">
        <f t="shared" si="2"/>
        <v>57.73</v>
      </c>
      <c r="J99" s="31" t="e">
        <f t="shared" si="3"/>
        <v>#REF!</v>
      </c>
      <c r="K99" s="25" t="e">
        <f t="shared" si="28"/>
        <v>#REF!</v>
      </c>
      <c r="L99" s="25" t="e">
        <f t="shared" si="29"/>
        <v>#REF!</v>
      </c>
      <c r="M99" s="25" t="e">
        <f t="shared" si="30"/>
        <v>#REF!</v>
      </c>
      <c r="N99" s="25" t="e">
        <f t="shared" si="31"/>
        <v>#REF!</v>
      </c>
      <c r="O99" s="25" t="e">
        <f t="shared" si="32"/>
        <v>#REF!</v>
      </c>
      <c r="P99" s="25" t="e">
        <f t="shared" si="33"/>
        <v>#REF!</v>
      </c>
      <c r="Q99" s="25" t="e">
        <f t="shared" si="34"/>
        <v>#REF!</v>
      </c>
      <c r="R99" s="25" t="e">
        <f t="shared" si="35"/>
        <v>#REF!</v>
      </c>
      <c r="S99" s="25" t="e">
        <f t="shared" si="36"/>
        <v>#REF!</v>
      </c>
      <c r="T99" s="25" t="e">
        <f t="shared" si="37"/>
        <v>#REF!</v>
      </c>
      <c r="U99" s="25" t="e">
        <f t="shared" si="38"/>
        <v>#REF!</v>
      </c>
      <c r="V99" s="25" t="e">
        <f t="shared" si="39"/>
        <v>#REF!</v>
      </c>
    </row>
    <row r="100" spans="1:22" ht="14.25" customHeight="1" x14ac:dyDescent="0.35">
      <c r="A100" s="2" t="s">
        <v>326</v>
      </c>
      <c r="B100" s="13" t="s">
        <v>48</v>
      </c>
      <c r="C100" s="13">
        <v>13012</v>
      </c>
      <c r="D100" s="14">
        <v>9454</v>
      </c>
      <c r="E100" s="15" t="e">
        <f>#REF!+#REF!+#REF!+#REF!+#REF!+#REF!+#REF!+GreenMobility!L100+#REF!+#REF!+#REF!+Partago!L100+#REF!+#REF!+#REF!</f>
        <v>#REF!</v>
      </c>
      <c r="F100" s="16" t="e">
        <f t="shared" si="0"/>
        <v>#REF!</v>
      </c>
      <c r="G100" s="19" t="e">
        <f>#REF!+#REF!+#REF!+#REF!+#REF!+#REF!+#REF!+#REF!+#REF!+Moovee!A100+#REF!+#REF!+#REF!</f>
        <v>#REF!</v>
      </c>
      <c r="H100" s="16" t="e">
        <f t="shared" si="1"/>
        <v>#REF!</v>
      </c>
      <c r="I100" s="30">
        <f t="shared" si="2"/>
        <v>18.908000000000001</v>
      </c>
      <c r="J100" s="31" t="e">
        <f t="shared" si="3"/>
        <v>#REF!</v>
      </c>
      <c r="K100" s="25" t="e">
        <f t="shared" si="28"/>
        <v>#REF!</v>
      </c>
      <c r="L100" s="25" t="e">
        <f t="shared" si="29"/>
        <v>#REF!</v>
      </c>
      <c r="M100" s="25" t="e">
        <f t="shared" si="30"/>
        <v>#REF!</v>
      </c>
      <c r="N100" s="25" t="e">
        <f t="shared" si="31"/>
        <v>#REF!</v>
      </c>
      <c r="O100" s="25" t="e">
        <f t="shared" si="32"/>
        <v>#REF!</v>
      </c>
      <c r="P100" s="25" t="e">
        <f t="shared" si="33"/>
        <v>#REF!</v>
      </c>
      <c r="Q100" s="25" t="e">
        <f t="shared" si="34"/>
        <v>#REF!</v>
      </c>
      <c r="R100" s="25" t="e">
        <f t="shared" si="35"/>
        <v>#REF!</v>
      </c>
      <c r="S100" s="25" t="e">
        <f t="shared" si="36"/>
        <v>#REF!</v>
      </c>
      <c r="T100" s="25" t="e">
        <f t="shared" si="37"/>
        <v>#REF!</v>
      </c>
      <c r="U100" s="25" t="e">
        <f t="shared" si="38"/>
        <v>#REF!</v>
      </c>
      <c r="V100" s="25" t="e">
        <f t="shared" si="39"/>
        <v>#REF!</v>
      </c>
    </row>
    <row r="101" spans="1:22" ht="14.25" customHeight="1" x14ac:dyDescent="0.35">
      <c r="A101" s="2" t="s">
        <v>187</v>
      </c>
      <c r="B101" s="13" t="s">
        <v>59</v>
      </c>
      <c r="C101" s="13">
        <v>71024</v>
      </c>
      <c r="D101" s="14">
        <v>12841</v>
      </c>
      <c r="E101" s="15" t="e">
        <f>#REF!+#REF!+#REF!+#REF!+#REF!+#REF!+#REF!+GreenMobility!L101+#REF!+#REF!+#REF!+Partago!L101+#REF!+#REF!+#REF!</f>
        <v>#REF!</v>
      </c>
      <c r="F101" s="16" t="e">
        <f t="shared" si="0"/>
        <v>#REF!</v>
      </c>
      <c r="G101" s="19" t="e">
        <f>#REF!+#REF!+#REF!+#REF!+#REF!+#REF!+#REF!+#REF!+#REF!+Moovee!A101+#REF!+#REF!+#REF!</f>
        <v>#REF!</v>
      </c>
      <c r="H101" s="16" t="e">
        <f t="shared" si="1"/>
        <v>#REF!</v>
      </c>
      <c r="I101" s="30">
        <f t="shared" si="2"/>
        <v>25.681999999999999</v>
      </c>
      <c r="J101" s="31" t="e">
        <f t="shared" si="3"/>
        <v>#REF!</v>
      </c>
      <c r="K101" s="25" t="e">
        <f t="shared" si="28"/>
        <v>#REF!</v>
      </c>
      <c r="L101" s="25" t="e">
        <f t="shared" si="29"/>
        <v>#REF!</v>
      </c>
      <c r="M101" s="25" t="e">
        <f t="shared" si="30"/>
        <v>#REF!</v>
      </c>
      <c r="N101" s="25" t="e">
        <f t="shared" si="31"/>
        <v>#REF!</v>
      </c>
      <c r="O101" s="25" t="e">
        <f t="shared" si="32"/>
        <v>#REF!</v>
      </c>
      <c r="P101" s="25" t="e">
        <f t="shared" si="33"/>
        <v>#REF!</v>
      </c>
      <c r="Q101" s="25" t="e">
        <f t="shared" si="34"/>
        <v>#REF!</v>
      </c>
      <c r="R101" s="25" t="e">
        <f t="shared" si="35"/>
        <v>#REF!</v>
      </c>
      <c r="S101" s="25" t="e">
        <f t="shared" si="36"/>
        <v>#REF!</v>
      </c>
      <c r="T101" s="25" t="e">
        <f t="shared" si="37"/>
        <v>#REF!</v>
      </c>
      <c r="U101" s="25" t="e">
        <f t="shared" si="38"/>
        <v>#REF!</v>
      </c>
      <c r="V101" s="25" t="e">
        <f t="shared" si="39"/>
        <v>#REF!</v>
      </c>
    </row>
    <row r="102" spans="1:22" ht="14.25" customHeight="1" x14ac:dyDescent="0.35">
      <c r="A102" s="2" t="s">
        <v>345</v>
      </c>
      <c r="B102" s="13" t="s">
        <v>52</v>
      </c>
      <c r="C102" s="13">
        <v>23032</v>
      </c>
      <c r="D102" s="14">
        <v>6825</v>
      </c>
      <c r="E102" s="15" t="e">
        <f>#REF!+#REF!+#REF!+#REF!+#REF!+#REF!+#REF!+GreenMobility!L102+#REF!+#REF!+#REF!+Partago!L102+#REF!+#REF!+#REF!</f>
        <v>#REF!</v>
      </c>
      <c r="F102" s="16" t="e">
        <f t="shared" si="0"/>
        <v>#REF!</v>
      </c>
      <c r="G102" s="19" t="e">
        <f>#REF!+#REF!+#REF!+#REF!+#REF!+#REF!+#REF!+#REF!+#REF!+Moovee!A102+#REF!+#REF!+#REF!</f>
        <v>#REF!</v>
      </c>
      <c r="H102" s="16" t="e">
        <f t="shared" si="1"/>
        <v>#REF!</v>
      </c>
      <c r="I102" s="30">
        <f t="shared" si="2"/>
        <v>13.65</v>
      </c>
      <c r="J102" s="31" t="e">
        <f t="shared" si="3"/>
        <v>#REF!</v>
      </c>
      <c r="K102" s="25" t="e">
        <f t="shared" si="28"/>
        <v>#REF!</v>
      </c>
      <c r="L102" s="25" t="e">
        <f t="shared" si="29"/>
        <v>#REF!</v>
      </c>
      <c r="M102" s="25" t="e">
        <f t="shared" si="30"/>
        <v>#REF!</v>
      </c>
      <c r="N102" s="25" t="e">
        <f t="shared" si="31"/>
        <v>#REF!</v>
      </c>
      <c r="O102" s="25" t="e">
        <f t="shared" si="32"/>
        <v>#REF!</v>
      </c>
      <c r="P102" s="25" t="e">
        <f t="shared" si="33"/>
        <v>#REF!</v>
      </c>
      <c r="Q102" s="25" t="e">
        <f t="shared" si="34"/>
        <v>#REF!</v>
      </c>
      <c r="R102" s="25" t="e">
        <f t="shared" si="35"/>
        <v>#REF!</v>
      </c>
      <c r="S102" s="25" t="e">
        <f t="shared" si="36"/>
        <v>#REF!</v>
      </c>
      <c r="T102" s="25" t="e">
        <f t="shared" si="37"/>
        <v>#REF!</v>
      </c>
      <c r="U102" s="25" t="e">
        <f t="shared" si="38"/>
        <v>#REF!</v>
      </c>
      <c r="V102" s="25" t="e">
        <f t="shared" si="39"/>
        <v>#REF!</v>
      </c>
    </row>
    <row r="103" spans="1:22" ht="14.25" customHeight="1" x14ac:dyDescent="0.35">
      <c r="A103" s="2" t="s">
        <v>272</v>
      </c>
      <c r="B103" s="13" t="s">
        <v>48</v>
      </c>
      <c r="C103" s="13">
        <v>13013</v>
      </c>
      <c r="D103" s="14">
        <v>14838</v>
      </c>
      <c r="E103" s="15" t="e">
        <f>#REF!+#REF!+#REF!+#REF!+#REF!+#REF!+#REF!+GreenMobility!L103+#REF!+#REF!+#REF!+Partago!L103+#REF!+#REF!+#REF!</f>
        <v>#REF!</v>
      </c>
      <c r="F103" s="16" t="e">
        <f t="shared" si="0"/>
        <v>#REF!</v>
      </c>
      <c r="G103" s="19" t="e">
        <f>#REF!+#REF!+#REF!+#REF!+#REF!+#REF!+#REF!+#REF!+#REF!+Moovee!A103+#REF!+#REF!+#REF!</f>
        <v>#REF!</v>
      </c>
      <c r="H103" s="16" t="e">
        <f t="shared" si="1"/>
        <v>#REF!</v>
      </c>
      <c r="I103" s="30">
        <f t="shared" si="2"/>
        <v>29.675999999999998</v>
      </c>
      <c r="J103" s="31" t="e">
        <f t="shared" si="3"/>
        <v>#REF!</v>
      </c>
      <c r="K103" s="25" t="e">
        <f t="shared" si="28"/>
        <v>#REF!</v>
      </c>
      <c r="L103" s="25" t="e">
        <f t="shared" si="29"/>
        <v>#REF!</v>
      </c>
      <c r="M103" s="25" t="e">
        <f t="shared" si="30"/>
        <v>#REF!</v>
      </c>
      <c r="N103" s="25" t="e">
        <f t="shared" si="31"/>
        <v>#REF!</v>
      </c>
      <c r="O103" s="25" t="e">
        <f t="shared" si="32"/>
        <v>#REF!</v>
      </c>
      <c r="P103" s="25" t="e">
        <f t="shared" si="33"/>
        <v>#REF!</v>
      </c>
      <c r="Q103" s="25" t="e">
        <f t="shared" si="34"/>
        <v>#REF!</v>
      </c>
      <c r="R103" s="25" t="e">
        <f t="shared" si="35"/>
        <v>#REF!</v>
      </c>
      <c r="S103" s="25" t="e">
        <f t="shared" si="36"/>
        <v>#REF!</v>
      </c>
      <c r="T103" s="25" t="e">
        <f t="shared" si="37"/>
        <v>#REF!</v>
      </c>
      <c r="U103" s="25" t="e">
        <f t="shared" si="38"/>
        <v>#REF!</v>
      </c>
      <c r="V103" s="25" t="e">
        <f t="shared" si="39"/>
        <v>#REF!</v>
      </c>
    </row>
    <row r="104" spans="1:22" ht="14.25" customHeight="1" x14ac:dyDescent="0.35">
      <c r="A104" s="2" t="s">
        <v>313</v>
      </c>
      <c r="B104" s="13" t="s">
        <v>59</v>
      </c>
      <c r="C104" s="13">
        <v>73028</v>
      </c>
      <c r="D104" s="14">
        <v>76</v>
      </c>
      <c r="E104" s="15" t="e">
        <f>#REF!+#REF!+#REF!+#REF!+#REF!+#REF!+#REF!+GreenMobility!L104+#REF!+#REF!+#REF!+Partago!L104+#REF!+#REF!+#REF!</f>
        <v>#REF!</v>
      </c>
      <c r="F104" s="16" t="e">
        <f t="shared" si="0"/>
        <v>#REF!</v>
      </c>
      <c r="G104" s="19" t="e">
        <f>#REF!+#REF!+#REF!+#REF!+#REF!+#REF!+#REF!+#REF!+#REF!+Moovee!A104+#REF!+#REF!+#REF!</f>
        <v>#REF!</v>
      </c>
      <c r="H104" s="16" t="e">
        <f t="shared" si="1"/>
        <v>#REF!</v>
      </c>
      <c r="I104" s="30">
        <f t="shared" si="2"/>
        <v>0.152</v>
      </c>
      <c r="J104" s="31" t="e">
        <f t="shared" si="3"/>
        <v>#REF!</v>
      </c>
      <c r="K104" s="25" t="e">
        <f t="shared" si="28"/>
        <v>#REF!</v>
      </c>
      <c r="L104" s="25" t="e">
        <f t="shared" si="29"/>
        <v>#REF!</v>
      </c>
      <c r="M104" s="25" t="e">
        <f t="shared" si="30"/>
        <v>#REF!</v>
      </c>
      <c r="N104" s="25" t="e">
        <f t="shared" si="31"/>
        <v>#REF!</v>
      </c>
      <c r="O104" s="25" t="e">
        <f t="shared" si="32"/>
        <v>#REF!</v>
      </c>
      <c r="P104" s="25" t="e">
        <f t="shared" si="33"/>
        <v>#REF!</v>
      </c>
      <c r="Q104" s="25" t="e">
        <f t="shared" si="34"/>
        <v>#REF!</v>
      </c>
      <c r="R104" s="25" t="e">
        <f t="shared" si="35"/>
        <v>#REF!</v>
      </c>
      <c r="S104" s="25" t="e">
        <f t="shared" si="36"/>
        <v>#REF!</v>
      </c>
      <c r="T104" s="25" t="e">
        <f t="shared" si="37"/>
        <v>#REF!</v>
      </c>
      <c r="U104" s="25" t="e">
        <f t="shared" si="38"/>
        <v>#REF!</v>
      </c>
      <c r="V104" s="25" t="e">
        <f t="shared" si="39"/>
        <v>#REF!</v>
      </c>
    </row>
    <row r="105" spans="1:22" ht="14.25" customHeight="1" x14ac:dyDescent="0.35">
      <c r="A105" s="2" t="s">
        <v>113</v>
      </c>
      <c r="B105" s="13" t="s">
        <v>50</v>
      </c>
      <c r="C105" s="13">
        <v>41027</v>
      </c>
      <c r="D105" s="14">
        <v>18928</v>
      </c>
      <c r="E105" s="15" t="e">
        <f>#REF!+#REF!+#REF!+#REF!+#REF!+#REF!+#REF!+GreenMobility!L105+#REF!+#REF!+#REF!+Partago!L105+#REF!+#REF!+#REF!</f>
        <v>#REF!</v>
      </c>
      <c r="F105" s="16" t="e">
        <f t="shared" si="0"/>
        <v>#REF!</v>
      </c>
      <c r="G105" s="19" t="e">
        <f>#REF!+#REF!+#REF!+#REF!+#REF!+#REF!+#REF!+#REF!+#REF!+Moovee!A105+#REF!+#REF!+#REF!</f>
        <v>#REF!</v>
      </c>
      <c r="H105" s="16" t="e">
        <f t="shared" si="1"/>
        <v>#REF!</v>
      </c>
      <c r="I105" s="30">
        <f t="shared" si="2"/>
        <v>37.856000000000002</v>
      </c>
      <c r="J105" s="31" t="e">
        <f t="shared" si="3"/>
        <v>#REF!</v>
      </c>
      <c r="K105" s="25" t="e">
        <f t="shared" si="28"/>
        <v>#REF!</v>
      </c>
      <c r="L105" s="25" t="e">
        <f t="shared" si="29"/>
        <v>#REF!</v>
      </c>
      <c r="M105" s="25" t="e">
        <f t="shared" si="30"/>
        <v>#REF!</v>
      </c>
      <c r="N105" s="25" t="e">
        <f t="shared" si="31"/>
        <v>#REF!</v>
      </c>
      <c r="O105" s="25" t="e">
        <f t="shared" si="32"/>
        <v>#REF!</v>
      </c>
      <c r="P105" s="25" t="e">
        <f t="shared" si="33"/>
        <v>#REF!</v>
      </c>
      <c r="Q105" s="25" t="e">
        <f t="shared" si="34"/>
        <v>#REF!</v>
      </c>
      <c r="R105" s="25" t="e">
        <f t="shared" si="35"/>
        <v>#REF!</v>
      </c>
      <c r="S105" s="25" t="e">
        <f t="shared" si="36"/>
        <v>#REF!</v>
      </c>
      <c r="T105" s="25" t="e">
        <f t="shared" si="37"/>
        <v>#REF!</v>
      </c>
      <c r="U105" s="25" t="e">
        <f t="shared" si="38"/>
        <v>#REF!</v>
      </c>
      <c r="V105" s="25" t="e">
        <f t="shared" si="39"/>
        <v>#REF!</v>
      </c>
    </row>
    <row r="106" spans="1:22" ht="14.25" customHeight="1" x14ac:dyDescent="0.35">
      <c r="A106" s="2" t="s">
        <v>190</v>
      </c>
      <c r="B106" s="13" t="s">
        <v>59</v>
      </c>
      <c r="C106" s="13">
        <v>71070</v>
      </c>
      <c r="D106" s="14">
        <v>35017</v>
      </c>
      <c r="E106" s="15" t="e">
        <f>#REF!+#REF!+#REF!+#REF!+#REF!+#REF!+#REF!+GreenMobility!L106+#REF!+#REF!+#REF!+Partago!L106+#REF!+#REF!+#REF!</f>
        <v>#REF!</v>
      </c>
      <c r="F106" s="16" t="e">
        <f t="shared" si="0"/>
        <v>#REF!</v>
      </c>
      <c r="G106" s="19" t="e">
        <f>#REF!+#REF!+#REF!+#REF!+#REF!+#REF!+#REF!+#REF!+#REF!+Moovee!A106+#REF!+#REF!+#REF!</f>
        <v>#REF!</v>
      </c>
      <c r="H106" s="16" t="e">
        <f t="shared" si="1"/>
        <v>#REF!</v>
      </c>
      <c r="I106" s="30">
        <f t="shared" si="2"/>
        <v>70.034000000000006</v>
      </c>
      <c r="J106" s="31" t="e">
        <f t="shared" si="3"/>
        <v>#REF!</v>
      </c>
      <c r="K106" s="25" t="e">
        <f t="shared" si="28"/>
        <v>#REF!</v>
      </c>
      <c r="L106" s="25" t="e">
        <f t="shared" si="29"/>
        <v>#REF!</v>
      </c>
      <c r="M106" s="25" t="e">
        <f t="shared" si="30"/>
        <v>#REF!</v>
      </c>
      <c r="N106" s="25" t="e">
        <f t="shared" si="31"/>
        <v>#REF!</v>
      </c>
      <c r="O106" s="25" t="e">
        <f t="shared" si="32"/>
        <v>#REF!</v>
      </c>
      <c r="P106" s="25" t="e">
        <f t="shared" si="33"/>
        <v>#REF!</v>
      </c>
      <c r="Q106" s="25" t="e">
        <f t="shared" si="34"/>
        <v>#REF!</v>
      </c>
      <c r="R106" s="25" t="e">
        <f t="shared" si="35"/>
        <v>#REF!</v>
      </c>
      <c r="S106" s="25" t="e">
        <f t="shared" si="36"/>
        <v>#REF!</v>
      </c>
      <c r="T106" s="25" t="e">
        <f t="shared" si="37"/>
        <v>#REF!</v>
      </c>
      <c r="U106" s="25" t="e">
        <f t="shared" si="38"/>
        <v>#REF!</v>
      </c>
      <c r="V106" s="25" t="e">
        <f t="shared" si="39"/>
        <v>#REF!</v>
      </c>
    </row>
    <row r="107" spans="1:22" ht="14.25" customHeight="1" x14ac:dyDescent="0.35">
      <c r="A107" s="2" t="s">
        <v>167</v>
      </c>
      <c r="B107" s="13" t="s">
        <v>55</v>
      </c>
      <c r="C107" s="13">
        <v>33039</v>
      </c>
      <c r="D107" s="14">
        <v>7969</v>
      </c>
      <c r="E107" s="15" t="e">
        <f>#REF!+#REF!+#REF!+#REF!+#REF!+#REF!+#REF!+GreenMobility!L107+#REF!+#REF!+#REF!+Partago!L107+#REF!+#REF!+#REF!</f>
        <v>#REF!</v>
      </c>
      <c r="F107" s="16" t="e">
        <f t="shared" si="0"/>
        <v>#REF!</v>
      </c>
      <c r="G107" s="19" t="e">
        <f>#REF!+#REF!+#REF!+#REF!+#REF!+#REF!+#REF!+#REF!+#REF!+Moovee!A107+#REF!+#REF!+#REF!</f>
        <v>#REF!</v>
      </c>
      <c r="H107" s="16" t="e">
        <f t="shared" si="1"/>
        <v>#REF!</v>
      </c>
      <c r="I107" s="30">
        <f t="shared" si="2"/>
        <v>15.938000000000001</v>
      </c>
      <c r="J107" s="31" t="e">
        <f t="shared" si="3"/>
        <v>#REF!</v>
      </c>
      <c r="K107" s="25" t="e">
        <f t="shared" si="28"/>
        <v>#REF!</v>
      </c>
      <c r="L107" s="25" t="e">
        <f t="shared" si="29"/>
        <v>#REF!</v>
      </c>
      <c r="M107" s="25" t="e">
        <f t="shared" si="30"/>
        <v>#REF!</v>
      </c>
      <c r="N107" s="25" t="e">
        <f t="shared" si="31"/>
        <v>#REF!</v>
      </c>
      <c r="O107" s="25" t="e">
        <f t="shared" si="32"/>
        <v>#REF!</v>
      </c>
      <c r="P107" s="25" t="e">
        <f t="shared" si="33"/>
        <v>#REF!</v>
      </c>
      <c r="Q107" s="25" t="e">
        <f t="shared" si="34"/>
        <v>#REF!</v>
      </c>
      <c r="R107" s="25" t="e">
        <f t="shared" si="35"/>
        <v>#REF!</v>
      </c>
      <c r="S107" s="25" t="e">
        <f t="shared" si="36"/>
        <v>#REF!</v>
      </c>
      <c r="T107" s="25" t="e">
        <f t="shared" si="37"/>
        <v>#REF!</v>
      </c>
      <c r="U107" s="25" t="e">
        <f t="shared" si="38"/>
        <v>#REF!</v>
      </c>
      <c r="V107" s="25" t="e">
        <f t="shared" si="39"/>
        <v>#REF!</v>
      </c>
    </row>
    <row r="108" spans="1:22" ht="14.25" customHeight="1" x14ac:dyDescent="0.35">
      <c r="A108" s="2" t="s">
        <v>192</v>
      </c>
      <c r="B108" s="13" t="s">
        <v>52</v>
      </c>
      <c r="C108" s="13">
        <v>24041</v>
      </c>
      <c r="D108" s="14">
        <v>6873</v>
      </c>
      <c r="E108" s="15" t="e">
        <f>#REF!+#REF!+#REF!+#REF!+#REF!+#REF!+#REF!+GreenMobility!L108+#REF!+#REF!+#REF!+Partago!L108+#REF!+#REF!+#REF!</f>
        <v>#REF!</v>
      </c>
      <c r="F108" s="16" t="e">
        <f t="shared" si="0"/>
        <v>#REF!</v>
      </c>
      <c r="G108" s="19" t="e">
        <f>#REF!+#REF!+#REF!+#REF!+#REF!+#REF!+#REF!+#REF!+#REF!+Moovee!A108+#REF!+#REF!+#REF!</f>
        <v>#REF!</v>
      </c>
      <c r="H108" s="16" t="e">
        <f t="shared" si="1"/>
        <v>#REF!</v>
      </c>
      <c r="I108" s="30">
        <f t="shared" si="2"/>
        <v>13.746</v>
      </c>
      <c r="J108" s="31" t="e">
        <f t="shared" si="3"/>
        <v>#REF!</v>
      </c>
      <c r="K108" s="25" t="e">
        <f t="shared" si="28"/>
        <v>#REF!</v>
      </c>
      <c r="L108" s="25" t="e">
        <f t="shared" si="29"/>
        <v>#REF!</v>
      </c>
      <c r="M108" s="25" t="e">
        <f t="shared" si="30"/>
        <v>#REF!</v>
      </c>
      <c r="N108" s="25" t="e">
        <f t="shared" si="31"/>
        <v>#REF!</v>
      </c>
      <c r="O108" s="25" t="e">
        <f t="shared" si="32"/>
        <v>#REF!</v>
      </c>
      <c r="P108" s="25" t="e">
        <f t="shared" si="33"/>
        <v>#REF!</v>
      </c>
      <c r="Q108" s="25" t="e">
        <f t="shared" si="34"/>
        <v>#REF!</v>
      </c>
      <c r="R108" s="25" t="e">
        <f t="shared" si="35"/>
        <v>#REF!</v>
      </c>
      <c r="S108" s="25" t="e">
        <f t="shared" si="36"/>
        <v>#REF!</v>
      </c>
      <c r="T108" s="25" t="e">
        <f t="shared" si="37"/>
        <v>#REF!</v>
      </c>
      <c r="U108" s="25" t="e">
        <f t="shared" si="38"/>
        <v>#REF!</v>
      </c>
      <c r="V108" s="25" t="e">
        <f t="shared" si="39"/>
        <v>#REF!</v>
      </c>
    </row>
    <row r="109" spans="1:22" ht="14.25" customHeight="1" x14ac:dyDescent="0.35">
      <c r="A109" s="2" t="s">
        <v>153</v>
      </c>
      <c r="B109" s="13" t="s">
        <v>52</v>
      </c>
      <c r="C109" s="13">
        <v>23033</v>
      </c>
      <c r="D109" s="14">
        <v>11636</v>
      </c>
      <c r="E109" s="15" t="e">
        <f>#REF!+#REF!+#REF!+#REF!+#REF!+#REF!+#REF!+GreenMobility!L109+#REF!+#REF!+#REF!+Partago!L109+#REF!+#REF!+#REF!</f>
        <v>#REF!</v>
      </c>
      <c r="F109" s="16" t="e">
        <f t="shared" si="0"/>
        <v>#REF!</v>
      </c>
      <c r="G109" s="19" t="e">
        <f>#REF!+#REF!+#REF!+#REF!+#REF!+#REF!+#REF!+#REF!+#REF!+Moovee!A109+#REF!+#REF!+#REF!</f>
        <v>#REF!</v>
      </c>
      <c r="H109" s="16" t="e">
        <f t="shared" si="1"/>
        <v>#REF!</v>
      </c>
      <c r="I109" s="30">
        <f t="shared" si="2"/>
        <v>23.271999999999998</v>
      </c>
      <c r="J109" s="31" t="e">
        <f t="shared" si="3"/>
        <v>#REF!</v>
      </c>
      <c r="K109" s="25" t="e">
        <f t="shared" si="28"/>
        <v>#REF!</v>
      </c>
      <c r="L109" s="25" t="e">
        <f t="shared" si="29"/>
        <v>#REF!</v>
      </c>
      <c r="M109" s="25" t="e">
        <f t="shared" si="30"/>
        <v>#REF!</v>
      </c>
      <c r="N109" s="25" t="e">
        <f t="shared" si="31"/>
        <v>#REF!</v>
      </c>
      <c r="O109" s="25" t="e">
        <f t="shared" si="32"/>
        <v>#REF!</v>
      </c>
      <c r="P109" s="25" t="e">
        <f t="shared" si="33"/>
        <v>#REF!</v>
      </c>
      <c r="Q109" s="25" t="e">
        <f t="shared" si="34"/>
        <v>#REF!</v>
      </c>
      <c r="R109" s="25" t="e">
        <f t="shared" si="35"/>
        <v>#REF!</v>
      </c>
      <c r="S109" s="25" t="e">
        <f t="shared" si="36"/>
        <v>#REF!</v>
      </c>
      <c r="T109" s="25" t="e">
        <f t="shared" si="37"/>
        <v>#REF!</v>
      </c>
      <c r="U109" s="25" t="e">
        <f t="shared" si="38"/>
        <v>#REF!</v>
      </c>
      <c r="V109" s="25" t="e">
        <f t="shared" si="39"/>
        <v>#REF!</v>
      </c>
    </row>
    <row r="110" spans="1:22" ht="14.25" customHeight="1" x14ac:dyDescent="0.35">
      <c r="A110" s="2" t="s">
        <v>346</v>
      </c>
      <c r="B110" s="13" t="s">
        <v>59</v>
      </c>
      <c r="C110" s="13">
        <v>73032</v>
      </c>
      <c r="D110" s="14">
        <v>10080</v>
      </c>
      <c r="E110" s="15" t="e">
        <f>#REF!+#REF!+#REF!+#REF!+#REF!+#REF!+#REF!+GreenMobility!L110+#REF!+#REF!+#REF!+Partago!L110+#REF!+#REF!+#REF!</f>
        <v>#REF!</v>
      </c>
      <c r="F110" s="16" t="e">
        <f t="shared" si="0"/>
        <v>#REF!</v>
      </c>
      <c r="G110" s="19" t="e">
        <f>#REF!+#REF!+#REF!+#REF!+#REF!+#REF!+#REF!+#REF!+#REF!+Moovee!A110+#REF!+#REF!+#REF!</f>
        <v>#REF!</v>
      </c>
      <c r="H110" s="16" t="e">
        <f t="shared" si="1"/>
        <v>#REF!</v>
      </c>
      <c r="I110" s="30">
        <f t="shared" si="2"/>
        <v>20.16</v>
      </c>
      <c r="J110" s="31" t="e">
        <f t="shared" si="3"/>
        <v>#REF!</v>
      </c>
      <c r="K110" s="25" t="e">
        <f t="shared" si="28"/>
        <v>#REF!</v>
      </c>
      <c r="L110" s="25" t="e">
        <f t="shared" si="29"/>
        <v>#REF!</v>
      </c>
      <c r="M110" s="25" t="e">
        <f t="shared" si="30"/>
        <v>#REF!</v>
      </c>
      <c r="N110" s="25" t="e">
        <f t="shared" si="31"/>
        <v>#REF!</v>
      </c>
      <c r="O110" s="25" t="e">
        <f t="shared" si="32"/>
        <v>#REF!</v>
      </c>
      <c r="P110" s="25" t="e">
        <f t="shared" si="33"/>
        <v>#REF!</v>
      </c>
      <c r="Q110" s="25" t="e">
        <f t="shared" si="34"/>
        <v>#REF!</v>
      </c>
      <c r="R110" s="25" t="e">
        <f t="shared" si="35"/>
        <v>#REF!</v>
      </c>
      <c r="S110" s="25" t="e">
        <f t="shared" si="36"/>
        <v>#REF!</v>
      </c>
      <c r="T110" s="25" t="e">
        <f t="shared" si="37"/>
        <v>#REF!</v>
      </c>
      <c r="U110" s="25" t="e">
        <f t="shared" si="38"/>
        <v>#REF!</v>
      </c>
      <c r="V110" s="25" t="e">
        <f t="shared" si="39"/>
        <v>#REF!</v>
      </c>
    </row>
    <row r="111" spans="1:22" ht="14.25" customHeight="1" x14ac:dyDescent="0.35">
      <c r="A111" s="2" t="s">
        <v>86</v>
      </c>
      <c r="B111" s="13" t="s">
        <v>52</v>
      </c>
      <c r="C111" s="13">
        <v>24043</v>
      </c>
      <c r="D111" s="14">
        <v>10207</v>
      </c>
      <c r="E111" s="15" t="e">
        <f>#REF!+#REF!+#REF!+#REF!+#REF!+#REF!+#REF!+GreenMobility!L111+#REF!+#REF!+#REF!+Partago!L111+#REF!+#REF!+#REF!</f>
        <v>#REF!</v>
      </c>
      <c r="F111" s="16" t="e">
        <f t="shared" si="0"/>
        <v>#REF!</v>
      </c>
      <c r="G111" s="19" t="e">
        <f>#REF!+#REF!+#REF!+#REF!+#REF!+#REF!+#REF!+#REF!+#REF!+Moovee!A111+#REF!+#REF!+#REF!</f>
        <v>#REF!</v>
      </c>
      <c r="H111" s="16" t="e">
        <f t="shared" si="1"/>
        <v>#REF!</v>
      </c>
      <c r="I111" s="30">
        <f t="shared" si="2"/>
        <v>20.414000000000001</v>
      </c>
      <c r="J111" s="31" t="e">
        <f t="shared" si="3"/>
        <v>#REF!</v>
      </c>
      <c r="K111" s="25" t="e">
        <f t="shared" si="28"/>
        <v>#REF!</v>
      </c>
      <c r="L111" s="25" t="e">
        <f t="shared" si="29"/>
        <v>#REF!</v>
      </c>
      <c r="M111" s="25" t="e">
        <f t="shared" si="30"/>
        <v>#REF!</v>
      </c>
      <c r="N111" s="25" t="e">
        <f t="shared" si="31"/>
        <v>#REF!</v>
      </c>
      <c r="O111" s="25" t="e">
        <f t="shared" si="32"/>
        <v>#REF!</v>
      </c>
      <c r="P111" s="25" t="e">
        <f t="shared" si="33"/>
        <v>#REF!</v>
      </c>
      <c r="Q111" s="25" t="e">
        <f t="shared" si="34"/>
        <v>#REF!</v>
      </c>
      <c r="R111" s="25" t="e">
        <f t="shared" si="35"/>
        <v>#REF!</v>
      </c>
      <c r="S111" s="25" t="e">
        <f t="shared" si="36"/>
        <v>#REF!</v>
      </c>
      <c r="T111" s="25" t="e">
        <f t="shared" si="37"/>
        <v>#REF!</v>
      </c>
      <c r="U111" s="25" t="e">
        <f t="shared" si="38"/>
        <v>#REF!</v>
      </c>
      <c r="V111" s="25" t="e">
        <f t="shared" si="39"/>
        <v>#REF!</v>
      </c>
    </row>
    <row r="112" spans="1:22" ht="14.25" customHeight="1" x14ac:dyDescent="0.35">
      <c r="A112" s="2" t="s">
        <v>150</v>
      </c>
      <c r="B112" s="13" t="s">
        <v>55</v>
      </c>
      <c r="C112" s="13">
        <v>36006</v>
      </c>
      <c r="D112" s="14">
        <v>10235</v>
      </c>
      <c r="E112" s="15" t="e">
        <f>#REF!+#REF!+#REF!+#REF!+#REF!+#REF!+#REF!+GreenMobility!L112+#REF!+#REF!+#REF!+Partago!L112+#REF!+#REF!+#REF!</f>
        <v>#REF!</v>
      </c>
      <c r="F112" s="16" t="e">
        <f t="shared" si="0"/>
        <v>#REF!</v>
      </c>
      <c r="G112" s="19" t="e">
        <f>#REF!+#REF!+#REF!+#REF!+#REF!+#REF!+#REF!+#REF!+#REF!+Moovee!A112+#REF!+#REF!+#REF!</f>
        <v>#REF!</v>
      </c>
      <c r="H112" s="16" t="e">
        <f t="shared" si="1"/>
        <v>#REF!</v>
      </c>
      <c r="I112" s="30">
        <f t="shared" si="2"/>
        <v>20.47</v>
      </c>
      <c r="J112" s="31" t="e">
        <f t="shared" si="3"/>
        <v>#REF!</v>
      </c>
      <c r="K112" s="25" t="e">
        <f t="shared" si="28"/>
        <v>#REF!</v>
      </c>
      <c r="L112" s="25" t="e">
        <f t="shared" si="29"/>
        <v>#REF!</v>
      </c>
      <c r="M112" s="25" t="e">
        <f t="shared" si="30"/>
        <v>#REF!</v>
      </c>
      <c r="N112" s="25" t="e">
        <f t="shared" si="31"/>
        <v>#REF!</v>
      </c>
      <c r="O112" s="25" t="e">
        <f t="shared" si="32"/>
        <v>#REF!</v>
      </c>
      <c r="P112" s="25" t="e">
        <f t="shared" si="33"/>
        <v>#REF!</v>
      </c>
      <c r="Q112" s="25" t="e">
        <f t="shared" si="34"/>
        <v>#REF!</v>
      </c>
      <c r="R112" s="25" t="e">
        <f t="shared" si="35"/>
        <v>#REF!</v>
      </c>
      <c r="S112" s="25" t="e">
        <f t="shared" si="36"/>
        <v>#REF!</v>
      </c>
      <c r="T112" s="25" t="e">
        <f t="shared" si="37"/>
        <v>#REF!</v>
      </c>
      <c r="U112" s="25" t="e">
        <f t="shared" si="38"/>
        <v>#REF!</v>
      </c>
      <c r="V112" s="25" t="e">
        <f t="shared" si="39"/>
        <v>#REF!</v>
      </c>
    </row>
    <row r="113" spans="1:22" ht="14.25" customHeight="1" x14ac:dyDescent="0.35">
      <c r="A113" s="2" t="s">
        <v>185</v>
      </c>
      <c r="B113" s="13" t="s">
        <v>48</v>
      </c>
      <c r="C113" s="13">
        <v>13014</v>
      </c>
      <c r="D113" s="14">
        <v>22278</v>
      </c>
      <c r="E113" s="15" t="e">
        <f>#REF!+#REF!+#REF!+#REF!+#REF!+#REF!+#REF!+GreenMobility!L113+#REF!+#REF!+#REF!+Partago!L113+#REF!+#REF!+#REF!</f>
        <v>#REF!</v>
      </c>
      <c r="F113" s="16" t="e">
        <f t="shared" si="0"/>
        <v>#REF!</v>
      </c>
      <c r="G113" s="19" t="e">
        <f>#REF!+#REF!+#REF!+#REF!+#REF!+#REF!+#REF!+#REF!+#REF!+Moovee!A113+#REF!+#REF!+#REF!</f>
        <v>#REF!</v>
      </c>
      <c r="H113" s="16" t="e">
        <f t="shared" si="1"/>
        <v>#REF!</v>
      </c>
      <c r="I113" s="30">
        <f t="shared" si="2"/>
        <v>44.555999999999997</v>
      </c>
      <c r="J113" s="31" t="e">
        <f t="shared" si="3"/>
        <v>#REF!</v>
      </c>
      <c r="K113" s="25" t="e">
        <f t="shared" si="28"/>
        <v>#REF!</v>
      </c>
      <c r="L113" s="25" t="e">
        <f t="shared" si="29"/>
        <v>#REF!</v>
      </c>
      <c r="M113" s="25" t="e">
        <f t="shared" si="30"/>
        <v>#REF!</v>
      </c>
      <c r="N113" s="25" t="e">
        <f t="shared" si="31"/>
        <v>#REF!</v>
      </c>
      <c r="O113" s="25" t="e">
        <f t="shared" si="32"/>
        <v>#REF!</v>
      </c>
      <c r="P113" s="25" t="e">
        <f t="shared" si="33"/>
        <v>#REF!</v>
      </c>
      <c r="Q113" s="25" t="e">
        <f t="shared" si="34"/>
        <v>#REF!</v>
      </c>
      <c r="R113" s="25" t="e">
        <f t="shared" si="35"/>
        <v>#REF!</v>
      </c>
      <c r="S113" s="25" t="e">
        <f t="shared" si="36"/>
        <v>#REF!</v>
      </c>
      <c r="T113" s="25" t="e">
        <f t="shared" si="37"/>
        <v>#REF!</v>
      </c>
      <c r="U113" s="25" t="e">
        <f t="shared" si="38"/>
        <v>#REF!</v>
      </c>
      <c r="V113" s="25" t="e">
        <f t="shared" si="39"/>
        <v>#REF!</v>
      </c>
    </row>
    <row r="114" spans="1:22" ht="14.25" customHeight="1" x14ac:dyDescent="0.35">
      <c r="A114" s="2" t="s">
        <v>297</v>
      </c>
      <c r="B114" s="13" t="s">
        <v>50</v>
      </c>
      <c r="C114" s="13">
        <v>45062</v>
      </c>
      <c r="D114" s="14">
        <v>2012</v>
      </c>
      <c r="E114" s="15" t="e">
        <f>#REF!+#REF!+#REF!+#REF!+#REF!+#REF!+#REF!+GreenMobility!L114+#REF!+#REF!+#REF!+Partago!L114+#REF!+#REF!+#REF!</f>
        <v>#REF!</v>
      </c>
      <c r="F114" s="16" t="e">
        <f t="shared" si="0"/>
        <v>#REF!</v>
      </c>
      <c r="G114" s="19" t="e">
        <f>#REF!+#REF!+#REF!+#REF!+#REF!+#REF!+#REF!+#REF!+#REF!+Moovee!A114+#REF!+#REF!+#REF!</f>
        <v>#REF!</v>
      </c>
      <c r="H114" s="16" t="e">
        <f t="shared" si="1"/>
        <v>#REF!</v>
      </c>
      <c r="I114" s="30">
        <f t="shared" si="2"/>
        <v>4.024</v>
      </c>
      <c r="J114" s="31" t="e">
        <f t="shared" si="3"/>
        <v>#REF!</v>
      </c>
      <c r="K114" s="25" t="e">
        <f t="shared" si="28"/>
        <v>#REF!</v>
      </c>
      <c r="L114" s="25" t="e">
        <f t="shared" si="29"/>
        <v>#REF!</v>
      </c>
      <c r="M114" s="25" t="e">
        <f t="shared" si="30"/>
        <v>#REF!</v>
      </c>
      <c r="N114" s="25" t="e">
        <f t="shared" si="31"/>
        <v>#REF!</v>
      </c>
      <c r="O114" s="25" t="e">
        <f t="shared" si="32"/>
        <v>#REF!</v>
      </c>
      <c r="P114" s="25" t="e">
        <f t="shared" si="33"/>
        <v>#REF!</v>
      </c>
      <c r="Q114" s="25" t="e">
        <f t="shared" si="34"/>
        <v>#REF!</v>
      </c>
      <c r="R114" s="25" t="e">
        <f t="shared" si="35"/>
        <v>#REF!</v>
      </c>
      <c r="S114" s="25" t="e">
        <f t="shared" si="36"/>
        <v>#REF!</v>
      </c>
      <c r="T114" s="25" t="e">
        <f t="shared" si="37"/>
        <v>#REF!</v>
      </c>
      <c r="U114" s="25" t="e">
        <f t="shared" si="38"/>
        <v>#REF!</v>
      </c>
      <c r="V114" s="25" t="e">
        <f t="shared" si="39"/>
        <v>#REF!</v>
      </c>
    </row>
    <row r="115" spans="1:22" ht="14.25" customHeight="1" x14ac:dyDescent="0.35">
      <c r="A115" s="2" t="s">
        <v>296</v>
      </c>
      <c r="B115" s="13" t="s">
        <v>59</v>
      </c>
      <c r="C115" s="13">
        <v>72039</v>
      </c>
      <c r="D115" s="14">
        <v>30896</v>
      </c>
      <c r="E115" s="15" t="e">
        <f>#REF!+#REF!+#REF!+#REF!+#REF!+#REF!+#REF!+GreenMobility!L115+#REF!+#REF!+#REF!+Partago!L115+#REF!+#REF!+#REF!</f>
        <v>#REF!</v>
      </c>
      <c r="F115" s="16" t="e">
        <f t="shared" si="0"/>
        <v>#REF!</v>
      </c>
      <c r="G115" s="19" t="e">
        <f>#REF!+#REF!+#REF!+#REF!+#REF!+#REF!+#REF!+#REF!+#REF!+Moovee!A115+#REF!+#REF!+#REF!</f>
        <v>#REF!</v>
      </c>
      <c r="H115" s="16" t="e">
        <f t="shared" si="1"/>
        <v>#REF!</v>
      </c>
      <c r="I115" s="30">
        <f t="shared" si="2"/>
        <v>61.792000000000002</v>
      </c>
      <c r="J115" s="31" t="e">
        <f t="shared" si="3"/>
        <v>#REF!</v>
      </c>
      <c r="K115" s="25" t="e">
        <f t="shared" si="28"/>
        <v>#REF!</v>
      </c>
      <c r="L115" s="25" t="e">
        <f t="shared" si="29"/>
        <v>#REF!</v>
      </c>
      <c r="M115" s="25" t="e">
        <f t="shared" si="30"/>
        <v>#REF!</v>
      </c>
      <c r="N115" s="25" t="e">
        <f t="shared" si="31"/>
        <v>#REF!</v>
      </c>
      <c r="O115" s="25" t="e">
        <f t="shared" si="32"/>
        <v>#REF!</v>
      </c>
      <c r="P115" s="25" t="e">
        <f t="shared" si="33"/>
        <v>#REF!</v>
      </c>
      <c r="Q115" s="25" t="e">
        <f t="shared" si="34"/>
        <v>#REF!</v>
      </c>
      <c r="R115" s="25" t="e">
        <f t="shared" si="35"/>
        <v>#REF!</v>
      </c>
      <c r="S115" s="25" t="e">
        <f t="shared" si="36"/>
        <v>#REF!</v>
      </c>
      <c r="T115" s="25" t="e">
        <f t="shared" si="37"/>
        <v>#REF!</v>
      </c>
      <c r="U115" s="25" t="e">
        <f t="shared" si="38"/>
        <v>#REF!</v>
      </c>
      <c r="V115" s="25" t="e">
        <f t="shared" si="39"/>
        <v>#REF!</v>
      </c>
    </row>
    <row r="116" spans="1:22" ht="14.25" customHeight="1" x14ac:dyDescent="0.35">
      <c r="A116" s="2" t="s">
        <v>261</v>
      </c>
      <c r="B116" s="13" t="s">
        <v>55</v>
      </c>
      <c r="C116" s="13">
        <v>32006</v>
      </c>
      <c r="D116" s="14">
        <v>10464</v>
      </c>
      <c r="E116" s="15" t="e">
        <f>#REF!+#REF!+#REF!+#REF!+#REF!+#REF!+#REF!+GreenMobility!L116+#REF!+#REF!+#REF!+Partago!L116+#REF!+#REF!+#REF!</f>
        <v>#REF!</v>
      </c>
      <c r="F116" s="16" t="e">
        <f t="shared" si="0"/>
        <v>#REF!</v>
      </c>
      <c r="G116" s="19" t="e">
        <f>#REF!+#REF!+#REF!+#REF!+#REF!+#REF!+#REF!+#REF!+#REF!+Moovee!A116+#REF!+#REF!+#REF!</f>
        <v>#REF!</v>
      </c>
      <c r="H116" s="16" t="e">
        <f t="shared" si="1"/>
        <v>#REF!</v>
      </c>
      <c r="I116" s="30">
        <f t="shared" si="2"/>
        <v>20.928000000000001</v>
      </c>
      <c r="J116" s="31" t="e">
        <f t="shared" si="3"/>
        <v>#REF!</v>
      </c>
      <c r="K116" s="25" t="e">
        <f t="shared" si="28"/>
        <v>#REF!</v>
      </c>
      <c r="L116" s="25" t="e">
        <f t="shared" si="29"/>
        <v>#REF!</v>
      </c>
      <c r="M116" s="25" t="e">
        <f t="shared" si="30"/>
        <v>#REF!</v>
      </c>
      <c r="N116" s="25" t="e">
        <f t="shared" si="31"/>
        <v>#REF!</v>
      </c>
      <c r="O116" s="25" t="e">
        <f t="shared" si="32"/>
        <v>#REF!</v>
      </c>
      <c r="P116" s="25" t="e">
        <f t="shared" si="33"/>
        <v>#REF!</v>
      </c>
      <c r="Q116" s="25" t="e">
        <f t="shared" si="34"/>
        <v>#REF!</v>
      </c>
      <c r="R116" s="25" t="e">
        <f t="shared" si="35"/>
        <v>#REF!</v>
      </c>
      <c r="S116" s="25" t="e">
        <f t="shared" si="36"/>
        <v>#REF!</v>
      </c>
      <c r="T116" s="25" t="e">
        <f t="shared" si="37"/>
        <v>#REF!</v>
      </c>
      <c r="U116" s="25" t="e">
        <f t="shared" si="38"/>
        <v>#REF!</v>
      </c>
      <c r="V116" s="25" t="e">
        <f t="shared" si="39"/>
        <v>#REF!</v>
      </c>
    </row>
    <row r="117" spans="1:22" ht="14.25" customHeight="1" x14ac:dyDescent="0.35">
      <c r="A117" s="2" t="s">
        <v>196</v>
      </c>
      <c r="B117" s="13" t="s">
        <v>48</v>
      </c>
      <c r="C117" s="13">
        <v>11021</v>
      </c>
      <c r="D117" s="14">
        <v>8406</v>
      </c>
      <c r="E117" s="15" t="e">
        <f>#REF!+#REF!+#REF!+#REF!+#REF!+#REF!+#REF!+GreenMobility!L117+#REF!+#REF!+#REF!+Partago!L117+#REF!+#REF!+#REF!</f>
        <v>#REF!</v>
      </c>
      <c r="F117" s="16" t="e">
        <f t="shared" si="0"/>
        <v>#REF!</v>
      </c>
      <c r="G117" s="19" t="e">
        <f>#REF!+#REF!+#REF!+#REF!+#REF!+#REF!+#REF!+#REF!+#REF!+Moovee!A117+#REF!+#REF!+#REF!</f>
        <v>#REF!</v>
      </c>
      <c r="H117" s="16" t="e">
        <f t="shared" si="1"/>
        <v>#REF!</v>
      </c>
      <c r="I117" s="30">
        <f t="shared" si="2"/>
        <v>16.812000000000001</v>
      </c>
      <c r="J117" s="31" t="e">
        <f t="shared" si="3"/>
        <v>#REF!</v>
      </c>
      <c r="K117" s="25" t="e">
        <f t="shared" si="28"/>
        <v>#REF!</v>
      </c>
      <c r="L117" s="25" t="e">
        <f t="shared" si="29"/>
        <v>#REF!</v>
      </c>
      <c r="M117" s="25" t="e">
        <f t="shared" si="30"/>
        <v>#REF!</v>
      </c>
      <c r="N117" s="25" t="e">
        <f t="shared" si="31"/>
        <v>#REF!</v>
      </c>
      <c r="O117" s="25" t="e">
        <f t="shared" si="32"/>
        <v>#REF!</v>
      </c>
      <c r="P117" s="25" t="e">
        <f t="shared" si="33"/>
        <v>#REF!</v>
      </c>
      <c r="Q117" s="25" t="e">
        <f t="shared" si="34"/>
        <v>#REF!</v>
      </c>
      <c r="R117" s="25" t="e">
        <f t="shared" si="35"/>
        <v>#REF!</v>
      </c>
      <c r="S117" s="25" t="e">
        <f t="shared" si="36"/>
        <v>#REF!</v>
      </c>
      <c r="T117" s="25" t="e">
        <f t="shared" si="37"/>
        <v>#REF!</v>
      </c>
      <c r="U117" s="25" t="e">
        <f t="shared" si="38"/>
        <v>#REF!</v>
      </c>
      <c r="V117" s="25" t="e">
        <f t="shared" si="39"/>
        <v>#REF!</v>
      </c>
    </row>
    <row r="118" spans="1:22" ht="14.25" customHeight="1" x14ac:dyDescent="0.35">
      <c r="A118" s="2" t="s">
        <v>134</v>
      </c>
      <c r="B118" s="13" t="s">
        <v>52</v>
      </c>
      <c r="C118" s="13">
        <v>24045</v>
      </c>
      <c r="D118" s="14">
        <v>10083</v>
      </c>
      <c r="E118" s="15" t="e">
        <f>#REF!+#REF!+#REF!+#REF!+#REF!+#REF!+#REF!+GreenMobility!L118+#REF!+#REF!+#REF!+Partago!L118+#REF!+#REF!+#REF!</f>
        <v>#REF!</v>
      </c>
      <c r="F118" s="16" t="e">
        <f t="shared" si="0"/>
        <v>#REF!</v>
      </c>
      <c r="G118" s="19" t="e">
        <f>#REF!+#REF!+#REF!+#REF!+#REF!+#REF!+#REF!+#REF!+#REF!+Moovee!A118+#REF!+#REF!+#REF!</f>
        <v>#REF!</v>
      </c>
      <c r="H118" s="16" t="e">
        <f t="shared" si="1"/>
        <v>#REF!</v>
      </c>
      <c r="I118" s="30">
        <f t="shared" si="2"/>
        <v>20.166</v>
      </c>
      <c r="J118" s="31" t="e">
        <f t="shared" si="3"/>
        <v>#REF!</v>
      </c>
      <c r="K118" s="25" t="e">
        <f t="shared" si="28"/>
        <v>#REF!</v>
      </c>
      <c r="L118" s="25" t="e">
        <f t="shared" si="29"/>
        <v>#REF!</v>
      </c>
      <c r="M118" s="25" t="e">
        <f t="shared" si="30"/>
        <v>#REF!</v>
      </c>
      <c r="N118" s="25" t="e">
        <f t="shared" si="31"/>
        <v>#REF!</v>
      </c>
      <c r="O118" s="25" t="e">
        <f t="shared" si="32"/>
        <v>#REF!</v>
      </c>
      <c r="P118" s="25" t="e">
        <f t="shared" si="33"/>
        <v>#REF!</v>
      </c>
      <c r="Q118" s="25" t="e">
        <f t="shared" si="34"/>
        <v>#REF!</v>
      </c>
      <c r="R118" s="25" t="e">
        <f t="shared" si="35"/>
        <v>#REF!</v>
      </c>
      <c r="S118" s="25" t="e">
        <f t="shared" si="36"/>
        <v>#REF!</v>
      </c>
      <c r="T118" s="25" t="e">
        <f t="shared" si="37"/>
        <v>#REF!</v>
      </c>
      <c r="U118" s="25" t="e">
        <f t="shared" si="38"/>
        <v>#REF!</v>
      </c>
      <c r="V118" s="25" t="e">
        <f t="shared" si="39"/>
        <v>#REF!</v>
      </c>
    </row>
    <row r="119" spans="1:22" ht="14.25" customHeight="1" x14ac:dyDescent="0.35">
      <c r="A119" s="2" t="s">
        <v>173</v>
      </c>
      <c r="B119" s="13" t="s">
        <v>48</v>
      </c>
      <c r="C119" s="13">
        <v>13016</v>
      </c>
      <c r="D119" s="14">
        <v>10594</v>
      </c>
      <c r="E119" s="15" t="e">
        <f>#REF!+#REF!+#REF!+#REF!+#REF!+#REF!+#REF!+GreenMobility!L119+#REF!+#REF!+#REF!+Partago!L119+#REF!+#REF!+#REF!</f>
        <v>#REF!</v>
      </c>
      <c r="F119" s="16" t="e">
        <f t="shared" si="0"/>
        <v>#REF!</v>
      </c>
      <c r="G119" s="19" t="e">
        <f>#REF!+#REF!+#REF!+#REF!+#REF!+#REF!+#REF!+#REF!+#REF!+Moovee!A119+#REF!+#REF!+#REF!</f>
        <v>#REF!</v>
      </c>
      <c r="H119" s="16" t="e">
        <f t="shared" si="1"/>
        <v>#REF!</v>
      </c>
      <c r="I119" s="30">
        <f t="shared" si="2"/>
        <v>21.187999999999999</v>
      </c>
      <c r="J119" s="31" t="e">
        <f t="shared" si="3"/>
        <v>#REF!</v>
      </c>
      <c r="K119" s="25" t="e">
        <f t="shared" si="28"/>
        <v>#REF!</v>
      </c>
      <c r="L119" s="25" t="e">
        <f t="shared" si="29"/>
        <v>#REF!</v>
      </c>
      <c r="M119" s="25" t="e">
        <f t="shared" si="30"/>
        <v>#REF!</v>
      </c>
      <c r="N119" s="25" t="e">
        <f t="shared" si="31"/>
        <v>#REF!</v>
      </c>
      <c r="O119" s="25" t="e">
        <f t="shared" si="32"/>
        <v>#REF!</v>
      </c>
      <c r="P119" s="25" t="e">
        <f t="shared" si="33"/>
        <v>#REF!</v>
      </c>
      <c r="Q119" s="25" t="e">
        <f t="shared" si="34"/>
        <v>#REF!</v>
      </c>
      <c r="R119" s="25" t="e">
        <f t="shared" si="35"/>
        <v>#REF!</v>
      </c>
      <c r="S119" s="25" t="e">
        <f t="shared" si="36"/>
        <v>#REF!</v>
      </c>
      <c r="T119" s="25" t="e">
        <f t="shared" si="37"/>
        <v>#REF!</v>
      </c>
      <c r="U119" s="25" t="e">
        <f t="shared" si="38"/>
        <v>#REF!</v>
      </c>
      <c r="V119" s="25" t="e">
        <f t="shared" si="39"/>
        <v>#REF!</v>
      </c>
    </row>
    <row r="120" spans="1:22" ht="14.25" customHeight="1" x14ac:dyDescent="0.35">
      <c r="A120" s="2" t="s">
        <v>212</v>
      </c>
      <c r="B120" s="13" t="s">
        <v>55</v>
      </c>
      <c r="C120" s="13">
        <v>35006</v>
      </c>
      <c r="D120" s="14">
        <v>14516</v>
      </c>
      <c r="E120" s="15" t="e">
        <f>#REF!+#REF!+#REF!+#REF!+#REF!+#REF!+#REF!+GreenMobility!L120+#REF!+#REF!+#REF!+Partago!L120+#REF!+#REF!+#REF!</f>
        <v>#REF!</v>
      </c>
      <c r="F120" s="16" t="e">
        <f t="shared" si="0"/>
        <v>#REF!</v>
      </c>
      <c r="G120" s="19" t="e">
        <f>#REF!+#REF!+#REF!+#REF!+#REF!+#REF!+#REF!+#REF!+#REF!+Moovee!A120+#REF!+#REF!+#REF!</f>
        <v>#REF!</v>
      </c>
      <c r="H120" s="16" t="e">
        <f t="shared" si="1"/>
        <v>#REF!</v>
      </c>
      <c r="I120" s="30">
        <f t="shared" si="2"/>
        <v>29.032</v>
      </c>
      <c r="J120" s="31" t="e">
        <f t="shared" si="3"/>
        <v>#REF!</v>
      </c>
      <c r="K120" s="25" t="e">
        <f t="shared" si="28"/>
        <v>#REF!</v>
      </c>
      <c r="L120" s="25" t="e">
        <f t="shared" si="29"/>
        <v>#REF!</v>
      </c>
      <c r="M120" s="25" t="e">
        <f t="shared" si="30"/>
        <v>#REF!</v>
      </c>
      <c r="N120" s="25" t="e">
        <f t="shared" si="31"/>
        <v>#REF!</v>
      </c>
      <c r="O120" s="25" t="e">
        <f t="shared" si="32"/>
        <v>#REF!</v>
      </c>
      <c r="P120" s="25" t="e">
        <f t="shared" si="33"/>
        <v>#REF!</v>
      </c>
      <c r="Q120" s="25" t="e">
        <f t="shared" si="34"/>
        <v>#REF!</v>
      </c>
      <c r="R120" s="25" t="e">
        <f t="shared" si="35"/>
        <v>#REF!</v>
      </c>
      <c r="S120" s="25" t="e">
        <f t="shared" si="36"/>
        <v>#REF!</v>
      </c>
      <c r="T120" s="25" t="e">
        <f t="shared" si="37"/>
        <v>#REF!</v>
      </c>
      <c r="U120" s="25" t="e">
        <f t="shared" si="38"/>
        <v>#REF!</v>
      </c>
      <c r="V120" s="25" t="e">
        <f t="shared" si="39"/>
        <v>#REF!</v>
      </c>
    </row>
    <row r="121" spans="1:22" ht="14.25" customHeight="1" x14ac:dyDescent="0.35">
      <c r="A121" s="2" t="s">
        <v>76</v>
      </c>
      <c r="B121" s="13" t="s">
        <v>55</v>
      </c>
      <c r="C121" s="13">
        <v>33011</v>
      </c>
      <c r="D121" s="14">
        <v>35550</v>
      </c>
      <c r="E121" s="15" t="e">
        <f>#REF!+#REF!+#REF!+#REF!+#REF!+#REF!+#REF!+GreenMobility!L121+#REF!+#REF!+#REF!+Partago!L121+#REF!+#REF!+#REF!</f>
        <v>#REF!</v>
      </c>
      <c r="F121" s="16" t="e">
        <f t="shared" si="0"/>
        <v>#REF!</v>
      </c>
      <c r="G121" s="19" t="e">
        <f>#REF!+#REF!+#REF!+#REF!+#REF!+#REF!+#REF!+#REF!+#REF!+Moovee!A121+#REF!+#REF!+#REF!</f>
        <v>#REF!</v>
      </c>
      <c r="H121" s="16" t="e">
        <f t="shared" si="1"/>
        <v>#REF!</v>
      </c>
      <c r="I121" s="30">
        <f t="shared" si="2"/>
        <v>71.099999999999994</v>
      </c>
      <c r="J121" s="31" t="e">
        <f t="shared" si="3"/>
        <v>#REF!</v>
      </c>
      <c r="K121" s="25" t="e">
        <f t="shared" si="28"/>
        <v>#REF!</v>
      </c>
      <c r="L121" s="25" t="e">
        <f t="shared" si="29"/>
        <v>#REF!</v>
      </c>
      <c r="M121" s="25" t="e">
        <f t="shared" si="30"/>
        <v>#REF!</v>
      </c>
      <c r="N121" s="25" t="e">
        <f t="shared" si="31"/>
        <v>#REF!</v>
      </c>
      <c r="O121" s="25" t="e">
        <f t="shared" si="32"/>
        <v>#REF!</v>
      </c>
      <c r="P121" s="25" t="e">
        <f t="shared" si="33"/>
        <v>#REF!</v>
      </c>
      <c r="Q121" s="25" t="e">
        <f t="shared" si="34"/>
        <v>#REF!</v>
      </c>
      <c r="R121" s="25" t="e">
        <f t="shared" si="35"/>
        <v>#REF!</v>
      </c>
      <c r="S121" s="25" t="e">
        <f t="shared" si="36"/>
        <v>#REF!</v>
      </c>
      <c r="T121" s="25" t="e">
        <f t="shared" si="37"/>
        <v>#REF!</v>
      </c>
      <c r="U121" s="25" t="e">
        <f t="shared" si="38"/>
        <v>#REF!</v>
      </c>
      <c r="V121" s="25" t="e">
        <f t="shared" si="39"/>
        <v>#REF!</v>
      </c>
    </row>
    <row r="122" spans="1:22" ht="14.25" customHeight="1" x14ac:dyDescent="0.35">
      <c r="A122" s="2" t="s">
        <v>263</v>
      </c>
      <c r="B122" s="13" t="s">
        <v>55</v>
      </c>
      <c r="C122" s="13">
        <v>36007</v>
      </c>
      <c r="D122" s="14">
        <v>11537</v>
      </c>
      <c r="E122" s="15" t="e">
        <f>#REF!+#REF!+#REF!+#REF!+#REF!+#REF!+#REF!+GreenMobility!L122+#REF!+#REF!+#REF!+Partago!L122+#REF!+#REF!+#REF!</f>
        <v>#REF!</v>
      </c>
      <c r="F122" s="16" t="e">
        <f t="shared" si="0"/>
        <v>#REF!</v>
      </c>
      <c r="G122" s="19" t="e">
        <f>#REF!+#REF!+#REF!+#REF!+#REF!+#REF!+#REF!+#REF!+#REF!+Moovee!A122+#REF!+#REF!+#REF!</f>
        <v>#REF!</v>
      </c>
      <c r="H122" s="16" t="e">
        <f t="shared" si="1"/>
        <v>#REF!</v>
      </c>
      <c r="I122" s="30">
        <f t="shared" si="2"/>
        <v>23.074000000000002</v>
      </c>
      <c r="J122" s="31" t="e">
        <f t="shared" si="3"/>
        <v>#REF!</v>
      </c>
      <c r="K122" s="25" t="e">
        <f t="shared" si="28"/>
        <v>#REF!</v>
      </c>
      <c r="L122" s="25" t="e">
        <f t="shared" si="29"/>
        <v>#REF!</v>
      </c>
      <c r="M122" s="25" t="e">
        <f t="shared" si="30"/>
        <v>#REF!</v>
      </c>
      <c r="N122" s="25" t="e">
        <f t="shared" si="31"/>
        <v>#REF!</v>
      </c>
      <c r="O122" s="25" t="e">
        <f t="shared" si="32"/>
        <v>#REF!</v>
      </c>
      <c r="P122" s="25" t="e">
        <f t="shared" si="33"/>
        <v>#REF!</v>
      </c>
      <c r="Q122" s="25" t="e">
        <f t="shared" si="34"/>
        <v>#REF!</v>
      </c>
      <c r="R122" s="25" t="e">
        <f t="shared" si="35"/>
        <v>#REF!</v>
      </c>
      <c r="S122" s="25" t="e">
        <f t="shared" si="36"/>
        <v>#REF!</v>
      </c>
      <c r="T122" s="25" t="e">
        <f t="shared" si="37"/>
        <v>#REF!</v>
      </c>
      <c r="U122" s="25" t="e">
        <f t="shared" si="38"/>
        <v>#REF!</v>
      </c>
      <c r="V122" s="25" t="e">
        <f t="shared" si="39"/>
        <v>#REF!</v>
      </c>
    </row>
    <row r="123" spans="1:22" ht="14.25" customHeight="1" x14ac:dyDescent="0.35">
      <c r="A123" s="2" t="s">
        <v>129</v>
      </c>
      <c r="B123" s="13" t="s">
        <v>55</v>
      </c>
      <c r="C123" s="13">
        <v>36008</v>
      </c>
      <c r="D123" s="14">
        <v>29227</v>
      </c>
      <c r="E123" s="15" t="e">
        <f>#REF!+#REF!+#REF!+#REF!+#REF!+#REF!+#REF!+GreenMobility!L123+#REF!+#REF!+#REF!+Partago!L123+#REF!+#REF!+#REF!</f>
        <v>#REF!</v>
      </c>
      <c r="F123" s="16" t="e">
        <f t="shared" si="0"/>
        <v>#REF!</v>
      </c>
      <c r="G123" s="19" t="e">
        <f>#REF!+#REF!+#REF!+#REF!+#REF!+#REF!+#REF!+#REF!+#REF!+Moovee!A123+#REF!+#REF!+#REF!</f>
        <v>#REF!</v>
      </c>
      <c r="H123" s="16" t="e">
        <f t="shared" si="1"/>
        <v>#REF!</v>
      </c>
      <c r="I123" s="30">
        <f t="shared" si="2"/>
        <v>58.454000000000001</v>
      </c>
      <c r="J123" s="31" t="e">
        <f t="shared" si="3"/>
        <v>#REF!</v>
      </c>
      <c r="K123" s="25" t="e">
        <f t="shared" si="28"/>
        <v>#REF!</v>
      </c>
      <c r="L123" s="25" t="e">
        <f t="shared" si="29"/>
        <v>#REF!</v>
      </c>
      <c r="M123" s="25" t="e">
        <f t="shared" si="30"/>
        <v>#REF!</v>
      </c>
      <c r="N123" s="25" t="e">
        <f t="shared" si="31"/>
        <v>#REF!</v>
      </c>
      <c r="O123" s="25" t="e">
        <f t="shared" si="32"/>
        <v>#REF!</v>
      </c>
      <c r="P123" s="25" t="e">
        <f t="shared" si="33"/>
        <v>#REF!</v>
      </c>
      <c r="Q123" s="25" t="e">
        <f t="shared" si="34"/>
        <v>#REF!</v>
      </c>
      <c r="R123" s="25" t="e">
        <f t="shared" si="35"/>
        <v>#REF!</v>
      </c>
      <c r="S123" s="25" t="e">
        <f t="shared" si="36"/>
        <v>#REF!</v>
      </c>
      <c r="T123" s="25" t="e">
        <f t="shared" si="37"/>
        <v>#REF!</v>
      </c>
      <c r="U123" s="25" t="e">
        <f t="shared" si="38"/>
        <v>#REF!</v>
      </c>
      <c r="V123" s="25" t="e">
        <f t="shared" si="39"/>
        <v>#REF!</v>
      </c>
    </row>
    <row r="124" spans="1:22" ht="14.25" customHeight="1" x14ac:dyDescent="0.35">
      <c r="A124" s="2" t="s">
        <v>273</v>
      </c>
      <c r="B124" s="13" t="s">
        <v>55</v>
      </c>
      <c r="C124" s="13">
        <v>31012</v>
      </c>
      <c r="D124" s="14">
        <v>14832</v>
      </c>
      <c r="E124" s="15" t="e">
        <f>#REF!+#REF!+#REF!+#REF!+#REF!+#REF!+#REF!+GreenMobility!L124+#REF!+#REF!+#REF!+Partago!L124+#REF!+#REF!+#REF!</f>
        <v>#REF!</v>
      </c>
      <c r="F124" s="16" t="e">
        <f t="shared" si="0"/>
        <v>#REF!</v>
      </c>
      <c r="G124" s="19" t="e">
        <f>#REF!+#REF!+#REF!+#REF!+#REF!+#REF!+#REF!+#REF!+#REF!+Moovee!A124+#REF!+#REF!+#REF!</f>
        <v>#REF!</v>
      </c>
      <c r="H124" s="16" t="e">
        <f t="shared" si="1"/>
        <v>#REF!</v>
      </c>
      <c r="I124" s="30">
        <f t="shared" si="2"/>
        <v>29.664000000000001</v>
      </c>
      <c r="J124" s="31" t="e">
        <f t="shared" si="3"/>
        <v>#REF!</v>
      </c>
      <c r="K124" s="25" t="e">
        <f t="shared" si="28"/>
        <v>#REF!</v>
      </c>
      <c r="L124" s="25" t="e">
        <f t="shared" si="29"/>
        <v>#REF!</v>
      </c>
      <c r="M124" s="25" t="e">
        <f t="shared" si="30"/>
        <v>#REF!</v>
      </c>
      <c r="N124" s="25" t="e">
        <f t="shared" si="31"/>
        <v>#REF!</v>
      </c>
      <c r="O124" s="25" t="e">
        <f t="shared" si="32"/>
        <v>#REF!</v>
      </c>
      <c r="P124" s="25" t="e">
        <f t="shared" si="33"/>
        <v>#REF!</v>
      </c>
      <c r="Q124" s="25" t="e">
        <f t="shared" si="34"/>
        <v>#REF!</v>
      </c>
      <c r="R124" s="25" t="e">
        <f t="shared" si="35"/>
        <v>#REF!</v>
      </c>
      <c r="S124" s="25" t="e">
        <f t="shared" si="36"/>
        <v>#REF!</v>
      </c>
      <c r="T124" s="25" t="e">
        <f t="shared" si="37"/>
        <v>#REF!</v>
      </c>
      <c r="U124" s="25" t="e">
        <f t="shared" si="38"/>
        <v>#REF!</v>
      </c>
      <c r="V124" s="25" t="e">
        <f t="shared" si="39"/>
        <v>#REF!</v>
      </c>
    </row>
    <row r="125" spans="1:22" ht="14.25" customHeight="1" x14ac:dyDescent="0.35">
      <c r="A125" s="2" t="s">
        <v>163</v>
      </c>
      <c r="B125" s="13" t="s">
        <v>48</v>
      </c>
      <c r="C125" s="13">
        <v>11022</v>
      </c>
      <c r="D125" s="14">
        <v>19672</v>
      </c>
      <c r="E125" s="15" t="e">
        <f>#REF!+#REF!+#REF!+#REF!+#REF!+#REF!+#REF!+GreenMobility!L125+#REF!+#REF!+#REF!+Partago!L125+#REF!+#REF!+#REF!</f>
        <v>#REF!</v>
      </c>
      <c r="F125" s="16" t="e">
        <f t="shared" si="0"/>
        <v>#REF!</v>
      </c>
      <c r="G125" s="19" t="e">
        <f>#REF!+#REF!+#REF!+#REF!+#REF!+#REF!+#REF!+#REF!+#REF!+Moovee!A125+#REF!+#REF!+#REF!</f>
        <v>#REF!</v>
      </c>
      <c r="H125" s="16" t="e">
        <f t="shared" si="1"/>
        <v>#REF!</v>
      </c>
      <c r="I125" s="30">
        <f t="shared" si="2"/>
        <v>39.344000000000001</v>
      </c>
      <c r="J125" s="31" t="e">
        <f t="shared" si="3"/>
        <v>#REF!</v>
      </c>
      <c r="K125" s="25" t="e">
        <f t="shared" si="28"/>
        <v>#REF!</v>
      </c>
      <c r="L125" s="25" t="e">
        <f t="shared" si="29"/>
        <v>#REF!</v>
      </c>
      <c r="M125" s="25" t="e">
        <f t="shared" si="30"/>
        <v>#REF!</v>
      </c>
      <c r="N125" s="25" t="e">
        <f t="shared" si="31"/>
        <v>#REF!</v>
      </c>
      <c r="O125" s="25" t="e">
        <f t="shared" si="32"/>
        <v>#REF!</v>
      </c>
      <c r="P125" s="25" t="e">
        <f t="shared" si="33"/>
        <v>#REF!</v>
      </c>
      <c r="Q125" s="25" t="e">
        <f t="shared" si="34"/>
        <v>#REF!</v>
      </c>
      <c r="R125" s="25" t="e">
        <f t="shared" si="35"/>
        <v>#REF!</v>
      </c>
      <c r="S125" s="25" t="e">
        <f t="shared" si="36"/>
        <v>#REF!</v>
      </c>
      <c r="T125" s="25" t="e">
        <f t="shared" si="37"/>
        <v>#REF!</v>
      </c>
      <c r="U125" s="25" t="e">
        <f t="shared" si="38"/>
        <v>#REF!</v>
      </c>
      <c r="V125" s="25" t="e">
        <f t="shared" si="39"/>
        <v>#REF!</v>
      </c>
    </row>
    <row r="126" spans="1:22" ht="14.25" customHeight="1" x14ac:dyDescent="0.35">
      <c r="A126" s="2" t="s">
        <v>207</v>
      </c>
      <c r="B126" s="13" t="s">
        <v>52</v>
      </c>
      <c r="C126" s="13">
        <v>23038</v>
      </c>
      <c r="D126" s="14">
        <v>12528</v>
      </c>
      <c r="E126" s="15" t="e">
        <f>#REF!+#REF!+#REF!+#REF!+#REF!+#REF!+#REF!+GreenMobility!L126+#REF!+#REF!+#REF!+Partago!L126+#REF!+#REF!+#REF!</f>
        <v>#REF!</v>
      </c>
      <c r="F126" s="16" t="e">
        <f t="shared" si="0"/>
        <v>#REF!</v>
      </c>
      <c r="G126" s="19" t="e">
        <f>#REF!+#REF!+#REF!+#REF!+#REF!+#REF!+#REF!+#REF!+#REF!+Moovee!A126+#REF!+#REF!+#REF!</f>
        <v>#REF!</v>
      </c>
      <c r="H126" s="16" t="e">
        <f t="shared" si="1"/>
        <v>#REF!</v>
      </c>
      <c r="I126" s="30">
        <f t="shared" si="2"/>
        <v>25.056000000000001</v>
      </c>
      <c r="J126" s="31" t="e">
        <f t="shared" si="3"/>
        <v>#REF!</v>
      </c>
      <c r="K126" s="25" t="e">
        <f t="shared" si="28"/>
        <v>#REF!</v>
      </c>
      <c r="L126" s="25" t="e">
        <f t="shared" si="29"/>
        <v>#REF!</v>
      </c>
      <c r="M126" s="25" t="e">
        <f t="shared" si="30"/>
        <v>#REF!</v>
      </c>
      <c r="N126" s="25" t="e">
        <f t="shared" si="31"/>
        <v>#REF!</v>
      </c>
      <c r="O126" s="25" t="e">
        <f t="shared" si="32"/>
        <v>#REF!</v>
      </c>
      <c r="P126" s="25" t="e">
        <f t="shared" si="33"/>
        <v>#REF!</v>
      </c>
      <c r="Q126" s="25" t="e">
        <f t="shared" si="34"/>
        <v>#REF!</v>
      </c>
      <c r="R126" s="25" t="e">
        <f t="shared" si="35"/>
        <v>#REF!</v>
      </c>
      <c r="S126" s="25" t="e">
        <f t="shared" si="36"/>
        <v>#REF!</v>
      </c>
      <c r="T126" s="25" t="e">
        <f t="shared" si="37"/>
        <v>#REF!</v>
      </c>
      <c r="U126" s="25" t="e">
        <f t="shared" si="38"/>
        <v>#REF!</v>
      </c>
      <c r="V126" s="25" t="e">
        <f t="shared" si="39"/>
        <v>#REF!</v>
      </c>
    </row>
    <row r="127" spans="1:22" ht="14.25" customHeight="1" x14ac:dyDescent="0.35">
      <c r="A127" s="2" t="s">
        <v>312</v>
      </c>
      <c r="B127" s="13" t="s">
        <v>48</v>
      </c>
      <c r="C127" s="13">
        <v>11023</v>
      </c>
      <c r="D127" s="14">
        <v>27782</v>
      </c>
      <c r="E127" s="15" t="e">
        <f>#REF!+#REF!+#REF!+#REF!+#REF!+#REF!+#REF!+GreenMobility!L127+#REF!+#REF!+#REF!+Partago!L127+#REF!+#REF!+#REF!</f>
        <v>#REF!</v>
      </c>
      <c r="F127" s="16" t="e">
        <f t="shared" si="0"/>
        <v>#REF!</v>
      </c>
      <c r="G127" s="19" t="e">
        <f>#REF!+#REF!+#REF!+#REF!+#REF!+#REF!+#REF!+#REF!+#REF!+Moovee!A127+#REF!+#REF!+#REF!</f>
        <v>#REF!</v>
      </c>
      <c r="H127" s="16" t="e">
        <f t="shared" si="1"/>
        <v>#REF!</v>
      </c>
      <c r="I127" s="30">
        <f t="shared" si="2"/>
        <v>55.564</v>
      </c>
      <c r="J127" s="31" t="e">
        <f t="shared" si="3"/>
        <v>#REF!</v>
      </c>
      <c r="K127" s="25" t="e">
        <f t="shared" si="28"/>
        <v>#REF!</v>
      </c>
      <c r="L127" s="25" t="e">
        <f t="shared" si="29"/>
        <v>#REF!</v>
      </c>
      <c r="M127" s="25" t="e">
        <f t="shared" si="30"/>
        <v>#REF!</v>
      </c>
      <c r="N127" s="25" t="e">
        <f t="shared" si="31"/>
        <v>#REF!</v>
      </c>
      <c r="O127" s="25" t="e">
        <f t="shared" si="32"/>
        <v>#REF!</v>
      </c>
      <c r="P127" s="25" t="e">
        <f t="shared" si="33"/>
        <v>#REF!</v>
      </c>
      <c r="Q127" s="25" t="e">
        <f t="shared" si="34"/>
        <v>#REF!</v>
      </c>
      <c r="R127" s="25" t="e">
        <f t="shared" si="35"/>
        <v>#REF!</v>
      </c>
      <c r="S127" s="25" t="e">
        <f t="shared" si="36"/>
        <v>#REF!</v>
      </c>
      <c r="T127" s="25" t="e">
        <f t="shared" si="37"/>
        <v>#REF!</v>
      </c>
      <c r="U127" s="25" t="e">
        <f t="shared" si="38"/>
        <v>#REF!</v>
      </c>
      <c r="V127" s="25" t="e">
        <f t="shared" si="39"/>
        <v>#REF!</v>
      </c>
    </row>
    <row r="128" spans="1:22" ht="14.25" customHeight="1" x14ac:dyDescent="0.35">
      <c r="A128" s="2" t="s">
        <v>258</v>
      </c>
      <c r="B128" s="13" t="s">
        <v>52</v>
      </c>
      <c r="C128" s="13">
        <v>23039</v>
      </c>
      <c r="D128" s="14">
        <v>9703</v>
      </c>
      <c r="E128" s="15" t="e">
        <f>#REF!+#REF!+#REF!+#REF!+#REF!+#REF!+#REF!+GreenMobility!L128+#REF!+#REF!+#REF!+Partago!L128+#REF!+#REF!+#REF!</f>
        <v>#REF!</v>
      </c>
      <c r="F128" s="16" t="e">
        <f t="shared" si="0"/>
        <v>#REF!</v>
      </c>
      <c r="G128" s="19" t="e">
        <f>#REF!+#REF!+#REF!+#REF!+#REF!+#REF!+#REF!+#REF!+#REF!+Moovee!A128+#REF!+#REF!+#REF!</f>
        <v>#REF!</v>
      </c>
      <c r="H128" s="16" t="e">
        <f t="shared" si="1"/>
        <v>#REF!</v>
      </c>
      <c r="I128" s="30">
        <f t="shared" si="2"/>
        <v>19.405999999999999</v>
      </c>
      <c r="J128" s="31" t="e">
        <f t="shared" si="3"/>
        <v>#REF!</v>
      </c>
      <c r="K128" s="25" t="e">
        <f t="shared" si="28"/>
        <v>#REF!</v>
      </c>
      <c r="L128" s="25" t="e">
        <f t="shared" si="29"/>
        <v>#REF!</v>
      </c>
      <c r="M128" s="25" t="e">
        <f t="shared" si="30"/>
        <v>#REF!</v>
      </c>
      <c r="N128" s="25" t="e">
        <f t="shared" si="31"/>
        <v>#REF!</v>
      </c>
      <c r="O128" s="25" t="e">
        <f t="shared" si="32"/>
        <v>#REF!</v>
      </c>
      <c r="P128" s="25" t="e">
        <f t="shared" si="33"/>
        <v>#REF!</v>
      </c>
      <c r="Q128" s="25" t="e">
        <f t="shared" si="34"/>
        <v>#REF!</v>
      </c>
      <c r="R128" s="25" t="e">
        <f t="shared" si="35"/>
        <v>#REF!</v>
      </c>
      <c r="S128" s="25" t="e">
        <f t="shared" si="36"/>
        <v>#REF!</v>
      </c>
      <c r="T128" s="25" t="e">
        <f t="shared" si="37"/>
        <v>#REF!</v>
      </c>
      <c r="U128" s="25" t="e">
        <f t="shared" si="38"/>
        <v>#REF!</v>
      </c>
      <c r="V128" s="25" t="e">
        <f t="shared" si="39"/>
        <v>#REF!</v>
      </c>
    </row>
    <row r="129" spans="1:22" ht="14.25" customHeight="1" x14ac:dyDescent="0.35">
      <c r="A129" s="2" t="s">
        <v>247</v>
      </c>
      <c r="B129" s="13" t="s">
        <v>50</v>
      </c>
      <c r="C129" s="13">
        <v>43007</v>
      </c>
      <c r="D129" s="14">
        <v>6660</v>
      </c>
      <c r="E129" s="15" t="e">
        <f>#REF!+#REF!+#REF!+#REF!+#REF!+#REF!+#REF!+GreenMobility!L129+#REF!+#REF!+#REF!+Partago!L129+#REF!+#REF!+#REF!</f>
        <v>#REF!</v>
      </c>
      <c r="F129" s="16" t="e">
        <f t="shared" si="0"/>
        <v>#REF!</v>
      </c>
      <c r="G129" s="19" t="e">
        <f>#REF!+#REF!+#REF!+#REF!+#REF!+#REF!+#REF!+#REF!+#REF!+Moovee!A129+#REF!+#REF!+#REF!</f>
        <v>#REF!</v>
      </c>
      <c r="H129" s="16" t="e">
        <f t="shared" si="1"/>
        <v>#REF!</v>
      </c>
      <c r="I129" s="30">
        <f t="shared" si="2"/>
        <v>13.32</v>
      </c>
      <c r="J129" s="31" t="e">
        <f t="shared" si="3"/>
        <v>#REF!</v>
      </c>
      <c r="K129" s="25" t="e">
        <f t="shared" si="28"/>
        <v>#REF!</v>
      </c>
      <c r="L129" s="25" t="e">
        <f t="shared" si="29"/>
        <v>#REF!</v>
      </c>
      <c r="M129" s="25" t="e">
        <f t="shared" si="30"/>
        <v>#REF!</v>
      </c>
      <c r="N129" s="25" t="e">
        <f t="shared" si="31"/>
        <v>#REF!</v>
      </c>
      <c r="O129" s="25" t="e">
        <f t="shared" si="32"/>
        <v>#REF!</v>
      </c>
      <c r="P129" s="25" t="e">
        <f t="shared" si="33"/>
        <v>#REF!</v>
      </c>
      <c r="Q129" s="25" t="e">
        <f t="shared" si="34"/>
        <v>#REF!</v>
      </c>
      <c r="R129" s="25" t="e">
        <f t="shared" si="35"/>
        <v>#REF!</v>
      </c>
      <c r="S129" s="25" t="e">
        <f t="shared" si="36"/>
        <v>#REF!</v>
      </c>
      <c r="T129" s="25" t="e">
        <f t="shared" si="37"/>
        <v>#REF!</v>
      </c>
      <c r="U129" s="25" t="e">
        <f t="shared" si="38"/>
        <v>#REF!</v>
      </c>
      <c r="V129" s="25" t="e">
        <f t="shared" si="39"/>
        <v>#REF!</v>
      </c>
    </row>
    <row r="130" spans="1:22" ht="14.25" customHeight="1" x14ac:dyDescent="0.35">
      <c r="A130" s="2" t="s">
        <v>181</v>
      </c>
      <c r="B130" s="13" t="s">
        <v>48</v>
      </c>
      <c r="C130" s="13">
        <v>13017</v>
      </c>
      <c r="D130" s="14">
        <v>19648</v>
      </c>
      <c r="E130" s="15" t="e">
        <f>#REF!+#REF!+#REF!+#REF!+#REF!+#REF!+#REF!+GreenMobility!L130+#REF!+#REF!+#REF!+Partago!L130+#REF!+#REF!+#REF!</f>
        <v>#REF!</v>
      </c>
      <c r="F130" s="16" t="e">
        <f t="shared" si="0"/>
        <v>#REF!</v>
      </c>
      <c r="G130" s="19" t="e">
        <f>#REF!+#REF!+#REF!+#REF!+#REF!+#REF!+#REF!+#REF!+#REF!+Moovee!A130+#REF!+#REF!+#REF!</f>
        <v>#REF!</v>
      </c>
      <c r="H130" s="16" t="e">
        <f t="shared" si="1"/>
        <v>#REF!</v>
      </c>
      <c r="I130" s="30">
        <f t="shared" si="2"/>
        <v>39.295999999999999</v>
      </c>
      <c r="J130" s="31" t="e">
        <f t="shared" si="3"/>
        <v>#REF!</v>
      </c>
      <c r="K130" s="25" t="e">
        <f t="shared" si="28"/>
        <v>#REF!</v>
      </c>
      <c r="L130" s="25" t="e">
        <f t="shared" si="29"/>
        <v>#REF!</v>
      </c>
      <c r="M130" s="25" t="e">
        <f t="shared" si="30"/>
        <v>#REF!</v>
      </c>
      <c r="N130" s="25" t="e">
        <f t="shared" si="31"/>
        <v>#REF!</v>
      </c>
      <c r="O130" s="25" t="e">
        <f t="shared" si="32"/>
        <v>#REF!</v>
      </c>
      <c r="P130" s="25" t="e">
        <f t="shared" si="33"/>
        <v>#REF!</v>
      </c>
      <c r="Q130" s="25" t="e">
        <f t="shared" si="34"/>
        <v>#REF!</v>
      </c>
      <c r="R130" s="25" t="e">
        <f t="shared" si="35"/>
        <v>#REF!</v>
      </c>
      <c r="S130" s="25" t="e">
        <f t="shared" si="36"/>
        <v>#REF!</v>
      </c>
      <c r="T130" s="25" t="e">
        <f t="shared" si="37"/>
        <v>#REF!</v>
      </c>
      <c r="U130" s="25" t="e">
        <f t="shared" si="38"/>
        <v>#REF!</v>
      </c>
      <c r="V130" s="25" t="e">
        <f t="shared" si="39"/>
        <v>#REF!</v>
      </c>
    </row>
    <row r="131" spans="1:22" ht="14.25" customHeight="1" x14ac:dyDescent="0.35">
      <c r="A131" s="2" t="s">
        <v>176</v>
      </c>
      <c r="B131" s="13" t="s">
        <v>52</v>
      </c>
      <c r="C131" s="13">
        <v>24048</v>
      </c>
      <c r="D131" s="14">
        <v>13298</v>
      </c>
      <c r="E131" s="15" t="e">
        <f>#REF!+#REF!+#REF!+#REF!+#REF!+#REF!+#REF!+GreenMobility!L131+#REF!+#REF!+#REF!+Partago!L131+#REF!+#REF!+#REF!</f>
        <v>#REF!</v>
      </c>
      <c r="F131" s="16" t="e">
        <f t="shared" si="0"/>
        <v>#REF!</v>
      </c>
      <c r="G131" s="19" t="e">
        <f>#REF!+#REF!+#REF!+#REF!+#REF!+#REF!+#REF!+#REF!+#REF!+Moovee!A131+#REF!+#REF!+#REF!</f>
        <v>#REF!</v>
      </c>
      <c r="H131" s="16" t="e">
        <f t="shared" si="1"/>
        <v>#REF!</v>
      </c>
      <c r="I131" s="30">
        <f t="shared" si="2"/>
        <v>26.596</v>
      </c>
      <c r="J131" s="31" t="e">
        <f t="shared" si="3"/>
        <v>#REF!</v>
      </c>
      <c r="K131" s="25" t="e">
        <f t="shared" si="28"/>
        <v>#REF!</v>
      </c>
      <c r="L131" s="25" t="e">
        <f t="shared" si="29"/>
        <v>#REF!</v>
      </c>
      <c r="M131" s="25" t="e">
        <f t="shared" si="30"/>
        <v>#REF!</v>
      </c>
      <c r="N131" s="25" t="e">
        <f t="shared" si="31"/>
        <v>#REF!</v>
      </c>
      <c r="O131" s="25" t="e">
        <f t="shared" si="32"/>
        <v>#REF!</v>
      </c>
      <c r="P131" s="25" t="e">
        <f t="shared" si="33"/>
        <v>#REF!</v>
      </c>
      <c r="Q131" s="25" t="e">
        <f t="shared" si="34"/>
        <v>#REF!</v>
      </c>
      <c r="R131" s="25" t="e">
        <f t="shared" si="35"/>
        <v>#REF!</v>
      </c>
      <c r="S131" s="25" t="e">
        <f t="shared" si="36"/>
        <v>#REF!</v>
      </c>
      <c r="T131" s="25" t="e">
        <f t="shared" si="37"/>
        <v>#REF!</v>
      </c>
      <c r="U131" s="25" t="e">
        <f t="shared" si="38"/>
        <v>#REF!</v>
      </c>
      <c r="V131" s="25" t="e">
        <f t="shared" si="39"/>
        <v>#REF!</v>
      </c>
    </row>
    <row r="132" spans="1:22" ht="14.25" customHeight="1" x14ac:dyDescent="0.35">
      <c r="A132" s="2" t="s">
        <v>325</v>
      </c>
      <c r="B132" s="13" t="s">
        <v>59</v>
      </c>
      <c r="C132" s="13">
        <v>72018</v>
      </c>
      <c r="D132" s="14">
        <v>12406</v>
      </c>
      <c r="E132" s="15" t="e">
        <f>#REF!+#REF!+#REF!+#REF!+#REF!+#REF!+#REF!+GreenMobility!L132+#REF!+#REF!+#REF!+Partago!L132+#REF!+#REF!+#REF!</f>
        <v>#REF!</v>
      </c>
      <c r="F132" s="16" t="e">
        <f t="shared" si="0"/>
        <v>#REF!</v>
      </c>
      <c r="G132" s="19" t="e">
        <f>#REF!+#REF!+#REF!+#REF!+#REF!+#REF!+#REF!+#REF!+#REF!+Moovee!A132+#REF!+#REF!+#REF!</f>
        <v>#REF!</v>
      </c>
      <c r="H132" s="16" t="e">
        <f t="shared" si="1"/>
        <v>#REF!</v>
      </c>
      <c r="I132" s="30">
        <f t="shared" si="2"/>
        <v>24.812000000000001</v>
      </c>
      <c r="J132" s="31" t="e">
        <f t="shared" si="3"/>
        <v>#REF!</v>
      </c>
      <c r="K132" s="25" t="e">
        <f t="shared" si="28"/>
        <v>#REF!</v>
      </c>
      <c r="L132" s="25" t="e">
        <f t="shared" si="29"/>
        <v>#REF!</v>
      </c>
      <c r="M132" s="25" t="e">
        <f t="shared" si="30"/>
        <v>#REF!</v>
      </c>
      <c r="N132" s="25" t="e">
        <f t="shared" si="31"/>
        <v>#REF!</v>
      </c>
      <c r="O132" s="25" t="e">
        <f t="shared" si="32"/>
        <v>#REF!</v>
      </c>
      <c r="P132" s="25" t="e">
        <f t="shared" si="33"/>
        <v>#REF!</v>
      </c>
      <c r="Q132" s="25" t="e">
        <f t="shared" si="34"/>
        <v>#REF!</v>
      </c>
      <c r="R132" s="25" t="e">
        <f t="shared" si="35"/>
        <v>#REF!</v>
      </c>
      <c r="S132" s="25" t="e">
        <f t="shared" si="36"/>
        <v>#REF!</v>
      </c>
      <c r="T132" s="25" t="e">
        <f t="shared" si="37"/>
        <v>#REF!</v>
      </c>
      <c r="U132" s="25" t="e">
        <f t="shared" si="38"/>
        <v>#REF!</v>
      </c>
      <c r="V132" s="25" t="e">
        <f t="shared" si="39"/>
        <v>#REF!</v>
      </c>
    </row>
    <row r="133" spans="1:22" ht="14.25" customHeight="1" x14ac:dyDescent="0.35">
      <c r="A133" s="2" t="s">
        <v>191</v>
      </c>
      <c r="B133" s="13" t="s">
        <v>50</v>
      </c>
      <c r="C133" s="13">
        <v>45060</v>
      </c>
      <c r="D133" s="14">
        <v>6888</v>
      </c>
      <c r="E133" s="15" t="e">
        <f>#REF!+#REF!+#REF!+#REF!+#REF!+#REF!+#REF!+GreenMobility!L133+#REF!+#REF!+#REF!+Partago!L133+#REF!+#REF!+#REF!</f>
        <v>#REF!</v>
      </c>
      <c r="F133" s="16" t="e">
        <f t="shared" si="0"/>
        <v>#REF!</v>
      </c>
      <c r="G133" s="19" t="e">
        <f>#REF!+#REF!+#REF!+#REF!+#REF!+#REF!+#REF!+#REF!+#REF!+Moovee!A133+#REF!+#REF!+#REF!</f>
        <v>#REF!</v>
      </c>
      <c r="H133" s="16" t="e">
        <f t="shared" si="1"/>
        <v>#REF!</v>
      </c>
      <c r="I133" s="30">
        <f t="shared" si="2"/>
        <v>13.776</v>
      </c>
      <c r="J133" s="31" t="e">
        <f t="shared" si="3"/>
        <v>#REF!</v>
      </c>
      <c r="K133" s="25" t="e">
        <f t="shared" si="28"/>
        <v>#REF!</v>
      </c>
      <c r="L133" s="25" t="e">
        <f t="shared" si="29"/>
        <v>#REF!</v>
      </c>
      <c r="M133" s="25" t="e">
        <f t="shared" si="30"/>
        <v>#REF!</v>
      </c>
      <c r="N133" s="25" t="e">
        <f t="shared" si="31"/>
        <v>#REF!</v>
      </c>
      <c r="O133" s="25" t="e">
        <f t="shared" si="32"/>
        <v>#REF!</v>
      </c>
      <c r="P133" s="25" t="e">
        <f t="shared" si="33"/>
        <v>#REF!</v>
      </c>
      <c r="Q133" s="25" t="e">
        <f t="shared" si="34"/>
        <v>#REF!</v>
      </c>
      <c r="R133" s="25" t="e">
        <f t="shared" si="35"/>
        <v>#REF!</v>
      </c>
      <c r="S133" s="25" t="e">
        <f t="shared" si="36"/>
        <v>#REF!</v>
      </c>
      <c r="T133" s="25" t="e">
        <f t="shared" si="37"/>
        <v>#REF!</v>
      </c>
      <c r="U133" s="25" t="e">
        <f t="shared" si="38"/>
        <v>#REF!</v>
      </c>
      <c r="V133" s="25" t="e">
        <f t="shared" si="39"/>
        <v>#REF!</v>
      </c>
    </row>
    <row r="134" spans="1:22" ht="14.25" customHeight="1" x14ac:dyDescent="0.35">
      <c r="A134" s="2" t="s">
        <v>103</v>
      </c>
      <c r="B134" s="13" t="s">
        <v>55</v>
      </c>
      <c r="C134" s="13">
        <v>31043</v>
      </c>
      <c r="D134" s="14">
        <v>32514</v>
      </c>
      <c r="E134" s="15" t="e">
        <f>#REF!+#REF!+#REF!+#REF!+#REF!+#REF!+#REF!+GreenMobility!L134+#REF!+#REF!+#REF!+Partago!L134+#REF!+#REF!+#REF!</f>
        <v>#REF!</v>
      </c>
      <c r="F134" s="16" t="e">
        <f t="shared" si="0"/>
        <v>#REF!</v>
      </c>
      <c r="G134" s="19" t="e">
        <f>#REF!+#REF!+#REF!+#REF!+#REF!+#REF!+#REF!+#REF!+#REF!+Moovee!A134+#REF!+#REF!+#REF!</f>
        <v>#REF!</v>
      </c>
      <c r="H134" s="16" t="e">
        <f t="shared" si="1"/>
        <v>#REF!</v>
      </c>
      <c r="I134" s="30">
        <f t="shared" si="2"/>
        <v>65.028000000000006</v>
      </c>
      <c r="J134" s="31" t="e">
        <f t="shared" si="3"/>
        <v>#REF!</v>
      </c>
      <c r="K134" s="25" t="e">
        <f t="shared" si="28"/>
        <v>#REF!</v>
      </c>
      <c r="L134" s="25" t="e">
        <f t="shared" si="29"/>
        <v>#REF!</v>
      </c>
      <c r="M134" s="25" t="e">
        <f t="shared" si="30"/>
        <v>#REF!</v>
      </c>
      <c r="N134" s="25" t="e">
        <f t="shared" si="31"/>
        <v>#REF!</v>
      </c>
      <c r="O134" s="25" t="e">
        <f t="shared" si="32"/>
        <v>#REF!</v>
      </c>
      <c r="P134" s="25" t="e">
        <f t="shared" si="33"/>
        <v>#REF!</v>
      </c>
      <c r="Q134" s="25" t="e">
        <f t="shared" si="34"/>
        <v>#REF!</v>
      </c>
      <c r="R134" s="25" t="e">
        <f t="shared" si="35"/>
        <v>#REF!</v>
      </c>
      <c r="S134" s="25" t="e">
        <f t="shared" si="36"/>
        <v>#REF!</v>
      </c>
      <c r="T134" s="25" t="e">
        <f t="shared" si="37"/>
        <v>#REF!</v>
      </c>
      <c r="U134" s="25" t="e">
        <f t="shared" si="38"/>
        <v>#REF!</v>
      </c>
      <c r="V134" s="25" t="e">
        <f t="shared" si="39"/>
        <v>#REF!</v>
      </c>
    </row>
    <row r="135" spans="1:22" ht="14.25" customHeight="1" x14ac:dyDescent="0.35">
      <c r="A135" s="2" t="s">
        <v>256</v>
      </c>
      <c r="B135" s="13" t="s">
        <v>55</v>
      </c>
      <c r="C135" s="13">
        <v>32010</v>
      </c>
      <c r="D135" s="14">
        <v>8827</v>
      </c>
      <c r="E135" s="15" t="e">
        <f>#REF!+#REF!+#REF!+#REF!+#REF!+#REF!+#REF!+GreenMobility!L135+#REF!+#REF!+#REF!+Partago!L135+#REF!+#REF!+#REF!</f>
        <v>#REF!</v>
      </c>
      <c r="F135" s="16" t="e">
        <f t="shared" si="0"/>
        <v>#REF!</v>
      </c>
      <c r="G135" s="19" t="e">
        <f>#REF!+#REF!+#REF!+#REF!+#REF!+#REF!+#REF!+#REF!+#REF!+Moovee!A135+#REF!+#REF!+#REF!</f>
        <v>#REF!</v>
      </c>
      <c r="H135" s="16" t="e">
        <f t="shared" si="1"/>
        <v>#REF!</v>
      </c>
      <c r="I135" s="30">
        <f t="shared" si="2"/>
        <v>17.654</v>
      </c>
      <c r="J135" s="31" t="e">
        <f t="shared" si="3"/>
        <v>#REF!</v>
      </c>
      <c r="K135" s="25" t="e">
        <f t="shared" si="28"/>
        <v>#REF!</v>
      </c>
      <c r="L135" s="25" t="e">
        <f t="shared" si="29"/>
        <v>#REF!</v>
      </c>
      <c r="M135" s="25" t="e">
        <f t="shared" si="30"/>
        <v>#REF!</v>
      </c>
      <c r="N135" s="25" t="e">
        <f t="shared" si="31"/>
        <v>#REF!</v>
      </c>
      <c r="O135" s="25" t="e">
        <f t="shared" si="32"/>
        <v>#REF!</v>
      </c>
      <c r="P135" s="25" t="e">
        <f t="shared" si="33"/>
        <v>#REF!</v>
      </c>
      <c r="Q135" s="25" t="e">
        <f t="shared" si="34"/>
        <v>#REF!</v>
      </c>
      <c r="R135" s="25" t="e">
        <f t="shared" si="35"/>
        <v>#REF!</v>
      </c>
      <c r="S135" s="25" t="e">
        <f t="shared" si="36"/>
        <v>#REF!</v>
      </c>
      <c r="T135" s="25" t="e">
        <f t="shared" si="37"/>
        <v>#REF!</v>
      </c>
      <c r="U135" s="25" t="e">
        <f t="shared" si="38"/>
        <v>#REF!</v>
      </c>
      <c r="V135" s="25" t="e">
        <f t="shared" si="39"/>
        <v>#REF!</v>
      </c>
    </row>
    <row r="136" spans="1:22" ht="14.25" customHeight="1" x14ac:dyDescent="0.35">
      <c r="A136" s="2" t="s">
        <v>100</v>
      </c>
      <c r="B136" s="13" t="s">
        <v>55</v>
      </c>
      <c r="C136" s="13">
        <v>38014</v>
      </c>
      <c r="D136" s="14">
        <v>21546</v>
      </c>
      <c r="E136" s="15" t="e">
        <f>#REF!+#REF!+#REF!+#REF!+#REF!+#REF!+#REF!+GreenMobility!L136+#REF!+#REF!+#REF!+Partago!L136+#REF!+#REF!+#REF!</f>
        <v>#REF!</v>
      </c>
      <c r="F136" s="16" t="e">
        <f t="shared" si="0"/>
        <v>#REF!</v>
      </c>
      <c r="G136" s="19" t="e">
        <f>#REF!+#REF!+#REF!+#REF!+#REF!+#REF!+#REF!+#REF!+#REF!+Moovee!A136+#REF!+#REF!+#REF!</f>
        <v>#REF!</v>
      </c>
      <c r="H136" s="16" t="e">
        <f t="shared" si="1"/>
        <v>#REF!</v>
      </c>
      <c r="I136" s="30">
        <f t="shared" si="2"/>
        <v>43.091999999999999</v>
      </c>
      <c r="J136" s="31" t="e">
        <f t="shared" si="3"/>
        <v>#REF!</v>
      </c>
      <c r="K136" s="25" t="e">
        <f t="shared" si="28"/>
        <v>#REF!</v>
      </c>
      <c r="L136" s="25" t="e">
        <f t="shared" si="29"/>
        <v>#REF!</v>
      </c>
      <c r="M136" s="25" t="e">
        <f t="shared" si="30"/>
        <v>#REF!</v>
      </c>
      <c r="N136" s="25" t="e">
        <f t="shared" si="31"/>
        <v>#REF!</v>
      </c>
      <c r="O136" s="25" t="e">
        <f t="shared" si="32"/>
        <v>#REF!</v>
      </c>
      <c r="P136" s="25" t="e">
        <f t="shared" si="33"/>
        <v>#REF!</v>
      </c>
      <c r="Q136" s="25" t="e">
        <f t="shared" si="34"/>
        <v>#REF!</v>
      </c>
      <c r="R136" s="25" t="e">
        <f t="shared" si="35"/>
        <v>#REF!</v>
      </c>
      <c r="S136" s="25" t="e">
        <f t="shared" si="36"/>
        <v>#REF!</v>
      </c>
      <c r="T136" s="25" t="e">
        <f t="shared" si="37"/>
        <v>#REF!</v>
      </c>
      <c r="U136" s="25" t="e">
        <f t="shared" si="38"/>
        <v>#REF!</v>
      </c>
      <c r="V136" s="25" t="e">
        <f t="shared" si="39"/>
        <v>#REF!</v>
      </c>
    </row>
    <row r="137" spans="1:22" ht="14.25" customHeight="1" x14ac:dyDescent="0.35">
      <c r="A137" s="2" t="s">
        <v>288</v>
      </c>
      <c r="B137" s="13" t="s">
        <v>48</v>
      </c>
      <c r="C137" s="13">
        <v>11024</v>
      </c>
      <c r="D137" s="14">
        <v>21693</v>
      </c>
      <c r="E137" s="15" t="e">
        <f>#REF!+#REF!+#REF!+#REF!+#REF!+#REF!+#REF!+GreenMobility!L137+#REF!+#REF!+#REF!+Partago!L137+#REF!+#REF!+#REF!</f>
        <v>#REF!</v>
      </c>
      <c r="F137" s="16" t="e">
        <f t="shared" si="0"/>
        <v>#REF!</v>
      </c>
      <c r="G137" s="19" t="e">
        <f>#REF!+#REF!+#REF!+#REF!+#REF!+#REF!+#REF!+#REF!+#REF!+Moovee!A137+#REF!+#REF!+#REF!</f>
        <v>#REF!</v>
      </c>
      <c r="H137" s="16" t="e">
        <f t="shared" si="1"/>
        <v>#REF!</v>
      </c>
      <c r="I137" s="30">
        <f t="shared" si="2"/>
        <v>43.386000000000003</v>
      </c>
      <c r="J137" s="31" t="e">
        <f t="shared" si="3"/>
        <v>#REF!</v>
      </c>
      <c r="K137" s="25" t="e">
        <f t="shared" si="28"/>
        <v>#REF!</v>
      </c>
      <c r="L137" s="25" t="e">
        <f t="shared" si="29"/>
        <v>#REF!</v>
      </c>
      <c r="M137" s="25" t="e">
        <f t="shared" si="30"/>
        <v>#REF!</v>
      </c>
      <c r="N137" s="25" t="e">
        <f t="shared" si="31"/>
        <v>#REF!</v>
      </c>
      <c r="O137" s="25" t="e">
        <f t="shared" si="32"/>
        <v>#REF!</v>
      </c>
      <c r="P137" s="25" t="e">
        <f t="shared" si="33"/>
        <v>#REF!</v>
      </c>
      <c r="Q137" s="25" t="e">
        <f t="shared" si="34"/>
        <v>#REF!</v>
      </c>
      <c r="R137" s="25" t="e">
        <f t="shared" si="35"/>
        <v>#REF!</v>
      </c>
      <c r="S137" s="25" t="e">
        <f t="shared" si="36"/>
        <v>#REF!</v>
      </c>
      <c r="T137" s="25" t="e">
        <f t="shared" si="37"/>
        <v>#REF!</v>
      </c>
      <c r="U137" s="25" t="e">
        <f t="shared" si="38"/>
        <v>#REF!</v>
      </c>
      <c r="V137" s="25" t="e">
        <f t="shared" si="39"/>
        <v>#REF!</v>
      </c>
    </row>
    <row r="138" spans="1:22" ht="14.25" customHeight="1" x14ac:dyDescent="0.35">
      <c r="A138" s="2" t="s">
        <v>138</v>
      </c>
      <c r="B138" s="13" t="s">
        <v>55</v>
      </c>
      <c r="C138" s="13">
        <v>32011</v>
      </c>
      <c r="D138" s="14">
        <v>12815</v>
      </c>
      <c r="E138" s="15" t="e">
        <f>#REF!+#REF!+#REF!+#REF!+#REF!+#REF!+#REF!+GreenMobility!L138+#REF!+#REF!+#REF!+Partago!L138+#REF!+#REF!+#REF!</f>
        <v>#REF!</v>
      </c>
      <c r="F138" s="16" t="e">
        <f t="shared" si="0"/>
        <v>#REF!</v>
      </c>
      <c r="G138" s="19" t="e">
        <f>#REF!+#REF!+#REF!+#REF!+#REF!+#REF!+#REF!+#REF!+#REF!+Moovee!A138+#REF!+#REF!+#REF!</f>
        <v>#REF!</v>
      </c>
      <c r="H138" s="16" t="e">
        <f t="shared" si="1"/>
        <v>#REF!</v>
      </c>
      <c r="I138" s="30">
        <f t="shared" si="2"/>
        <v>25.63</v>
      </c>
      <c r="J138" s="31" t="e">
        <f t="shared" si="3"/>
        <v>#REF!</v>
      </c>
      <c r="K138" s="25" t="e">
        <f t="shared" si="28"/>
        <v>#REF!</v>
      </c>
      <c r="L138" s="25" t="e">
        <f t="shared" si="29"/>
        <v>#REF!</v>
      </c>
      <c r="M138" s="25" t="e">
        <f t="shared" si="30"/>
        <v>#REF!</v>
      </c>
      <c r="N138" s="25" t="e">
        <f t="shared" si="31"/>
        <v>#REF!</v>
      </c>
      <c r="O138" s="25" t="e">
        <f t="shared" si="32"/>
        <v>#REF!</v>
      </c>
      <c r="P138" s="25" t="e">
        <f t="shared" si="33"/>
        <v>#REF!</v>
      </c>
      <c r="Q138" s="25" t="e">
        <f t="shared" si="34"/>
        <v>#REF!</v>
      </c>
      <c r="R138" s="25" t="e">
        <f t="shared" si="35"/>
        <v>#REF!</v>
      </c>
      <c r="S138" s="25" t="e">
        <f t="shared" si="36"/>
        <v>#REF!</v>
      </c>
      <c r="T138" s="25" t="e">
        <f t="shared" si="37"/>
        <v>#REF!</v>
      </c>
      <c r="U138" s="25" t="e">
        <f t="shared" si="38"/>
        <v>#REF!</v>
      </c>
      <c r="V138" s="25" t="e">
        <f t="shared" si="39"/>
        <v>#REF!</v>
      </c>
    </row>
    <row r="139" spans="1:22" ht="14.25" customHeight="1" x14ac:dyDescent="0.35">
      <c r="A139" s="2" t="s">
        <v>252</v>
      </c>
      <c r="B139" s="13" t="s">
        <v>52</v>
      </c>
      <c r="C139" s="13">
        <v>24054</v>
      </c>
      <c r="D139" s="14">
        <v>7949</v>
      </c>
      <c r="E139" s="15" t="e">
        <f>#REF!+#REF!+#REF!+#REF!+#REF!+#REF!+#REF!+GreenMobility!L139+#REF!+#REF!+#REF!+Partago!L139+#REF!+#REF!+#REF!</f>
        <v>#REF!</v>
      </c>
      <c r="F139" s="16" t="e">
        <f t="shared" si="0"/>
        <v>#REF!</v>
      </c>
      <c r="G139" s="19" t="e">
        <f>#REF!+#REF!+#REF!+#REF!+#REF!+#REF!+#REF!+#REF!+#REF!+Moovee!A139+#REF!+#REF!+#REF!</f>
        <v>#REF!</v>
      </c>
      <c r="H139" s="16" t="e">
        <f t="shared" si="1"/>
        <v>#REF!</v>
      </c>
      <c r="I139" s="30">
        <f t="shared" si="2"/>
        <v>15.898</v>
      </c>
      <c r="J139" s="31" t="e">
        <f t="shared" si="3"/>
        <v>#REF!</v>
      </c>
      <c r="K139" s="25" t="e">
        <f t="shared" si="28"/>
        <v>#REF!</v>
      </c>
      <c r="L139" s="25" t="e">
        <f t="shared" si="29"/>
        <v>#REF!</v>
      </c>
      <c r="M139" s="25" t="e">
        <f t="shared" si="30"/>
        <v>#REF!</v>
      </c>
      <c r="N139" s="25" t="e">
        <f t="shared" si="31"/>
        <v>#REF!</v>
      </c>
      <c r="O139" s="25" t="e">
        <f t="shared" si="32"/>
        <v>#REF!</v>
      </c>
      <c r="P139" s="25" t="e">
        <f t="shared" si="33"/>
        <v>#REF!</v>
      </c>
      <c r="Q139" s="25" t="e">
        <f t="shared" si="34"/>
        <v>#REF!</v>
      </c>
      <c r="R139" s="25" t="e">
        <f t="shared" si="35"/>
        <v>#REF!</v>
      </c>
      <c r="S139" s="25" t="e">
        <f t="shared" si="36"/>
        <v>#REF!</v>
      </c>
      <c r="T139" s="25" t="e">
        <f t="shared" si="37"/>
        <v>#REF!</v>
      </c>
      <c r="U139" s="25" t="e">
        <f t="shared" si="38"/>
        <v>#REF!</v>
      </c>
      <c r="V139" s="25" t="e">
        <f t="shared" si="39"/>
        <v>#REF!</v>
      </c>
    </row>
    <row r="140" spans="1:22" ht="14.25" customHeight="1" x14ac:dyDescent="0.35">
      <c r="A140" s="2" t="s">
        <v>117</v>
      </c>
      <c r="B140" s="13" t="s">
        <v>52</v>
      </c>
      <c r="C140" s="13">
        <v>24055</v>
      </c>
      <c r="D140" s="14">
        <v>21165</v>
      </c>
      <c r="E140" s="15" t="e">
        <f>#REF!+#REF!+#REF!+#REF!+#REF!+#REF!+#REF!+GreenMobility!L140+#REF!+#REF!+#REF!+Partago!L140+#REF!+#REF!+#REF!</f>
        <v>#REF!</v>
      </c>
      <c r="F140" s="16" t="e">
        <f t="shared" si="0"/>
        <v>#REF!</v>
      </c>
      <c r="G140" s="19" t="e">
        <f>#REF!+#REF!+#REF!+#REF!+#REF!+#REF!+#REF!+#REF!+#REF!+Moovee!A140+#REF!+#REF!+#REF!</f>
        <v>#REF!</v>
      </c>
      <c r="H140" s="16" t="e">
        <f t="shared" si="1"/>
        <v>#REF!</v>
      </c>
      <c r="I140" s="30">
        <f t="shared" si="2"/>
        <v>42.33</v>
      </c>
      <c r="J140" s="31" t="e">
        <f t="shared" si="3"/>
        <v>#REF!</v>
      </c>
      <c r="K140" s="25" t="e">
        <f t="shared" si="28"/>
        <v>#REF!</v>
      </c>
      <c r="L140" s="25" t="e">
        <f t="shared" si="29"/>
        <v>#REF!</v>
      </c>
      <c r="M140" s="25" t="e">
        <f t="shared" si="30"/>
        <v>#REF!</v>
      </c>
      <c r="N140" s="25" t="e">
        <f t="shared" si="31"/>
        <v>#REF!</v>
      </c>
      <c r="O140" s="25" t="e">
        <f t="shared" si="32"/>
        <v>#REF!</v>
      </c>
      <c r="P140" s="25" t="e">
        <f t="shared" si="33"/>
        <v>#REF!</v>
      </c>
      <c r="Q140" s="25" t="e">
        <f t="shared" si="34"/>
        <v>#REF!</v>
      </c>
      <c r="R140" s="25" t="e">
        <f t="shared" si="35"/>
        <v>#REF!</v>
      </c>
      <c r="S140" s="25" t="e">
        <f t="shared" si="36"/>
        <v>#REF!</v>
      </c>
      <c r="T140" s="25" t="e">
        <f t="shared" si="37"/>
        <v>#REF!</v>
      </c>
      <c r="U140" s="25" t="e">
        <f t="shared" si="38"/>
        <v>#REF!</v>
      </c>
      <c r="V140" s="25" t="e">
        <f t="shared" si="39"/>
        <v>#REF!</v>
      </c>
    </row>
    <row r="141" spans="1:22" ht="14.25" customHeight="1" x14ac:dyDescent="0.35">
      <c r="A141" s="2" t="s">
        <v>347</v>
      </c>
      <c r="B141" s="13" t="s">
        <v>59</v>
      </c>
      <c r="C141" s="13">
        <v>73040</v>
      </c>
      <c r="D141" s="14">
        <v>8757</v>
      </c>
      <c r="E141" s="15" t="e">
        <f>#REF!+#REF!+#REF!+#REF!+#REF!+#REF!+#REF!+GreenMobility!L141+#REF!+#REF!+#REF!+Partago!L141+#REF!+#REF!+#REF!</f>
        <v>#REF!</v>
      </c>
      <c r="F141" s="16" t="e">
        <f t="shared" si="0"/>
        <v>#REF!</v>
      </c>
      <c r="G141" s="19" t="e">
        <f>#REF!+#REF!+#REF!+#REF!+#REF!+#REF!+#REF!+#REF!+#REF!+Moovee!A141+#REF!+#REF!+#REF!</f>
        <v>#REF!</v>
      </c>
      <c r="H141" s="16" t="e">
        <f t="shared" si="1"/>
        <v>#REF!</v>
      </c>
      <c r="I141" s="30">
        <f t="shared" si="2"/>
        <v>17.513999999999999</v>
      </c>
      <c r="J141" s="31" t="e">
        <f t="shared" si="3"/>
        <v>#REF!</v>
      </c>
      <c r="K141" s="25" t="e">
        <f t="shared" si="28"/>
        <v>#REF!</v>
      </c>
      <c r="L141" s="25" t="e">
        <f t="shared" si="29"/>
        <v>#REF!</v>
      </c>
      <c r="M141" s="25" t="e">
        <f t="shared" si="30"/>
        <v>#REF!</v>
      </c>
      <c r="N141" s="25" t="e">
        <f t="shared" si="31"/>
        <v>#REF!</v>
      </c>
      <c r="O141" s="25" t="e">
        <f t="shared" si="32"/>
        <v>#REF!</v>
      </c>
      <c r="P141" s="25" t="e">
        <f t="shared" si="33"/>
        <v>#REF!</v>
      </c>
      <c r="Q141" s="25" t="e">
        <f t="shared" si="34"/>
        <v>#REF!</v>
      </c>
      <c r="R141" s="25" t="e">
        <f t="shared" si="35"/>
        <v>#REF!</v>
      </c>
      <c r="S141" s="25" t="e">
        <f t="shared" si="36"/>
        <v>#REF!</v>
      </c>
      <c r="T141" s="25" t="e">
        <f t="shared" si="37"/>
        <v>#REF!</v>
      </c>
      <c r="U141" s="25" t="e">
        <f t="shared" si="38"/>
        <v>#REF!</v>
      </c>
      <c r="V141" s="25" t="e">
        <f t="shared" si="39"/>
        <v>#REF!</v>
      </c>
    </row>
    <row r="142" spans="1:22" ht="14.25" customHeight="1" x14ac:dyDescent="0.35">
      <c r="A142" s="2" t="s">
        <v>56</v>
      </c>
      <c r="B142" s="13" t="s">
        <v>55</v>
      </c>
      <c r="C142" s="13">
        <v>34022</v>
      </c>
      <c r="D142" s="14">
        <v>80032</v>
      </c>
      <c r="E142" s="15" t="e">
        <f>#REF!+#REF!+#REF!+#REF!+#REF!+#REF!+#REF!+GreenMobility!L142+#REF!+#REF!+#REF!+Partago!L142+#REF!+#REF!+#REF!</f>
        <v>#REF!</v>
      </c>
      <c r="F142" s="16" t="e">
        <f t="shared" si="0"/>
        <v>#REF!</v>
      </c>
      <c r="G142" s="19" t="e">
        <f>#REF!+#REF!+#REF!+#REF!+#REF!+#REF!+#REF!+#REF!+#REF!+Moovee!A142+#REF!+#REF!+#REF!</f>
        <v>#REF!</v>
      </c>
      <c r="H142" s="16" t="e">
        <f t="shared" si="1"/>
        <v>#REF!</v>
      </c>
      <c r="I142" s="30">
        <f t="shared" si="2"/>
        <v>160.06399999999999</v>
      </c>
      <c r="J142" s="31" t="e">
        <f t="shared" si="3"/>
        <v>#REF!</v>
      </c>
      <c r="K142" s="25" t="e">
        <f t="shared" si="28"/>
        <v>#REF!</v>
      </c>
      <c r="L142" s="25" t="e">
        <f t="shared" si="29"/>
        <v>#REF!</v>
      </c>
      <c r="M142" s="25" t="e">
        <f t="shared" si="30"/>
        <v>#REF!</v>
      </c>
      <c r="N142" s="25" t="e">
        <f t="shared" si="31"/>
        <v>#REF!</v>
      </c>
      <c r="O142" s="25" t="e">
        <f t="shared" si="32"/>
        <v>#REF!</v>
      </c>
      <c r="P142" s="25" t="e">
        <f t="shared" si="33"/>
        <v>#REF!</v>
      </c>
      <c r="Q142" s="25" t="e">
        <f t="shared" si="34"/>
        <v>#REF!</v>
      </c>
      <c r="R142" s="25" t="e">
        <f t="shared" si="35"/>
        <v>#REF!</v>
      </c>
      <c r="S142" s="25" t="e">
        <f t="shared" si="36"/>
        <v>#REF!</v>
      </c>
      <c r="T142" s="25" t="e">
        <f t="shared" si="37"/>
        <v>#REF!</v>
      </c>
      <c r="U142" s="25" t="e">
        <f t="shared" si="38"/>
        <v>#REF!</v>
      </c>
      <c r="V142" s="25" t="e">
        <f t="shared" si="39"/>
        <v>#REF!</v>
      </c>
    </row>
    <row r="143" spans="1:22" ht="14.25" customHeight="1" x14ac:dyDescent="0.35">
      <c r="A143" s="2" t="s">
        <v>270</v>
      </c>
      <c r="B143" s="13" t="s">
        <v>52</v>
      </c>
      <c r="C143" s="13">
        <v>23099</v>
      </c>
      <c r="D143" s="14">
        <v>13962</v>
      </c>
      <c r="E143" s="15" t="e">
        <f>#REF!+#REF!+#REF!+#REF!+#REF!+#REF!+#REF!+GreenMobility!L143+#REF!+#REF!+#REF!+Partago!L143+#REF!+#REF!+#REF!</f>
        <v>#REF!</v>
      </c>
      <c r="F143" s="16" t="e">
        <f t="shared" si="0"/>
        <v>#REF!</v>
      </c>
      <c r="G143" s="19" t="e">
        <f>#REF!+#REF!+#REF!+#REF!+#REF!+#REF!+#REF!+#REF!+#REF!+Moovee!A143+#REF!+#REF!+#REF!</f>
        <v>#REF!</v>
      </c>
      <c r="H143" s="16" t="e">
        <f t="shared" si="1"/>
        <v>#REF!</v>
      </c>
      <c r="I143" s="30">
        <f t="shared" si="2"/>
        <v>27.923999999999999</v>
      </c>
      <c r="J143" s="31" t="e">
        <f t="shared" si="3"/>
        <v>#REF!</v>
      </c>
      <c r="K143" s="25" t="e">
        <f t="shared" si="28"/>
        <v>#REF!</v>
      </c>
      <c r="L143" s="25" t="e">
        <f t="shared" si="29"/>
        <v>#REF!</v>
      </c>
      <c r="M143" s="25" t="e">
        <f t="shared" si="30"/>
        <v>#REF!</v>
      </c>
      <c r="N143" s="25" t="e">
        <f t="shared" si="31"/>
        <v>#REF!</v>
      </c>
      <c r="O143" s="25" t="e">
        <f t="shared" si="32"/>
        <v>#REF!</v>
      </c>
      <c r="P143" s="25" t="e">
        <f t="shared" si="33"/>
        <v>#REF!</v>
      </c>
      <c r="Q143" s="25" t="e">
        <f t="shared" si="34"/>
        <v>#REF!</v>
      </c>
      <c r="R143" s="25" t="e">
        <f t="shared" si="35"/>
        <v>#REF!</v>
      </c>
      <c r="S143" s="25" t="e">
        <f t="shared" si="36"/>
        <v>#REF!</v>
      </c>
      <c r="T143" s="25" t="e">
        <f t="shared" si="37"/>
        <v>#REF!</v>
      </c>
      <c r="U143" s="25" t="e">
        <f t="shared" si="38"/>
        <v>#REF!</v>
      </c>
      <c r="V143" s="25" t="e">
        <f t="shared" si="39"/>
        <v>#REF!</v>
      </c>
    </row>
    <row r="144" spans="1:22" ht="14.25" customHeight="1" x14ac:dyDescent="0.35">
      <c r="A144" s="2" t="s">
        <v>348</v>
      </c>
      <c r="B144" s="13" t="s">
        <v>50</v>
      </c>
      <c r="C144" s="13">
        <v>46013</v>
      </c>
      <c r="D144" s="14">
        <v>17072</v>
      </c>
      <c r="E144" s="15" t="e">
        <f>#REF!+#REF!+#REF!+#REF!+#REF!+#REF!+#REF!+GreenMobility!L144+#REF!+#REF!+#REF!+Partago!L144+#REF!+#REF!+#REF!</f>
        <v>#REF!</v>
      </c>
      <c r="F144" s="16" t="e">
        <f t="shared" si="0"/>
        <v>#REF!</v>
      </c>
      <c r="G144" s="19" t="e">
        <f>#REF!+#REF!+#REF!+#REF!+#REF!+#REF!+#REF!+#REF!+#REF!+Moovee!A144+#REF!+#REF!+#REF!</f>
        <v>#REF!</v>
      </c>
      <c r="H144" s="16" t="e">
        <f t="shared" si="1"/>
        <v>#REF!</v>
      </c>
      <c r="I144" s="30">
        <f t="shared" si="2"/>
        <v>34.143999999999998</v>
      </c>
      <c r="J144" s="31" t="e">
        <f t="shared" si="3"/>
        <v>#REF!</v>
      </c>
      <c r="K144" s="25" t="e">
        <f t="shared" si="28"/>
        <v>#REF!</v>
      </c>
      <c r="L144" s="25" t="e">
        <f t="shared" si="29"/>
        <v>#REF!</v>
      </c>
      <c r="M144" s="25" t="e">
        <f t="shared" si="30"/>
        <v>#REF!</v>
      </c>
      <c r="N144" s="25" t="e">
        <f t="shared" si="31"/>
        <v>#REF!</v>
      </c>
      <c r="O144" s="25" t="e">
        <f t="shared" si="32"/>
        <v>#REF!</v>
      </c>
      <c r="P144" s="25" t="e">
        <f t="shared" si="33"/>
        <v>#REF!</v>
      </c>
      <c r="Q144" s="25" t="e">
        <f t="shared" si="34"/>
        <v>#REF!</v>
      </c>
      <c r="R144" s="25" t="e">
        <f t="shared" si="35"/>
        <v>#REF!</v>
      </c>
      <c r="S144" s="25" t="e">
        <f t="shared" si="36"/>
        <v>#REF!</v>
      </c>
      <c r="T144" s="25" t="e">
        <f t="shared" si="37"/>
        <v>#REF!</v>
      </c>
      <c r="U144" s="25" t="e">
        <f t="shared" si="38"/>
        <v>#REF!</v>
      </c>
      <c r="V144" s="25" t="e">
        <f t="shared" si="39"/>
        <v>#REF!</v>
      </c>
    </row>
    <row r="145" spans="1:22" ht="14.25" customHeight="1" x14ac:dyDescent="0.35">
      <c r="A145" s="2" t="s">
        <v>122</v>
      </c>
      <c r="B145" s="13" t="s">
        <v>50</v>
      </c>
      <c r="C145" s="13">
        <v>45068</v>
      </c>
      <c r="D145" s="14">
        <v>15961</v>
      </c>
      <c r="E145" s="15" t="e">
        <f>#REF!+#REF!+#REF!+#REF!+#REF!+#REF!+#REF!+GreenMobility!L145+#REF!+#REF!+#REF!+Partago!L145+#REF!+#REF!+#REF!</f>
        <v>#REF!</v>
      </c>
      <c r="F145" s="16" t="e">
        <f t="shared" si="0"/>
        <v>#REF!</v>
      </c>
      <c r="G145" s="19" t="e">
        <f>#REF!+#REF!+#REF!+#REF!+#REF!+#REF!+#REF!+#REF!+#REF!+Moovee!A145+#REF!+#REF!+#REF!</f>
        <v>#REF!</v>
      </c>
      <c r="H145" s="16" t="e">
        <f t="shared" si="1"/>
        <v>#REF!</v>
      </c>
      <c r="I145" s="30">
        <f t="shared" si="2"/>
        <v>31.922000000000001</v>
      </c>
      <c r="J145" s="31" t="e">
        <f t="shared" si="3"/>
        <v>#REF!</v>
      </c>
      <c r="K145" s="25" t="e">
        <f t="shared" si="28"/>
        <v>#REF!</v>
      </c>
      <c r="L145" s="25" t="e">
        <f t="shared" si="29"/>
        <v>#REF!</v>
      </c>
      <c r="M145" s="25" t="e">
        <f t="shared" si="30"/>
        <v>#REF!</v>
      </c>
      <c r="N145" s="25" t="e">
        <f t="shared" si="31"/>
        <v>#REF!</v>
      </c>
      <c r="O145" s="25" t="e">
        <f t="shared" si="32"/>
        <v>#REF!</v>
      </c>
      <c r="P145" s="25" t="e">
        <f t="shared" si="33"/>
        <v>#REF!</v>
      </c>
      <c r="Q145" s="25" t="e">
        <f t="shared" si="34"/>
        <v>#REF!</v>
      </c>
      <c r="R145" s="25" t="e">
        <f t="shared" si="35"/>
        <v>#REF!</v>
      </c>
      <c r="S145" s="25" t="e">
        <f t="shared" si="36"/>
        <v>#REF!</v>
      </c>
      <c r="T145" s="25" t="e">
        <f t="shared" si="37"/>
        <v>#REF!</v>
      </c>
      <c r="U145" s="25" t="e">
        <f t="shared" si="38"/>
        <v>#REF!</v>
      </c>
      <c r="V145" s="25" t="e">
        <f t="shared" si="39"/>
        <v>#REF!</v>
      </c>
    </row>
    <row r="146" spans="1:22" ht="14.25" customHeight="1" x14ac:dyDescent="0.35">
      <c r="A146" s="2" t="s">
        <v>158</v>
      </c>
      <c r="B146" s="13" t="s">
        <v>55</v>
      </c>
      <c r="C146" s="13">
        <v>34023</v>
      </c>
      <c r="D146" s="14">
        <v>14145</v>
      </c>
      <c r="E146" s="15" t="e">
        <f>#REF!+#REF!+#REF!+#REF!+#REF!+#REF!+#REF!+GreenMobility!L146+#REF!+#REF!+#REF!+Partago!L146+#REF!+#REF!+#REF!</f>
        <v>#REF!</v>
      </c>
      <c r="F146" s="16" t="e">
        <f t="shared" si="0"/>
        <v>#REF!</v>
      </c>
      <c r="G146" s="19" t="e">
        <f>#REF!+#REF!+#REF!+#REF!+#REF!+#REF!+#REF!+#REF!+#REF!+Moovee!A146+#REF!+#REF!+#REF!</f>
        <v>#REF!</v>
      </c>
      <c r="H146" s="16" t="e">
        <f t="shared" si="1"/>
        <v>#REF!</v>
      </c>
      <c r="I146" s="30">
        <f t="shared" si="2"/>
        <v>28.29</v>
      </c>
      <c r="J146" s="31" t="e">
        <f t="shared" si="3"/>
        <v>#REF!</v>
      </c>
      <c r="K146" s="25" t="e">
        <f t="shared" si="28"/>
        <v>#REF!</v>
      </c>
      <c r="L146" s="25" t="e">
        <f t="shared" si="29"/>
        <v>#REF!</v>
      </c>
      <c r="M146" s="25" t="e">
        <f t="shared" si="30"/>
        <v>#REF!</v>
      </c>
      <c r="N146" s="25" t="e">
        <f t="shared" si="31"/>
        <v>#REF!</v>
      </c>
      <c r="O146" s="25" t="e">
        <f t="shared" si="32"/>
        <v>#REF!</v>
      </c>
      <c r="P146" s="25" t="e">
        <f t="shared" si="33"/>
        <v>#REF!</v>
      </c>
      <c r="Q146" s="25" t="e">
        <f t="shared" si="34"/>
        <v>#REF!</v>
      </c>
      <c r="R146" s="25" t="e">
        <f t="shared" si="35"/>
        <v>#REF!</v>
      </c>
      <c r="S146" s="25" t="e">
        <f t="shared" si="36"/>
        <v>#REF!</v>
      </c>
      <c r="T146" s="25" t="e">
        <f t="shared" si="37"/>
        <v>#REF!</v>
      </c>
      <c r="U146" s="25" t="e">
        <f t="shared" si="38"/>
        <v>#REF!</v>
      </c>
      <c r="V146" s="25" t="e">
        <f t="shared" si="39"/>
        <v>#REF!</v>
      </c>
    </row>
    <row r="147" spans="1:22" ht="14.25" customHeight="1" x14ac:dyDescent="0.35">
      <c r="A147" s="2" t="s">
        <v>218</v>
      </c>
      <c r="B147" s="13" t="s">
        <v>48</v>
      </c>
      <c r="C147" s="13">
        <v>13053</v>
      </c>
      <c r="D147" s="14">
        <v>16753</v>
      </c>
      <c r="E147" s="15" t="e">
        <f>#REF!+#REF!+#REF!+#REF!+#REF!+#REF!+#REF!+GreenMobility!L147+#REF!+#REF!+#REF!+Partago!L147+#REF!+#REF!+#REF!</f>
        <v>#REF!</v>
      </c>
      <c r="F147" s="16" t="e">
        <f t="shared" si="0"/>
        <v>#REF!</v>
      </c>
      <c r="G147" s="19" t="e">
        <f>#REF!+#REF!+#REF!+#REF!+#REF!+#REF!+#REF!+#REF!+#REF!+Moovee!A147+#REF!+#REF!+#REF!</f>
        <v>#REF!</v>
      </c>
      <c r="H147" s="16" t="e">
        <f t="shared" si="1"/>
        <v>#REF!</v>
      </c>
      <c r="I147" s="30">
        <f t="shared" si="2"/>
        <v>33.506</v>
      </c>
      <c r="J147" s="31" t="e">
        <f t="shared" si="3"/>
        <v>#REF!</v>
      </c>
      <c r="K147" s="25" t="e">
        <f t="shared" si="28"/>
        <v>#REF!</v>
      </c>
      <c r="L147" s="25" t="e">
        <f t="shared" si="29"/>
        <v>#REF!</v>
      </c>
      <c r="M147" s="25" t="e">
        <f t="shared" si="30"/>
        <v>#REF!</v>
      </c>
      <c r="N147" s="25" t="e">
        <f t="shared" si="31"/>
        <v>#REF!</v>
      </c>
      <c r="O147" s="25" t="e">
        <f t="shared" si="32"/>
        <v>#REF!</v>
      </c>
      <c r="P147" s="25" t="e">
        <f t="shared" si="33"/>
        <v>#REF!</v>
      </c>
      <c r="Q147" s="25" t="e">
        <f t="shared" si="34"/>
        <v>#REF!</v>
      </c>
      <c r="R147" s="25" t="e">
        <f t="shared" si="35"/>
        <v>#REF!</v>
      </c>
      <c r="S147" s="25" t="e">
        <f t="shared" si="36"/>
        <v>#REF!</v>
      </c>
      <c r="T147" s="25" t="e">
        <f t="shared" si="37"/>
        <v>#REF!</v>
      </c>
      <c r="U147" s="25" t="e">
        <f t="shared" si="38"/>
        <v>#REF!</v>
      </c>
      <c r="V147" s="25" t="e">
        <f t="shared" si="39"/>
        <v>#REF!</v>
      </c>
    </row>
    <row r="148" spans="1:22" ht="14.25" customHeight="1" x14ac:dyDescent="0.35">
      <c r="A148" s="2" t="s">
        <v>155</v>
      </c>
      <c r="B148" s="13" t="s">
        <v>50</v>
      </c>
      <c r="C148" s="13">
        <v>42010</v>
      </c>
      <c r="D148" s="14">
        <v>12532</v>
      </c>
      <c r="E148" s="15" t="e">
        <f>#REF!+#REF!+#REF!+#REF!+#REF!+#REF!+#REF!+GreenMobility!L148+#REF!+#REF!+#REF!+Partago!L148+#REF!+#REF!+#REF!</f>
        <v>#REF!</v>
      </c>
      <c r="F148" s="16" t="e">
        <f t="shared" si="0"/>
        <v>#REF!</v>
      </c>
      <c r="G148" s="19" t="e">
        <f>#REF!+#REF!+#REF!+#REF!+#REF!+#REF!+#REF!+#REF!+#REF!+Moovee!A148+#REF!+#REF!+#REF!</f>
        <v>#REF!</v>
      </c>
      <c r="H148" s="16" t="e">
        <f t="shared" si="1"/>
        <v>#REF!</v>
      </c>
      <c r="I148" s="30">
        <f t="shared" si="2"/>
        <v>25.064</v>
      </c>
      <c r="J148" s="31" t="e">
        <f t="shared" si="3"/>
        <v>#REF!</v>
      </c>
      <c r="K148" s="25" t="e">
        <f t="shared" si="28"/>
        <v>#REF!</v>
      </c>
      <c r="L148" s="25" t="e">
        <f t="shared" si="29"/>
        <v>#REF!</v>
      </c>
      <c r="M148" s="25" t="e">
        <f t="shared" si="30"/>
        <v>#REF!</v>
      </c>
      <c r="N148" s="25" t="e">
        <f t="shared" si="31"/>
        <v>#REF!</v>
      </c>
      <c r="O148" s="25" t="e">
        <f t="shared" si="32"/>
        <v>#REF!</v>
      </c>
      <c r="P148" s="25" t="e">
        <f t="shared" si="33"/>
        <v>#REF!</v>
      </c>
      <c r="Q148" s="25" t="e">
        <f t="shared" si="34"/>
        <v>#REF!</v>
      </c>
      <c r="R148" s="25" t="e">
        <f t="shared" si="35"/>
        <v>#REF!</v>
      </c>
      <c r="S148" s="25" t="e">
        <f t="shared" si="36"/>
        <v>#REF!</v>
      </c>
      <c r="T148" s="25" t="e">
        <f t="shared" si="37"/>
        <v>#REF!</v>
      </c>
      <c r="U148" s="25" t="e">
        <f t="shared" si="38"/>
        <v>#REF!</v>
      </c>
      <c r="V148" s="25" t="e">
        <f t="shared" si="39"/>
        <v>#REF!</v>
      </c>
    </row>
    <row r="149" spans="1:22" ht="14.25" customHeight="1" x14ac:dyDescent="0.35">
      <c r="A149" s="2" t="s">
        <v>295</v>
      </c>
      <c r="B149" s="13" t="s">
        <v>59</v>
      </c>
      <c r="C149" s="13">
        <v>73042</v>
      </c>
      <c r="D149" s="14">
        <v>26366</v>
      </c>
      <c r="E149" s="15" t="e">
        <f>#REF!+#REF!+#REF!+#REF!+#REF!+#REF!+#REF!+GreenMobility!L149+#REF!+#REF!+#REF!+Partago!L149+#REF!+#REF!+#REF!</f>
        <v>#REF!</v>
      </c>
      <c r="F149" s="16" t="e">
        <f t="shared" si="0"/>
        <v>#REF!</v>
      </c>
      <c r="G149" s="19" t="e">
        <f>#REF!+#REF!+#REF!+#REF!+#REF!+#REF!+#REF!+#REF!+#REF!+Moovee!A149+#REF!+#REF!+#REF!</f>
        <v>#REF!</v>
      </c>
      <c r="H149" s="16" t="e">
        <f t="shared" si="1"/>
        <v>#REF!</v>
      </c>
      <c r="I149" s="30">
        <f t="shared" si="2"/>
        <v>52.731999999999999</v>
      </c>
      <c r="J149" s="31" t="e">
        <f t="shared" si="3"/>
        <v>#REF!</v>
      </c>
      <c r="K149" s="25" t="e">
        <f t="shared" si="28"/>
        <v>#REF!</v>
      </c>
      <c r="L149" s="25" t="e">
        <f t="shared" si="29"/>
        <v>#REF!</v>
      </c>
      <c r="M149" s="25" t="e">
        <f t="shared" si="30"/>
        <v>#REF!</v>
      </c>
      <c r="N149" s="25" t="e">
        <f t="shared" si="31"/>
        <v>#REF!</v>
      </c>
      <c r="O149" s="25" t="e">
        <f t="shared" si="32"/>
        <v>#REF!</v>
      </c>
      <c r="P149" s="25" t="e">
        <f t="shared" si="33"/>
        <v>#REF!</v>
      </c>
      <c r="Q149" s="25" t="e">
        <f t="shared" si="34"/>
        <v>#REF!</v>
      </c>
      <c r="R149" s="25" t="e">
        <f t="shared" si="35"/>
        <v>#REF!</v>
      </c>
      <c r="S149" s="25" t="e">
        <f t="shared" si="36"/>
        <v>#REF!</v>
      </c>
      <c r="T149" s="25" t="e">
        <f t="shared" si="37"/>
        <v>#REF!</v>
      </c>
      <c r="U149" s="25" t="e">
        <f t="shared" si="38"/>
        <v>#REF!</v>
      </c>
      <c r="V149" s="25" t="e">
        <f t="shared" si="39"/>
        <v>#REF!</v>
      </c>
    </row>
    <row r="150" spans="1:22" ht="14.25" customHeight="1" x14ac:dyDescent="0.35">
      <c r="A150" s="2" t="s">
        <v>81</v>
      </c>
      <c r="B150" s="13" t="s">
        <v>52</v>
      </c>
      <c r="C150" s="13">
        <v>24059</v>
      </c>
      <c r="D150" s="14">
        <v>16390</v>
      </c>
      <c r="E150" s="15" t="e">
        <f>#REF!+#REF!+#REF!+#REF!+#REF!+#REF!+#REF!+GreenMobility!L150+#REF!+#REF!+#REF!+Partago!L150+#REF!+#REF!+#REF!</f>
        <v>#REF!</v>
      </c>
      <c r="F150" s="16" t="e">
        <f t="shared" si="0"/>
        <v>#REF!</v>
      </c>
      <c r="G150" s="19" t="e">
        <f>#REF!+#REF!+#REF!+#REF!+#REF!+#REF!+#REF!+#REF!+#REF!+Moovee!A150+#REF!+#REF!+#REF!</f>
        <v>#REF!</v>
      </c>
      <c r="H150" s="16" t="e">
        <f t="shared" si="1"/>
        <v>#REF!</v>
      </c>
      <c r="I150" s="30">
        <f t="shared" si="2"/>
        <v>32.78</v>
      </c>
      <c r="J150" s="31" t="e">
        <f t="shared" si="3"/>
        <v>#REF!</v>
      </c>
      <c r="K150" s="25" t="e">
        <f t="shared" si="28"/>
        <v>#REF!</v>
      </c>
      <c r="L150" s="25" t="e">
        <f t="shared" si="29"/>
        <v>#REF!</v>
      </c>
      <c r="M150" s="25" t="e">
        <f t="shared" si="30"/>
        <v>#REF!</v>
      </c>
      <c r="N150" s="25" t="e">
        <f t="shared" si="31"/>
        <v>#REF!</v>
      </c>
      <c r="O150" s="25" t="e">
        <f t="shared" si="32"/>
        <v>#REF!</v>
      </c>
      <c r="P150" s="25" t="e">
        <f t="shared" si="33"/>
        <v>#REF!</v>
      </c>
      <c r="Q150" s="25" t="e">
        <f t="shared" si="34"/>
        <v>#REF!</v>
      </c>
      <c r="R150" s="25" t="e">
        <f t="shared" si="35"/>
        <v>#REF!</v>
      </c>
      <c r="S150" s="25" t="e">
        <f t="shared" si="36"/>
        <v>#REF!</v>
      </c>
      <c r="T150" s="25" t="e">
        <f t="shared" si="37"/>
        <v>#REF!</v>
      </c>
      <c r="U150" s="25" t="e">
        <f t="shared" si="38"/>
        <v>#REF!</v>
      </c>
      <c r="V150" s="25" t="e">
        <f t="shared" si="39"/>
        <v>#REF!</v>
      </c>
    </row>
    <row r="151" spans="1:22" ht="14.25" customHeight="1" x14ac:dyDescent="0.35">
      <c r="A151" s="2" t="s">
        <v>253</v>
      </c>
      <c r="B151" s="13" t="s">
        <v>55</v>
      </c>
      <c r="C151" s="13">
        <v>33040</v>
      </c>
      <c r="D151" s="14">
        <v>8100</v>
      </c>
      <c r="E151" s="15" t="e">
        <f>#REF!+#REF!+#REF!+#REF!+#REF!+#REF!+#REF!+GreenMobility!L151+#REF!+#REF!+#REF!+Partago!L151+#REF!+#REF!+#REF!</f>
        <v>#REF!</v>
      </c>
      <c r="F151" s="16" t="e">
        <f t="shared" si="0"/>
        <v>#REF!</v>
      </c>
      <c r="G151" s="19" t="e">
        <f>#REF!+#REF!+#REF!+#REF!+#REF!+#REF!+#REF!+#REF!+#REF!+Moovee!A151+#REF!+#REF!+#REF!</f>
        <v>#REF!</v>
      </c>
      <c r="H151" s="16" t="e">
        <f t="shared" si="1"/>
        <v>#REF!</v>
      </c>
      <c r="I151" s="30">
        <f t="shared" si="2"/>
        <v>16.2</v>
      </c>
      <c r="J151" s="31" t="e">
        <f t="shared" si="3"/>
        <v>#REF!</v>
      </c>
      <c r="K151" s="25" t="e">
        <f t="shared" si="28"/>
        <v>#REF!</v>
      </c>
      <c r="L151" s="25" t="e">
        <f t="shared" si="29"/>
        <v>#REF!</v>
      </c>
      <c r="M151" s="25" t="e">
        <f t="shared" si="30"/>
        <v>#REF!</v>
      </c>
      <c r="N151" s="25" t="e">
        <f t="shared" si="31"/>
        <v>#REF!</v>
      </c>
      <c r="O151" s="25" t="e">
        <f t="shared" si="32"/>
        <v>#REF!</v>
      </c>
      <c r="P151" s="25" t="e">
        <f t="shared" si="33"/>
        <v>#REF!</v>
      </c>
      <c r="Q151" s="25" t="e">
        <f t="shared" si="34"/>
        <v>#REF!</v>
      </c>
      <c r="R151" s="25" t="e">
        <f t="shared" si="35"/>
        <v>#REF!</v>
      </c>
      <c r="S151" s="25" t="e">
        <f t="shared" si="36"/>
        <v>#REF!</v>
      </c>
      <c r="T151" s="25" t="e">
        <f t="shared" si="37"/>
        <v>#REF!</v>
      </c>
      <c r="U151" s="25" t="e">
        <f t="shared" si="38"/>
        <v>#REF!</v>
      </c>
      <c r="V151" s="25" t="e">
        <f t="shared" si="39"/>
        <v>#REF!</v>
      </c>
    </row>
    <row r="152" spans="1:22" ht="14.25" customHeight="1" x14ac:dyDescent="0.35">
      <c r="A152" s="2" t="s">
        <v>114</v>
      </c>
      <c r="B152" s="13" t="s">
        <v>50</v>
      </c>
      <c r="C152" s="13">
        <v>42011</v>
      </c>
      <c r="D152" s="14">
        <v>20059</v>
      </c>
      <c r="E152" s="15" t="e">
        <f>#REF!+#REF!+#REF!+#REF!+#REF!+#REF!+#REF!+GreenMobility!L152+#REF!+#REF!+#REF!+Partago!L152+#REF!+#REF!+#REF!</f>
        <v>#REF!</v>
      </c>
      <c r="F152" s="16" t="e">
        <f t="shared" si="0"/>
        <v>#REF!</v>
      </c>
      <c r="G152" s="19" t="e">
        <f>#REF!+#REF!+#REF!+#REF!+#REF!+#REF!+#REF!+#REF!+#REF!+Moovee!A152+#REF!+#REF!+#REF!</f>
        <v>#REF!</v>
      </c>
      <c r="H152" s="16" t="e">
        <f t="shared" si="1"/>
        <v>#REF!</v>
      </c>
      <c r="I152" s="30">
        <f t="shared" si="2"/>
        <v>40.118000000000002</v>
      </c>
      <c r="J152" s="31" t="e">
        <f t="shared" si="3"/>
        <v>#REF!</v>
      </c>
      <c r="K152" s="25" t="e">
        <f t="shared" si="28"/>
        <v>#REF!</v>
      </c>
      <c r="L152" s="25" t="e">
        <f t="shared" si="29"/>
        <v>#REF!</v>
      </c>
      <c r="M152" s="25" t="e">
        <f t="shared" si="30"/>
        <v>#REF!</v>
      </c>
      <c r="N152" s="25" t="e">
        <f t="shared" si="31"/>
        <v>#REF!</v>
      </c>
      <c r="O152" s="25" t="e">
        <f t="shared" si="32"/>
        <v>#REF!</v>
      </c>
      <c r="P152" s="25" t="e">
        <f t="shared" si="33"/>
        <v>#REF!</v>
      </c>
      <c r="Q152" s="25" t="e">
        <f t="shared" si="34"/>
        <v>#REF!</v>
      </c>
      <c r="R152" s="25" t="e">
        <f t="shared" si="35"/>
        <v>#REF!</v>
      </c>
      <c r="S152" s="25" t="e">
        <f t="shared" si="36"/>
        <v>#REF!</v>
      </c>
      <c r="T152" s="25" t="e">
        <f t="shared" si="37"/>
        <v>#REF!</v>
      </c>
      <c r="U152" s="25" t="e">
        <f t="shared" si="38"/>
        <v>#REF!</v>
      </c>
      <c r="V152" s="25" t="e">
        <f t="shared" si="39"/>
        <v>#REF!</v>
      </c>
    </row>
    <row r="153" spans="1:22" ht="14.25" customHeight="1" x14ac:dyDescent="0.35">
      <c r="A153" s="2" t="s">
        <v>179</v>
      </c>
      <c r="B153" s="13" t="s">
        <v>50</v>
      </c>
      <c r="C153" s="13">
        <v>41034</v>
      </c>
      <c r="D153" s="14">
        <v>19310</v>
      </c>
      <c r="E153" s="15" t="e">
        <f>#REF!+#REF!+#REF!+#REF!+#REF!+#REF!+#REF!+GreenMobility!L153+#REF!+#REF!+#REF!+Partago!L153+#REF!+#REF!+#REF!</f>
        <v>#REF!</v>
      </c>
      <c r="F153" s="16" t="e">
        <f t="shared" si="0"/>
        <v>#REF!</v>
      </c>
      <c r="G153" s="19" t="e">
        <f>#REF!+#REF!+#REF!+#REF!+#REF!+#REF!+#REF!+#REF!+#REF!+Moovee!A153+#REF!+#REF!+#REF!</f>
        <v>#REF!</v>
      </c>
      <c r="H153" s="16" t="e">
        <f t="shared" si="1"/>
        <v>#REF!</v>
      </c>
      <c r="I153" s="30">
        <f t="shared" si="2"/>
        <v>38.619999999999997</v>
      </c>
      <c r="J153" s="31" t="e">
        <f t="shared" si="3"/>
        <v>#REF!</v>
      </c>
      <c r="K153" s="25" t="e">
        <f t="shared" si="28"/>
        <v>#REF!</v>
      </c>
      <c r="L153" s="25" t="e">
        <f t="shared" si="29"/>
        <v>#REF!</v>
      </c>
      <c r="M153" s="25" t="e">
        <f t="shared" si="30"/>
        <v>#REF!</v>
      </c>
      <c r="N153" s="25" t="e">
        <f t="shared" si="31"/>
        <v>#REF!</v>
      </c>
      <c r="O153" s="25" t="e">
        <f t="shared" si="32"/>
        <v>#REF!</v>
      </c>
      <c r="P153" s="25" t="e">
        <f t="shared" si="33"/>
        <v>#REF!</v>
      </c>
      <c r="Q153" s="25" t="e">
        <f t="shared" si="34"/>
        <v>#REF!</v>
      </c>
      <c r="R153" s="25" t="e">
        <f t="shared" si="35"/>
        <v>#REF!</v>
      </c>
      <c r="S153" s="25" t="e">
        <f t="shared" si="36"/>
        <v>#REF!</v>
      </c>
      <c r="T153" s="25" t="e">
        <f t="shared" si="37"/>
        <v>#REF!</v>
      </c>
      <c r="U153" s="25" t="e">
        <f t="shared" si="38"/>
        <v>#REF!</v>
      </c>
      <c r="V153" s="25" t="e">
        <f t="shared" si="39"/>
        <v>#REF!</v>
      </c>
    </row>
    <row r="154" spans="1:22" ht="14.25" customHeight="1" x14ac:dyDescent="0.35">
      <c r="A154" s="2" t="s">
        <v>171</v>
      </c>
      <c r="B154" s="13" t="s">
        <v>55</v>
      </c>
      <c r="C154" s="13">
        <v>36010</v>
      </c>
      <c r="D154" s="14">
        <v>9779</v>
      </c>
      <c r="E154" s="15" t="e">
        <f>#REF!+#REF!+#REF!+#REF!+#REF!+#REF!+#REF!+GreenMobility!L154+#REF!+#REF!+#REF!+Partago!L154+#REF!+#REF!+#REF!</f>
        <v>#REF!</v>
      </c>
      <c r="F154" s="16" t="e">
        <f t="shared" si="0"/>
        <v>#REF!</v>
      </c>
      <c r="G154" s="19" t="e">
        <f>#REF!+#REF!+#REF!+#REF!+#REF!+#REF!+#REF!+#REF!+#REF!+Moovee!A154+#REF!+#REF!+#REF!</f>
        <v>#REF!</v>
      </c>
      <c r="H154" s="16" t="e">
        <f t="shared" si="1"/>
        <v>#REF!</v>
      </c>
      <c r="I154" s="30">
        <f t="shared" si="2"/>
        <v>19.558</v>
      </c>
      <c r="J154" s="31" t="e">
        <f t="shared" si="3"/>
        <v>#REF!</v>
      </c>
      <c r="K154" s="25" t="e">
        <f t="shared" si="28"/>
        <v>#REF!</v>
      </c>
      <c r="L154" s="25" t="e">
        <f t="shared" si="29"/>
        <v>#REF!</v>
      </c>
      <c r="M154" s="25" t="e">
        <f t="shared" si="30"/>
        <v>#REF!</v>
      </c>
      <c r="N154" s="25" t="e">
        <f t="shared" si="31"/>
        <v>#REF!</v>
      </c>
      <c r="O154" s="25" t="e">
        <f t="shared" si="32"/>
        <v>#REF!</v>
      </c>
      <c r="P154" s="25" t="e">
        <f t="shared" si="33"/>
        <v>#REF!</v>
      </c>
      <c r="Q154" s="25" t="e">
        <f t="shared" si="34"/>
        <v>#REF!</v>
      </c>
      <c r="R154" s="25" t="e">
        <f t="shared" si="35"/>
        <v>#REF!</v>
      </c>
      <c r="S154" s="25" t="e">
        <f t="shared" si="36"/>
        <v>#REF!</v>
      </c>
      <c r="T154" s="25" t="e">
        <f t="shared" si="37"/>
        <v>#REF!</v>
      </c>
      <c r="U154" s="25" t="e">
        <f t="shared" si="38"/>
        <v>#REF!</v>
      </c>
      <c r="V154" s="25" t="e">
        <f t="shared" si="39"/>
        <v>#REF!</v>
      </c>
    </row>
    <row r="155" spans="1:22" ht="14.25" customHeight="1" x14ac:dyDescent="0.35">
      <c r="A155" s="2" t="s">
        <v>320</v>
      </c>
      <c r="B155" s="13" t="s">
        <v>55</v>
      </c>
      <c r="C155" s="13">
        <v>34025</v>
      </c>
      <c r="D155" s="14">
        <v>5881</v>
      </c>
      <c r="E155" s="15" t="e">
        <f>#REF!+#REF!+#REF!+#REF!+#REF!+#REF!+#REF!+GreenMobility!L155+#REF!+#REF!+#REF!+Partago!L155+#REF!+#REF!+#REF!</f>
        <v>#REF!</v>
      </c>
      <c r="F155" s="16" t="e">
        <f t="shared" si="0"/>
        <v>#REF!</v>
      </c>
      <c r="G155" s="19" t="e">
        <f>#REF!+#REF!+#REF!+#REF!+#REF!+#REF!+#REF!+#REF!+#REF!+Moovee!A155+#REF!+#REF!+#REF!</f>
        <v>#REF!</v>
      </c>
      <c r="H155" s="16" t="e">
        <f t="shared" si="1"/>
        <v>#REF!</v>
      </c>
      <c r="I155" s="30">
        <f t="shared" si="2"/>
        <v>11.762</v>
      </c>
      <c r="J155" s="31" t="e">
        <f t="shared" si="3"/>
        <v>#REF!</v>
      </c>
      <c r="K155" s="25" t="e">
        <f t="shared" si="28"/>
        <v>#REF!</v>
      </c>
      <c r="L155" s="25" t="e">
        <f t="shared" si="29"/>
        <v>#REF!</v>
      </c>
      <c r="M155" s="25" t="e">
        <f t="shared" si="30"/>
        <v>#REF!</v>
      </c>
      <c r="N155" s="25" t="e">
        <f t="shared" si="31"/>
        <v>#REF!</v>
      </c>
      <c r="O155" s="25" t="e">
        <f t="shared" si="32"/>
        <v>#REF!</v>
      </c>
      <c r="P155" s="25" t="e">
        <f t="shared" si="33"/>
        <v>#REF!</v>
      </c>
      <c r="Q155" s="25" t="e">
        <f t="shared" si="34"/>
        <v>#REF!</v>
      </c>
      <c r="R155" s="25" t="e">
        <f t="shared" si="35"/>
        <v>#REF!</v>
      </c>
      <c r="S155" s="25" t="e">
        <f t="shared" si="36"/>
        <v>#REF!</v>
      </c>
      <c r="T155" s="25" t="e">
        <f t="shared" si="37"/>
        <v>#REF!</v>
      </c>
      <c r="U155" s="25" t="e">
        <f t="shared" si="38"/>
        <v>#REF!</v>
      </c>
      <c r="V155" s="25" t="e">
        <f t="shared" si="39"/>
        <v>#REF!</v>
      </c>
    </row>
    <row r="156" spans="1:22" ht="14.25" customHeight="1" x14ac:dyDescent="0.35">
      <c r="A156" s="2" t="s">
        <v>257</v>
      </c>
      <c r="B156" s="13" t="s">
        <v>52</v>
      </c>
      <c r="C156" s="13">
        <v>23104</v>
      </c>
      <c r="D156" s="14">
        <v>9471</v>
      </c>
      <c r="E156" s="15" t="e">
        <f>#REF!+#REF!+#REF!+#REF!+#REF!+#REF!+#REF!+GreenMobility!L156+#REF!+#REF!+#REF!+Partago!L156+#REF!+#REF!+#REF!</f>
        <v>#REF!</v>
      </c>
      <c r="F156" s="16" t="e">
        <f t="shared" si="0"/>
        <v>#REF!</v>
      </c>
      <c r="G156" s="19" t="e">
        <f>#REF!+#REF!+#REF!+#REF!+#REF!+#REF!+#REF!+#REF!+#REF!+Moovee!A156+#REF!+#REF!+#REF!</f>
        <v>#REF!</v>
      </c>
      <c r="H156" s="16" t="e">
        <f t="shared" si="1"/>
        <v>#REF!</v>
      </c>
      <c r="I156" s="30">
        <f t="shared" si="2"/>
        <v>18.942</v>
      </c>
      <c r="J156" s="31" t="e">
        <f t="shared" si="3"/>
        <v>#REF!</v>
      </c>
      <c r="K156" s="25" t="e">
        <f t="shared" si="28"/>
        <v>#REF!</v>
      </c>
      <c r="L156" s="25" t="e">
        <f t="shared" si="29"/>
        <v>#REF!</v>
      </c>
      <c r="M156" s="25" t="e">
        <f t="shared" si="30"/>
        <v>#REF!</v>
      </c>
      <c r="N156" s="25" t="e">
        <f t="shared" si="31"/>
        <v>#REF!</v>
      </c>
      <c r="O156" s="25" t="e">
        <f t="shared" si="32"/>
        <v>#REF!</v>
      </c>
      <c r="P156" s="25" t="e">
        <f t="shared" si="33"/>
        <v>#REF!</v>
      </c>
      <c r="Q156" s="25" t="e">
        <f t="shared" si="34"/>
        <v>#REF!</v>
      </c>
      <c r="R156" s="25" t="e">
        <f t="shared" si="35"/>
        <v>#REF!</v>
      </c>
      <c r="S156" s="25" t="e">
        <f t="shared" si="36"/>
        <v>#REF!</v>
      </c>
      <c r="T156" s="25" t="e">
        <f t="shared" si="37"/>
        <v>#REF!</v>
      </c>
      <c r="U156" s="25" t="e">
        <f t="shared" si="38"/>
        <v>#REF!</v>
      </c>
      <c r="V156" s="25" t="e">
        <f t="shared" si="39"/>
        <v>#REF!</v>
      </c>
    </row>
    <row r="157" spans="1:22" ht="14.25" customHeight="1" x14ac:dyDescent="0.35">
      <c r="A157" s="2" t="s">
        <v>308</v>
      </c>
      <c r="B157" s="13" t="s">
        <v>59</v>
      </c>
      <c r="C157" s="13">
        <v>71034</v>
      </c>
      <c r="D157" s="14">
        <v>16607</v>
      </c>
      <c r="E157" s="15" t="e">
        <f>#REF!+#REF!+#REF!+#REF!+#REF!+#REF!+#REF!+GreenMobility!L157+#REF!+#REF!+#REF!+Partago!L157+#REF!+#REF!+#REF!</f>
        <v>#REF!</v>
      </c>
      <c r="F157" s="16" t="e">
        <f t="shared" si="0"/>
        <v>#REF!</v>
      </c>
      <c r="G157" s="19" t="e">
        <f>#REF!+#REF!+#REF!+#REF!+#REF!+#REF!+#REF!+#REF!+#REF!+Moovee!A157+#REF!+#REF!+#REF!</f>
        <v>#REF!</v>
      </c>
      <c r="H157" s="16" t="e">
        <f t="shared" si="1"/>
        <v>#REF!</v>
      </c>
      <c r="I157" s="30">
        <f t="shared" si="2"/>
        <v>33.213999999999999</v>
      </c>
      <c r="J157" s="31" t="e">
        <f t="shared" si="3"/>
        <v>#REF!</v>
      </c>
      <c r="K157" s="25" t="e">
        <f t="shared" si="28"/>
        <v>#REF!</v>
      </c>
      <c r="L157" s="25" t="e">
        <f t="shared" si="29"/>
        <v>#REF!</v>
      </c>
      <c r="M157" s="25" t="e">
        <f t="shared" si="30"/>
        <v>#REF!</v>
      </c>
      <c r="N157" s="25" t="e">
        <f t="shared" si="31"/>
        <v>#REF!</v>
      </c>
      <c r="O157" s="25" t="e">
        <f t="shared" si="32"/>
        <v>#REF!</v>
      </c>
      <c r="P157" s="25" t="e">
        <f t="shared" si="33"/>
        <v>#REF!</v>
      </c>
      <c r="Q157" s="25" t="e">
        <f t="shared" si="34"/>
        <v>#REF!</v>
      </c>
      <c r="R157" s="25" t="e">
        <f t="shared" si="35"/>
        <v>#REF!</v>
      </c>
      <c r="S157" s="25" t="e">
        <f t="shared" si="36"/>
        <v>#REF!</v>
      </c>
      <c r="T157" s="25" t="e">
        <f t="shared" si="37"/>
        <v>#REF!</v>
      </c>
      <c r="U157" s="25" t="e">
        <f t="shared" si="38"/>
        <v>#REF!</v>
      </c>
      <c r="V157" s="25" t="e">
        <f t="shared" si="39"/>
        <v>#REF!</v>
      </c>
    </row>
    <row r="158" spans="1:22" ht="14.25" customHeight="1" x14ac:dyDescent="0.35">
      <c r="A158" s="2" t="s">
        <v>51</v>
      </c>
      <c r="B158" s="13" t="s">
        <v>52</v>
      </c>
      <c r="C158" s="13">
        <v>24062</v>
      </c>
      <c r="D158" s="14">
        <v>104009</v>
      </c>
      <c r="E158" s="15" t="e">
        <f>#REF!+#REF!+#REF!+#REF!+#REF!+#REF!+#REF!+GreenMobility!L158+#REF!+#REF!+#REF!+Partago!L158+#REF!+#REF!+#REF!</f>
        <v>#REF!</v>
      </c>
      <c r="F158" s="48" t="e">
        <f t="shared" si="0"/>
        <v>#REF!</v>
      </c>
      <c r="G158" s="19" t="e">
        <f>#REF!+#REF!+#REF!+#REF!+#REF!+#REF!+#REF!+#REF!+#REF!+Moovee!A158+#REF!+#REF!+#REF!</f>
        <v>#REF!</v>
      </c>
      <c r="H158" s="17" t="e">
        <f t="shared" si="1"/>
        <v>#REF!</v>
      </c>
      <c r="I158" s="30">
        <f t="shared" si="2"/>
        <v>208.018</v>
      </c>
      <c r="J158" s="31" t="e">
        <f t="shared" si="3"/>
        <v>#REF!</v>
      </c>
      <c r="K158" s="25"/>
      <c r="L158" s="25"/>
      <c r="M158" s="25"/>
      <c r="N158" s="25"/>
      <c r="O158" s="25"/>
      <c r="P158" s="25"/>
      <c r="Q158" s="25"/>
      <c r="R158" s="25"/>
      <c r="S158" s="25"/>
      <c r="T158" s="25"/>
      <c r="U158" s="25"/>
      <c r="V158" s="25"/>
    </row>
    <row r="159" spans="1:22" ht="14.25" customHeight="1" x14ac:dyDescent="0.35">
      <c r="A159" s="2" t="s">
        <v>198</v>
      </c>
      <c r="B159" s="13" t="s">
        <v>55</v>
      </c>
      <c r="C159" s="13">
        <v>36011</v>
      </c>
      <c r="D159" s="14">
        <v>9319</v>
      </c>
      <c r="E159" s="15" t="e">
        <f>#REF!+#REF!+#REF!+#REF!+#REF!+#REF!+#REF!+GreenMobility!L159+#REF!+#REF!+#REF!+Partago!L159+#REF!+#REF!+#REF!</f>
        <v>#REF!</v>
      </c>
      <c r="F159" s="16" t="e">
        <f t="shared" si="0"/>
        <v>#REF!</v>
      </c>
      <c r="G159" s="19" t="e">
        <f>#REF!+#REF!+#REF!+#REF!+#REF!+#REF!+#REF!+#REF!+#REF!+Moovee!A159+#REF!+#REF!+#REF!</f>
        <v>#REF!</v>
      </c>
      <c r="H159" s="16" t="e">
        <f t="shared" si="1"/>
        <v>#REF!</v>
      </c>
      <c r="I159" s="30">
        <f t="shared" si="2"/>
        <v>18.638000000000002</v>
      </c>
      <c r="J159" s="31" t="e">
        <f t="shared" si="3"/>
        <v>#REF!</v>
      </c>
      <c r="K159" s="25" t="e">
        <f t="shared" ref="K159:K188" si="40">J159*0.05</f>
        <v>#REF!</v>
      </c>
      <c r="L159" s="25" t="e">
        <f t="shared" ref="L159:L188" si="41">J159*0.1</f>
        <v>#REF!</v>
      </c>
      <c r="M159" s="25" t="e">
        <f t="shared" ref="M159:M188" si="42">J159*0.15</f>
        <v>#REF!</v>
      </c>
      <c r="N159" s="25" t="e">
        <f t="shared" ref="N159:N188" si="43">J159*0.2</f>
        <v>#REF!</v>
      </c>
      <c r="O159" s="25" t="e">
        <f t="shared" ref="O159:O188" si="44">J159*0.233333</f>
        <v>#REF!</v>
      </c>
      <c r="P159" s="25" t="e">
        <f t="shared" ref="P159:P188" si="45">J159*0.266667</f>
        <v>#REF!</v>
      </c>
      <c r="Q159" s="25" t="e">
        <f t="shared" ref="Q159:Q188" si="46">J159*0.0158729999</f>
        <v>#REF!</v>
      </c>
      <c r="R159" s="25" t="e">
        <f t="shared" ref="R159:R188" si="47">J159*0.031746</f>
        <v>#REF!</v>
      </c>
      <c r="S159" s="25" t="e">
        <f t="shared" ref="S159:S188" si="48">J159*0.063492</f>
        <v>#REF!</v>
      </c>
      <c r="T159" s="25" t="e">
        <f t="shared" ref="T159:T188" si="49">J159*0.126984</f>
        <v>#REF!</v>
      </c>
      <c r="U159" s="25" t="e">
        <f t="shared" ref="U159:U188" si="50">J159*0.253968</f>
        <v>#REF!</v>
      </c>
      <c r="V159" s="25" t="e">
        <f t="shared" ref="V159:V188" si="51">J159*0.507936</f>
        <v>#REF!</v>
      </c>
    </row>
    <row r="160" spans="1:22" ht="14.25" customHeight="1" x14ac:dyDescent="0.35">
      <c r="A160" s="2" t="s">
        <v>334</v>
      </c>
      <c r="B160" s="13" t="s">
        <v>52</v>
      </c>
      <c r="C160" s="13">
        <v>23044</v>
      </c>
      <c r="D160" s="14">
        <v>14013</v>
      </c>
      <c r="E160" s="15" t="e">
        <f>#REF!+#REF!+#REF!+#REF!+#REF!+#REF!+#REF!+GreenMobility!L160+#REF!+#REF!+#REF!+Partago!L160+#REF!+#REF!+#REF!</f>
        <v>#REF!</v>
      </c>
      <c r="F160" s="16" t="e">
        <f t="shared" si="0"/>
        <v>#REF!</v>
      </c>
      <c r="G160" s="19" t="e">
        <f>#REF!+#REF!+#REF!+#REF!+#REF!+#REF!+#REF!+#REF!+#REF!+Moovee!A160+#REF!+#REF!+#REF!</f>
        <v>#REF!</v>
      </c>
      <c r="H160" s="16" t="e">
        <f t="shared" si="1"/>
        <v>#REF!</v>
      </c>
      <c r="I160" s="30">
        <f t="shared" si="2"/>
        <v>28.026</v>
      </c>
      <c r="J160" s="31" t="e">
        <f t="shared" si="3"/>
        <v>#REF!</v>
      </c>
      <c r="K160" s="25" t="e">
        <f t="shared" si="40"/>
        <v>#REF!</v>
      </c>
      <c r="L160" s="25" t="e">
        <f t="shared" si="41"/>
        <v>#REF!</v>
      </c>
      <c r="M160" s="25" t="e">
        <f t="shared" si="42"/>
        <v>#REF!</v>
      </c>
      <c r="N160" s="25" t="e">
        <f t="shared" si="43"/>
        <v>#REF!</v>
      </c>
      <c r="O160" s="25" t="e">
        <f t="shared" si="44"/>
        <v>#REF!</v>
      </c>
      <c r="P160" s="25" t="e">
        <f t="shared" si="45"/>
        <v>#REF!</v>
      </c>
      <c r="Q160" s="25" t="e">
        <f t="shared" si="46"/>
        <v>#REF!</v>
      </c>
      <c r="R160" s="25" t="e">
        <f t="shared" si="47"/>
        <v>#REF!</v>
      </c>
      <c r="S160" s="25" t="e">
        <f t="shared" si="48"/>
        <v>#REF!</v>
      </c>
      <c r="T160" s="25" t="e">
        <f t="shared" si="49"/>
        <v>#REF!</v>
      </c>
      <c r="U160" s="25" t="e">
        <f t="shared" si="50"/>
        <v>#REF!</v>
      </c>
      <c r="V160" s="25" t="e">
        <f t="shared" si="51"/>
        <v>#REF!</v>
      </c>
    </row>
    <row r="161" spans="1:22" ht="14.25" customHeight="1" x14ac:dyDescent="0.35">
      <c r="A161" s="2" t="s">
        <v>68</v>
      </c>
      <c r="B161" s="13" t="s">
        <v>48</v>
      </c>
      <c r="C161" s="13">
        <v>12021</v>
      </c>
      <c r="D161" s="14">
        <v>38210</v>
      </c>
      <c r="E161" s="15" t="e">
        <f>#REF!+#REF!+#REF!+#REF!+#REF!+#REF!+#REF!+GreenMobility!L161+#REF!+#REF!+#REF!+Partago!L161+#REF!+#REF!+#REF!</f>
        <v>#REF!</v>
      </c>
      <c r="F161" s="16" t="e">
        <f t="shared" si="0"/>
        <v>#REF!</v>
      </c>
      <c r="G161" s="19" t="e">
        <f>#REF!+#REF!+#REF!+#REF!+#REF!+#REF!+#REF!+#REF!+#REF!+Moovee!A161+#REF!+#REF!+#REF!</f>
        <v>#REF!</v>
      </c>
      <c r="H161" s="16" t="e">
        <f t="shared" si="1"/>
        <v>#REF!</v>
      </c>
      <c r="I161" s="30">
        <f t="shared" si="2"/>
        <v>76.42</v>
      </c>
      <c r="J161" s="31" t="e">
        <f t="shared" si="3"/>
        <v>#REF!</v>
      </c>
      <c r="K161" s="25" t="e">
        <f t="shared" si="40"/>
        <v>#REF!</v>
      </c>
      <c r="L161" s="25" t="e">
        <f t="shared" si="41"/>
        <v>#REF!</v>
      </c>
      <c r="M161" s="25" t="e">
        <f t="shared" si="42"/>
        <v>#REF!</v>
      </c>
      <c r="N161" s="25" t="e">
        <f t="shared" si="43"/>
        <v>#REF!</v>
      </c>
      <c r="O161" s="25" t="e">
        <f t="shared" si="44"/>
        <v>#REF!</v>
      </c>
      <c r="P161" s="25" t="e">
        <f t="shared" si="45"/>
        <v>#REF!</v>
      </c>
      <c r="Q161" s="25" t="e">
        <f t="shared" si="46"/>
        <v>#REF!</v>
      </c>
      <c r="R161" s="25" t="e">
        <f t="shared" si="47"/>
        <v>#REF!</v>
      </c>
      <c r="S161" s="25" t="e">
        <f t="shared" si="48"/>
        <v>#REF!</v>
      </c>
      <c r="T161" s="25" t="e">
        <f t="shared" si="49"/>
        <v>#REF!</v>
      </c>
      <c r="U161" s="25" t="e">
        <f t="shared" si="50"/>
        <v>#REF!</v>
      </c>
      <c r="V161" s="25" t="e">
        <f t="shared" si="51"/>
        <v>#REF!</v>
      </c>
    </row>
    <row r="162" spans="1:22" ht="14.25" customHeight="1" x14ac:dyDescent="0.35">
      <c r="A162" s="2" t="s">
        <v>248</v>
      </c>
      <c r="B162" s="13" t="s">
        <v>50</v>
      </c>
      <c r="C162" s="13">
        <v>45063</v>
      </c>
      <c r="D162" s="14">
        <v>6874</v>
      </c>
      <c r="E162" s="15" t="e">
        <f>#REF!+#REF!+#REF!+#REF!+#REF!+#REF!+#REF!+GreenMobility!L162+#REF!+#REF!+#REF!+Partago!L162+#REF!+#REF!+#REF!</f>
        <v>#REF!</v>
      </c>
      <c r="F162" s="16" t="e">
        <f t="shared" si="0"/>
        <v>#REF!</v>
      </c>
      <c r="G162" s="19" t="e">
        <f>#REF!+#REF!+#REF!+#REF!+#REF!+#REF!+#REF!+#REF!+#REF!+Moovee!A162+#REF!+#REF!+#REF!</f>
        <v>#REF!</v>
      </c>
      <c r="H162" s="16" t="e">
        <f t="shared" si="1"/>
        <v>#REF!</v>
      </c>
      <c r="I162" s="30">
        <f t="shared" si="2"/>
        <v>13.747999999999999</v>
      </c>
      <c r="J162" s="31" t="e">
        <f t="shared" si="3"/>
        <v>#REF!</v>
      </c>
      <c r="K162" s="25" t="e">
        <f t="shared" si="40"/>
        <v>#REF!</v>
      </c>
      <c r="L162" s="25" t="e">
        <f t="shared" si="41"/>
        <v>#REF!</v>
      </c>
      <c r="M162" s="25" t="e">
        <f t="shared" si="42"/>
        <v>#REF!</v>
      </c>
      <c r="N162" s="25" t="e">
        <f t="shared" si="43"/>
        <v>#REF!</v>
      </c>
      <c r="O162" s="25" t="e">
        <f t="shared" si="44"/>
        <v>#REF!</v>
      </c>
      <c r="P162" s="25" t="e">
        <f t="shared" si="45"/>
        <v>#REF!</v>
      </c>
      <c r="Q162" s="25" t="e">
        <f t="shared" si="46"/>
        <v>#REF!</v>
      </c>
      <c r="R162" s="25" t="e">
        <f t="shared" si="47"/>
        <v>#REF!</v>
      </c>
      <c r="S162" s="25" t="e">
        <f t="shared" si="48"/>
        <v>#REF!</v>
      </c>
      <c r="T162" s="25" t="e">
        <f t="shared" si="49"/>
        <v>#REF!</v>
      </c>
      <c r="U162" s="25" t="e">
        <f t="shared" si="50"/>
        <v>#REF!</v>
      </c>
      <c r="V162" s="25" t="e">
        <f t="shared" si="51"/>
        <v>#REF!</v>
      </c>
    </row>
    <row r="163" spans="1:22" ht="14.25" customHeight="1" x14ac:dyDescent="0.35">
      <c r="A163" s="2" t="s">
        <v>82</v>
      </c>
      <c r="B163" s="13" t="s">
        <v>50</v>
      </c>
      <c r="C163" s="13">
        <v>44085</v>
      </c>
      <c r="D163" s="14">
        <v>27225</v>
      </c>
      <c r="E163" s="15" t="e">
        <f>#REF!+#REF!+#REF!+#REF!+#REF!+#REF!+#REF!+GreenMobility!L163+#REF!+#REF!+#REF!+Partago!L163+#REF!+#REF!+#REF!</f>
        <v>#REF!</v>
      </c>
      <c r="F163" s="16" t="e">
        <f t="shared" si="0"/>
        <v>#REF!</v>
      </c>
      <c r="G163" s="19" t="e">
        <f>#REF!+#REF!+#REF!+#REF!+#REF!+#REF!+#REF!+#REF!+#REF!+Moovee!A163+#REF!+#REF!+#REF!</f>
        <v>#REF!</v>
      </c>
      <c r="H163" s="16" t="e">
        <f t="shared" si="1"/>
        <v>#REF!</v>
      </c>
      <c r="I163" s="30">
        <f t="shared" si="2"/>
        <v>54.45</v>
      </c>
      <c r="J163" s="31" t="e">
        <f t="shared" si="3"/>
        <v>#REF!</v>
      </c>
      <c r="K163" s="25" t="e">
        <f t="shared" si="40"/>
        <v>#REF!</v>
      </c>
      <c r="L163" s="25" t="e">
        <f t="shared" si="41"/>
        <v>#REF!</v>
      </c>
      <c r="M163" s="25" t="e">
        <f t="shared" si="42"/>
        <v>#REF!</v>
      </c>
      <c r="N163" s="25" t="e">
        <f t="shared" si="43"/>
        <v>#REF!</v>
      </c>
      <c r="O163" s="25" t="e">
        <f t="shared" si="44"/>
        <v>#REF!</v>
      </c>
      <c r="P163" s="25" t="e">
        <f t="shared" si="45"/>
        <v>#REF!</v>
      </c>
      <c r="Q163" s="25" t="e">
        <f t="shared" si="46"/>
        <v>#REF!</v>
      </c>
      <c r="R163" s="25" t="e">
        <f t="shared" si="47"/>
        <v>#REF!</v>
      </c>
      <c r="S163" s="25" t="e">
        <f t="shared" si="48"/>
        <v>#REF!</v>
      </c>
      <c r="T163" s="25" t="e">
        <f t="shared" si="49"/>
        <v>#REF!</v>
      </c>
      <c r="U163" s="25" t="e">
        <f t="shared" si="50"/>
        <v>#REF!</v>
      </c>
      <c r="V163" s="25" t="e">
        <f t="shared" si="51"/>
        <v>#REF!</v>
      </c>
    </row>
    <row r="164" spans="1:22" ht="14.25" customHeight="1" x14ac:dyDescent="0.35">
      <c r="A164" s="2" t="s">
        <v>161</v>
      </c>
      <c r="B164" s="13" t="s">
        <v>48</v>
      </c>
      <c r="C164" s="13">
        <v>13019</v>
      </c>
      <c r="D164" s="14">
        <v>17026</v>
      </c>
      <c r="E164" s="15" t="e">
        <f>#REF!+#REF!+#REF!+#REF!+#REF!+#REF!+#REF!+GreenMobility!L164+#REF!+#REF!+#REF!+Partago!L164+#REF!+#REF!+#REF!</f>
        <v>#REF!</v>
      </c>
      <c r="F164" s="16" t="e">
        <f t="shared" si="0"/>
        <v>#REF!</v>
      </c>
      <c r="G164" s="19" t="e">
        <f>#REF!+#REF!+#REF!+#REF!+#REF!+#REF!+#REF!+#REF!+#REF!+Moovee!A164+#REF!+#REF!+#REF!</f>
        <v>#REF!</v>
      </c>
      <c r="H164" s="16" t="e">
        <f t="shared" si="1"/>
        <v>#REF!</v>
      </c>
      <c r="I164" s="30">
        <f t="shared" si="2"/>
        <v>34.052</v>
      </c>
      <c r="J164" s="31" t="e">
        <f t="shared" si="3"/>
        <v>#REF!</v>
      </c>
      <c r="K164" s="25" t="e">
        <f t="shared" si="40"/>
        <v>#REF!</v>
      </c>
      <c r="L164" s="25" t="e">
        <f t="shared" si="41"/>
        <v>#REF!</v>
      </c>
      <c r="M164" s="25" t="e">
        <f t="shared" si="42"/>
        <v>#REF!</v>
      </c>
      <c r="N164" s="25" t="e">
        <f t="shared" si="43"/>
        <v>#REF!</v>
      </c>
      <c r="O164" s="25" t="e">
        <f t="shared" si="44"/>
        <v>#REF!</v>
      </c>
      <c r="P164" s="25" t="e">
        <f t="shared" si="45"/>
        <v>#REF!</v>
      </c>
      <c r="Q164" s="25" t="e">
        <f t="shared" si="46"/>
        <v>#REF!</v>
      </c>
      <c r="R164" s="25" t="e">
        <f t="shared" si="47"/>
        <v>#REF!</v>
      </c>
      <c r="S164" s="25" t="e">
        <f t="shared" si="48"/>
        <v>#REF!</v>
      </c>
      <c r="T164" s="25" t="e">
        <f t="shared" si="49"/>
        <v>#REF!</v>
      </c>
      <c r="U164" s="25" t="e">
        <f t="shared" si="50"/>
        <v>#REF!</v>
      </c>
      <c r="V164" s="25" t="e">
        <f t="shared" si="51"/>
        <v>#REF!</v>
      </c>
    </row>
    <row r="165" spans="1:22" ht="14.25" customHeight="1" x14ac:dyDescent="0.35">
      <c r="A165" s="2" t="s">
        <v>319</v>
      </c>
      <c r="B165" s="13" t="s">
        <v>52</v>
      </c>
      <c r="C165" s="13">
        <v>23100</v>
      </c>
      <c r="D165" s="14">
        <v>4674</v>
      </c>
      <c r="E165" s="15" t="e">
        <f>#REF!+#REF!+#REF!+#REF!+#REF!+#REF!+#REF!+GreenMobility!L165+#REF!+#REF!+#REF!+Partago!L165+#REF!+#REF!+#REF!</f>
        <v>#REF!</v>
      </c>
      <c r="F165" s="16" t="e">
        <f t="shared" si="0"/>
        <v>#REF!</v>
      </c>
      <c r="G165" s="19" t="e">
        <f>#REF!+#REF!+#REF!+#REF!+#REF!+#REF!+#REF!+#REF!+#REF!+Moovee!A165+#REF!+#REF!+#REF!</f>
        <v>#REF!</v>
      </c>
      <c r="H165" s="16" t="e">
        <f t="shared" si="1"/>
        <v>#REF!</v>
      </c>
      <c r="I165" s="30">
        <f t="shared" si="2"/>
        <v>9.3480000000000008</v>
      </c>
      <c r="J165" s="31" t="e">
        <f t="shared" si="3"/>
        <v>#REF!</v>
      </c>
      <c r="K165" s="25" t="e">
        <f t="shared" si="40"/>
        <v>#REF!</v>
      </c>
      <c r="L165" s="25" t="e">
        <f t="shared" si="41"/>
        <v>#REF!</v>
      </c>
      <c r="M165" s="25" t="e">
        <f t="shared" si="42"/>
        <v>#REF!</v>
      </c>
      <c r="N165" s="25" t="e">
        <f t="shared" si="43"/>
        <v>#REF!</v>
      </c>
      <c r="O165" s="25" t="e">
        <f t="shared" si="44"/>
        <v>#REF!</v>
      </c>
      <c r="P165" s="25" t="e">
        <f t="shared" si="45"/>
        <v>#REF!</v>
      </c>
      <c r="Q165" s="25" t="e">
        <f t="shared" si="46"/>
        <v>#REF!</v>
      </c>
      <c r="R165" s="25" t="e">
        <f t="shared" si="47"/>
        <v>#REF!</v>
      </c>
      <c r="S165" s="25" t="e">
        <f t="shared" si="48"/>
        <v>#REF!</v>
      </c>
      <c r="T165" s="25" t="e">
        <f t="shared" si="49"/>
        <v>#REF!</v>
      </c>
      <c r="U165" s="25" t="e">
        <f t="shared" si="50"/>
        <v>#REF!</v>
      </c>
      <c r="V165" s="25" t="e">
        <f t="shared" si="51"/>
        <v>#REF!</v>
      </c>
    </row>
    <row r="166" spans="1:22" ht="14.25" customHeight="1" x14ac:dyDescent="0.35">
      <c r="A166" s="2" t="s">
        <v>254</v>
      </c>
      <c r="B166" s="13" t="s">
        <v>48</v>
      </c>
      <c r="C166" s="13">
        <v>11025</v>
      </c>
      <c r="D166" s="14">
        <v>8505</v>
      </c>
      <c r="E166" s="15" t="e">
        <f>#REF!+#REF!+#REF!+#REF!+#REF!+#REF!+#REF!+GreenMobility!L166+#REF!+#REF!+#REF!+Partago!L166+#REF!+#REF!+#REF!</f>
        <v>#REF!</v>
      </c>
      <c r="F166" s="16" t="e">
        <f t="shared" si="0"/>
        <v>#REF!</v>
      </c>
      <c r="G166" s="19" t="e">
        <f>#REF!+#REF!+#REF!+#REF!+#REF!+#REF!+#REF!+#REF!+#REF!+Moovee!A166+#REF!+#REF!+#REF!</f>
        <v>#REF!</v>
      </c>
      <c r="H166" s="16" t="e">
        <f t="shared" si="1"/>
        <v>#REF!</v>
      </c>
      <c r="I166" s="30">
        <f t="shared" si="2"/>
        <v>17.010000000000002</v>
      </c>
      <c r="J166" s="31" t="e">
        <f t="shared" si="3"/>
        <v>#REF!</v>
      </c>
      <c r="K166" s="25" t="e">
        <f t="shared" si="40"/>
        <v>#REF!</v>
      </c>
      <c r="L166" s="25" t="e">
        <f t="shared" si="41"/>
        <v>#REF!</v>
      </c>
      <c r="M166" s="25" t="e">
        <f t="shared" si="42"/>
        <v>#REF!</v>
      </c>
      <c r="N166" s="25" t="e">
        <f t="shared" si="43"/>
        <v>#REF!</v>
      </c>
      <c r="O166" s="25" t="e">
        <f t="shared" si="44"/>
        <v>#REF!</v>
      </c>
      <c r="P166" s="25" t="e">
        <f t="shared" si="45"/>
        <v>#REF!</v>
      </c>
      <c r="Q166" s="25" t="e">
        <f t="shared" si="46"/>
        <v>#REF!</v>
      </c>
      <c r="R166" s="25" t="e">
        <f t="shared" si="47"/>
        <v>#REF!</v>
      </c>
      <c r="S166" s="25" t="e">
        <f t="shared" si="48"/>
        <v>#REF!</v>
      </c>
      <c r="T166" s="25" t="e">
        <f t="shared" si="49"/>
        <v>#REF!</v>
      </c>
      <c r="U166" s="25" t="e">
        <f t="shared" si="50"/>
        <v>#REF!</v>
      </c>
      <c r="V166" s="25" t="e">
        <f t="shared" si="51"/>
        <v>#REF!</v>
      </c>
    </row>
    <row r="167" spans="1:22" ht="14.25" customHeight="1" x14ac:dyDescent="0.35">
      <c r="A167" s="2" t="s">
        <v>193</v>
      </c>
      <c r="B167" s="13" t="s">
        <v>52</v>
      </c>
      <c r="C167" s="13">
        <v>24133</v>
      </c>
      <c r="D167" s="14">
        <v>7323</v>
      </c>
      <c r="E167" s="15" t="e">
        <f>#REF!+#REF!+#REF!+#REF!+#REF!+#REF!+#REF!+GreenMobility!L167+#REF!+#REF!+#REF!+Partago!L167+#REF!+#REF!+#REF!</f>
        <v>#REF!</v>
      </c>
      <c r="F167" s="16" t="e">
        <f t="shared" si="0"/>
        <v>#REF!</v>
      </c>
      <c r="G167" s="19" t="e">
        <f>#REF!+#REF!+#REF!+#REF!+#REF!+#REF!+#REF!+#REF!+#REF!+Moovee!A167+#REF!+#REF!+#REF!</f>
        <v>#REF!</v>
      </c>
      <c r="H167" s="16" t="e">
        <f t="shared" si="1"/>
        <v>#REF!</v>
      </c>
      <c r="I167" s="30">
        <f t="shared" si="2"/>
        <v>14.646000000000001</v>
      </c>
      <c r="J167" s="31" t="e">
        <f t="shared" si="3"/>
        <v>#REF!</v>
      </c>
      <c r="K167" s="25" t="e">
        <f t="shared" si="40"/>
        <v>#REF!</v>
      </c>
      <c r="L167" s="25" t="e">
        <f t="shared" si="41"/>
        <v>#REF!</v>
      </c>
      <c r="M167" s="25" t="e">
        <f t="shared" si="42"/>
        <v>#REF!</v>
      </c>
      <c r="N167" s="25" t="e">
        <f t="shared" si="43"/>
        <v>#REF!</v>
      </c>
      <c r="O167" s="25" t="e">
        <f t="shared" si="44"/>
        <v>#REF!</v>
      </c>
      <c r="P167" s="25" t="e">
        <f t="shared" si="45"/>
        <v>#REF!</v>
      </c>
      <c r="Q167" s="25" t="e">
        <f t="shared" si="46"/>
        <v>#REF!</v>
      </c>
      <c r="R167" s="25" t="e">
        <f t="shared" si="47"/>
        <v>#REF!</v>
      </c>
      <c r="S167" s="25" t="e">
        <f t="shared" si="48"/>
        <v>#REF!</v>
      </c>
      <c r="T167" s="25" t="e">
        <f t="shared" si="49"/>
        <v>#REF!</v>
      </c>
      <c r="U167" s="25" t="e">
        <f t="shared" si="50"/>
        <v>#REF!</v>
      </c>
      <c r="V167" s="25" t="e">
        <f t="shared" si="51"/>
        <v>#REF!</v>
      </c>
    </row>
    <row r="168" spans="1:22" ht="14.25" customHeight="1" x14ac:dyDescent="0.35">
      <c r="A168" s="2" t="s">
        <v>233</v>
      </c>
      <c r="B168" s="13" t="s">
        <v>50</v>
      </c>
      <c r="C168" s="13">
        <v>44034</v>
      </c>
      <c r="D168" s="14">
        <v>23028</v>
      </c>
      <c r="E168" s="15" t="e">
        <f>#REF!+#REF!+#REF!+#REF!+#REF!+#REF!+#REF!+GreenMobility!L168+#REF!+#REF!+#REF!+Partago!L168+#REF!+#REF!+#REF!</f>
        <v>#REF!</v>
      </c>
      <c r="F168" s="16" t="e">
        <f t="shared" si="0"/>
        <v>#REF!</v>
      </c>
      <c r="G168" s="19" t="e">
        <f>#REF!+#REF!+#REF!+#REF!+#REF!+#REF!+#REF!+#REF!+#REF!+Moovee!A168+#REF!+#REF!+#REF!</f>
        <v>#REF!</v>
      </c>
      <c r="H168" s="16" t="e">
        <f t="shared" si="1"/>
        <v>#REF!</v>
      </c>
      <c r="I168" s="30">
        <f t="shared" si="2"/>
        <v>46.055999999999997</v>
      </c>
      <c r="J168" s="31" t="e">
        <f t="shared" si="3"/>
        <v>#REF!</v>
      </c>
      <c r="K168" s="25" t="e">
        <f t="shared" si="40"/>
        <v>#REF!</v>
      </c>
      <c r="L168" s="25" t="e">
        <f t="shared" si="41"/>
        <v>#REF!</v>
      </c>
      <c r="M168" s="25" t="e">
        <f t="shared" si="42"/>
        <v>#REF!</v>
      </c>
      <c r="N168" s="25" t="e">
        <f t="shared" si="43"/>
        <v>#REF!</v>
      </c>
      <c r="O168" s="25" t="e">
        <f t="shared" si="44"/>
        <v>#REF!</v>
      </c>
      <c r="P168" s="25" t="e">
        <f t="shared" si="45"/>
        <v>#REF!</v>
      </c>
      <c r="Q168" s="25" t="e">
        <f t="shared" si="46"/>
        <v>#REF!</v>
      </c>
      <c r="R168" s="25" t="e">
        <f t="shared" si="47"/>
        <v>#REF!</v>
      </c>
      <c r="S168" s="25" t="e">
        <f t="shared" si="48"/>
        <v>#REF!</v>
      </c>
      <c r="T168" s="25" t="e">
        <f t="shared" si="49"/>
        <v>#REF!</v>
      </c>
      <c r="U168" s="25" t="e">
        <f t="shared" si="50"/>
        <v>#REF!</v>
      </c>
      <c r="V168" s="25" t="e">
        <f t="shared" si="51"/>
        <v>#REF!</v>
      </c>
    </row>
    <row r="169" spans="1:22" ht="14.25" customHeight="1" x14ac:dyDescent="0.35">
      <c r="A169" s="2" t="s">
        <v>72</v>
      </c>
      <c r="B169" s="13" t="s">
        <v>50</v>
      </c>
      <c r="C169" s="13">
        <v>46014</v>
      </c>
      <c r="D169" s="14">
        <v>43554</v>
      </c>
      <c r="E169" s="15" t="e">
        <f>#REF!+#REF!+#REF!+#REF!+#REF!+#REF!+#REF!+GreenMobility!L169+#REF!+#REF!+#REF!+Partago!L169+#REF!+#REF!+#REF!</f>
        <v>#REF!</v>
      </c>
      <c r="F169" s="16" t="e">
        <f t="shared" si="0"/>
        <v>#REF!</v>
      </c>
      <c r="G169" s="19" t="e">
        <f>#REF!+#REF!+#REF!+#REF!+#REF!+#REF!+#REF!+#REF!+#REF!+Moovee!A169+#REF!+#REF!+#REF!</f>
        <v>#REF!</v>
      </c>
      <c r="H169" s="16" t="e">
        <f t="shared" si="1"/>
        <v>#REF!</v>
      </c>
      <c r="I169" s="30">
        <f t="shared" si="2"/>
        <v>87.108000000000004</v>
      </c>
      <c r="J169" s="31" t="e">
        <f t="shared" si="3"/>
        <v>#REF!</v>
      </c>
      <c r="K169" s="25" t="e">
        <f t="shared" si="40"/>
        <v>#REF!</v>
      </c>
      <c r="L169" s="25" t="e">
        <f t="shared" si="41"/>
        <v>#REF!</v>
      </c>
      <c r="M169" s="25" t="e">
        <f t="shared" si="42"/>
        <v>#REF!</v>
      </c>
      <c r="N169" s="25" t="e">
        <f t="shared" si="43"/>
        <v>#REF!</v>
      </c>
      <c r="O169" s="25" t="e">
        <f t="shared" si="44"/>
        <v>#REF!</v>
      </c>
      <c r="P169" s="25" t="e">
        <f t="shared" si="45"/>
        <v>#REF!</v>
      </c>
      <c r="Q169" s="25" t="e">
        <f t="shared" si="46"/>
        <v>#REF!</v>
      </c>
      <c r="R169" s="25" t="e">
        <f t="shared" si="47"/>
        <v>#REF!</v>
      </c>
      <c r="S169" s="25" t="e">
        <f t="shared" si="48"/>
        <v>#REF!</v>
      </c>
      <c r="T169" s="25" t="e">
        <f t="shared" si="49"/>
        <v>#REF!</v>
      </c>
      <c r="U169" s="25" t="e">
        <f t="shared" si="50"/>
        <v>#REF!</v>
      </c>
      <c r="V169" s="25" t="e">
        <f t="shared" si="51"/>
        <v>#REF!</v>
      </c>
    </row>
    <row r="170" spans="1:22" ht="14.25" customHeight="1" x14ac:dyDescent="0.35">
      <c r="A170" s="2" t="s">
        <v>126</v>
      </c>
      <c r="B170" s="13" t="s">
        <v>59</v>
      </c>
      <c r="C170" s="13">
        <v>72020</v>
      </c>
      <c r="D170" s="14">
        <v>34913</v>
      </c>
      <c r="E170" s="15" t="e">
        <f>#REF!+#REF!+#REF!+#REF!+#REF!+#REF!+#REF!+GreenMobility!L170+#REF!+#REF!+#REF!+Partago!L170+#REF!+#REF!+#REF!</f>
        <v>#REF!</v>
      </c>
      <c r="F170" s="16" t="e">
        <f t="shared" si="0"/>
        <v>#REF!</v>
      </c>
      <c r="G170" s="19" t="e">
        <f>#REF!+#REF!+#REF!+#REF!+#REF!+#REF!+#REF!+#REF!+#REF!+Moovee!A170+#REF!+#REF!+#REF!</f>
        <v>#REF!</v>
      </c>
      <c r="H170" s="16" t="e">
        <f t="shared" si="1"/>
        <v>#REF!</v>
      </c>
      <c r="I170" s="30">
        <f t="shared" si="2"/>
        <v>69.825999999999993</v>
      </c>
      <c r="J170" s="31" t="e">
        <f t="shared" si="3"/>
        <v>#REF!</v>
      </c>
      <c r="K170" s="25" t="e">
        <f t="shared" si="40"/>
        <v>#REF!</v>
      </c>
      <c r="L170" s="25" t="e">
        <f t="shared" si="41"/>
        <v>#REF!</v>
      </c>
      <c r="M170" s="25" t="e">
        <f t="shared" si="42"/>
        <v>#REF!</v>
      </c>
      <c r="N170" s="25" t="e">
        <f t="shared" si="43"/>
        <v>#REF!</v>
      </c>
      <c r="O170" s="25" t="e">
        <f t="shared" si="44"/>
        <v>#REF!</v>
      </c>
      <c r="P170" s="25" t="e">
        <f t="shared" si="45"/>
        <v>#REF!</v>
      </c>
      <c r="Q170" s="25" t="e">
        <f t="shared" si="46"/>
        <v>#REF!</v>
      </c>
      <c r="R170" s="25" t="e">
        <f t="shared" si="47"/>
        <v>#REF!</v>
      </c>
      <c r="S170" s="25" t="e">
        <f t="shared" si="48"/>
        <v>#REF!</v>
      </c>
      <c r="T170" s="25" t="e">
        <f t="shared" si="49"/>
        <v>#REF!</v>
      </c>
      <c r="U170" s="25" t="e">
        <f t="shared" si="50"/>
        <v>#REF!</v>
      </c>
      <c r="V170" s="25" t="e">
        <f t="shared" si="51"/>
        <v>#REF!</v>
      </c>
    </row>
    <row r="171" spans="1:22" ht="14.25" customHeight="1" x14ac:dyDescent="0.35">
      <c r="A171" s="2" t="s">
        <v>283</v>
      </c>
      <c r="B171" s="13" t="s">
        <v>52</v>
      </c>
      <c r="C171" s="13">
        <v>23045</v>
      </c>
      <c r="D171" s="14">
        <v>19404</v>
      </c>
      <c r="E171" s="15" t="e">
        <f>#REF!+#REF!+#REF!+#REF!+#REF!+#REF!+#REF!+GreenMobility!L171+#REF!+#REF!+#REF!+Partago!L171+#REF!+#REF!+#REF!</f>
        <v>#REF!</v>
      </c>
      <c r="F171" s="16" t="e">
        <f t="shared" si="0"/>
        <v>#REF!</v>
      </c>
      <c r="G171" s="19" t="e">
        <f>#REF!+#REF!+#REF!+#REF!+#REF!+#REF!+#REF!+#REF!+#REF!+Moovee!A171+#REF!+#REF!+#REF!</f>
        <v>#REF!</v>
      </c>
      <c r="H171" s="16" t="e">
        <f t="shared" si="1"/>
        <v>#REF!</v>
      </c>
      <c r="I171" s="30">
        <f t="shared" si="2"/>
        <v>38.808</v>
      </c>
      <c r="J171" s="31" t="e">
        <f t="shared" si="3"/>
        <v>#REF!</v>
      </c>
      <c r="K171" s="25" t="e">
        <f t="shared" si="40"/>
        <v>#REF!</v>
      </c>
      <c r="L171" s="25" t="e">
        <f t="shared" si="41"/>
        <v>#REF!</v>
      </c>
      <c r="M171" s="25" t="e">
        <f t="shared" si="42"/>
        <v>#REF!</v>
      </c>
      <c r="N171" s="25" t="e">
        <f t="shared" si="43"/>
        <v>#REF!</v>
      </c>
      <c r="O171" s="25" t="e">
        <f t="shared" si="44"/>
        <v>#REF!</v>
      </c>
      <c r="P171" s="25" t="e">
        <f t="shared" si="45"/>
        <v>#REF!</v>
      </c>
      <c r="Q171" s="25" t="e">
        <f t="shared" si="46"/>
        <v>#REF!</v>
      </c>
      <c r="R171" s="25" t="e">
        <f t="shared" si="47"/>
        <v>#REF!</v>
      </c>
      <c r="S171" s="25" t="e">
        <f t="shared" si="48"/>
        <v>#REF!</v>
      </c>
      <c r="T171" s="25" t="e">
        <f t="shared" si="49"/>
        <v>#REF!</v>
      </c>
      <c r="U171" s="25" t="e">
        <f t="shared" si="50"/>
        <v>#REF!</v>
      </c>
      <c r="V171" s="25" t="e">
        <f t="shared" si="51"/>
        <v>#REF!</v>
      </c>
    </row>
    <row r="172" spans="1:22" ht="14.25" customHeight="1" x14ac:dyDescent="0.35">
      <c r="A172" s="2" t="s">
        <v>239</v>
      </c>
      <c r="B172" s="13" t="s">
        <v>55</v>
      </c>
      <c r="C172" s="13">
        <v>32030</v>
      </c>
      <c r="D172" s="14">
        <v>3216</v>
      </c>
      <c r="E172" s="15" t="e">
        <f>#REF!+#REF!+#REF!+#REF!+#REF!+#REF!+#REF!+GreenMobility!L172+#REF!+#REF!+#REF!+Partago!L172+#REF!+#REF!+#REF!</f>
        <v>#REF!</v>
      </c>
      <c r="F172" s="16" t="e">
        <f t="shared" si="0"/>
        <v>#REF!</v>
      </c>
      <c r="G172" s="19" t="e">
        <f>#REF!+#REF!+#REF!+#REF!+#REF!+#REF!+#REF!+#REF!+#REF!+Moovee!A172+#REF!+#REF!+#REF!</f>
        <v>#REF!</v>
      </c>
      <c r="H172" s="16" t="e">
        <f t="shared" si="1"/>
        <v>#REF!</v>
      </c>
      <c r="I172" s="30">
        <f t="shared" si="2"/>
        <v>6.4320000000000004</v>
      </c>
      <c r="J172" s="31" t="e">
        <f t="shared" si="3"/>
        <v>#REF!</v>
      </c>
      <c r="K172" s="25" t="e">
        <f t="shared" si="40"/>
        <v>#REF!</v>
      </c>
      <c r="L172" s="25" t="e">
        <f t="shared" si="41"/>
        <v>#REF!</v>
      </c>
      <c r="M172" s="25" t="e">
        <f t="shared" si="42"/>
        <v>#REF!</v>
      </c>
      <c r="N172" s="25" t="e">
        <f t="shared" si="43"/>
        <v>#REF!</v>
      </c>
      <c r="O172" s="25" t="e">
        <f t="shared" si="44"/>
        <v>#REF!</v>
      </c>
      <c r="P172" s="25" t="e">
        <f t="shared" si="45"/>
        <v>#REF!</v>
      </c>
      <c r="Q172" s="25" t="e">
        <f t="shared" si="46"/>
        <v>#REF!</v>
      </c>
      <c r="R172" s="25" t="e">
        <f t="shared" si="47"/>
        <v>#REF!</v>
      </c>
      <c r="S172" s="25" t="e">
        <f t="shared" si="48"/>
        <v>#REF!</v>
      </c>
      <c r="T172" s="25" t="e">
        <f t="shared" si="49"/>
        <v>#REF!</v>
      </c>
      <c r="U172" s="25" t="e">
        <f t="shared" si="50"/>
        <v>#REF!</v>
      </c>
      <c r="V172" s="25" t="e">
        <f t="shared" si="51"/>
        <v>#REF!</v>
      </c>
    </row>
    <row r="173" spans="1:22" ht="14.25" customHeight="1" x14ac:dyDescent="0.35">
      <c r="A173" s="2" t="s">
        <v>139</v>
      </c>
      <c r="B173" s="13" t="s">
        <v>52</v>
      </c>
      <c r="C173" s="13">
        <v>24066</v>
      </c>
      <c r="D173" s="14">
        <v>15124</v>
      </c>
      <c r="E173" s="15" t="e">
        <f>#REF!+#REF!+#REF!+#REF!+#REF!+#REF!+#REF!+GreenMobility!L173+#REF!+#REF!+#REF!+Partago!L173+#REF!+#REF!+#REF!</f>
        <v>#REF!</v>
      </c>
      <c r="F173" s="16" t="e">
        <f t="shared" si="0"/>
        <v>#REF!</v>
      </c>
      <c r="G173" s="19" t="e">
        <f>#REF!+#REF!+#REF!+#REF!+#REF!+#REF!+#REF!+#REF!+#REF!+Moovee!A173+#REF!+#REF!+#REF!</f>
        <v>#REF!</v>
      </c>
      <c r="H173" s="16" t="e">
        <f t="shared" si="1"/>
        <v>#REF!</v>
      </c>
      <c r="I173" s="30">
        <f t="shared" si="2"/>
        <v>30.248000000000001</v>
      </c>
      <c r="J173" s="31" t="e">
        <f t="shared" si="3"/>
        <v>#REF!</v>
      </c>
      <c r="K173" s="25" t="e">
        <f t="shared" si="40"/>
        <v>#REF!</v>
      </c>
      <c r="L173" s="25" t="e">
        <f t="shared" si="41"/>
        <v>#REF!</v>
      </c>
      <c r="M173" s="25" t="e">
        <f t="shared" si="42"/>
        <v>#REF!</v>
      </c>
      <c r="N173" s="25" t="e">
        <f t="shared" si="43"/>
        <v>#REF!</v>
      </c>
      <c r="O173" s="25" t="e">
        <f t="shared" si="44"/>
        <v>#REF!</v>
      </c>
      <c r="P173" s="25" t="e">
        <f t="shared" si="45"/>
        <v>#REF!</v>
      </c>
      <c r="Q173" s="25" t="e">
        <f t="shared" si="46"/>
        <v>#REF!</v>
      </c>
      <c r="R173" s="25" t="e">
        <f t="shared" si="47"/>
        <v>#REF!</v>
      </c>
      <c r="S173" s="25" t="e">
        <f t="shared" si="48"/>
        <v>#REF!</v>
      </c>
      <c r="T173" s="25" t="e">
        <f t="shared" si="49"/>
        <v>#REF!</v>
      </c>
      <c r="U173" s="25" t="e">
        <f t="shared" si="50"/>
        <v>#REF!</v>
      </c>
      <c r="V173" s="25" t="e">
        <f t="shared" si="51"/>
        <v>#REF!</v>
      </c>
    </row>
    <row r="174" spans="1:22" ht="14.25" customHeight="1" x14ac:dyDescent="0.35">
      <c r="A174" s="2" t="s">
        <v>286</v>
      </c>
      <c r="B174" s="13" t="s">
        <v>59</v>
      </c>
      <c r="C174" s="13">
        <v>71037</v>
      </c>
      <c r="D174" s="14">
        <v>15320</v>
      </c>
      <c r="E174" s="15" t="e">
        <f>#REF!+#REF!+#REF!+#REF!+#REF!+#REF!+#REF!+GreenMobility!L174+#REF!+#REF!+#REF!+Partago!L174+#REF!+#REF!+#REF!</f>
        <v>#REF!</v>
      </c>
      <c r="F174" s="16" t="e">
        <f t="shared" si="0"/>
        <v>#REF!</v>
      </c>
      <c r="G174" s="19" t="e">
        <f>#REF!+#REF!+#REF!+#REF!+#REF!+#REF!+#REF!+#REF!+#REF!+Moovee!A174+#REF!+#REF!+#REF!</f>
        <v>#REF!</v>
      </c>
      <c r="H174" s="16" t="e">
        <f t="shared" si="1"/>
        <v>#REF!</v>
      </c>
      <c r="I174" s="30">
        <f t="shared" si="2"/>
        <v>30.64</v>
      </c>
      <c r="J174" s="31" t="e">
        <f t="shared" si="3"/>
        <v>#REF!</v>
      </c>
      <c r="K174" s="25" t="e">
        <f t="shared" si="40"/>
        <v>#REF!</v>
      </c>
      <c r="L174" s="25" t="e">
        <f t="shared" si="41"/>
        <v>#REF!</v>
      </c>
      <c r="M174" s="25" t="e">
        <f t="shared" si="42"/>
        <v>#REF!</v>
      </c>
      <c r="N174" s="25" t="e">
        <f t="shared" si="43"/>
        <v>#REF!</v>
      </c>
      <c r="O174" s="25" t="e">
        <f t="shared" si="44"/>
        <v>#REF!</v>
      </c>
      <c r="P174" s="25" t="e">
        <f t="shared" si="45"/>
        <v>#REF!</v>
      </c>
      <c r="Q174" s="25" t="e">
        <f t="shared" si="46"/>
        <v>#REF!</v>
      </c>
      <c r="R174" s="25" t="e">
        <f t="shared" si="47"/>
        <v>#REF!</v>
      </c>
      <c r="S174" s="25" t="e">
        <f t="shared" si="48"/>
        <v>#REF!</v>
      </c>
      <c r="T174" s="25" t="e">
        <f t="shared" si="49"/>
        <v>#REF!</v>
      </c>
      <c r="U174" s="25" t="e">
        <f t="shared" si="50"/>
        <v>#REF!</v>
      </c>
      <c r="V174" s="25" t="e">
        <f t="shared" si="51"/>
        <v>#REF!</v>
      </c>
    </row>
    <row r="175" spans="1:22" ht="14.25" customHeight="1" x14ac:dyDescent="0.35">
      <c r="A175" s="2" t="s">
        <v>244</v>
      </c>
      <c r="B175" s="13" t="s">
        <v>50</v>
      </c>
      <c r="C175" s="13">
        <v>45064</v>
      </c>
      <c r="D175" s="14">
        <v>6323</v>
      </c>
      <c r="E175" s="15" t="e">
        <f>#REF!+#REF!+#REF!+#REF!+#REF!+#REF!+#REF!+GreenMobility!L175+#REF!+#REF!+#REF!+Partago!L175+#REF!+#REF!+#REF!</f>
        <v>#REF!</v>
      </c>
      <c r="F175" s="16" t="e">
        <f t="shared" si="0"/>
        <v>#REF!</v>
      </c>
      <c r="G175" s="19" t="e">
        <f>#REF!+#REF!+#REF!+#REF!+#REF!+#REF!+#REF!+#REF!+#REF!+Moovee!A175+#REF!+#REF!+#REF!</f>
        <v>#REF!</v>
      </c>
      <c r="H175" s="16" t="e">
        <f t="shared" si="1"/>
        <v>#REF!</v>
      </c>
      <c r="I175" s="30">
        <f t="shared" si="2"/>
        <v>12.646000000000001</v>
      </c>
      <c r="J175" s="31" t="e">
        <f t="shared" si="3"/>
        <v>#REF!</v>
      </c>
      <c r="K175" s="25" t="e">
        <f t="shared" si="40"/>
        <v>#REF!</v>
      </c>
      <c r="L175" s="25" t="e">
        <f t="shared" si="41"/>
        <v>#REF!</v>
      </c>
      <c r="M175" s="25" t="e">
        <f t="shared" si="42"/>
        <v>#REF!</v>
      </c>
      <c r="N175" s="25" t="e">
        <f t="shared" si="43"/>
        <v>#REF!</v>
      </c>
      <c r="O175" s="25" t="e">
        <f t="shared" si="44"/>
        <v>#REF!</v>
      </c>
      <c r="P175" s="25" t="e">
        <f t="shared" si="45"/>
        <v>#REF!</v>
      </c>
      <c r="Q175" s="25" t="e">
        <f t="shared" si="46"/>
        <v>#REF!</v>
      </c>
      <c r="R175" s="25" t="e">
        <f t="shared" si="47"/>
        <v>#REF!</v>
      </c>
      <c r="S175" s="25" t="e">
        <f t="shared" si="48"/>
        <v>#REF!</v>
      </c>
      <c r="T175" s="25" t="e">
        <f t="shared" si="49"/>
        <v>#REF!</v>
      </c>
      <c r="U175" s="25" t="e">
        <f t="shared" si="50"/>
        <v>#REF!</v>
      </c>
      <c r="V175" s="25" t="e">
        <f t="shared" si="51"/>
        <v>#REF!</v>
      </c>
    </row>
    <row r="176" spans="1:22" ht="14.25" customHeight="1" x14ac:dyDescent="0.35">
      <c r="A176" s="2" t="s">
        <v>211</v>
      </c>
      <c r="B176" s="13" t="s">
        <v>59</v>
      </c>
      <c r="C176" s="13">
        <v>72021</v>
      </c>
      <c r="D176" s="14">
        <v>25823</v>
      </c>
      <c r="E176" s="15" t="e">
        <f>#REF!+#REF!+#REF!+#REF!+#REF!+#REF!+#REF!+GreenMobility!L176+#REF!+#REF!+#REF!+Partago!L176+#REF!+#REF!+#REF!</f>
        <v>#REF!</v>
      </c>
      <c r="F176" s="16" t="e">
        <f t="shared" si="0"/>
        <v>#REF!</v>
      </c>
      <c r="G176" s="19" t="e">
        <f>#REF!+#REF!+#REF!+#REF!+#REF!+#REF!+#REF!+#REF!+#REF!+Moovee!A176+#REF!+#REF!+#REF!</f>
        <v>#REF!</v>
      </c>
      <c r="H176" s="16" t="e">
        <f t="shared" si="1"/>
        <v>#REF!</v>
      </c>
      <c r="I176" s="30">
        <f t="shared" si="2"/>
        <v>51.646000000000001</v>
      </c>
      <c r="J176" s="31" t="e">
        <f t="shared" si="3"/>
        <v>#REF!</v>
      </c>
      <c r="K176" s="25" t="e">
        <f t="shared" si="40"/>
        <v>#REF!</v>
      </c>
      <c r="L176" s="25" t="e">
        <f t="shared" si="41"/>
        <v>#REF!</v>
      </c>
      <c r="M176" s="25" t="e">
        <f t="shared" si="42"/>
        <v>#REF!</v>
      </c>
      <c r="N176" s="25" t="e">
        <f t="shared" si="43"/>
        <v>#REF!</v>
      </c>
      <c r="O176" s="25" t="e">
        <f t="shared" si="44"/>
        <v>#REF!</v>
      </c>
      <c r="P176" s="25" t="e">
        <f t="shared" si="45"/>
        <v>#REF!</v>
      </c>
      <c r="Q176" s="25" t="e">
        <f t="shared" si="46"/>
        <v>#REF!</v>
      </c>
      <c r="R176" s="25" t="e">
        <f t="shared" si="47"/>
        <v>#REF!</v>
      </c>
      <c r="S176" s="25" t="e">
        <f t="shared" si="48"/>
        <v>#REF!</v>
      </c>
      <c r="T176" s="25" t="e">
        <f t="shared" si="49"/>
        <v>#REF!</v>
      </c>
      <c r="U176" s="25" t="e">
        <f t="shared" si="50"/>
        <v>#REF!</v>
      </c>
      <c r="V176" s="25" t="e">
        <f t="shared" si="51"/>
        <v>#REF!</v>
      </c>
    </row>
    <row r="177" spans="1:22" ht="14.25" customHeight="1" x14ac:dyDescent="0.35">
      <c r="A177" s="2" t="s">
        <v>229</v>
      </c>
      <c r="B177" s="13" t="s">
        <v>59</v>
      </c>
      <c r="C177" s="13">
        <v>73107</v>
      </c>
      <c r="D177" s="14">
        <v>40219</v>
      </c>
      <c r="E177" s="15" t="e">
        <f>#REF!+#REF!+#REF!+#REF!+#REF!+#REF!+#REF!+GreenMobility!L177+#REF!+#REF!+#REF!+Partago!L177+#REF!+#REF!+#REF!</f>
        <v>#REF!</v>
      </c>
      <c r="F177" s="16" t="e">
        <f t="shared" si="0"/>
        <v>#REF!</v>
      </c>
      <c r="G177" s="19" t="e">
        <f>#REF!+#REF!+#REF!+#REF!+#REF!+#REF!+#REF!+#REF!+#REF!+Moovee!A177+#REF!+#REF!+#REF!</f>
        <v>#REF!</v>
      </c>
      <c r="H177" s="16" t="e">
        <f t="shared" si="1"/>
        <v>#REF!</v>
      </c>
      <c r="I177" s="30">
        <f t="shared" si="2"/>
        <v>80.438000000000002</v>
      </c>
      <c r="J177" s="31" t="e">
        <f t="shared" si="3"/>
        <v>#REF!</v>
      </c>
      <c r="K177" s="25" t="e">
        <f t="shared" si="40"/>
        <v>#REF!</v>
      </c>
      <c r="L177" s="25" t="e">
        <f t="shared" si="41"/>
        <v>#REF!</v>
      </c>
      <c r="M177" s="25" t="e">
        <f t="shared" si="42"/>
        <v>#REF!</v>
      </c>
      <c r="N177" s="25" t="e">
        <f t="shared" si="43"/>
        <v>#REF!</v>
      </c>
      <c r="O177" s="25" t="e">
        <f t="shared" si="44"/>
        <v>#REF!</v>
      </c>
      <c r="P177" s="25" t="e">
        <f t="shared" si="45"/>
        <v>#REF!</v>
      </c>
      <c r="Q177" s="25" t="e">
        <f t="shared" si="46"/>
        <v>#REF!</v>
      </c>
      <c r="R177" s="25" t="e">
        <f t="shared" si="47"/>
        <v>#REF!</v>
      </c>
      <c r="S177" s="25" t="e">
        <f t="shared" si="48"/>
        <v>#REF!</v>
      </c>
      <c r="T177" s="25" t="e">
        <f t="shared" si="49"/>
        <v>#REF!</v>
      </c>
      <c r="U177" s="25" t="e">
        <f t="shared" si="50"/>
        <v>#REF!</v>
      </c>
      <c r="V177" s="25" t="e">
        <f t="shared" si="51"/>
        <v>#REF!</v>
      </c>
    </row>
    <row r="178" spans="1:22" ht="14.25" customHeight="1" x14ac:dyDescent="0.35">
      <c r="A178" s="2" t="s">
        <v>278</v>
      </c>
      <c r="B178" s="13" t="s">
        <v>52</v>
      </c>
      <c r="C178" s="13">
        <v>23047</v>
      </c>
      <c r="D178" s="14">
        <v>16576</v>
      </c>
      <c r="E178" s="15" t="e">
        <f>#REF!+#REF!+#REF!+#REF!+#REF!+#REF!+#REF!+GreenMobility!L178+#REF!+#REF!+#REF!+Partago!L178+#REF!+#REF!+#REF!</f>
        <v>#REF!</v>
      </c>
      <c r="F178" s="16" t="e">
        <f t="shared" si="0"/>
        <v>#REF!</v>
      </c>
      <c r="G178" s="19" t="e">
        <f>#REF!+#REF!+#REF!+#REF!+#REF!+#REF!+#REF!+#REF!+#REF!+Moovee!A178+#REF!+#REF!+#REF!</f>
        <v>#REF!</v>
      </c>
      <c r="H178" s="16" t="e">
        <f t="shared" si="1"/>
        <v>#REF!</v>
      </c>
      <c r="I178" s="30">
        <f t="shared" si="2"/>
        <v>33.152000000000001</v>
      </c>
      <c r="J178" s="31" t="e">
        <f t="shared" si="3"/>
        <v>#REF!</v>
      </c>
      <c r="K178" s="25" t="e">
        <f t="shared" si="40"/>
        <v>#REF!</v>
      </c>
      <c r="L178" s="25" t="e">
        <f t="shared" si="41"/>
        <v>#REF!</v>
      </c>
      <c r="M178" s="25" t="e">
        <f t="shared" si="42"/>
        <v>#REF!</v>
      </c>
      <c r="N178" s="25" t="e">
        <f t="shared" si="43"/>
        <v>#REF!</v>
      </c>
      <c r="O178" s="25" t="e">
        <f t="shared" si="44"/>
        <v>#REF!</v>
      </c>
      <c r="P178" s="25" t="e">
        <f t="shared" si="45"/>
        <v>#REF!</v>
      </c>
      <c r="Q178" s="25" t="e">
        <f t="shared" si="46"/>
        <v>#REF!</v>
      </c>
      <c r="R178" s="25" t="e">
        <f t="shared" si="47"/>
        <v>#REF!</v>
      </c>
      <c r="S178" s="25" t="e">
        <f t="shared" si="48"/>
        <v>#REF!</v>
      </c>
      <c r="T178" s="25" t="e">
        <f t="shared" si="49"/>
        <v>#REF!</v>
      </c>
      <c r="U178" s="25" t="e">
        <f t="shared" si="50"/>
        <v>#REF!</v>
      </c>
      <c r="V178" s="25" t="e">
        <f t="shared" si="51"/>
        <v>#REF!</v>
      </c>
    </row>
    <row r="179" spans="1:22" ht="14.25" customHeight="1" x14ac:dyDescent="0.35">
      <c r="A179" s="2" t="s">
        <v>165</v>
      </c>
      <c r="B179" s="13" t="s">
        <v>50</v>
      </c>
      <c r="C179" s="13">
        <v>43010</v>
      </c>
      <c r="D179" s="14">
        <v>24744</v>
      </c>
      <c r="E179" s="15" t="e">
        <f>#REF!+#REF!+#REF!+#REF!+#REF!+#REF!+#REF!+GreenMobility!L179+#REF!+#REF!+#REF!+Partago!L179+#REF!+#REF!+#REF!</f>
        <v>#REF!</v>
      </c>
      <c r="F179" s="16" t="e">
        <f t="shared" si="0"/>
        <v>#REF!</v>
      </c>
      <c r="G179" s="19" t="e">
        <f>#REF!+#REF!+#REF!+#REF!+#REF!+#REF!+#REF!+#REF!+#REF!+Moovee!A179+#REF!+#REF!+#REF!</f>
        <v>#REF!</v>
      </c>
      <c r="H179" s="16" t="e">
        <f t="shared" si="1"/>
        <v>#REF!</v>
      </c>
      <c r="I179" s="30">
        <f t="shared" si="2"/>
        <v>49.488</v>
      </c>
      <c r="J179" s="31" t="e">
        <f t="shared" si="3"/>
        <v>#REF!</v>
      </c>
      <c r="K179" s="25" t="e">
        <f t="shared" si="40"/>
        <v>#REF!</v>
      </c>
      <c r="L179" s="25" t="e">
        <f t="shared" si="41"/>
        <v>#REF!</v>
      </c>
      <c r="M179" s="25" t="e">
        <f t="shared" si="42"/>
        <v>#REF!</v>
      </c>
      <c r="N179" s="25" t="e">
        <f t="shared" si="43"/>
        <v>#REF!</v>
      </c>
      <c r="O179" s="25" t="e">
        <f t="shared" si="44"/>
        <v>#REF!</v>
      </c>
      <c r="P179" s="25" t="e">
        <f t="shared" si="45"/>
        <v>#REF!</v>
      </c>
      <c r="Q179" s="25" t="e">
        <f t="shared" si="46"/>
        <v>#REF!</v>
      </c>
      <c r="R179" s="25" t="e">
        <f t="shared" si="47"/>
        <v>#REF!</v>
      </c>
      <c r="S179" s="25" t="e">
        <f t="shared" si="48"/>
        <v>#REF!</v>
      </c>
      <c r="T179" s="25" t="e">
        <f t="shared" si="49"/>
        <v>#REF!</v>
      </c>
      <c r="U179" s="25" t="e">
        <f t="shared" si="50"/>
        <v>#REF!</v>
      </c>
      <c r="V179" s="25" t="e">
        <f t="shared" si="51"/>
        <v>#REF!</v>
      </c>
    </row>
    <row r="180" spans="1:22" ht="14.25" customHeight="1" x14ac:dyDescent="0.35">
      <c r="A180" s="2" t="s">
        <v>178</v>
      </c>
      <c r="B180" s="13" t="s">
        <v>48</v>
      </c>
      <c r="C180" s="13">
        <v>11057</v>
      </c>
      <c r="D180" s="14">
        <v>16194</v>
      </c>
      <c r="E180" s="15" t="e">
        <f>#REF!+#REF!+#REF!+#REF!+#REF!+#REF!+#REF!+GreenMobility!L180+#REF!+#REF!+#REF!+Partago!L180+#REF!+#REF!+#REF!</f>
        <v>#REF!</v>
      </c>
      <c r="F180" s="16" t="e">
        <f t="shared" si="0"/>
        <v>#REF!</v>
      </c>
      <c r="G180" s="19" t="e">
        <f>#REF!+#REF!+#REF!+#REF!+#REF!+#REF!+#REF!+#REF!+#REF!+Moovee!A180+#REF!+#REF!+#REF!</f>
        <v>#REF!</v>
      </c>
      <c r="H180" s="16" t="e">
        <f t="shared" si="1"/>
        <v>#REF!</v>
      </c>
      <c r="I180" s="30">
        <f t="shared" si="2"/>
        <v>32.387999999999998</v>
      </c>
      <c r="J180" s="31" t="e">
        <f t="shared" si="3"/>
        <v>#REF!</v>
      </c>
      <c r="K180" s="25" t="e">
        <f t="shared" si="40"/>
        <v>#REF!</v>
      </c>
      <c r="L180" s="25" t="e">
        <f t="shared" si="41"/>
        <v>#REF!</v>
      </c>
      <c r="M180" s="25" t="e">
        <f t="shared" si="42"/>
        <v>#REF!</v>
      </c>
      <c r="N180" s="25" t="e">
        <f t="shared" si="43"/>
        <v>#REF!</v>
      </c>
      <c r="O180" s="25" t="e">
        <f t="shared" si="44"/>
        <v>#REF!</v>
      </c>
      <c r="P180" s="25" t="e">
        <f t="shared" si="45"/>
        <v>#REF!</v>
      </c>
      <c r="Q180" s="25" t="e">
        <f t="shared" si="46"/>
        <v>#REF!</v>
      </c>
      <c r="R180" s="25" t="e">
        <f t="shared" si="47"/>
        <v>#REF!</v>
      </c>
      <c r="S180" s="25" t="e">
        <f t="shared" si="48"/>
        <v>#REF!</v>
      </c>
      <c r="T180" s="25" t="e">
        <f t="shared" si="49"/>
        <v>#REF!</v>
      </c>
      <c r="U180" s="25" t="e">
        <f t="shared" si="50"/>
        <v>#REF!</v>
      </c>
      <c r="V180" s="25" t="e">
        <f t="shared" si="51"/>
        <v>#REF!</v>
      </c>
    </row>
    <row r="181" spans="1:22" ht="14.25" customHeight="1" x14ac:dyDescent="0.35">
      <c r="A181" s="2" t="s">
        <v>53</v>
      </c>
      <c r="B181" s="13" t="s">
        <v>48</v>
      </c>
      <c r="C181" s="13">
        <v>12025</v>
      </c>
      <c r="D181" s="14">
        <v>89313</v>
      </c>
      <c r="E181" s="15" t="e">
        <f>#REF!+#REF!+#REF!+#REF!+#REF!+#REF!+#REF!+GreenMobility!L181+#REF!+#REF!+#REF!+Partago!L181+#REF!+#REF!+#REF!</f>
        <v>#REF!</v>
      </c>
      <c r="F181" s="16" t="e">
        <f t="shared" si="0"/>
        <v>#REF!</v>
      </c>
      <c r="G181" s="19" t="e">
        <f>#REF!+#REF!+#REF!+#REF!+#REF!+#REF!+#REF!+#REF!+#REF!+Moovee!A181+#REF!+#REF!+#REF!</f>
        <v>#REF!</v>
      </c>
      <c r="H181" s="16" t="e">
        <f t="shared" si="1"/>
        <v>#REF!</v>
      </c>
      <c r="I181" s="30">
        <f t="shared" si="2"/>
        <v>178.626</v>
      </c>
      <c r="J181" s="31" t="e">
        <f t="shared" si="3"/>
        <v>#REF!</v>
      </c>
      <c r="K181" s="25" t="e">
        <f t="shared" si="40"/>
        <v>#REF!</v>
      </c>
      <c r="L181" s="25" t="e">
        <f t="shared" si="41"/>
        <v>#REF!</v>
      </c>
      <c r="M181" s="25" t="e">
        <f t="shared" si="42"/>
        <v>#REF!</v>
      </c>
      <c r="N181" s="25" t="e">
        <f t="shared" si="43"/>
        <v>#REF!</v>
      </c>
      <c r="O181" s="25" t="e">
        <f t="shared" si="44"/>
        <v>#REF!</v>
      </c>
      <c r="P181" s="25" t="e">
        <f t="shared" si="45"/>
        <v>#REF!</v>
      </c>
      <c r="Q181" s="25" t="e">
        <f t="shared" si="46"/>
        <v>#REF!</v>
      </c>
      <c r="R181" s="25" t="e">
        <f t="shared" si="47"/>
        <v>#REF!</v>
      </c>
      <c r="S181" s="25" t="e">
        <f t="shared" si="48"/>
        <v>#REF!</v>
      </c>
      <c r="T181" s="25" t="e">
        <f t="shared" si="49"/>
        <v>#REF!</v>
      </c>
      <c r="U181" s="25" t="e">
        <f t="shared" si="50"/>
        <v>#REF!</v>
      </c>
      <c r="V181" s="25" t="e">
        <f t="shared" si="51"/>
        <v>#REF!</v>
      </c>
    </row>
    <row r="182" spans="1:22" ht="14.25" customHeight="1" x14ac:dyDescent="0.35">
      <c r="A182" s="2" t="s">
        <v>172</v>
      </c>
      <c r="B182" s="13" t="s">
        <v>48</v>
      </c>
      <c r="C182" s="13">
        <v>13021</v>
      </c>
      <c r="D182" s="14">
        <v>10396</v>
      </c>
      <c r="E182" s="15" t="e">
        <f>#REF!+#REF!+#REF!+#REF!+#REF!+#REF!+#REF!+GreenMobility!L182+#REF!+#REF!+#REF!+Partago!L182+#REF!+#REF!+#REF!</f>
        <v>#REF!</v>
      </c>
      <c r="F182" s="16" t="e">
        <f t="shared" si="0"/>
        <v>#REF!</v>
      </c>
      <c r="G182" s="19" t="e">
        <f>#REF!+#REF!+#REF!+#REF!+#REF!+#REF!+#REF!+#REF!+#REF!+Moovee!A182+#REF!+#REF!+#REF!</f>
        <v>#REF!</v>
      </c>
      <c r="H182" s="16" t="e">
        <f t="shared" si="1"/>
        <v>#REF!</v>
      </c>
      <c r="I182" s="30">
        <f t="shared" si="2"/>
        <v>20.792000000000002</v>
      </c>
      <c r="J182" s="31" t="e">
        <f t="shared" si="3"/>
        <v>#REF!</v>
      </c>
      <c r="K182" s="25" t="e">
        <f t="shared" si="40"/>
        <v>#REF!</v>
      </c>
      <c r="L182" s="25" t="e">
        <f t="shared" si="41"/>
        <v>#REF!</v>
      </c>
      <c r="M182" s="25" t="e">
        <f t="shared" si="42"/>
        <v>#REF!</v>
      </c>
      <c r="N182" s="25" t="e">
        <f t="shared" si="43"/>
        <v>#REF!</v>
      </c>
      <c r="O182" s="25" t="e">
        <f t="shared" si="44"/>
        <v>#REF!</v>
      </c>
      <c r="P182" s="25" t="e">
        <f t="shared" si="45"/>
        <v>#REF!</v>
      </c>
      <c r="Q182" s="25" t="e">
        <f t="shared" si="46"/>
        <v>#REF!</v>
      </c>
      <c r="R182" s="25" t="e">
        <f t="shared" si="47"/>
        <v>#REF!</v>
      </c>
      <c r="S182" s="25" t="e">
        <f t="shared" si="48"/>
        <v>#REF!</v>
      </c>
      <c r="T182" s="25" t="e">
        <f t="shared" si="49"/>
        <v>#REF!</v>
      </c>
      <c r="U182" s="25" t="e">
        <f t="shared" si="50"/>
        <v>#REF!</v>
      </c>
      <c r="V182" s="25" t="e">
        <f t="shared" si="51"/>
        <v>#REF!</v>
      </c>
    </row>
    <row r="183" spans="1:22" ht="14.25" customHeight="1" x14ac:dyDescent="0.35">
      <c r="A183" s="2" t="s">
        <v>287</v>
      </c>
      <c r="B183" s="13" t="s">
        <v>52</v>
      </c>
      <c r="C183" s="13">
        <v>23050</v>
      </c>
      <c r="D183" s="14">
        <v>20299</v>
      </c>
      <c r="E183" s="15" t="e">
        <f>#REF!+#REF!+#REF!+#REF!+#REF!+#REF!+#REF!+GreenMobility!L183+#REF!+#REF!+#REF!+Partago!L183+#REF!+#REF!+#REF!</f>
        <v>#REF!</v>
      </c>
      <c r="F183" s="16" t="e">
        <f t="shared" si="0"/>
        <v>#REF!</v>
      </c>
      <c r="G183" s="19" t="e">
        <f>#REF!+#REF!+#REF!+#REF!+#REF!+#REF!+#REF!+#REF!+#REF!+Moovee!A183+#REF!+#REF!+#REF!</f>
        <v>#REF!</v>
      </c>
      <c r="H183" s="16" t="e">
        <f t="shared" si="1"/>
        <v>#REF!</v>
      </c>
      <c r="I183" s="30">
        <f t="shared" si="2"/>
        <v>40.597999999999999</v>
      </c>
      <c r="J183" s="31" t="e">
        <f t="shared" si="3"/>
        <v>#REF!</v>
      </c>
      <c r="K183" s="25" t="e">
        <f t="shared" si="40"/>
        <v>#REF!</v>
      </c>
      <c r="L183" s="25" t="e">
        <f t="shared" si="41"/>
        <v>#REF!</v>
      </c>
      <c r="M183" s="25" t="e">
        <f t="shared" si="42"/>
        <v>#REF!</v>
      </c>
      <c r="N183" s="25" t="e">
        <f t="shared" si="43"/>
        <v>#REF!</v>
      </c>
      <c r="O183" s="25" t="e">
        <f t="shared" si="44"/>
        <v>#REF!</v>
      </c>
      <c r="P183" s="25" t="e">
        <f t="shared" si="45"/>
        <v>#REF!</v>
      </c>
      <c r="Q183" s="25" t="e">
        <f t="shared" si="46"/>
        <v>#REF!</v>
      </c>
      <c r="R183" s="25" t="e">
        <f t="shared" si="47"/>
        <v>#REF!</v>
      </c>
      <c r="S183" s="25" t="e">
        <f t="shared" si="48"/>
        <v>#REF!</v>
      </c>
      <c r="T183" s="25" t="e">
        <f t="shared" si="49"/>
        <v>#REF!</v>
      </c>
      <c r="U183" s="25" t="e">
        <f t="shared" si="50"/>
        <v>#REF!</v>
      </c>
      <c r="V183" s="25" t="e">
        <f t="shared" si="51"/>
        <v>#REF!</v>
      </c>
    </row>
    <row r="184" spans="1:22" ht="14.25" customHeight="1" x14ac:dyDescent="0.35">
      <c r="A184" s="2" t="s">
        <v>349</v>
      </c>
      <c r="B184" s="13" t="s">
        <v>50</v>
      </c>
      <c r="C184" s="13">
        <v>44040</v>
      </c>
      <c r="D184" s="14">
        <v>11981</v>
      </c>
      <c r="E184" s="15" t="e">
        <f>#REF!+#REF!+#REF!+#REF!+#REF!+#REF!+#REF!+GreenMobility!L184+#REF!+#REF!+#REF!+Partago!L184+#REF!+#REF!+#REF!</f>
        <v>#REF!</v>
      </c>
      <c r="F184" s="16" t="e">
        <f t="shared" si="0"/>
        <v>#REF!</v>
      </c>
      <c r="G184" s="19" t="e">
        <f>#REF!+#REF!+#REF!+#REF!+#REF!+#REF!+#REF!+#REF!+#REF!+Moovee!A184+#REF!+#REF!+#REF!</f>
        <v>#REF!</v>
      </c>
      <c r="H184" s="16" t="e">
        <f t="shared" si="1"/>
        <v>#REF!</v>
      </c>
      <c r="I184" s="30">
        <f t="shared" si="2"/>
        <v>23.962</v>
      </c>
      <c r="J184" s="31" t="e">
        <f t="shared" si="3"/>
        <v>#REF!</v>
      </c>
      <c r="K184" s="25" t="e">
        <f t="shared" si="40"/>
        <v>#REF!</v>
      </c>
      <c r="L184" s="25" t="e">
        <f t="shared" si="41"/>
        <v>#REF!</v>
      </c>
      <c r="M184" s="25" t="e">
        <f t="shared" si="42"/>
        <v>#REF!</v>
      </c>
      <c r="N184" s="25" t="e">
        <f t="shared" si="43"/>
        <v>#REF!</v>
      </c>
      <c r="O184" s="25" t="e">
        <f t="shared" si="44"/>
        <v>#REF!</v>
      </c>
      <c r="P184" s="25" t="e">
        <f t="shared" si="45"/>
        <v>#REF!</v>
      </c>
      <c r="Q184" s="25" t="e">
        <f t="shared" si="46"/>
        <v>#REF!</v>
      </c>
      <c r="R184" s="25" t="e">
        <f t="shared" si="47"/>
        <v>#REF!</v>
      </c>
      <c r="S184" s="25" t="e">
        <f t="shared" si="48"/>
        <v>#REF!</v>
      </c>
      <c r="T184" s="25" t="e">
        <f t="shared" si="49"/>
        <v>#REF!</v>
      </c>
      <c r="U184" s="25" t="e">
        <f t="shared" si="50"/>
        <v>#REF!</v>
      </c>
      <c r="V184" s="25" t="e">
        <f t="shared" si="51"/>
        <v>#REF!</v>
      </c>
    </row>
    <row r="185" spans="1:22" ht="14.25" customHeight="1" x14ac:dyDescent="0.35">
      <c r="A185" s="2" t="s">
        <v>130</v>
      </c>
      <c r="B185" s="13" t="s">
        <v>55</v>
      </c>
      <c r="C185" s="13">
        <v>34027</v>
      </c>
      <c r="D185" s="14">
        <v>34417</v>
      </c>
      <c r="E185" s="15" t="e">
        <f>#REF!+#REF!+#REF!+#REF!+#REF!+#REF!+#REF!+GreenMobility!L185+#REF!+#REF!+#REF!+Partago!L185+#REF!+#REF!+#REF!</f>
        <v>#REF!</v>
      </c>
      <c r="F185" s="16" t="e">
        <f t="shared" si="0"/>
        <v>#REF!</v>
      </c>
      <c r="G185" s="19" t="e">
        <f>#REF!+#REF!+#REF!+#REF!+#REF!+#REF!+#REF!+#REF!+#REF!+Moovee!A185+#REF!+#REF!+#REF!</f>
        <v>#REF!</v>
      </c>
      <c r="H185" s="16" t="e">
        <f t="shared" si="1"/>
        <v>#REF!</v>
      </c>
      <c r="I185" s="30">
        <f t="shared" si="2"/>
        <v>68.834000000000003</v>
      </c>
      <c r="J185" s="31" t="e">
        <f t="shared" si="3"/>
        <v>#REF!</v>
      </c>
      <c r="K185" s="25" t="e">
        <f t="shared" si="40"/>
        <v>#REF!</v>
      </c>
      <c r="L185" s="25" t="e">
        <f t="shared" si="41"/>
        <v>#REF!</v>
      </c>
      <c r="M185" s="25" t="e">
        <f t="shared" si="42"/>
        <v>#REF!</v>
      </c>
      <c r="N185" s="25" t="e">
        <f t="shared" si="43"/>
        <v>#REF!</v>
      </c>
      <c r="O185" s="25" t="e">
        <f t="shared" si="44"/>
        <v>#REF!</v>
      </c>
      <c r="P185" s="25" t="e">
        <f t="shared" si="45"/>
        <v>#REF!</v>
      </c>
      <c r="Q185" s="25" t="e">
        <f t="shared" si="46"/>
        <v>#REF!</v>
      </c>
      <c r="R185" s="25" t="e">
        <f t="shared" si="47"/>
        <v>#REF!</v>
      </c>
      <c r="S185" s="25" t="e">
        <f t="shared" si="48"/>
        <v>#REF!</v>
      </c>
      <c r="T185" s="25" t="e">
        <f t="shared" si="49"/>
        <v>#REF!</v>
      </c>
      <c r="U185" s="25" t="e">
        <f t="shared" si="50"/>
        <v>#REF!</v>
      </c>
      <c r="V185" s="25" t="e">
        <f t="shared" si="51"/>
        <v>#REF!</v>
      </c>
    </row>
    <row r="186" spans="1:22" ht="14.25" customHeight="1" x14ac:dyDescent="0.35">
      <c r="A186" s="2" t="s">
        <v>281</v>
      </c>
      <c r="B186" s="13" t="s">
        <v>52</v>
      </c>
      <c r="C186" s="13">
        <v>23052</v>
      </c>
      <c r="D186" s="14">
        <v>18029</v>
      </c>
      <c r="E186" s="15" t="e">
        <f>#REF!+#REF!+#REF!+#REF!+#REF!+#REF!+#REF!+GreenMobility!L186+#REF!+#REF!+#REF!+Partago!L186+#REF!+#REF!+#REF!</f>
        <v>#REF!</v>
      </c>
      <c r="F186" s="16" t="e">
        <f t="shared" si="0"/>
        <v>#REF!</v>
      </c>
      <c r="G186" s="19" t="e">
        <f>#REF!+#REF!+#REF!+#REF!+#REF!+#REF!+#REF!+#REF!+#REF!+Moovee!A186+#REF!+#REF!+#REF!</f>
        <v>#REF!</v>
      </c>
      <c r="H186" s="16" t="e">
        <f t="shared" si="1"/>
        <v>#REF!</v>
      </c>
      <c r="I186" s="30">
        <f t="shared" si="2"/>
        <v>36.058</v>
      </c>
      <c r="J186" s="31" t="e">
        <f t="shared" si="3"/>
        <v>#REF!</v>
      </c>
      <c r="K186" s="25" t="e">
        <f t="shared" si="40"/>
        <v>#REF!</v>
      </c>
      <c r="L186" s="25" t="e">
        <f t="shared" si="41"/>
        <v>#REF!</v>
      </c>
      <c r="M186" s="25" t="e">
        <f t="shared" si="42"/>
        <v>#REF!</v>
      </c>
      <c r="N186" s="25" t="e">
        <f t="shared" si="43"/>
        <v>#REF!</v>
      </c>
      <c r="O186" s="25" t="e">
        <f t="shared" si="44"/>
        <v>#REF!</v>
      </c>
      <c r="P186" s="25" t="e">
        <f t="shared" si="45"/>
        <v>#REF!</v>
      </c>
      <c r="Q186" s="25" t="e">
        <f t="shared" si="46"/>
        <v>#REF!</v>
      </c>
      <c r="R186" s="25" t="e">
        <f t="shared" si="47"/>
        <v>#REF!</v>
      </c>
      <c r="S186" s="25" t="e">
        <f t="shared" si="48"/>
        <v>#REF!</v>
      </c>
      <c r="T186" s="25" t="e">
        <f t="shared" si="49"/>
        <v>#REF!</v>
      </c>
      <c r="U186" s="25" t="e">
        <f t="shared" si="50"/>
        <v>#REF!</v>
      </c>
      <c r="V186" s="25" t="e">
        <f t="shared" si="51"/>
        <v>#REF!</v>
      </c>
    </row>
    <row r="187" spans="1:22" ht="14.25" customHeight="1" x14ac:dyDescent="0.35">
      <c r="A187" s="2" t="s">
        <v>350</v>
      </c>
      <c r="B187" s="13" t="s">
        <v>50</v>
      </c>
      <c r="C187" s="13">
        <v>44043</v>
      </c>
      <c r="D187" s="14">
        <v>25229</v>
      </c>
      <c r="E187" s="15" t="e">
        <f>#REF!+#REF!+#REF!+#REF!+#REF!+#REF!+#REF!+GreenMobility!L187+#REF!+#REF!+#REF!+Partago!L187+#REF!+#REF!+#REF!</f>
        <v>#REF!</v>
      </c>
      <c r="F187" s="16" t="e">
        <f t="shared" si="0"/>
        <v>#REF!</v>
      </c>
      <c r="G187" s="19" t="e">
        <f>#REF!+#REF!+#REF!+#REF!+#REF!+#REF!+#REF!+#REF!+#REF!+Moovee!A187+#REF!+#REF!+#REF!</f>
        <v>#REF!</v>
      </c>
      <c r="H187" s="16" t="e">
        <f t="shared" si="1"/>
        <v>#REF!</v>
      </c>
      <c r="I187" s="30">
        <f t="shared" si="2"/>
        <v>50.457999999999998</v>
      </c>
      <c r="J187" s="31" t="e">
        <f t="shared" si="3"/>
        <v>#REF!</v>
      </c>
      <c r="K187" s="25" t="e">
        <f t="shared" si="40"/>
        <v>#REF!</v>
      </c>
      <c r="L187" s="25" t="e">
        <f t="shared" si="41"/>
        <v>#REF!</v>
      </c>
      <c r="M187" s="25" t="e">
        <f t="shared" si="42"/>
        <v>#REF!</v>
      </c>
      <c r="N187" s="25" t="e">
        <f t="shared" si="43"/>
        <v>#REF!</v>
      </c>
      <c r="O187" s="25" t="e">
        <f t="shared" si="44"/>
        <v>#REF!</v>
      </c>
      <c r="P187" s="25" t="e">
        <f t="shared" si="45"/>
        <v>#REF!</v>
      </c>
      <c r="Q187" s="25" t="e">
        <f t="shared" si="46"/>
        <v>#REF!</v>
      </c>
      <c r="R187" s="25" t="e">
        <f t="shared" si="47"/>
        <v>#REF!</v>
      </c>
      <c r="S187" s="25" t="e">
        <f t="shared" si="48"/>
        <v>#REF!</v>
      </c>
      <c r="T187" s="25" t="e">
        <f t="shared" si="49"/>
        <v>#REF!</v>
      </c>
      <c r="U187" s="25" t="e">
        <f t="shared" si="50"/>
        <v>#REF!</v>
      </c>
      <c r="V187" s="25" t="e">
        <f t="shared" si="51"/>
        <v>#REF!</v>
      </c>
    </row>
    <row r="188" spans="1:22" ht="14.25" customHeight="1" x14ac:dyDescent="0.35">
      <c r="A188" s="2" t="s">
        <v>197</v>
      </c>
      <c r="B188" s="13" t="s">
        <v>48</v>
      </c>
      <c r="C188" s="13">
        <v>13023</v>
      </c>
      <c r="D188" s="14">
        <v>8883</v>
      </c>
      <c r="E188" s="15" t="e">
        <f>#REF!+#REF!+#REF!+#REF!+#REF!+#REF!+#REF!+GreenMobility!L188+#REF!+#REF!+#REF!+Partago!L188+#REF!+#REF!+#REF!</f>
        <v>#REF!</v>
      </c>
      <c r="F188" s="16" t="e">
        <f t="shared" si="0"/>
        <v>#REF!</v>
      </c>
      <c r="G188" s="19" t="e">
        <f>#REF!+#REF!+#REF!+#REF!+#REF!+#REF!+#REF!+#REF!+#REF!+Moovee!A188+#REF!+#REF!+#REF!</f>
        <v>#REF!</v>
      </c>
      <c r="H188" s="16" t="e">
        <f t="shared" si="1"/>
        <v>#REF!</v>
      </c>
      <c r="I188" s="30">
        <f t="shared" si="2"/>
        <v>17.765999999999998</v>
      </c>
      <c r="J188" s="31" t="e">
        <f t="shared" si="3"/>
        <v>#REF!</v>
      </c>
      <c r="K188" s="25" t="e">
        <f t="shared" si="40"/>
        <v>#REF!</v>
      </c>
      <c r="L188" s="25" t="e">
        <f t="shared" si="41"/>
        <v>#REF!</v>
      </c>
      <c r="M188" s="25" t="e">
        <f t="shared" si="42"/>
        <v>#REF!</v>
      </c>
      <c r="N188" s="25" t="e">
        <f t="shared" si="43"/>
        <v>#REF!</v>
      </c>
      <c r="O188" s="25" t="e">
        <f t="shared" si="44"/>
        <v>#REF!</v>
      </c>
      <c r="P188" s="25" t="e">
        <f t="shared" si="45"/>
        <v>#REF!</v>
      </c>
      <c r="Q188" s="25" t="e">
        <f t="shared" si="46"/>
        <v>#REF!</v>
      </c>
      <c r="R188" s="25" t="e">
        <f t="shared" si="47"/>
        <v>#REF!</v>
      </c>
      <c r="S188" s="25" t="e">
        <f t="shared" si="48"/>
        <v>#REF!</v>
      </c>
      <c r="T188" s="25" t="e">
        <f t="shared" si="49"/>
        <v>#REF!</v>
      </c>
      <c r="U188" s="25" t="e">
        <f t="shared" si="50"/>
        <v>#REF!</v>
      </c>
      <c r="V188" s="25" t="e">
        <f t="shared" si="51"/>
        <v>#REF!</v>
      </c>
    </row>
    <row r="189" spans="1:22" ht="14.25" customHeight="1" x14ac:dyDescent="0.35">
      <c r="A189" s="2" t="s">
        <v>238</v>
      </c>
      <c r="B189" s="13" t="s">
        <v>55</v>
      </c>
      <c r="C189" s="13">
        <v>33016</v>
      </c>
      <c r="D189" s="14">
        <v>1075</v>
      </c>
      <c r="E189" s="15" t="e">
        <f>#REF!+#REF!+#REF!+#REF!+#REF!+#REF!+#REF!+GreenMobility!L189+#REF!+#REF!+#REF!+Partago!L189+#REF!+#REF!+#REF!</f>
        <v>#REF!</v>
      </c>
      <c r="F189" s="48" t="e">
        <f t="shared" si="0"/>
        <v>#REF!</v>
      </c>
      <c r="G189" s="19" t="e">
        <f>#REF!+#REF!+#REF!+#REF!+#REF!+#REF!+#REF!+#REF!+#REF!+Moovee!A189+#REF!+#REF!+#REF!</f>
        <v>#REF!</v>
      </c>
      <c r="H189" s="16" t="e">
        <f t="shared" si="1"/>
        <v>#REF!</v>
      </c>
      <c r="I189" s="30">
        <f t="shared" si="2"/>
        <v>2.15</v>
      </c>
      <c r="J189" s="31" t="e">
        <f t="shared" si="3"/>
        <v>#REF!</v>
      </c>
      <c r="K189" s="25"/>
      <c r="L189" s="25"/>
      <c r="M189" s="25"/>
      <c r="N189" s="25"/>
      <c r="O189" s="25"/>
      <c r="P189" s="25"/>
      <c r="Q189" s="25"/>
      <c r="R189" s="25"/>
      <c r="S189" s="25"/>
      <c r="T189" s="25"/>
      <c r="U189" s="25"/>
      <c r="V189" s="25"/>
    </row>
    <row r="190" spans="1:22" ht="14.25" customHeight="1" x14ac:dyDescent="0.35">
      <c r="A190" s="2" t="s">
        <v>351</v>
      </c>
      <c r="B190" s="13" t="s">
        <v>55</v>
      </c>
      <c r="C190" s="13">
        <v>37007</v>
      </c>
      <c r="D190" s="14">
        <v>11123</v>
      </c>
      <c r="E190" s="15" t="e">
        <f>#REF!+#REF!+#REF!+#REF!+#REF!+#REF!+#REF!+GreenMobility!L190+#REF!+#REF!+#REF!+Partago!L190+#REF!+#REF!+#REF!</f>
        <v>#REF!</v>
      </c>
      <c r="F190" s="16" t="e">
        <f t="shared" si="0"/>
        <v>#REF!</v>
      </c>
      <c r="G190" s="19" t="e">
        <f>#REF!+#REF!+#REF!+#REF!+#REF!+#REF!+#REF!+#REF!+#REF!+Moovee!A190+#REF!+#REF!+#REF!</f>
        <v>#REF!</v>
      </c>
      <c r="H190" s="16" t="e">
        <f t="shared" si="1"/>
        <v>#REF!</v>
      </c>
      <c r="I190" s="30">
        <f t="shared" si="2"/>
        <v>22.245999999999999</v>
      </c>
      <c r="J190" s="31" t="e">
        <f t="shared" si="3"/>
        <v>#REF!</v>
      </c>
      <c r="K190" s="25" t="e">
        <f t="shared" ref="K190:K194" si="52">J190*0.05</f>
        <v>#REF!</v>
      </c>
      <c r="L190" s="25" t="e">
        <f t="shared" ref="L190:L194" si="53">J190*0.1</f>
        <v>#REF!</v>
      </c>
      <c r="M190" s="25" t="e">
        <f t="shared" ref="M190:M194" si="54">J190*0.15</f>
        <v>#REF!</v>
      </c>
      <c r="N190" s="25" t="e">
        <f t="shared" ref="N190:N194" si="55">J190*0.2</f>
        <v>#REF!</v>
      </c>
      <c r="O190" s="25" t="e">
        <f t="shared" ref="O190:O194" si="56">J190*0.233333</f>
        <v>#REF!</v>
      </c>
      <c r="P190" s="25" t="e">
        <f t="shared" ref="P190:P194" si="57">J190*0.266667</f>
        <v>#REF!</v>
      </c>
      <c r="Q190" s="25" t="e">
        <f t="shared" ref="Q190:Q194" si="58">J190*0.0158729999</f>
        <v>#REF!</v>
      </c>
      <c r="R190" s="25" t="e">
        <f t="shared" ref="R190:R194" si="59">J190*0.031746</f>
        <v>#REF!</v>
      </c>
      <c r="S190" s="25" t="e">
        <f t="shared" ref="S190:S194" si="60">J190*0.063492</f>
        <v>#REF!</v>
      </c>
      <c r="T190" s="25" t="e">
        <f t="shared" ref="T190:T194" si="61">J190*0.126984</f>
        <v>#REF!</v>
      </c>
      <c r="U190" s="25" t="e">
        <f t="shared" ref="U190:U194" si="62">J190*0.253968</f>
        <v>#REF!</v>
      </c>
      <c r="V190" s="25" t="e">
        <f t="shared" ref="V190:V194" si="63">J190*0.507936</f>
        <v>#REF!</v>
      </c>
    </row>
    <row r="191" spans="1:22" ht="14.25" customHeight="1" x14ac:dyDescent="0.35">
      <c r="A191" s="2" t="s">
        <v>225</v>
      </c>
      <c r="B191" s="13" t="s">
        <v>55</v>
      </c>
      <c r="C191" s="13">
        <v>35011</v>
      </c>
      <c r="D191" s="14">
        <v>19855</v>
      </c>
      <c r="E191" s="15" t="e">
        <f>#REF!+#REF!+#REF!+#REF!+#REF!+#REF!+#REF!+GreenMobility!L191+#REF!+#REF!+#REF!+Partago!L191+#REF!+#REF!+#REF!</f>
        <v>#REF!</v>
      </c>
      <c r="F191" s="16" t="e">
        <f t="shared" si="0"/>
        <v>#REF!</v>
      </c>
      <c r="G191" s="19" t="e">
        <f>#REF!+#REF!+#REF!+#REF!+#REF!+#REF!+#REF!+#REF!+#REF!+Moovee!A191+#REF!+#REF!+#REF!</f>
        <v>#REF!</v>
      </c>
      <c r="H191" s="16" t="e">
        <f t="shared" si="1"/>
        <v>#REF!</v>
      </c>
      <c r="I191" s="30">
        <f t="shared" si="2"/>
        <v>39.71</v>
      </c>
      <c r="J191" s="31" t="e">
        <f t="shared" si="3"/>
        <v>#REF!</v>
      </c>
      <c r="K191" s="25" t="e">
        <f t="shared" si="52"/>
        <v>#REF!</v>
      </c>
      <c r="L191" s="25" t="e">
        <f t="shared" si="53"/>
        <v>#REF!</v>
      </c>
      <c r="M191" s="25" t="e">
        <f t="shared" si="54"/>
        <v>#REF!</v>
      </c>
      <c r="N191" s="25" t="e">
        <f t="shared" si="55"/>
        <v>#REF!</v>
      </c>
      <c r="O191" s="25" t="e">
        <f t="shared" si="56"/>
        <v>#REF!</v>
      </c>
      <c r="P191" s="25" t="e">
        <f t="shared" si="57"/>
        <v>#REF!</v>
      </c>
      <c r="Q191" s="25" t="e">
        <f t="shared" si="58"/>
        <v>#REF!</v>
      </c>
      <c r="R191" s="25" t="e">
        <f t="shared" si="59"/>
        <v>#REF!</v>
      </c>
      <c r="S191" s="25" t="e">
        <f t="shared" si="60"/>
        <v>#REF!</v>
      </c>
      <c r="T191" s="25" t="e">
        <f t="shared" si="61"/>
        <v>#REF!</v>
      </c>
      <c r="U191" s="25" t="e">
        <f t="shared" si="62"/>
        <v>#REF!</v>
      </c>
      <c r="V191" s="25" t="e">
        <f t="shared" si="63"/>
        <v>#REF!</v>
      </c>
    </row>
    <row r="192" spans="1:22" ht="14.25" customHeight="1" x14ac:dyDescent="0.35">
      <c r="A192" s="2" t="s">
        <v>352</v>
      </c>
      <c r="B192" s="13" t="s">
        <v>50</v>
      </c>
      <c r="C192" s="13">
        <v>44045</v>
      </c>
      <c r="D192" s="14">
        <v>6758</v>
      </c>
      <c r="E192" s="15" t="e">
        <f>#REF!+#REF!+#REF!+#REF!+#REF!+#REF!+#REF!+GreenMobility!L192+#REF!+#REF!+#REF!+Partago!L192+#REF!+#REF!+#REF!</f>
        <v>#REF!</v>
      </c>
      <c r="F192" s="16" t="e">
        <f t="shared" si="0"/>
        <v>#REF!</v>
      </c>
      <c r="G192" s="19" t="e">
        <f>#REF!+#REF!+#REF!+#REF!+#REF!+#REF!+#REF!+#REF!+#REF!+Moovee!A192+#REF!+#REF!+#REF!</f>
        <v>#REF!</v>
      </c>
      <c r="H192" s="16" t="e">
        <f t="shared" si="1"/>
        <v>#REF!</v>
      </c>
      <c r="I192" s="30">
        <f t="shared" si="2"/>
        <v>13.516</v>
      </c>
      <c r="J192" s="31" t="e">
        <f t="shared" si="3"/>
        <v>#REF!</v>
      </c>
      <c r="K192" s="25" t="e">
        <f t="shared" si="52"/>
        <v>#REF!</v>
      </c>
      <c r="L192" s="25" t="e">
        <f t="shared" si="53"/>
        <v>#REF!</v>
      </c>
      <c r="M192" s="25" t="e">
        <f t="shared" si="54"/>
        <v>#REF!</v>
      </c>
      <c r="N192" s="25" t="e">
        <f t="shared" si="55"/>
        <v>#REF!</v>
      </c>
      <c r="O192" s="25" t="e">
        <f t="shared" si="56"/>
        <v>#REF!</v>
      </c>
      <c r="P192" s="25" t="e">
        <f t="shared" si="57"/>
        <v>#REF!</v>
      </c>
      <c r="Q192" s="25" t="e">
        <f t="shared" si="58"/>
        <v>#REF!</v>
      </c>
      <c r="R192" s="25" t="e">
        <f t="shared" si="59"/>
        <v>#REF!</v>
      </c>
      <c r="S192" s="25" t="e">
        <f t="shared" si="60"/>
        <v>#REF!</v>
      </c>
      <c r="T192" s="25" t="e">
        <f t="shared" si="61"/>
        <v>#REF!</v>
      </c>
      <c r="U192" s="25" t="e">
        <f t="shared" si="62"/>
        <v>#REF!</v>
      </c>
      <c r="V192" s="25" t="e">
        <f t="shared" si="63"/>
        <v>#REF!</v>
      </c>
    </row>
    <row r="193" spans="1:22" ht="14.25" customHeight="1" x14ac:dyDescent="0.35">
      <c r="A193" s="2" t="s">
        <v>145</v>
      </c>
      <c r="B193" s="13" t="s">
        <v>48</v>
      </c>
      <c r="C193" s="13">
        <v>13025</v>
      </c>
      <c r="D193" s="14">
        <v>38534</v>
      </c>
      <c r="E193" s="15" t="e">
        <f>#REF!+#REF!+#REF!+#REF!+#REF!+#REF!+#REF!+GreenMobility!L193+#REF!+#REF!+#REF!+Partago!L193+#REF!+#REF!+#REF!</f>
        <v>#REF!</v>
      </c>
      <c r="F193" s="16" t="e">
        <f t="shared" si="0"/>
        <v>#REF!</v>
      </c>
      <c r="G193" s="19" t="e">
        <f>#REF!+#REF!+#REF!+#REF!+#REF!+#REF!+#REF!+#REF!+#REF!+Moovee!A193+#REF!+#REF!+#REF!</f>
        <v>#REF!</v>
      </c>
      <c r="H193" s="16" t="e">
        <f t="shared" si="1"/>
        <v>#REF!</v>
      </c>
      <c r="I193" s="30">
        <f t="shared" si="2"/>
        <v>77.067999999999998</v>
      </c>
      <c r="J193" s="31" t="e">
        <f t="shared" si="3"/>
        <v>#REF!</v>
      </c>
      <c r="K193" s="25" t="e">
        <f t="shared" si="52"/>
        <v>#REF!</v>
      </c>
      <c r="L193" s="25" t="e">
        <f t="shared" si="53"/>
        <v>#REF!</v>
      </c>
      <c r="M193" s="25" t="e">
        <f t="shared" si="54"/>
        <v>#REF!</v>
      </c>
      <c r="N193" s="25" t="e">
        <f t="shared" si="55"/>
        <v>#REF!</v>
      </c>
      <c r="O193" s="25" t="e">
        <f t="shared" si="56"/>
        <v>#REF!</v>
      </c>
      <c r="P193" s="25" t="e">
        <f t="shared" si="57"/>
        <v>#REF!</v>
      </c>
      <c r="Q193" s="25" t="e">
        <f t="shared" si="58"/>
        <v>#REF!</v>
      </c>
      <c r="R193" s="25" t="e">
        <f t="shared" si="59"/>
        <v>#REF!</v>
      </c>
      <c r="S193" s="25" t="e">
        <f t="shared" si="60"/>
        <v>#REF!</v>
      </c>
      <c r="T193" s="25" t="e">
        <f t="shared" si="61"/>
        <v>#REF!</v>
      </c>
      <c r="U193" s="25" t="e">
        <f t="shared" si="62"/>
        <v>#REF!</v>
      </c>
      <c r="V193" s="25" t="e">
        <f t="shared" si="63"/>
        <v>#REF!</v>
      </c>
    </row>
    <row r="194" spans="1:22" ht="14.25" customHeight="1" x14ac:dyDescent="0.35">
      <c r="A194" s="2" t="s">
        <v>174</v>
      </c>
      <c r="B194" s="13" t="s">
        <v>55</v>
      </c>
      <c r="C194" s="13">
        <v>36012</v>
      </c>
      <c r="D194" s="14">
        <v>11473</v>
      </c>
      <c r="E194" s="15" t="e">
        <f>#REF!+#REF!+#REF!+#REF!+#REF!+#REF!+#REF!+GreenMobility!L194+#REF!+#REF!+#REF!+Partago!L194+#REF!+#REF!+#REF!</f>
        <v>#REF!</v>
      </c>
      <c r="F194" s="16" t="e">
        <f t="shared" si="0"/>
        <v>#REF!</v>
      </c>
      <c r="G194" s="19" t="e">
        <f>#REF!+#REF!+#REF!+#REF!+#REF!+#REF!+#REF!+#REF!+#REF!+Moovee!A194+#REF!+#REF!+#REF!</f>
        <v>#REF!</v>
      </c>
      <c r="H194" s="16" t="e">
        <f t="shared" si="1"/>
        <v>#REF!</v>
      </c>
      <c r="I194" s="30">
        <f t="shared" si="2"/>
        <v>22.946000000000002</v>
      </c>
      <c r="J194" s="31" t="e">
        <f t="shared" si="3"/>
        <v>#REF!</v>
      </c>
      <c r="K194" s="25" t="e">
        <f t="shared" si="52"/>
        <v>#REF!</v>
      </c>
      <c r="L194" s="25" t="e">
        <f t="shared" si="53"/>
        <v>#REF!</v>
      </c>
      <c r="M194" s="25" t="e">
        <f t="shared" si="54"/>
        <v>#REF!</v>
      </c>
      <c r="N194" s="25" t="e">
        <f t="shared" si="55"/>
        <v>#REF!</v>
      </c>
      <c r="O194" s="25" t="e">
        <f t="shared" si="56"/>
        <v>#REF!</v>
      </c>
      <c r="P194" s="25" t="e">
        <f t="shared" si="57"/>
        <v>#REF!</v>
      </c>
      <c r="Q194" s="25" t="e">
        <f t="shared" si="58"/>
        <v>#REF!</v>
      </c>
      <c r="R194" s="25" t="e">
        <f t="shared" si="59"/>
        <v>#REF!</v>
      </c>
      <c r="S194" s="25" t="e">
        <f t="shared" si="60"/>
        <v>#REF!</v>
      </c>
      <c r="T194" s="25" t="e">
        <f t="shared" si="61"/>
        <v>#REF!</v>
      </c>
      <c r="U194" s="25" t="e">
        <f t="shared" si="62"/>
        <v>#REF!</v>
      </c>
      <c r="V194" s="25" t="e">
        <f t="shared" si="63"/>
        <v>#REF!</v>
      </c>
    </row>
    <row r="195" spans="1:22" ht="14.25" customHeight="1" x14ac:dyDescent="0.35">
      <c r="A195" s="2" t="s">
        <v>66</v>
      </c>
      <c r="B195" s="13" t="s">
        <v>48</v>
      </c>
      <c r="C195" s="13">
        <v>11029</v>
      </c>
      <c r="D195" s="14">
        <v>26588</v>
      </c>
      <c r="E195" s="15" t="e">
        <f>#REF!+#REF!+#REF!+#REF!+#REF!+#REF!+#REF!+GreenMobility!L195+#REF!+#REF!+#REF!+Partago!L195+#REF!+#REF!+#REF!</f>
        <v>#REF!</v>
      </c>
      <c r="F195" s="48" t="e">
        <f t="shared" si="0"/>
        <v>#REF!</v>
      </c>
      <c r="G195" s="19" t="e">
        <f>#REF!+#REF!+#REF!+#REF!+#REF!+#REF!+#REF!+#REF!+#REF!+Moovee!A195+#REF!+#REF!+#REF!</f>
        <v>#REF!</v>
      </c>
      <c r="H195" s="16" t="e">
        <f t="shared" si="1"/>
        <v>#REF!</v>
      </c>
      <c r="I195" s="30">
        <f t="shared" si="2"/>
        <v>53.176000000000002</v>
      </c>
      <c r="J195" s="31" t="e">
        <f t="shared" si="3"/>
        <v>#REF!</v>
      </c>
      <c r="K195" s="25"/>
      <c r="L195" s="25"/>
      <c r="M195" s="25"/>
      <c r="N195" s="25"/>
      <c r="O195" s="25"/>
      <c r="P195" s="25"/>
      <c r="Q195" s="25"/>
      <c r="R195" s="25"/>
      <c r="S195" s="25"/>
      <c r="T195" s="25"/>
      <c r="U195" s="25"/>
      <c r="V195" s="25"/>
    </row>
    <row r="196" spans="1:22" ht="14.25" customHeight="1" x14ac:dyDescent="0.35">
      <c r="A196" s="2" t="s">
        <v>353</v>
      </c>
      <c r="B196" s="13" t="s">
        <v>50</v>
      </c>
      <c r="C196" s="13">
        <v>44048</v>
      </c>
      <c r="D196" s="14">
        <v>12305</v>
      </c>
      <c r="E196" s="15" t="e">
        <f>#REF!+#REF!+#REF!+#REF!+#REF!+#REF!+#REF!+GreenMobility!L196+#REF!+#REF!+#REF!+Partago!L196+#REF!+#REF!+#REF!</f>
        <v>#REF!</v>
      </c>
      <c r="F196" s="16" t="e">
        <f t="shared" si="0"/>
        <v>#REF!</v>
      </c>
      <c r="G196" s="19" t="e">
        <f>#REF!+#REF!+#REF!+#REF!+#REF!+#REF!+#REF!+#REF!+#REF!+Moovee!A196+#REF!+#REF!+#REF!</f>
        <v>#REF!</v>
      </c>
      <c r="H196" s="16" t="e">
        <f t="shared" si="1"/>
        <v>#REF!</v>
      </c>
      <c r="I196" s="30">
        <f t="shared" si="2"/>
        <v>24.61</v>
      </c>
      <c r="J196" s="31" t="e">
        <f t="shared" si="3"/>
        <v>#REF!</v>
      </c>
      <c r="K196" s="25" t="e">
        <f t="shared" ref="K196:K278" si="64">J196*0.05</f>
        <v>#REF!</v>
      </c>
      <c r="L196" s="25" t="e">
        <f t="shared" ref="L196:L278" si="65">J196*0.1</f>
        <v>#REF!</v>
      </c>
      <c r="M196" s="25" t="e">
        <f t="shared" ref="M196:M278" si="66">J196*0.15</f>
        <v>#REF!</v>
      </c>
      <c r="N196" s="25" t="e">
        <f t="shared" ref="N196:N278" si="67">J196*0.2</f>
        <v>#REF!</v>
      </c>
      <c r="O196" s="25" t="e">
        <f t="shared" ref="O196:O278" si="68">J196*0.233333</f>
        <v>#REF!</v>
      </c>
      <c r="P196" s="25" t="e">
        <f t="shared" ref="P196:P278" si="69">J196*0.266667</f>
        <v>#REF!</v>
      </c>
      <c r="Q196" s="25" t="e">
        <f t="shared" ref="Q196:Q278" si="70">J196*0.0158729999</f>
        <v>#REF!</v>
      </c>
      <c r="R196" s="25" t="e">
        <f t="shared" ref="R196:R278" si="71">J196*0.031746</f>
        <v>#REF!</v>
      </c>
      <c r="S196" s="25" t="e">
        <f t="shared" ref="S196:S278" si="72">J196*0.063492</f>
        <v>#REF!</v>
      </c>
      <c r="T196" s="25" t="e">
        <f t="shared" ref="T196:T278" si="73">J196*0.126984</f>
        <v>#REF!</v>
      </c>
      <c r="U196" s="25" t="e">
        <f t="shared" ref="U196:U278" si="74">J196*0.253968</f>
        <v>#REF!</v>
      </c>
      <c r="V196" s="25" t="e">
        <f t="shared" ref="V196:V278" si="75">J196*0.507936</f>
        <v>#REF!</v>
      </c>
    </row>
    <row r="197" spans="1:22" ht="14.25" customHeight="1" x14ac:dyDescent="0.35">
      <c r="A197" s="2" t="s">
        <v>203</v>
      </c>
      <c r="B197" s="13" t="s">
        <v>48</v>
      </c>
      <c r="C197" s="13">
        <v>11030</v>
      </c>
      <c r="D197" s="14">
        <v>10966</v>
      </c>
      <c r="E197" s="15" t="e">
        <f>#REF!+#REF!+#REF!+#REF!+#REF!+#REF!+#REF!+GreenMobility!L197+#REF!+#REF!+#REF!+Partago!L197+#REF!+#REF!+#REF!</f>
        <v>#REF!</v>
      </c>
      <c r="F197" s="16" t="e">
        <f t="shared" si="0"/>
        <v>#REF!</v>
      </c>
      <c r="G197" s="19" t="e">
        <f>#REF!+#REF!+#REF!+#REF!+#REF!+#REF!+#REF!+#REF!+#REF!+Moovee!A197+#REF!+#REF!+#REF!</f>
        <v>#REF!</v>
      </c>
      <c r="H197" s="16" t="e">
        <f t="shared" si="1"/>
        <v>#REF!</v>
      </c>
      <c r="I197" s="30">
        <f t="shared" si="2"/>
        <v>21.931999999999999</v>
      </c>
      <c r="J197" s="31" t="e">
        <f t="shared" si="3"/>
        <v>#REF!</v>
      </c>
      <c r="K197" s="25" t="e">
        <f t="shared" si="64"/>
        <v>#REF!</v>
      </c>
      <c r="L197" s="25" t="e">
        <f t="shared" si="65"/>
        <v>#REF!</v>
      </c>
      <c r="M197" s="25" t="e">
        <f t="shared" si="66"/>
        <v>#REF!</v>
      </c>
      <c r="N197" s="25" t="e">
        <f t="shared" si="67"/>
        <v>#REF!</v>
      </c>
      <c r="O197" s="25" t="e">
        <f t="shared" si="68"/>
        <v>#REF!</v>
      </c>
      <c r="P197" s="25" t="e">
        <f t="shared" si="69"/>
        <v>#REF!</v>
      </c>
      <c r="Q197" s="25" t="e">
        <f t="shared" si="70"/>
        <v>#REF!</v>
      </c>
      <c r="R197" s="25" t="e">
        <f t="shared" si="71"/>
        <v>#REF!</v>
      </c>
      <c r="S197" s="25" t="e">
        <f t="shared" si="72"/>
        <v>#REF!</v>
      </c>
      <c r="T197" s="25" t="e">
        <f t="shared" si="73"/>
        <v>#REF!</v>
      </c>
      <c r="U197" s="25" t="e">
        <f t="shared" si="74"/>
        <v>#REF!</v>
      </c>
      <c r="V197" s="25" t="e">
        <f t="shared" si="75"/>
        <v>#REF!</v>
      </c>
    </row>
    <row r="198" spans="1:22" ht="14.25" customHeight="1" x14ac:dyDescent="0.35">
      <c r="A198" s="2" t="s">
        <v>299</v>
      </c>
      <c r="B198" s="13" t="s">
        <v>59</v>
      </c>
      <c r="C198" s="13">
        <v>71045</v>
      </c>
      <c r="D198" s="14">
        <v>7295</v>
      </c>
      <c r="E198" s="15" t="e">
        <f>#REF!+#REF!+#REF!+#REF!+#REF!+#REF!+#REF!+GreenMobility!L198+#REF!+#REF!+#REF!+Partago!L198+#REF!+#REF!+#REF!</f>
        <v>#REF!</v>
      </c>
      <c r="F198" s="16" t="e">
        <f t="shared" si="0"/>
        <v>#REF!</v>
      </c>
      <c r="G198" s="19" t="e">
        <f>#REF!+#REF!+#REF!+#REF!+#REF!+#REF!+#REF!+#REF!+#REF!+Moovee!A198+#REF!+#REF!+#REF!</f>
        <v>#REF!</v>
      </c>
      <c r="H198" s="16" t="e">
        <f t="shared" si="1"/>
        <v>#REF!</v>
      </c>
      <c r="I198" s="30">
        <f t="shared" si="2"/>
        <v>14.59</v>
      </c>
      <c r="J198" s="31" t="e">
        <f t="shared" si="3"/>
        <v>#REF!</v>
      </c>
      <c r="K198" s="25" t="e">
        <f t="shared" si="64"/>
        <v>#REF!</v>
      </c>
      <c r="L198" s="25" t="e">
        <f t="shared" si="65"/>
        <v>#REF!</v>
      </c>
      <c r="M198" s="25" t="e">
        <f t="shared" si="66"/>
        <v>#REF!</v>
      </c>
      <c r="N198" s="25" t="e">
        <f t="shared" si="67"/>
        <v>#REF!</v>
      </c>
      <c r="O198" s="25" t="e">
        <f t="shared" si="68"/>
        <v>#REF!</v>
      </c>
      <c r="P198" s="25" t="e">
        <f t="shared" si="69"/>
        <v>#REF!</v>
      </c>
      <c r="Q198" s="25" t="e">
        <f t="shared" si="70"/>
        <v>#REF!</v>
      </c>
      <c r="R198" s="25" t="e">
        <f t="shared" si="71"/>
        <v>#REF!</v>
      </c>
      <c r="S198" s="25" t="e">
        <f t="shared" si="72"/>
        <v>#REF!</v>
      </c>
      <c r="T198" s="25" t="e">
        <f t="shared" si="73"/>
        <v>#REF!</v>
      </c>
      <c r="U198" s="25" t="e">
        <f t="shared" si="74"/>
        <v>#REF!</v>
      </c>
      <c r="V198" s="25" t="e">
        <f t="shared" si="75"/>
        <v>#REF!</v>
      </c>
    </row>
    <row r="199" spans="1:22" ht="14.25" customHeight="1" x14ac:dyDescent="0.35">
      <c r="A199" s="2" t="s">
        <v>152</v>
      </c>
      <c r="B199" s="13" t="s">
        <v>55</v>
      </c>
      <c r="C199" s="13">
        <v>38016</v>
      </c>
      <c r="D199" s="14">
        <v>11455</v>
      </c>
      <c r="E199" s="15" t="e">
        <f>#REF!+#REF!+#REF!+#REF!+#REF!+#REF!+#REF!+GreenMobility!L199+#REF!+#REF!+#REF!+Partago!L199+#REF!+#REF!+#REF!</f>
        <v>#REF!</v>
      </c>
      <c r="F199" s="16" t="e">
        <f t="shared" si="0"/>
        <v>#REF!</v>
      </c>
      <c r="G199" s="19" t="e">
        <f>#REF!+#REF!+#REF!+#REF!+#REF!+#REF!+#REF!+#REF!+#REF!+Moovee!A199+#REF!+#REF!+#REF!</f>
        <v>#REF!</v>
      </c>
      <c r="H199" s="16" t="e">
        <f t="shared" si="1"/>
        <v>#REF!</v>
      </c>
      <c r="I199" s="30">
        <f t="shared" si="2"/>
        <v>22.91</v>
      </c>
      <c r="J199" s="31" t="e">
        <f t="shared" si="3"/>
        <v>#REF!</v>
      </c>
      <c r="K199" s="25" t="e">
        <f t="shared" si="64"/>
        <v>#REF!</v>
      </c>
      <c r="L199" s="25" t="e">
        <f t="shared" si="65"/>
        <v>#REF!</v>
      </c>
      <c r="M199" s="25" t="e">
        <f t="shared" si="66"/>
        <v>#REF!</v>
      </c>
      <c r="N199" s="25" t="e">
        <f t="shared" si="67"/>
        <v>#REF!</v>
      </c>
      <c r="O199" s="25" t="e">
        <f t="shared" si="68"/>
        <v>#REF!</v>
      </c>
      <c r="P199" s="25" t="e">
        <f t="shared" si="69"/>
        <v>#REF!</v>
      </c>
      <c r="Q199" s="25" t="e">
        <f t="shared" si="70"/>
        <v>#REF!</v>
      </c>
      <c r="R199" s="25" t="e">
        <f t="shared" si="71"/>
        <v>#REF!</v>
      </c>
      <c r="S199" s="25" t="e">
        <f t="shared" si="72"/>
        <v>#REF!</v>
      </c>
      <c r="T199" s="25" t="e">
        <f t="shared" si="73"/>
        <v>#REF!</v>
      </c>
      <c r="U199" s="25" t="e">
        <f t="shared" si="74"/>
        <v>#REF!</v>
      </c>
      <c r="V199" s="25" t="e">
        <f t="shared" si="75"/>
        <v>#REF!</v>
      </c>
    </row>
    <row r="200" spans="1:22" ht="14.25" customHeight="1" x14ac:dyDescent="0.35">
      <c r="A200" s="2" t="s">
        <v>124</v>
      </c>
      <c r="B200" s="13" t="s">
        <v>48</v>
      </c>
      <c r="C200" s="13">
        <v>12026</v>
      </c>
      <c r="D200" s="14">
        <v>23707</v>
      </c>
      <c r="E200" s="15" t="e">
        <f>#REF!+#REF!+#REF!+#REF!+#REF!+#REF!+#REF!+GreenMobility!L200+#REF!+#REF!+#REF!+Partago!L200+#REF!+#REF!+#REF!</f>
        <v>#REF!</v>
      </c>
      <c r="F200" s="16" t="e">
        <f t="shared" si="0"/>
        <v>#REF!</v>
      </c>
      <c r="G200" s="19" t="e">
        <f>#REF!+#REF!+#REF!+#REF!+#REF!+#REF!+#REF!+#REF!+#REF!+Moovee!A200+#REF!+#REF!+#REF!</f>
        <v>#REF!</v>
      </c>
      <c r="H200" s="16" t="e">
        <f t="shared" si="1"/>
        <v>#REF!</v>
      </c>
      <c r="I200" s="30">
        <f t="shared" si="2"/>
        <v>47.414000000000001</v>
      </c>
      <c r="J200" s="31" t="e">
        <f t="shared" si="3"/>
        <v>#REF!</v>
      </c>
      <c r="K200" s="25" t="e">
        <f t="shared" si="64"/>
        <v>#REF!</v>
      </c>
      <c r="L200" s="25" t="e">
        <f t="shared" si="65"/>
        <v>#REF!</v>
      </c>
      <c r="M200" s="25" t="e">
        <f t="shared" si="66"/>
        <v>#REF!</v>
      </c>
      <c r="N200" s="25" t="e">
        <f t="shared" si="67"/>
        <v>#REF!</v>
      </c>
      <c r="O200" s="25" t="e">
        <f t="shared" si="68"/>
        <v>#REF!</v>
      </c>
      <c r="P200" s="25" t="e">
        <f t="shared" si="69"/>
        <v>#REF!</v>
      </c>
      <c r="Q200" s="25" t="e">
        <f t="shared" si="70"/>
        <v>#REF!</v>
      </c>
      <c r="R200" s="25" t="e">
        <f t="shared" si="71"/>
        <v>#REF!</v>
      </c>
      <c r="S200" s="25" t="e">
        <f t="shared" si="72"/>
        <v>#REF!</v>
      </c>
      <c r="T200" s="25" t="e">
        <f t="shared" si="73"/>
        <v>#REF!</v>
      </c>
      <c r="U200" s="25" t="e">
        <f t="shared" si="74"/>
        <v>#REF!</v>
      </c>
      <c r="V200" s="25" t="e">
        <f t="shared" si="75"/>
        <v>#REF!</v>
      </c>
    </row>
    <row r="201" spans="1:22" ht="14.25" customHeight="1" x14ac:dyDescent="0.35">
      <c r="A201" s="2" t="s">
        <v>236</v>
      </c>
      <c r="B201" s="13" t="s">
        <v>50</v>
      </c>
      <c r="C201" s="13">
        <v>41048</v>
      </c>
      <c r="D201" s="14">
        <v>40363</v>
      </c>
      <c r="E201" s="15" t="e">
        <f>#REF!+#REF!+#REF!+#REF!+#REF!+#REF!+#REF!+GreenMobility!L201+#REF!+#REF!+#REF!+Partago!L201+#REF!+#REF!+#REF!</f>
        <v>#REF!</v>
      </c>
      <c r="F201" s="16" t="e">
        <f t="shared" si="0"/>
        <v>#REF!</v>
      </c>
      <c r="G201" s="19" t="e">
        <f>#REF!+#REF!+#REF!+#REF!+#REF!+#REF!+#REF!+#REF!+#REF!+Moovee!A201+#REF!+#REF!+#REF!</f>
        <v>#REF!</v>
      </c>
      <c r="H201" s="16" t="e">
        <f t="shared" si="1"/>
        <v>#REF!</v>
      </c>
      <c r="I201" s="30">
        <f t="shared" si="2"/>
        <v>80.725999999999999</v>
      </c>
      <c r="J201" s="31" t="e">
        <f t="shared" si="3"/>
        <v>#REF!</v>
      </c>
      <c r="K201" s="25" t="e">
        <f t="shared" si="64"/>
        <v>#REF!</v>
      </c>
      <c r="L201" s="25" t="e">
        <f t="shared" si="65"/>
        <v>#REF!</v>
      </c>
      <c r="M201" s="25" t="e">
        <f t="shared" si="66"/>
        <v>#REF!</v>
      </c>
      <c r="N201" s="25" t="e">
        <f t="shared" si="67"/>
        <v>#REF!</v>
      </c>
      <c r="O201" s="25" t="e">
        <f t="shared" si="68"/>
        <v>#REF!</v>
      </c>
      <c r="P201" s="25" t="e">
        <f t="shared" si="69"/>
        <v>#REF!</v>
      </c>
      <c r="Q201" s="25" t="e">
        <f t="shared" si="70"/>
        <v>#REF!</v>
      </c>
      <c r="R201" s="25" t="e">
        <f t="shared" si="71"/>
        <v>#REF!</v>
      </c>
      <c r="S201" s="25" t="e">
        <f t="shared" si="72"/>
        <v>#REF!</v>
      </c>
      <c r="T201" s="25" t="e">
        <f t="shared" si="73"/>
        <v>#REF!</v>
      </c>
      <c r="U201" s="25" t="e">
        <f t="shared" si="74"/>
        <v>#REF!</v>
      </c>
      <c r="V201" s="25" t="e">
        <f t="shared" si="75"/>
        <v>#REF!</v>
      </c>
    </row>
    <row r="202" spans="1:22" ht="14.25" customHeight="1" x14ac:dyDescent="0.35">
      <c r="A202" s="2" t="s">
        <v>330</v>
      </c>
      <c r="B202" s="13" t="s">
        <v>48</v>
      </c>
      <c r="C202" s="13">
        <v>13029</v>
      </c>
      <c r="D202" s="14">
        <v>12824</v>
      </c>
      <c r="E202" s="15" t="e">
        <f>#REF!+#REF!+#REF!+#REF!+#REF!+#REF!+#REF!+GreenMobility!L202+#REF!+#REF!+#REF!+Partago!L202+#REF!+#REF!+#REF!</f>
        <v>#REF!</v>
      </c>
      <c r="F202" s="16" t="e">
        <f t="shared" si="0"/>
        <v>#REF!</v>
      </c>
      <c r="G202" s="19" t="e">
        <f>#REF!+#REF!+#REF!+#REF!+#REF!+#REF!+#REF!+#REF!+#REF!+Moovee!A202+#REF!+#REF!+#REF!</f>
        <v>#REF!</v>
      </c>
      <c r="H202" s="16" t="e">
        <f t="shared" si="1"/>
        <v>#REF!</v>
      </c>
      <c r="I202" s="30">
        <f t="shared" si="2"/>
        <v>25.648</v>
      </c>
      <c r="J202" s="31" t="e">
        <f t="shared" si="3"/>
        <v>#REF!</v>
      </c>
      <c r="K202" s="25" t="e">
        <f t="shared" si="64"/>
        <v>#REF!</v>
      </c>
      <c r="L202" s="25" t="e">
        <f t="shared" si="65"/>
        <v>#REF!</v>
      </c>
      <c r="M202" s="25" t="e">
        <f t="shared" si="66"/>
        <v>#REF!</v>
      </c>
      <c r="N202" s="25" t="e">
        <f t="shared" si="67"/>
        <v>#REF!</v>
      </c>
      <c r="O202" s="25" t="e">
        <f t="shared" si="68"/>
        <v>#REF!</v>
      </c>
      <c r="P202" s="25" t="e">
        <f t="shared" si="69"/>
        <v>#REF!</v>
      </c>
      <c r="Q202" s="25" t="e">
        <f t="shared" si="70"/>
        <v>#REF!</v>
      </c>
      <c r="R202" s="25" t="e">
        <f t="shared" si="71"/>
        <v>#REF!</v>
      </c>
      <c r="S202" s="25" t="e">
        <f t="shared" si="72"/>
        <v>#REF!</v>
      </c>
      <c r="T202" s="25" t="e">
        <f t="shared" si="73"/>
        <v>#REF!</v>
      </c>
      <c r="U202" s="25" t="e">
        <f t="shared" si="74"/>
        <v>#REF!</v>
      </c>
      <c r="V202" s="25" t="e">
        <f t="shared" si="75"/>
        <v>#REF!</v>
      </c>
    </row>
    <row r="203" spans="1:22" ht="14.25" customHeight="1" x14ac:dyDescent="0.35">
      <c r="A203" s="2" t="s">
        <v>64</v>
      </c>
      <c r="B203" s="13" t="s">
        <v>55</v>
      </c>
      <c r="C203" s="13">
        <v>35013</v>
      </c>
      <c r="D203" s="14">
        <v>72586</v>
      </c>
      <c r="E203" s="15" t="e">
        <f>#REF!+#REF!+#REF!+#REF!+#REF!+#REF!+#REF!+GreenMobility!L203+#REF!+#REF!+#REF!+Partago!L203+#REF!+#REF!+#REF!</f>
        <v>#REF!</v>
      </c>
      <c r="F203" s="16" t="e">
        <f t="shared" si="0"/>
        <v>#REF!</v>
      </c>
      <c r="G203" s="19" t="e">
        <f>#REF!+#REF!+#REF!+#REF!+#REF!+#REF!+#REF!+#REF!+#REF!+Moovee!A203+#REF!+#REF!+#REF!</f>
        <v>#REF!</v>
      </c>
      <c r="H203" s="16" t="e">
        <f t="shared" si="1"/>
        <v>#REF!</v>
      </c>
      <c r="I203" s="30">
        <f t="shared" si="2"/>
        <v>145.172</v>
      </c>
      <c r="J203" s="31" t="e">
        <f t="shared" si="3"/>
        <v>#REF!</v>
      </c>
      <c r="K203" s="25" t="e">
        <f t="shared" si="64"/>
        <v>#REF!</v>
      </c>
      <c r="L203" s="25" t="e">
        <f t="shared" si="65"/>
        <v>#REF!</v>
      </c>
      <c r="M203" s="25" t="e">
        <f t="shared" si="66"/>
        <v>#REF!</v>
      </c>
      <c r="N203" s="25" t="e">
        <f t="shared" si="67"/>
        <v>#REF!</v>
      </c>
      <c r="O203" s="25" t="e">
        <f t="shared" si="68"/>
        <v>#REF!</v>
      </c>
      <c r="P203" s="25" t="e">
        <f t="shared" si="69"/>
        <v>#REF!</v>
      </c>
      <c r="Q203" s="25" t="e">
        <f t="shared" si="70"/>
        <v>#REF!</v>
      </c>
      <c r="R203" s="25" t="e">
        <f t="shared" si="71"/>
        <v>#REF!</v>
      </c>
      <c r="S203" s="25" t="e">
        <f t="shared" si="72"/>
        <v>#REF!</v>
      </c>
      <c r="T203" s="25" t="e">
        <f t="shared" si="73"/>
        <v>#REF!</v>
      </c>
      <c r="U203" s="25" t="e">
        <f t="shared" si="74"/>
        <v>#REF!</v>
      </c>
      <c r="V203" s="25" t="e">
        <f t="shared" si="75"/>
        <v>#REF!</v>
      </c>
    </row>
    <row r="204" spans="1:22" ht="14.25" customHeight="1" x14ac:dyDescent="0.35">
      <c r="A204" s="2" t="s">
        <v>121</v>
      </c>
      <c r="B204" s="13" t="s">
        <v>50</v>
      </c>
      <c r="C204" s="13">
        <v>44052</v>
      </c>
      <c r="D204" s="14">
        <v>14062</v>
      </c>
      <c r="E204" s="15" t="e">
        <f>#REF!+#REF!+#REF!+#REF!+#REF!+#REF!+#REF!+GreenMobility!L204+#REF!+#REF!+#REF!+Partago!L204+#REF!+#REF!+#REF!</f>
        <v>#REF!</v>
      </c>
      <c r="F204" s="16" t="e">
        <f t="shared" si="0"/>
        <v>#REF!</v>
      </c>
      <c r="G204" s="19" t="e">
        <f>#REF!+#REF!+#REF!+#REF!+#REF!+#REF!+#REF!+#REF!+#REF!+Moovee!A204+#REF!+#REF!+#REF!</f>
        <v>#REF!</v>
      </c>
      <c r="H204" s="16" t="e">
        <f t="shared" si="1"/>
        <v>#REF!</v>
      </c>
      <c r="I204" s="30">
        <f t="shared" si="2"/>
        <v>28.123999999999999</v>
      </c>
      <c r="J204" s="31" t="e">
        <f t="shared" si="3"/>
        <v>#REF!</v>
      </c>
      <c r="K204" s="25" t="e">
        <f t="shared" si="64"/>
        <v>#REF!</v>
      </c>
      <c r="L204" s="25" t="e">
        <f t="shared" si="65"/>
        <v>#REF!</v>
      </c>
      <c r="M204" s="25" t="e">
        <f t="shared" si="66"/>
        <v>#REF!</v>
      </c>
      <c r="N204" s="25" t="e">
        <f t="shared" si="67"/>
        <v>#REF!</v>
      </c>
      <c r="O204" s="25" t="e">
        <f t="shared" si="68"/>
        <v>#REF!</v>
      </c>
      <c r="P204" s="25" t="e">
        <f t="shared" si="69"/>
        <v>#REF!</v>
      </c>
      <c r="Q204" s="25" t="e">
        <f t="shared" si="70"/>
        <v>#REF!</v>
      </c>
      <c r="R204" s="25" t="e">
        <f t="shared" si="71"/>
        <v>#REF!</v>
      </c>
      <c r="S204" s="25" t="e">
        <f t="shared" si="72"/>
        <v>#REF!</v>
      </c>
      <c r="T204" s="25" t="e">
        <f t="shared" si="73"/>
        <v>#REF!</v>
      </c>
      <c r="U204" s="25" t="e">
        <f t="shared" si="74"/>
        <v>#REF!</v>
      </c>
      <c r="V204" s="25" t="e">
        <f t="shared" si="75"/>
        <v>#REF!</v>
      </c>
    </row>
    <row r="205" spans="1:22" ht="14.25" customHeight="1" x14ac:dyDescent="0.35">
      <c r="A205" s="2" t="s">
        <v>79</v>
      </c>
      <c r="B205" s="13" t="s">
        <v>55</v>
      </c>
      <c r="C205" s="13">
        <v>31022</v>
      </c>
      <c r="D205" s="14">
        <v>24275</v>
      </c>
      <c r="E205" s="15" t="e">
        <f>#REF!+#REF!+#REF!+#REF!+#REF!+#REF!+#REF!+GreenMobility!L205+#REF!+#REF!+#REF!+Partago!L205+#REF!+#REF!+#REF!</f>
        <v>#REF!</v>
      </c>
      <c r="F205" s="16" t="e">
        <f t="shared" si="0"/>
        <v>#REF!</v>
      </c>
      <c r="G205" s="19" t="e">
        <f>#REF!+#REF!+#REF!+#REF!+#REF!+#REF!+#REF!+#REF!+#REF!+Moovee!A205+#REF!+#REF!+#REF!</f>
        <v>#REF!</v>
      </c>
      <c r="H205" s="16" t="e">
        <f t="shared" si="1"/>
        <v>#REF!</v>
      </c>
      <c r="I205" s="30">
        <f t="shared" si="2"/>
        <v>48.55</v>
      </c>
      <c r="J205" s="31" t="e">
        <f t="shared" si="3"/>
        <v>#REF!</v>
      </c>
      <c r="K205" s="25" t="e">
        <f t="shared" si="64"/>
        <v>#REF!</v>
      </c>
      <c r="L205" s="25" t="e">
        <f t="shared" si="65"/>
        <v>#REF!</v>
      </c>
      <c r="M205" s="25" t="e">
        <f t="shared" si="66"/>
        <v>#REF!</v>
      </c>
      <c r="N205" s="25" t="e">
        <f t="shared" si="67"/>
        <v>#REF!</v>
      </c>
      <c r="O205" s="25" t="e">
        <f t="shared" si="68"/>
        <v>#REF!</v>
      </c>
      <c r="P205" s="25" t="e">
        <f t="shared" si="69"/>
        <v>#REF!</v>
      </c>
      <c r="Q205" s="25" t="e">
        <f t="shared" si="70"/>
        <v>#REF!</v>
      </c>
      <c r="R205" s="25" t="e">
        <f t="shared" si="71"/>
        <v>#REF!</v>
      </c>
      <c r="S205" s="25" t="e">
        <f t="shared" si="72"/>
        <v>#REF!</v>
      </c>
      <c r="T205" s="25" t="e">
        <f t="shared" si="73"/>
        <v>#REF!</v>
      </c>
      <c r="U205" s="25" t="e">
        <f t="shared" si="74"/>
        <v>#REF!</v>
      </c>
      <c r="V205" s="25" t="e">
        <f t="shared" si="75"/>
        <v>#REF!</v>
      </c>
    </row>
    <row r="206" spans="1:22" ht="14.25" customHeight="1" x14ac:dyDescent="0.35">
      <c r="A206" s="2" t="s">
        <v>194</v>
      </c>
      <c r="B206" s="13" t="s">
        <v>55</v>
      </c>
      <c r="C206" s="13">
        <v>37010</v>
      </c>
      <c r="D206" s="14">
        <v>8064</v>
      </c>
      <c r="E206" s="15" t="e">
        <f>#REF!+#REF!+#REF!+#REF!+#REF!+#REF!+#REF!+GreenMobility!L206+#REF!+#REF!+#REF!+Partago!L206+#REF!+#REF!+#REF!</f>
        <v>#REF!</v>
      </c>
      <c r="F206" s="16" t="e">
        <f t="shared" si="0"/>
        <v>#REF!</v>
      </c>
      <c r="G206" s="19" t="e">
        <f>#REF!+#REF!+#REF!+#REF!+#REF!+#REF!+#REF!+#REF!+#REF!+Moovee!A206+#REF!+#REF!+#REF!</f>
        <v>#REF!</v>
      </c>
      <c r="H206" s="16" t="e">
        <f t="shared" si="1"/>
        <v>#REF!</v>
      </c>
      <c r="I206" s="30">
        <f t="shared" si="2"/>
        <v>16.128</v>
      </c>
      <c r="J206" s="31" t="e">
        <f t="shared" si="3"/>
        <v>#REF!</v>
      </c>
      <c r="K206" s="25" t="e">
        <f t="shared" si="64"/>
        <v>#REF!</v>
      </c>
      <c r="L206" s="25" t="e">
        <f t="shared" si="65"/>
        <v>#REF!</v>
      </c>
      <c r="M206" s="25" t="e">
        <f t="shared" si="66"/>
        <v>#REF!</v>
      </c>
      <c r="N206" s="25" t="e">
        <f t="shared" si="67"/>
        <v>#REF!</v>
      </c>
      <c r="O206" s="25" t="e">
        <f t="shared" si="68"/>
        <v>#REF!</v>
      </c>
      <c r="P206" s="25" t="e">
        <f t="shared" si="69"/>
        <v>#REF!</v>
      </c>
      <c r="Q206" s="25" t="e">
        <f t="shared" si="70"/>
        <v>#REF!</v>
      </c>
      <c r="R206" s="25" t="e">
        <f t="shared" si="71"/>
        <v>#REF!</v>
      </c>
      <c r="S206" s="25" t="e">
        <f t="shared" si="72"/>
        <v>#REF!</v>
      </c>
      <c r="T206" s="25" t="e">
        <f t="shared" si="73"/>
        <v>#REF!</v>
      </c>
      <c r="U206" s="25" t="e">
        <f t="shared" si="74"/>
        <v>#REF!</v>
      </c>
      <c r="V206" s="25" t="e">
        <f t="shared" si="75"/>
        <v>#REF!</v>
      </c>
    </row>
    <row r="207" spans="1:22" ht="14.25" customHeight="1" x14ac:dyDescent="0.35">
      <c r="A207" s="2" t="s">
        <v>214</v>
      </c>
      <c r="B207" s="13" t="s">
        <v>52</v>
      </c>
      <c r="C207" s="13">
        <v>23060</v>
      </c>
      <c r="D207" s="14">
        <v>14866</v>
      </c>
      <c r="E207" s="15" t="e">
        <f>#REF!+#REF!+#REF!+#REF!+#REF!+#REF!+#REF!+GreenMobility!L207+#REF!+#REF!+#REF!+Partago!L207+#REF!+#REF!+#REF!</f>
        <v>#REF!</v>
      </c>
      <c r="F207" s="16" t="e">
        <f t="shared" si="0"/>
        <v>#REF!</v>
      </c>
      <c r="G207" s="19" t="e">
        <f>#REF!+#REF!+#REF!+#REF!+#REF!+#REF!+#REF!+#REF!+#REF!+Moovee!A207+#REF!+#REF!+#REF!</f>
        <v>#REF!</v>
      </c>
      <c r="H207" s="16" t="e">
        <f t="shared" si="1"/>
        <v>#REF!</v>
      </c>
      <c r="I207" s="30">
        <f t="shared" si="2"/>
        <v>29.731999999999999</v>
      </c>
      <c r="J207" s="31" t="e">
        <f t="shared" si="3"/>
        <v>#REF!</v>
      </c>
      <c r="K207" s="25" t="e">
        <f t="shared" si="64"/>
        <v>#REF!</v>
      </c>
      <c r="L207" s="25" t="e">
        <f t="shared" si="65"/>
        <v>#REF!</v>
      </c>
      <c r="M207" s="25" t="e">
        <f t="shared" si="66"/>
        <v>#REF!</v>
      </c>
      <c r="N207" s="25" t="e">
        <f t="shared" si="67"/>
        <v>#REF!</v>
      </c>
      <c r="O207" s="25" t="e">
        <f t="shared" si="68"/>
        <v>#REF!</v>
      </c>
      <c r="P207" s="25" t="e">
        <f t="shared" si="69"/>
        <v>#REF!</v>
      </c>
      <c r="Q207" s="25" t="e">
        <f t="shared" si="70"/>
        <v>#REF!</v>
      </c>
      <c r="R207" s="25" t="e">
        <f t="shared" si="71"/>
        <v>#REF!</v>
      </c>
      <c r="S207" s="25" t="e">
        <f t="shared" si="72"/>
        <v>#REF!</v>
      </c>
      <c r="T207" s="25" t="e">
        <f t="shared" si="73"/>
        <v>#REF!</v>
      </c>
      <c r="U207" s="25" t="e">
        <f t="shared" si="74"/>
        <v>#REF!</v>
      </c>
      <c r="V207" s="25" t="e">
        <f t="shared" si="75"/>
        <v>#REF!</v>
      </c>
    </row>
    <row r="208" spans="1:22" ht="14.25" customHeight="1" x14ac:dyDescent="0.35">
      <c r="A208" s="2" t="s">
        <v>77</v>
      </c>
      <c r="B208" s="13" t="s">
        <v>50</v>
      </c>
      <c r="C208" s="13">
        <v>45035</v>
      </c>
      <c r="D208" s="14">
        <v>32702</v>
      </c>
      <c r="E208" s="15" t="e">
        <f>#REF!+#REF!+#REF!+#REF!+#REF!+#REF!+#REF!+GreenMobility!L208+#REF!+#REF!+#REF!+Partago!L208+#REF!+#REF!+#REF!</f>
        <v>#REF!</v>
      </c>
      <c r="F208" s="16" t="e">
        <f t="shared" si="0"/>
        <v>#REF!</v>
      </c>
      <c r="G208" s="19" t="e">
        <f>#REF!+#REF!+#REF!+#REF!+#REF!+#REF!+#REF!+#REF!+#REF!+Moovee!A208+#REF!+#REF!+#REF!</f>
        <v>#REF!</v>
      </c>
      <c r="H208" s="16" t="e">
        <f t="shared" si="1"/>
        <v>#REF!</v>
      </c>
      <c r="I208" s="30">
        <f t="shared" si="2"/>
        <v>65.403999999999996</v>
      </c>
      <c r="J208" s="31" t="e">
        <f t="shared" si="3"/>
        <v>#REF!</v>
      </c>
      <c r="K208" s="25" t="e">
        <f t="shared" si="64"/>
        <v>#REF!</v>
      </c>
      <c r="L208" s="25" t="e">
        <f t="shared" si="65"/>
        <v>#REF!</v>
      </c>
      <c r="M208" s="25" t="e">
        <f t="shared" si="66"/>
        <v>#REF!</v>
      </c>
      <c r="N208" s="25" t="e">
        <f t="shared" si="67"/>
        <v>#REF!</v>
      </c>
      <c r="O208" s="25" t="e">
        <f t="shared" si="68"/>
        <v>#REF!</v>
      </c>
      <c r="P208" s="25" t="e">
        <f t="shared" si="69"/>
        <v>#REF!</v>
      </c>
      <c r="Q208" s="25" t="e">
        <f t="shared" si="70"/>
        <v>#REF!</v>
      </c>
      <c r="R208" s="25" t="e">
        <f t="shared" si="71"/>
        <v>#REF!</v>
      </c>
      <c r="S208" s="25" t="e">
        <f t="shared" si="72"/>
        <v>#REF!</v>
      </c>
      <c r="T208" s="25" t="e">
        <f t="shared" si="73"/>
        <v>#REF!</v>
      </c>
      <c r="U208" s="25" t="e">
        <f t="shared" si="74"/>
        <v>#REF!</v>
      </c>
      <c r="V208" s="25" t="e">
        <f t="shared" si="75"/>
        <v>#REF!</v>
      </c>
    </row>
    <row r="209" spans="1:22" ht="14.25" customHeight="1" x14ac:dyDescent="0.35">
      <c r="A209" s="2" t="s">
        <v>200</v>
      </c>
      <c r="B209" s="13" t="s">
        <v>55</v>
      </c>
      <c r="C209" s="13">
        <v>35014</v>
      </c>
      <c r="D209" s="14">
        <v>9933</v>
      </c>
      <c r="E209" s="15" t="e">
        <f>#REF!+#REF!+#REF!+#REF!+#REF!+#REF!+#REF!+GreenMobility!L209+#REF!+#REF!+#REF!+Partago!L209+#REF!+#REF!+#REF!</f>
        <v>#REF!</v>
      </c>
      <c r="F209" s="16" t="e">
        <f t="shared" si="0"/>
        <v>#REF!</v>
      </c>
      <c r="G209" s="19" t="e">
        <f>#REF!+#REF!+#REF!+#REF!+#REF!+#REF!+#REF!+#REF!+#REF!+Moovee!A209+#REF!+#REF!+#REF!</f>
        <v>#REF!</v>
      </c>
      <c r="H209" s="16" t="e">
        <f t="shared" si="1"/>
        <v>#REF!</v>
      </c>
      <c r="I209" s="30">
        <f t="shared" si="2"/>
        <v>19.866</v>
      </c>
      <c r="J209" s="31" t="e">
        <f t="shared" si="3"/>
        <v>#REF!</v>
      </c>
      <c r="K209" s="25" t="e">
        <f t="shared" si="64"/>
        <v>#REF!</v>
      </c>
      <c r="L209" s="25" t="e">
        <f t="shared" si="65"/>
        <v>#REF!</v>
      </c>
      <c r="M209" s="25" t="e">
        <f t="shared" si="66"/>
        <v>#REF!</v>
      </c>
      <c r="N209" s="25" t="e">
        <f t="shared" si="67"/>
        <v>#REF!</v>
      </c>
      <c r="O209" s="25" t="e">
        <f t="shared" si="68"/>
        <v>#REF!</v>
      </c>
      <c r="P209" s="25" t="e">
        <f t="shared" si="69"/>
        <v>#REF!</v>
      </c>
      <c r="Q209" s="25" t="e">
        <f t="shared" si="70"/>
        <v>#REF!</v>
      </c>
      <c r="R209" s="25" t="e">
        <f t="shared" si="71"/>
        <v>#REF!</v>
      </c>
      <c r="S209" s="25" t="e">
        <f t="shared" si="72"/>
        <v>#REF!</v>
      </c>
      <c r="T209" s="25" t="e">
        <f t="shared" si="73"/>
        <v>#REF!</v>
      </c>
      <c r="U209" s="25" t="e">
        <f t="shared" si="74"/>
        <v>#REF!</v>
      </c>
      <c r="V209" s="25" t="e">
        <f t="shared" si="75"/>
        <v>#REF!</v>
      </c>
    </row>
    <row r="210" spans="1:22" ht="14.25" customHeight="1" x14ac:dyDescent="0.35">
      <c r="A210" s="2" t="s">
        <v>110</v>
      </c>
      <c r="B210" s="13" t="s">
        <v>52</v>
      </c>
      <c r="C210" s="13">
        <v>24086</v>
      </c>
      <c r="D210" s="14">
        <v>11474</v>
      </c>
      <c r="E210" s="15" t="e">
        <f>#REF!+#REF!+#REF!+#REF!+#REF!+#REF!+#REF!+GreenMobility!L210+#REF!+#REF!+#REF!+Partago!L210+#REF!+#REF!+#REF!</f>
        <v>#REF!</v>
      </c>
      <c r="F210" s="16" t="e">
        <f t="shared" si="0"/>
        <v>#REF!</v>
      </c>
      <c r="G210" s="19" t="e">
        <f>#REF!+#REF!+#REF!+#REF!+#REF!+#REF!+#REF!+#REF!+#REF!+Moovee!A210+#REF!+#REF!+#REF!</f>
        <v>#REF!</v>
      </c>
      <c r="H210" s="16" t="e">
        <f t="shared" si="1"/>
        <v>#REF!</v>
      </c>
      <c r="I210" s="30">
        <f t="shared" si="2"/>
        <v>22.948</v>
      </c>
      <c r="J210" s="31" t="e">
        <f t="shared" si="3"/>
        <v>#REF!</v>
      </c>
      <c r="K210" s="25" t="e">
        <f t="shared" si="64"/>
        <v>#REF!</v>
      </c>
      <c r="L210" s="25" t="e">
        <f t="shared" si="65"/>
        <v>#REF!</v>
      </c>
      <c r="M210" s="25" t="e">
        <f t="shared" si="66"/>
        <v>#REF!</v>
      </c>
      <c r="N210" s="25" t="e">
        <f t="shared" si="67"/>
        <v>#REF!</v>
      </c>
      <c r="O210" s="25" t="e">
        <f t="shared" si="68"/>
        <v>#REF!</v>
      </c>
      <c r="P210" s="25" t="e">
        <f t="shared" si="69"/>
        <v>#REF!</v>
      </c>
      <c r="Q210" s="25" t="e">
        <f t="shared" si="70"/>
        <v>#REF!</v>
      </c>
      <c r="R210" s="25" t="e">
        <f t="shared" si="71"/>
        <v>#REF!</v>
      </c>
      <c r="S210" s="25" t="e">
        <f t="shared" si="72"/>
        <v>#REF!</v>
      </c>
      <c r="T210" s="25" t="e">
        <f t="shared" si="73"/>
        <v>#REF!</v>
      </c>
      <c r="U210" s="25" t="e">
        <f t="shared" si="74"/>
        <v>#REF!</v>
      </c>
      <c r="V210" s="25" t="e">
        <f t="shared" si="75"/>
        <v>#REF!</v>
      </c>
    </row>
    <row r="211" spans="1:22" ht="14.25" customHeight="1" x14ac:dyDescent="0.35">
      <c r="A211" s="2" t="s">
        <v>234</v>
      </c>
      <c r="B211" s="13" t="s">
        <v>59</v>
      </c>
      <c r="C211" s="13">
        <v>72042</v>
      </c>
      <c r="D211" s="14">
        <v>23875</v>
      </c>
      <c r="E211" s="15" t="e">
        <f>#REF!+#REF!+#REF!+#REF!+#REF!+#REF!+#REF!+GreenMobility!L211+#REF!+#REF!+#REF!+Partago!L211+#REF!+#REF!+#REF!</f>
        <v>#REF!</v>
      </c>
      <c r="F211" s="16" t="e">
        <f t="shared" si="0"/>
        <v>#REF!</v>
      </c>
      <c r="G211" s="19" t="e">
        <f>#REF!+#REF!+#REF!+#REF!+#REF!+#REF!+#REF!+#REF!+#REF!+Moovee!A211+#REF!+#REF!+#REF!</f>
        <v>#REF!</v>
      </c>
      <c r="H211" s="16" t="e">
        <f t="shared" si="1"/>
        <v>#REF!</v>
      </c>
      <c r="I211" s="30">
        <f t="shared" si="2"/>
        <v>47.75</v>
      </c>
      <c r="J211" s="31" t="e">
        <f t="shared" si="3"/>
        <v>#REF!</v>
      </c>
      <c r="K211" s="25" t="e">
        <f t="shared" si="64"/>
        <v>#REF!</v>
      </c>
      <c r="L211" s="25" t="e">
        <f t="shared" si="65"/>
        <v>#REF!</v>
      </c>
      <c r="M211" s="25" t="e">
        <f t="shared" si="66"/>
        <v>#REF!</v>
      </c>
      <c r="N211" s="25" t="e">
        <f t="shared" si="67"/>
        <v>#REF!</v>
      </c>
      <c r="O211" s="25" t="e">
        <f t="shared" si="68"/>
        <v>#REF!</v>
      </c>
      <c r="P211" s="25" t="e">
        <f t="shared" si="69"/>
        <v>#REF!</v>
      </c>
      <c r="Q211" s="25" t="e">
        <f t="shared" si="70"/>
        <v>#REF!</v>
      </c>
      <c r="R211" s="25" t="e">
        <f t="shared" si="71"/>
        <v>#REF!</v>
      </c>
      <c r="S211" s="25" t="e">
        <f t="shared" si="72"/>
        <v>#REF!</v>
      </c>
      <c r="T211" s="25" t="e">
        <f t="shared" si="73"/>
        <v>#REF!</v>
      </c>
      <c r="U211" s="25" t="e">
        <f t="shared" si="74"/>
        <v>#REF!</v>
      </c>
      <c r="V211" s="25" t="e">
        <f t="shared" si="75"/>
        <v>#REF!</v>
      </c>
    </row>
    <row r="212" spans="1:22" ht="14.25" customHeight="1" x14ac:dyDescent="0.35">
      <c r="A212" s="2" t="s">
        <v>159</v>
      </c>
      <c r="B212" s="13" t="s">
        <v>48</v>
      </c>
      <c r="C212" s="13">
        <v>13031</v>
      </c>
      <c r="D212" s="14">
        <v>14828</v>
      </c>
      <c r="E212" s="15" t="e">
        <f>#REF!+#REF!+#REF!+#REF!+#REF!+#REF!+#REF!+GreenMobility!L212+#REF!+#REF!+#REF!+Partago!L212+#REF!+#REF!+#REF!</f>
        <v>#REF!</v>
      </c>
      <c r="F212" s="16" t="e">
        <f t="shared" si="0"/>
        <v>#REF!</v>
      </c>
      <c r="G212" s="19" t="e">
        <f>#REF!+#REF!+#REF!+#REF!+#REF!+#REF!+#REF!+#REF!+#REF!+Moovee!A212+#REF!+#REF!+#REF!</f>
        <v>#REF!</v>
      </c>
      <c r="H212" s="16" t="e">
        <f t="shared" si="1"/>
        <v>#REF!</v>
      </c>
      <c r="I212" s="30">
        <f t="shared" si="2"/>
        <v>29.655999999999999</v>
      </c>
      <c r="J212" s="31" t="e">
        <f t="shared" si="3"/>
        <v>#REF!</v>
      </c>
      <c r="K212" s="25" t="e">
        <f t="shared" si="64"/>
        <v>#REF!</v>
      </c>
      <c r="L212" s="25" t="e">
        <f t="shared" si="65"/>
        <v>#REF!</v>
      </c>
      <c r="M212" s="25" t="e">
        <f t="shared" si="66"/>
        <v>#REF!</v>
      </c>
      <c r="N212" s="25" t="e">
        <f t="shared" si="67"/>
        <v>#REF!</v>
      </c>
      <c r="O212" s="25" t="e">
        <f t="shared" si="68"/>
        <v>#REF!</v>
      </c>
      <c r="P212" s="25" t="e">
        <f t="shared" si="69"/>
        <v>#REF!</v>
      </c>
      <c r="Q212" s="25" t="e">
        <f t="shared" si="70"/>
        <v>#REF!</v>
      </c>
      <c r="R212" s="25" t="e">
        <f t="shared" si="71"/>
        <v>#REF!</v>
      </c>
      <c r="S212" s="25" t="e">
        <f t="shared" si="72"/>
        <v>#REF!</v>
      </c>
      <c r="T212" s="25" t="e">
        <f t="shared" si="73"/>
        <v>#REF!</v>
      </c>
      <c r="U212" s="25" t="e">
        <f t="shared" si="74"/>
        <v>#REF!</v>
      </c>
      <c r="V212" s="25" t="e">
        <f t="shared" si="75"/>
        <v>#REF!</v>
      </c>
    </row>
    <row r="213" spans="1:22" ht="14.25" customHeight="1" x14ac:dyDescent="0.35">
      <c r="A213" s="2" t="s">
        <v>230</v>
      </c>
      <c r="B213" s="13" t="s">
        <v>52</v>
      </c>
      <c r="C213" s="13">
        <v>23062</v>
      </c>
      <c r="D213" s="14">
        <v>25970</v>
      </c>
      <c r="E213" s="15" t="e">
        <f>#REF!+#REF!+#REF!+#REF!+#REF!+#REF!+#REF!+GreenMobility!L213+#REF!+#REF!+#REF!+Partago!L213+#REF!+#REF!+#REF!</f>
        <v>#REF!</v>
      </c>
      <c r="F213" s="16" t="e">
        <f t="shared" si="0"/>
        <v>#REF!</v>
      </c>
      <c r="G213" s="19" t="e">
        <f>#REF!+#REF!+#REF!+#REF!+#REF!+#REF!+#REF!+#REF!+#REF!+Moovee!A213+#REF!+#REF!+#REF!</f>
        <v>#REF!</v>
      </c>
      <c r="H213" s="16" t="e">
        <f t="shared" si="1"/>
        <v>#REF!</v>
      </c>
      <c r="I213" s="30">
        <f t="shared" si="2"/>
        <v>51.94</v>
      </c>
      <c r="J213" s="31" t="e">
        <f t="shared" si="3"/>
        <v>#REF!</v>
      </c>
      <c r="K213" s="25" t="e">
        <f t="shared" si="64"/>
        <v>#REF!</v>
      </c>
      <c r="L213" s="25" t="e">
        <f t="shared" si="65"/>
        <v>#REF!</v>
      </c>
      <c r="M213" s="25" t="e">
        <f t="shared" si="66"/>
        <v>#REF!</v>
      </c>
      <c r="N213" s="25" t="e">
        <f t="shared" si="67"/>
        <v>#REF!</v>
      </c>
      <c r="O213" s="25" t="e">
        <f t="shared" si="68"/>
        <v>#REF!</v>
      </c>
      <c r="P213" s="25" t="e">
        <f t="shared" si="69"/>
        <v>#REF!</v>
      </c>
      <c r="Q213" s="25" t="e">
        <f t="shared" si="70"/>
        <v>#REF!</v>
      </c>
      <c r="R213" s="25" t="e">
        <f t="shared" si="71"/>
        <v>#REF!</v>
      </c>
      <c r="S213" s="25" t="e">
        <f t="shared" si="72"/>
        <v>#REF!</v>
      </c>
      <c r="T213" s="25" t="e">
        <f t="shared" si="73"/>
        <v>#REF!</v>
      </c>
      <c r="U213" s="25" t="e">
        <f t="shared" si="74"/>
        <v>#REF!</v>
      </c>
      <c r="V213" s="25" t="e">
        <f t="shared" si="75"/>
        <v>#REF!</v>
      </c>
    </row>
    <row r="214" spans="1:22" ht="14.25" customHeight="1" x14ac:dyDescent="0.35">
      <c r="A214" s="2" t="s">
        <v>232</v>
      </c>
      <c r="B214" s="13" t="s">
        <v>59</v>
      </c>
      <c r="C214" s="13">
        <v>72030</v>
      </c>
      <c r="D214" s="14">
        <v>16585</v>
      </c>
      <c r="E214" s="15" t="e">
        <f>#REF!+#REF!+#REF!+#REF!+#REF!+#REF!+#REF!+GreenMobility!L214+#REF!+#REF!+#REF!+Partago!L214+#REF!+#REF!+#REF!</f>
        <v>#REF!</v>
      </c>
      <c r="F214" s="16" t="e">
        <f t="shared" si="0"/>
        <v>#REF!</v>
      </c>
      <c r="G214" s="19" t="e">
        <f>#REF!+#REF!+#REF!+#REF!+#REF!+#REF!+#REF!+#REF!+#REF!+Moovee!A214+#REF!+#REF!+#REF!</f>
        <v>#REF!</v>
      </c>
      <c r="H214" s="16" t="e">
        <f t="shared" si="1"/>
        <v>#REF!</v>
      </c>
      <c r="I214" s="30">
        <f t="shared" si="2"/>
        <v>33.17</v>
      </c>
      <c r="J214" s="31" t="e">
        <f t="shared" si="3"/>
        <v>#REF!</v>
      </c>
      <c r="K214" s="25" t="e">
        <f t="shared" si="64"/>
        <v>#REF!</v>
      </c>
      <c r="L214" s="25" t="e">
        <f t="shared" si="65"/>
        <v>#REF!</v>
      </c>
      <c r="M214" s="25" t="e">
        <f t="shared" si="66"/>
        <v>#REF!</v>
      </c>
      <c r="N214" s="25" t="e">
        <f t="shared" si="67"/>
        <v>#REF!</v>
      </c>
      <c r="O214" s="25" t="e">
        <f t="shared" si="68"/>
        <v>#REF!</v>
      </c>
      <c r="P214" s="25" t="e">
        <f t="shared" si="69"/>
        <v>#REF!</v>
      </c>
      <c r="Q214" s="25" t="e">
        <f t="shared" si="70"/>
        <v>#REF!</v>
      </c>
      <c r="R214" s="25" t="e">
        <f t="shared" si="71"/>
        <v>#REF!</v>
      </c>
      <c r="S214" s="25" t="e">
        <f t="shared" si="72"/>
        <v>#REF!</v>
      </c>
      <c r="T214" s="25" t="e">
        <f t="shared" si="73"/>
        <v>#REF!</v>
      </c>
      <c r="U214" s="25" t="e">
        <f t="shared" si="74"/>
        <v>#REF!</v>
      </c>
      <c r="V214" s="25" t="e">
        <f t="shared" si="75"/>
        <v>#REF!</v>
      </c>
    </row>
    <row r="215" spans="1:22" ht="14.25" customHeight="1" x14ac:dyDescent="0.35">
      <c r="A215" s="2" t="s">
        <v>310</v>
      </c>
      <c r="B215" s="13" t="s">
        <v>59</v>
      </c>
      <c r="C215" s="13">
        <v>72043</v>
      </c>
      <c r="D215" s="14">
        <v>34433</v>
      </c>
      <c r="E215" s="15" t="e">
        <f>#REF!+#REF!+#REF!+#REF!+#REF!+#REF!+#REF!+GreenMobility!L215+#REF!+#REF!+#REF!+Partago!L215+#REF!+#REF!+#REF!</f>
        <v>#REF!</v>
      </c>
      <c r="F215" s="16" t="e">
        <f t="shared" si="0"/>
        <v>#REF!</v>
      </c>
      <c r="G215" s="19" t="e">
        <f>#REF!+#REF!+#REF!+#REF!+#REF!+#REF!+#REF!+#REF!+#REF!+Moovee!A215+#REF!+#REF!+#REF!</f>
        <v>#REF!</v>
      </c>
      <c r="H215" s="16" t="e">
        <f t="shared" si="1"/>
        <v>#REF!</v>
      </c>
      <c r="I215" s="30">
        <f t="shared" si="2"/>
        <v>68.866</v>
      </c>
      <c r="J215" s="31" t="e">
        <f t="shared" si="3"/>
        <v>#REF!</v>
      </c>
      <c r="K215" s="25" t="e">
        <f t="shared" si="64"/>
        <v>#REF!</v>
      </c>
      <c r="L215" s="25" t="e">
        <f t="shared" si="65"/>
        <v>#REF!</v>
      </c>
      <c r="M215" s="25" t="e">
        <f t="shared" si="66"/>
        <v>#REF!</v>
      </c>
      <c r="N215" s="25" t="e">
        <f t="shared" si="67"/>
        <v>#REF!</v>
      </c>
      <c r="O215" s="25" t="e">
        <f t="shared" si="68"/>
        <v>#REF!</v>
      </c>
      <c r="P215" s="25" t="e">
        <f t="shared" si="69"/>
        <v>#REF!</v>
      </c>
      <c r="Q215" s="25" t="e">
        <f t="shared" si="70"/>
        <v>#REF!</v>
      </c>
      <c r="R215" s="25" t="e">
        <f t="shared" si="71"/>
        <v>#REF!</v>
      </c>
      <c r="S215" s="25" t="e">
        <f t="shared" si="72"/>
        <v>#REF!</v>
      </c>
      <c r="T215" s="25" t="e">
        <f t="shared" si="73"/>
        <v>#REF!</v>
      </c>
      <c r="U215" s="25" t="e">
        <f t="shared" si="74"/>
        <v>#REF!</v>
      </c>
      <c r="V215" s="25" t="e">
        <f t="shared" si="75"/>
        <v>#REF!</v>
      </c>
    </row>
    <row r="216" spans="1:22" ht="14.25" customHeight="1" x14ac:dyDescent="0.35">
      <c r="A216" s="2" t="s">
        <v>241</v>
      </c>
      <c r="B216" s="13" t="s">
        <v>52</v>
      </c>
      <c r="C216" s="13">
        <v>23064</v>
      </c>
      <c r="D216" s="14">
        <v>4592</v>
      </c>
      <c r="E216" s="15" t="e">
        <f>#REF!+#REF!+#REF!+#REF!+#REF!+#REF!+#REF!+GreenMobility!L216+#REF!+#REF!+#REF!+Partago!L216+#REF!+#REF!+#REF!</f>
        <v>#REF!</v>
      </c>
      <c r="F216" s="16" t="e">
        <f t="shared" si="0"/>
        <v>#REF!</v>
      </c>
      <c r="G216" s="19" t="e">
        <f>#REF!+#REF!+#REF!+#REF!+#REF!+#REF!+#REF!+#REF!+#REF!+Moovee!A216+#REF!+#REF!+#REF!</f>
        <v>#REF!</v>
      </c>
      <c r="H216" s="16" t="e">
        <f t="shared" si="1"/>
        <v>#REF!</v>
      </c>
      <c r="I216" s="30">
        <f t="shared" si="2"/>
        <v>9.1839999999999993</v>
      </c>
      <c r="J216" s="31" t="e">
        <f t="shared" si="3"/>
        <v>#REF!</v>
      </c>
      <c r="K216" s="25" t="e">
        <f t="shared" si="64"/>
        <v>#REF!</v>
      </c>
      <c r="L216" s="25" t="e">
        <f t="shared" si="65"/>
        <v>#REF!</v>
      </c>
      <c r="M216" s="25" t="e">
        <f t="shared" si="66"/>
        <v>#REF!</v>
      </c>
      <c r="N216" s="25" t="e">
        <f t="shared" si="67"/>
        <v>#REF!</v>
      </c>
      <c r="O216" s="25" t="e">
        <f t="shared" si="68"/>
        <v>#REF!</v>
      </c>
      <c r="P216" s="25" t="e">
        <f t="shared" si="69"/>
        <v>#REF!</v>
      </c>
      <c r="Q216" s="25" t="e">
        <f t="shared" si="70"/>
        <v>#REF!</v>
      </c>
      <c r="R216" s="25" t="e">
        <f t="shared" si="71"/>
        <v>#REF!</v>
      </c>
      <c r="S216" s="25" t="e">
        <f t="shared" si="72"/>
        <v>#REF!</v>
      </c>
      <c r="T216" s="25" t="e">
        <f t="shared" si="73"/>
        <v>#REF!</v>
      </c>
      <c r="U216" s="25" t="e">
        <f t="shared" si="74"/>
        <v>#REF!</v>
      </c>
      <c r="V216" s="25" t="e">
        <f t="shared" si="75"/>
        <v>#REF!</v>
      </c>
    </row>
    <row r="217" spans="1:22" ht="14.25" customHeight="1" x14ac:dyDescent="0.35">
      <c r="A217" s="2" t="s">
        <v>251</v>
      </c>
      <c r="B217" s="13" t="s">
        <v>55</v>
      </c>
      <c r="C217" s="13">
        <v>37011</v>
      </c>
      <c r="D217" s="14">
        <v>6946</v>
      </c>
      <c r="E217" s="15" t="e">
        <f>#REF!+#REF!+#REF!+#REF!+#REF!+#REF!+#REF!+GreenMobility!L217+#REF!+#REF!+#REF!+Partago!L217+#REF!+#REF!+#REF!</f>
        <v>#REF!</v>
      </c>
      <c r="F217" s="16" t="e">
        <f t="shared" si="0"/>
        <v>#REF!</v>
      </c>
      <c r="G217" s="19" t="e">
        <f>#REF!+#REF!+#REF!+#REF!+#REF!+#REF!+#REF!+#REF!+#REF!+Moovee!A217+#REF!+#REF!+#REF!</f>
        <v>#REF!</v>
      </c>
      <c r="H217" s="16" t="e">
        <f t="shared" si="1"/>
        <v>#REF!</v>
      </c>
      <c r="I217" s="30">
        <f t="shared" si="2"/>
        <v>13.891999999999999</v>
      </c>
      <c r="J217" s="31" t="e">
        <f t="shared" si="3"/>
        <v>#REF!</v>
      </c>
      <c r="K217" s="25" t="e">
        <f t="shared" si="64"/>
        <v>#REF!</v>
      </c>
      <c r="L217" s="25" t="e">
        <f t="shared" si="65"/>
        <v>#REF!</v>
      </c>
      <c r="M217" s="25" t="e">
        <f t="shared" si="66"/>
        <v>#REF!</v>
      </c>
      <c r="N217" s="25" t="e">
        <f t="shared" si="67"/>
        <v>#REF!</v>
      </c>
      <c r="O217" s="25" t="e">
        <f t="shared" si="68"/>
        <v>#REF!</v>
      </c>
      <c r="P217" s="25" t="e">
        <f t="shared" si="69"/>
        <v>#REF!</v>
      </c>
      <c r="Q217" s="25" t="e">
        <f t="shared" si="70"/>
        <v>#REF!</v>
      </c>
      <c r="R217" s="25" t="e">
        <f t="shared" si="71"/>
        <v>#REF!</v>
      </c>
      <c r="S217" s="25" t="e">
        <f t="shared" si="72"/>
        <v>#REF!</v>
      </c>
      <c r="T217" s="25" t="e">
        <f t="shared" si="73"/>
        <v>#REF!</v>
      </c>
      <c r="U217" s="25" t="e">
        <f t="shared" si="74"/>
        <v>#REF!</v>
      </c>
      <c r="V217" s="25" t="e">
        <f t="shared" si="75"/>
        <v>#REF!</v>
      </c>
    </row>
    <row r="218" spans="1:22" ht="14.25" customHeight="1" x14ac:dyDescent="0.35">
      <c r="A218" s="2" t="s">
        <v>98</v>
      </c>
      <c r="B218" s="13" t="s">
        <v>55</v>
      </c>
      <c r="C218" s="13">
        <v>33021</v>
      </c>
      <c r="D218" s="14">
        <v>19921</v>
      </c>
      <c r="E218" s="15" t="e">
        <f>#REF!+#REF!+#REF!+#REF!+#REF!+#REF!+#REF!+GreenMobility!L218+#REF!+#REF!+#REF!+Partago!L218+#REF!+#REF!+#REF!</f>
        <v>#REF!</v>
      </c>
      <c r="F218" s="16" t="e">
        <f t="shared" si="0"/>
        <v>#REF!</v>
      </c>
      <c r="G218" s="19" t="e">
        <f>#REF!+#REF!+#REF!+#REF!+#REF!+#REF!+#REF!+#REF!+#REF!+Moovee!A218+#REF!+#REF!+#REF!</f>
        <v>#REF!</v>
      </c>
      <c r="H218" s="16" t="e">
        <f t="shared" si="1"/>
        <v>#REF!</v>
      </c>
      <c r="I218" s="30">
        <f t="shared" si="2"/>
        <v>39.841999999999999</v>
      </c>
      <c r="J218" s="31" t="e">
        <f t="shared" si="3"/>
        <v>#REF!</v>
      </c>
      <c r="K218" s="25" t="e">
        <f t="shared" si="64"/>
        <v>#REF!</v>
      </c>
      <c r="L218" s="25" t="e">
        <f t="shared" si="65"/>
        <v>#REF!</v>
      </c>
      <c r="M218" s="25" t="e">
        <f t="shared" si="66"/>
        <v>#REF!</v>
      </c>
      <c r="N218" s="25" t="e">
        <f t="shared" si="67"/>
        <v>#REF!</v>
      </c>
      <c r="O218" s="25" t="e">
        <f t="shared" si="68"/>
        <v>#REF!</v>
      </c>
      <c r="P218" s="25" t="e">
        <f t="shared" si="69"/>
        <v>#REF!</v>
      </c>
      <c r="Q218" s="25" t="e">
        <f t="shared" si="70"/>
        <v>#REF!</v>
      </c>
      <c r="R218" s="25" t="e">
        <f t="shared" si="71"/>
        <v>#REF!</v>
      </c>
      <c r="S218" s="25" t="e">
        <f t="shared" si="72"/>
        <v>#REF!</v>
      </c>
      <c r="T218" s="25" t="e">
        <f t="shared" si="73"/>
        <v>#REF!</v>
      </c>
      <c r="U218" s="25" t="e">
        <f t="shared" si="74"/>
        <v>#REF!</v>
      </c>
      <c r="V218" s="25" t="e">
        <f t="shared" si="75"/>
        <v>#REF!</v>
      </c>
    </row>
    <row r="219" spans="1:22" ht="14.25" customHeight="1" x14ac:dyDescent="0.35">
      <c r="A219" s="2" t="s">
        <v>282</v>
      </c>
      <c r="B219" s="13" t="s">
        <v>48</v>
      </c>
      <c r="C219" s="13">
        <v>12029</v>
      </c>
      <c r="D219" s="14">
        <v>18914</v>
      </c>
      <c r="E219" s="15" t="e">
        <f>#REF!+#REF!+#REF!+#REF!+#REF!+#REF!+#REF!+GreenMobility!L219+#REF!+#REF!+#REF!+Partago!L219+#REF!+#REF!+#REF!</f>
        <v>#REF!</v>
      </c>
      <c r="F219" s="16" t="e">
        <f t="shared" si="0"/>
        <v>#REF!</v>
      </c>
      <c r="G219" s="19" t="e">
        <f>#REF!+#REF!+#REF!+#REF!+#REF!+#REF!+#REF!+#REF!+#REF!+Moovee!A219+#REF!+#REF!+#REF!</f>
        <v>#REF!</v>
      </c>
      <c r="H219" s="16" t="e">
        <f t="shared" si="1"/>
        <v>#REF!</v>
      </c>
      <c r="I219" s="30">
        <f t="shared" si="2"/>
        <v>37.828000000000003</v>
      </c>
      <c r="J219" s="31" t="e">
        <f t="shared" si="3"/>
        <v>#REF!</v>
      </c>
      <c r="K219" s="25" t="e">
        <f t="shared" si="64"/>
        <v>#REF!</v>
      </c>
      <c r="L219" s="25" t="e">
        <f t="shared" si="65"/>
        <v>#REF!</v>
      </c>
      <c r="M219" s="25" t="e">
        <f t="shared" si="66"/>
        <v>#REF!</v>
      </c>
      <c r="N219" s="25" t="e">
        <f t="shared" si="67"/>
        <v>#REF!</v>
      </c>
      <c r="O219" s="25" t="e">
        <f t="shared" si="68"/>
        <v>#REF!</v>
      </c>
      <c r="P219" s="25" t="e">
        <f t="shared" si="69"/>
        <v>#REF!</v>
      </c>
      <c r="Q219" s="25" t="e">
        <f t="shared" si="70"/>
        <v>#REF!</v>
      </c>
      <c r="R219" s="25" t="e">
        <f t="shared" si="71"/>
        <v>#REF!</v>
      </c>
      <c r="S219" s="25" t="e">
        <f t="shared" si="72"/>
        <v>#REF!</v>
      </c>
      <c r="T219" s="25" t="e">
        <f t="shared" si="73"/>
        <v>#REF!</v>
      </c>
      <c r="U219" s="25" t="e">
        <f t="shared" si="74"/>
        <v>#REF!</v>
      </c>
      <c r="V219" s="25" t="e">
        <f t="shared" si="75"/>
        <v>#REF!</v>
      </c>
    </row>
    <row r="220" spans="1:22" ht="14.25" customHeight="1" x14ac:dyDescent="0.35">
      <c r="A220" s="2" t="s">
        <v>94</v>
      </c>
      <c r="B220" s="13" t="s">
        <v>48</v>
      </c>
      <c r="C220" s="13">
        <v>12041</v>
      </c>
      <c r="D220" s="14">
        <v>26957</v>
      </c>
      <c r="E220" s="15" t="e">
        <f>#REF!+#REF!+#REF!+#REF!+#REF!+#REF!+#REF!+GreenMobility!L220+#REF!+#REF!+#REF!+Partago!L220+#REF!+#REF!+#REF!</f>
        <v>#REF!</v>
      </c>
      <c r="F220" s="16" t="e">
        <f t="shared" si="0"/>
        <v>#REF!</v>
      </c>
      <c r="G220" s="19" t="e">
        <f>#REF!+#REF!+#REF!+#REF!+#REF!+#REF!+#REF!+#REF!+#REF!+Moovee!A220+#REF!+#REF!+#REF!</f>
        <v>#REF!</v>
      </c>
      <c r="H220" s="16" t="e">
        <f t="shared" si="1"/>
        <v>#REF!</v>
      </c>
      <c r="I220" s="30">
        <f t="shared" si="2"/>
        <v>53.914000000000001</v>
      </c>
      <c r="J220" s="31" t="e">
        <f t="shared" si="3"/>
        <v>#REF!</v>
      </c>
      <c r="K220" s="25" t="e">
        <f t="shared" si="64"/>
        <v>#REF!</v>
      </c>
      <c r="L220" s="25" t="e">
        <f t="shared" si="65"/>
        <v>#REF!</v>
      </c>
      <c r="M220" s="25" t="e">
        <f t="shared" si="66"/>
        <v>#REF!</v>
      </c>
      <c r="N220" s="25" t="e">
        <f t="shared" si="67"/>
        <v>#REF!</v>
      </c>
      <c r="O220" s="25" t="e">
        <f t="shared" si="68"/>
        <v>#REF!</v>
      </c>
      <c r="P220" s="25" t="e">
        <f t="shared" si="69"/>
        <v>#REF!</v>
      </c>
      <c r="Q220" s="25" t="e">
        <f t="shared" si="70"/>
        <v>#REF!</v>
      </c>
      <c r="R220" s="25" t="e">
        <f t="shared" si="71"/>
        <v>#REF!</v>
      </c>
      <c r="S220" s="25" t="e">
        <f t="shared" si="72"/>
        <v>#REF!</v>
      </c>
      <c r="T220" s="25" t="e">
        <f t="shared" si="73"/>
        <v>#REF!</v>
      </c>
      <c r="U220" s="25" t="e">
        <f t="shared" si="74"/>
        <v>#REF!</v>
      </c>
      <c r="V220" s="25" t="e">
        <f t="shared" si="75"/>
        <v>#REF!</v>
      </c>
    </row>
    <row r="221" spans="1:22" ht="14.25" customHeight="1" x14ac:dyDescent="0.35">
      <c r="A221" s="2" t="s">
        <v>284</v>
      </c>
      <c r="B221" s="13" t="s">
        <v>48</v>
      </c>
      <c r="C221" s="13">
        <v>11035</v>
      </c>
      <c r="D221" s="14">
        <v>19776</v>
      </c>
      <c r="E221" s="15" t="e">
        <f>#REF!+#REF!+#REF!+#REF!+#REF!+#REF!+#REF!+GreenMobility!L221+#REF!+#REF!+#REF!+Partago!L221+#REF!+#REF!+#REF!</f>
        <v>#REF!</v>
      </c>
      <c r="F221" s="16" t="e">
        <f t="shared" si="0"/>
        <v>#REF!</v>
      </c>
      <c r="G221" s="19" t="e">
        <f>#REF!+#REF!+#REF!+#REF!+#REF!+#REF!+#REF!+#REF!+#REF!+Moovee!A221+#REF!+#REF!+#REF!</f>
        <v>#REF!</v>
      </c>
      <c r="H221" s="16" t="e">
        <f t="shared" si="1"/>
        <v>#REF!</v>
      </c>
      <c r="I221" s="30">
        <f t="shared" si="2"/>
        <v>39.552</v>
      </c>
      <c r="J221" s="31" t="e">
        <f t="shared" si="3"/>
        <v>#REF!</v>
      </c>
      <c r="K221" s="25" t="e">
        <f t="shared" si="64"/>
        <v>#REF!</v>
      </c>
      <c r="L221" s="25" t="e">
        <f t="shared" si="65"/>
        <v>#REF!</v>
      </c>
      <c r="M221" s="25" t="e">
        <f t="shared" si="66"/>
        <v>#REF!</v>
      </c>
      <c r="N221" s="25" t="e">
        <f t="shared" si="67"/>
        <v>#REF!</v>
      </c>
      <c r="O221" s="25" t="e">
        <f t="shared" si="68"/>
        <v>#REF!</v>
      </c>
      <c r="P221" s="25" t="e">
        <f t="shared" si="69"/>
        <v>#REF!</v>
      </c>
      <c r="Q221" s="25" t="e">
        <f t="shared" si="70"/>
        <v>#REF!</v>
      </c>
      <c r="R221" s="25" t="e">
        <f t="shared" si="71"/>
        <v>#REF!</v>
      </c>
      <c r="S221" s="25" t="e">
        <f t="shared" si="72"/>
        <v>#REF!</v>
      </c>
      <c r="T221" s="25" t="e">
        <f t="shared" si="73"/>
        <v>#REF!</v>
      </c>
      <c r="U221" s="25" t="e">
        <f t="shared" si="74"/>
        <v>#REF!</v>
      </c>
      <c r="V221" s="25" t="e">
        <f t="shared" si="75"/>
        <v>#REF!</v>
      </c>
    </row>
    <row r="222" spans="1:22" ht="14.25" customHeight="1" x14ac:dyDescent="0.35">
      <c r="A222" s="2" t="s">
        <v>277</v>
      </c>
      <c r="B222" s="13" t="s">
        <v>48</v>
      </c>
      <c r="C222" s="13">
        <v>13035</v>
      </c>
      <c r="D222" s="14">
        <v>15514</v>
      </c>
      <c r="E222" s="15" t="e">
        <f>#REF!+#REF!+#REF!+#REF!+#REF!+#REF!+#REF!+GreenMobility!L222+#REF!+#REF!+#REF!+Partago!L222+#REF!+#REF!+#REF!</f>
        <v>#REF!</v>
      </c>
      <c r="F222" s="16" t="e">
        <f t="shared" si="0"/>
        <v>#REF!</v>
      </c>
      <c r="G222" s="19" t="e">
        <f>#REF!+#REF!+#REF!+#REF!+#REF!+#REF!+#REF!+#REF!+#REF!+Moovee!A222+#REF!+#REF!+#REF!</f>
        <v>#REF!</v>
      </c>
      <c r="H222" s="16" t="e">
        <f t="shared" si="1"/>
        <v>#REF!</v>
      </c>
      <c r="I222" s="30">
        <f t="shared" si="2"/>
        <v>31.027999999999999</v>
      </c>
      <c r="J222" s="31" t="e">
        <f t="shared" si="3"/>
        <v>#REF!</v>
      </c>
      <c r="K222" s="25" t="e">
        <f t="shared" si="64"/>
        <v>#REF!</v>
      </c>
      <c r="L222" s="25" t="e">
        <f t="shared" si="65"/>
        <v>#REF!</v>
      </c>
      <c r="M222" s="25" t="e">
        <f t="shared" si="66"/>
        <v>#REF!</v>
      </c>
      <c r="N222" s="25" t="e">
        <f t="shared" si="67"/>
        <v>#REF!</v>
      </c>
      <c r="O222" s="25" t="e">
        <f t="shared" si="68"/>
        <v>#REF!</v>
      </c>
      <c r="P222" s="25" t="e">
        <f t="shared" si="69"/>
        <v>#REF!</v>
      </c>
      <c r="Q222" s="25" t="e">
        <f t="shared" si="70"/>
        <v>#REF!</v>
      </c>
      <c r="R222" s="25" t="e">
        <f t="shared" si="71"/>
        <v>#REF!</v>
      </c>
      <c r="S222" s="25" t="e">
        <f t="shared" si="72"/>
        <v>#REF!</v>
      </c>
      <c r="T222" s="25" t="e">
        <f t="shared" si="73"/>
        <v>#REF!</v>
      </c>
      <c r="U222" s="25" t="e">
        <f t="shared" si="74"/>
        <v>#REF!</v>
      </c>
      <c r="V222" s="25" t="e">
        <f t="shared" si="75"/>
        <v>#REF!</v>
      </c>
    </row>
    <row r="223" spans="1:22" ht="14.25" customHeight="1" x14ac:dyDescent="0.35">
      <c r="A223" s="2" t="s">
        <v>204</v>
      </c>
      <c r="B223" s="13" t="s">
        <v>48</v>
      </c>
      <c r="C223" s="13">
        <v>13036</v>
      </c>
      <c r="D223" s="14">
        <v>11867</v>
      </c>
      <c r="E223" s="15" t="e">
        <f>#REF!+#REF!+#REF!+#REF!+#REF!+#REF!+#REF!+GreenMobility!L223+#REF!+#REF!+#REF!+Partago!L223+#REF!+#REF!+#REF!</f>
        <v>#REF!</v>
      </c>
      <c r="F223" s="16" t="e">
        <f t="shared" si="0"/>
        <v>#REF!</v>
      </c>
      <c r="G223" s="19" t="e">
        <f>#REF!+#REF!+#REF!+#REF!+#REF!+#REF!+#REF!+#REF!+#REF!+Moovee!A223+#REF!+#REF!+#REF!</f>
        <v>#REF!</v>
      </c>
      <c r="H223" s="16" t="e">
        <f t="shared" si="1"/>
        <v>#REF!</v>
      </c>
      <c r="I223" s="30">
        <f t="shared" si="2"/>
        <v>23.734000000000002</v>
      </c>
      <c r="J223" s="31" t="e">
        <f t="shared" si="3"/>
        <v>#REF!</v>
      </c>
      <c r="K223" s="25" t="e">
        <f t="shared" si="64"/>
        <v>#REF!</v>
      </c>
      <c r="L223" s="25" t="e">
        <f t="shared" si="65"/>
        <v>#REF!</v>
      </c>
      <c r="M223" s="25" t="e">
        <f t="shared" si="66"/>
        <v>#REF!</v>
      </c>
      <c r="N223" s="25" t="e">
        <f t="shared" si="67"/>
        <v>#REF!</v>
      </c>
      <c r="O223" s="25" t="e">
        <f t="shared" si="68"/>
        <v>#REF!</v>
      </c>
      <c r="P223" s="25" t="e">
        <f t="shared" si="69"/>
        <v>#REF!</v>
      </c>
      <c r="Q223" s="25" t="e">
        <f t="shared" si="70"/>
        <v>#REF!</v>
      </c>
      <c r="R223" s="25" t="e">
        <f t="shared" si="71"/>
        <v>#REF!</v>
      </c>
      <c r="S223" s="25" t="e">
        <f t="shared" si="72"/>
        <v>#REF!</v>
      </c>
      <c r="T223" s="25" t="e">
        <f t="shared" si="73"/>
        <v>#REF!</v>
      </c>
      <c r="U223" s="25" t="e">
        <f t="shared" si="74"/>
        <v>#REF!</v>
      </c>
      <c r="V223" s="25" t="e">
        <f t="shared" si="75"/>
        <v>#REF!</v>
      </c>
    </row>
    <row r="224" spans="1:22" ht="14.25" customHeight="1" x14ac:dyDescent="0.35">
      <c r="A224" s="2" t="s">
        <v>332</v>
      </c>
      <c r="B224" s="13" t="s">
        <v>59</v>
      </c>
      <c r="C224" s="13">
        <v>73066</v>
      </c>
      <c r="D224" s="14">
        <v>16896</v>
      </c>
      <c r="E224" s="15" t="e">
        <f>#REF!+#REF!+#REF!+#REF!+#REF!+#REF!+#REF!+GreenMobility!L224+#REF!+#REF!+#REF!+Partago!L224+#REF!+#REF!+#REF!</f>
        <v>#REF!</v>
      </c>
      <c r="F224" s="16" t="e">
        <f t="shared" si="0"/>
        <v>#REF!</v>
      </c>
      <c r="G224" s="19" t="e">
        <f>#REF!+#REF!+#REF!+#REF!+#REF!+#REF!+#REF!+#REF!+#REF!+Moovee!A224+#REF!+#REF!+#REF!</f>
        <v>#REF!</v>
      </c>
      <c r="H224" s="16" t="e">
        <f t="shared" si="1"/>
        <v>#REF!</v>
      </c>
      <c r="I224" s="30">
        <f t="shared" si="2"/>
        <v>33.792000000000002</v>
      </c>
      <c r="J224" s="31" t="e">
        <f t="shared" si="3"/>
        <v>#REF!</v>
      </c>
      <c r="K224" s="25" t="e">
        <f t="shared" si="64"/>
        <v>#REF!</v>
      </c>
      <c r="L224" s="25" t="e">
        <f t="shared" si="65"/>
        <v>#REF!</v>
      </c>
      <c r="M224" s="25" t="e">
        <f t="shared" si="66"/>
        <v>#REF!</v>
      </c>
      <c r="N224" s="25" t="e">
        <f t="shared" si="67"/>
        <v>#REF!</v>
      </c>
      <c r="O224" s="25" t="e">
        <f t="shared" si="68"/>
        <v>#REF!</v>
      </c>
      <c r="P224" s="25" t="e">
        <f t="shared" si="69"/>
        <v>#REF!</v>
      </c>
      <c r="Q224" s="25" t="e">
        <f t="shared" si="70"/>
        <v>#REF!</v>
      </c>
      <c r="R224" s="25" t="e">
        <f t="shared" si="71"/>
        <v>#REF!</v>
      </c>
      <c r="S224" s="25" t="e">
        <f t="shared" si="72"/>
        <v>#REF!</v>
      </c>
      <c r="T224" s="25" t="e">
        <f t="shared" si="73"/>
        <v>#REF!</v>
      </c>
      <c r="U224" s="25" t="e">
        <f t="shared" si="74"/>
        <v>#REF!</v>
      </c>
      <c r="V224" s="25" t="e">
        <f t="shared" si="75"/>
        <v>#REF!</v>
      </c>
    </row>
    <row r="225" spans="1:22" ht="14.25" customHeight="1" x14ac:dyDescent="0.35">
      <c r="A225" s="2" t="s">
        <v>267</v>
      </c>
      <c r="B225" s="13" t="s">
        <v>48</v>
      </c>
      <c r="C225" s="13">
        <v>13037</v>
      </c>
      <c r="D225" s="14">
        <v>12561</v>
      </c>
      <c r="E225" s="15" t="e">
        <f>#REF!+#REF!+#REF!+#REF!+#REF!+#REF!+#REF!+GreenMobility!L225+#REF!+#REF!+#REF!+Partago!L225+#REF!+#REF!+#REF!</f>
        <v>#REF!</v>
      </c>
      <c r="F225" s="16" t="e">
        <f t="shared" si="0"/>
        <v>#REF!</v>
      </c>
      <c r="G225" s="19" t="e">
        <f>#REF!+#REF!+#REF!+#REF!+#REF!+#REF!+#REF!+#REF!+#REF!+Moovee!A225+#REF!+#REF!+#REF!</f>
        <v>#REF!</v>
      </c>
      <c r="H225" s="16" t="e">
        <f t="shared" si="1"/>
        <v>#REF!</v>
      </c>
      <c r="I225" s="30">
        <f t="shared" si="2"/>
        <v>25.122</v>
      </c>
      <c r="J225" s="31" t="e">
        <f t="shared" si="3"/>
        <v>#REF!</v>
      </c>
      <c r="K225" s="25" t="e">
        <f t="shared" si="64"/>
        <v>#REF!</v>
      </c>
      <c r="L225" s="25" t="e">
        <f t="shared" si="65"/>
        <v>#REF!</v>
      </c>
      <c r="M225" s="25" t="e">
        <f t="shared" si="66"/>
        <v>#REF!</v>
      </c>
      <c r="N225" s="25" t="e">
        <f t="shared" si="67"/>
        <v>#REF!</v>
      </c>
      <c r="O225" s="25" t="e">
        <f t="shared" si="68"/>
        <v>#REF!</v>
      </c>
      <c r="P225" s="25" t="e">
        <f t="shared" si="69"/>
        <v>#REF!</v>
      </c>
      <c r="Q225" s="25" t="e">
        <f t="shared" si="70"/>
        <v>#REF!</v>
      </c>
      <c r="R225" s="25" t="e">
        <f t="shared" si="71"/>
        <v>#REF!</v>
      </c>
      <c r="S225" s="25" t="e">
        <f t="shared" si="72"/>
        <v>#REF!</v>
      </c>
      <c r="T225" s="25" t="e">
        <f t="shared" si="73"/>
        <v>#REF!</v>
      </c>
      <c r="U225" s="25" t="e">
        <f t="shared" si="74"/>
        <v>#REF!</v>
      </c>
      <c r="V225" s="25" t="e">
        <f t="shared" si="75"/>
        <v>#REF!</v>
      </c>
    </row>
    <row r="226" spans="1:22" ht="14.25" customHeight="1" x14ac:dyDescent="0.35">
      <c r="A226" s="2" t="s">
        <v>63</v>
      </c>
      <c r="B226" s="13" t="s">
        <v>55</v>
      </c>
      <c r="C226" s="13">
        <v>36015</v>
      </c>
      <c r="D226" s="14">
        <v>66262</v>
      </c>
      <c r="E226" s="15" t="e">
        <f>#REF!+#REF!+#REF!+#REF!+#REF!+#REF!+#REF!+GreenMobility!L226+#REF!+#REF!+#REF!+Partago!L226+#REF!+#REF!+#REF!</f>
        <v>#REF!</v>
      </c>
      <c r="F226" s="16" t="e">
        <f t="shared" si="0"/>
        <v>#REF!</v>
      </c>
      <c r="G226" s="19" t="e">
        <f>#REF!+#REF!+#REF!+#REF!+#REF!+#REF!+#REF!+#REF!+#REF!+Moovee!A226+#REF!+#REF!+#REF!</f>
        <v>#REF!</v>
      </c>
      <c r="H226" s="16" t="e">
        <f t="shared" si="1"/>
        <v>#REF!</v>
      </c>
      <c r="I226" s="30">
        <f t="shared" si="2"/>
        <v>132.524</v>
      </c>
      <c r="J226" s="31" t="e">
        <f t="shared" si="3"/>
        <v>#REF!</v>
      </c>
      <c r="K226" s="25" t="e">
        <f t="shared" si="64"/>
        <v>#REF!</v>
      </c>
      <c r="L226" s="25" t="e">
        <f t="shared" si="65"/>
        <v>#REF!</v>
      </c>
      <c r="M226" s="25" t="e">
        <f t="shared" si="66"/>
        <v>#REF!</v>
      </c>
      <c r="N226" s="25" t="e">
        <f t="shared" si="67"/>
        <v>#REF!</v>
      </c>
      <c r="O226" s="25" t="e">
        <f t="shared" si="68"/>
        <v>#REF!</v>
      </c>
      <c r="P226" s="25" t="e">
        <f t="shared" si="69"/>
        <v>#REF!</v>
      </c>
      <c r="Q226" s="25" t="e">
        <f t="shared" si="70"/>
        <v>#REF!</v>
      </c>
      <c r="R226" s="25" t="e">
        <f t="shared" si="71"/>
        <v>#REF!</v>
      </c>
      <c r="S226" s="25" t="e">
        <f t="shared" si="72"/>
        <v>#REF!</v>
      </c>
      <c r="T226" s="25" t="e">
        <f t="shared" si="73"/>
        <v>#REF!</v>
      </c>
      <c r="U226" s="25" t="e">
        <f t="shared" si="74"/>
        <v>#REF!</v>
      </c>
      <c r="V226" s="25" t="e">
        <f t="shared" si="75"/>
        <v>#REF!</v>
      </c>
    </row>
    <row r="227" spans="1:22" ht="14.25" customHeight="1" x14ac:dyDescent="0.35">
      <c r="A227" s="2" t="s">
        <v>141</v>
      </c>
      <c r="B227" s="13" t="s">
        <v>50</v>
      </c>
      <c r="C227" s="13">
        <v>45041</v>
      </c>
      <c r="D227" s="14">
        <v>27356</v>
      </c>
      <c r="E227" s="15" t="e">
        <f>#REF!+#REF!+#REF!+#REF!+#REF!+#REF!+#REF!+GreenMobility!L227+#REF!+#REF!+#REF!+Partago!L227+#REF!+#REF!+#REF!</f>
        <v>#REF!</v>
      </c>
      <c r="F227" s="16" t="e">
        <f t="shared" si="0"/>
        <v>#REF!</v>
      </c>
      <c r="G227" s="19" t="e">
        <f>#REF!+#REF!+#REF!+#REF!+#REF!+#REF!+#REF!+#REF!+#REF!+Moovee!A227+#REF!+#REF!+#REF!</f>
        <v>#REF!</v>
      </c>
      <c r="H227" s="16" t="e">
        <f t="shared" si="1"/>
        <v>#REF!</v>
      </c>
      <c r="I227" s="30">
        <f t="shared" si="2"/>
        <v>54.712000000000003</v>
      </c>
      <c r="J227" s="31" t="e">
        <f t="shared" si="3"/>
        <v>#REF!</v>
      </c>
      <c r="K227" s="25" t="e">
        <f t="shared" si="64"/>
        <v>#REF!</v>
      </c>
      <c r="L227" s="25" t="e">
        <f t="shared" si="65"/>
        <v>#REF!</v>
      </c>
      <c r="M227" s="25" t="e">
        <f t="shared" si="66"/>
        <v>#REF!</v>
      </c>
      <c r="N227" s="25" t="e">
        <f t="shared" si="67"/>
        <v>#REF!</v>
      </c>
      <c r="O227" s="25" t="e">
        <f t="shared" si="68"/>
        <v>#REF!</v>
      </c>
      <c r="P227" s="25" t="e">
        <f t="shared" si="69"/>
        <v>#REF!</v>
      </c>
      <c r="Q227" s="25" t="e">
        <f t="shared" si="70"/>
        <v>#REF!</v>
      </c>
      <c r="R227" s="25" t="e">
        <f t="shared" si="71"/>
        <v>#REF!</v>
      </c>
      <c r="S227" s="25" t="e">
        <f t="shared" si="72"/>
        <v>#REF!</v>
      </c>
      <c r="T227" s="25" t="e">
        <f t="shared" si="73"/>
        <v>#REF!</v>
      </c>
      <c r="U227" s="25" t="e">
        <f t="shared" si="74"/>
        <v>#REF!</v>
      </c>
      <c r="V227" s="25" t="e">
        <f t="shared" si="75"/>
        <v>#REF!</v>
      </c>
    </row>
    <row r="228" spans="1:22" ht="14.25" customHeight="1" x14ac:dyDescent="0.35">
      <c r="A228" s="2" t="s">
        <v>328</v>
      </c>
      <c r="B228" s="13" t="s">
        <v>52</v>
      </c>
      <c r="C228" s="13">
        <v>23097</v>
      </c>
      <c r="D228" s="14">
        <v>11958</v>
      </c>
      <c r="E228" s="15" t="e">
        <f>#REF!+#REF!+#REF!+#REF!+#REF!+#REF!+#REF!+GreenMobility!L228+#REF!+#REF!+#REF!+Partago!L228+#REF!+#REF!+#REF!</f>
        <v>#REF!</v>
      </c>
      <c r="F228" s="16" t="e">
        <f t="shared" si="0"/>
        <v>#REF!</v>
      </c>
      <c r="G228" s="19" t="e">
        <f>#REF!+#REF!+#REF!+#REF!+#REF!+#REF!+#REF!+#REF!+#REF!+Moovee!A228+#REF!+#REF!+#REF!</f>
        <v>#REF!</v>
      </c>
      <c r="H228" s="16" t="e">
        <f t="shared" si="1"/>
        <v>#REF!</v>
      </c>
      <c r="I228" s="30">
        <f t="shared" si="2"/>
        <v>23.916</v>
      </c>
      <c r="J228" s="31" t="e">
        <f t="shared" si="3"/>
        <v>#REF!</v>
      </c>
      <c r="K228" s="25" t="e">
        <f t="shared" si="64"/>
        <v>#REF!</v>
      </c>
      <c r="L228" s="25" t="e">
        <f t="shared" si="65"/>
        <v>#REF!</v>
      </c>
      <c r="M228" s="25" t="e">
        <f t="shared" si="66"/>
        <v>#REF!</v>
      </c>
      <c r="N228" s="25" t="e">
        <f t="shared" si="67"/>
        <v>#REF!</v>
      </c>
      <c r="O228" s="25" t="e">
        <f t="shared" si="68"/>
        <v>#REF!</v>
      </c>
      <c r="P228" s="25" t="e">
        <f t="shared" si="69"/>
        <v>#REF!</v>
      </c>
      <c r="Q228" s="25" t="e">
        <f t="shared" si="70"/>
        <v>#REF!</v>
      </c>
      <c r="R228" s="25" t="e">
        <f t="shared" si="71"/>
        <v>#REF!</v>
      </c>
      <c r="S228" s="25" t="e">
        <f t="shared" si="72"/>
        <v>#REF!</v>
      </c>
      <c r="T228" s="25" t="e">
        <f t="shared" si="73"/>
        <v>#REF!</v>
      </c>
      <c r="U228" s="25" t="e">
        <f t="shared" si="74"/>
        <v>#REF!</v>
      </c>
      <c r="V228" s="25" t="e">
        <f t="shared" si="75"/>
        <v>#REF!</v>
      </c>
    </row>
    <row r="229" spans="1:22" ht="14.25" customHeight="1" x14ac:dyDescent="0.35">
      <c r="A229" s="2" t="s">
        <v>78</v>
      </c>
      <c r="B229" s="13" t="s">
        <v>52</v>
      </c>
      <c r="C229" s="13">
        <v>24094</v>
      </c>
      <c r="D229" s="14">
        <v>17672</v>
      </c>
      <c r="E229" s="15" t="e">
        <f>#REF!+#REF!+#REF!+#REF!+#REF!+#REF!+#REF!+GreenMobility!L229+#REF!+#REF!+#REF!+Partago!L229+#REF!+#REF!+#REF!</f>
        <v>#REF!</v>
      </c>
      <c r="F229" s="16" t="e">
        <f t="shared" si="0"/>
        <v>#REF!</v>
      </c>
      <c r="G229" s="19" t="e">
        <f>#REF!+#REF!+#REF!+#REF!+#REF!+#REF!+#REF!+#REF!+#REF!+Moovee!A229+#REF!+#REF!+#REF!</f>
        <v>#REF!</v>
      </c>
      <c r="H229" s="16" t="e">
        <f t="shared" si="1"/>
        <v>#REF!</v>
      </c>
      <c r="I229" s="30">
        <f t="shared" si="2"/>
        <v>35.344000000000001</v>
      </c>
      <c r="J229" s="31" t="e">
        <f t="shared" si="3"/>
        <v>#REF!</v>
      </c>
      <c r="K229" s="25" t="e">
        <f t="shared" si="64"/>
        <v>#REF!</v>
      </c>
      <c r="L229" s="25" t="e">
        <f t="shared" si="65"/>
        <v>#REF!</v>
      </c>
      <c r="M229" s="25" t="e">
        <f t="shared" si="66"/>
        <v>#REF!</v>
      </c>
      <c r="N229" s="25" t="e">
        <f t="shared" si="67"/>
        <v>#REF!</v>
      </c>
      <c r="O229" s="25" t="e">
        <f t="shared" si="68"/>
        <v>#REF!</v>
      </c>
      <c r="P229" s="25" t="e">
        <f t="shared" si="69"/>
        <v>#REF!</v>
      </c>
      <c r="Q229" s="25" t="e">
        <f t="shared" si="70"/>
        <v>#REF!</v>
      </c>
      <c r="R229" s="25" t="e">
        <f t="shared" si="71"/>
        <v>#REF!</v>
      </c>
      <c r="S229" s="25" t="e">
        <f t="shared" si="72"/>
        <v>#REF!</v>
      </c>
      <c r="T229" s="25" t="e">
        <f t="shared" si="73"/>
        <v>#REF!</v>
      </c>
      <c r="U229" s="25" t="e">
        <f t="shared" si="74"/>
        <v>#REF!</v>
      </c>
      <c r="V229" s="25" t="e">
        <f t="shared" si="75"/>
        <v>#REF!</v>
      </c>
    </row>
    <row r="230" spans="1:22" ht="14.25" customHeight="1" x14ac:dyDescent="0.35">
      <c r="A230" s="2" t="s">
        <v>354</v>
      </c>
      <c r="B230" s="13" t="s">
        <v>55</v>
      </c>
      <c r="C230" s="13">
        <v>37012</v>
      </c>
      <c r="D230" s="14">
        <v>5484</v>
      </c>
      <c r="E230" s="15" t="e">
        <f>#REF!+#REF!+#REF!+#REF!+#REF!+#REF!+#REF!+GreenMobility!L230+#REF!+#REF!+#REF!+Partago!L230+#REF!+#REF!+#REF!</f>
        <v>#REF!</v>
      </c>
      <c r="F230" s="16" t="e">
        <f t="shared" si="0"/>
        <v>#REF!</v>
      </c>
      <c r="G230" s="19" t="e">
        <f>#REF!+#REF!+#REF!+#REF!+#REF!+#REF!+#REF!+#REF!+#REF!+Moovee!A230+#REF!+#REF!+#REF!</f>
        <v>#REF!</v>
      </c>
      <c r="H230" s="16" t="e">
        <f t="shared" si="1"/>
        <v>#REF!</v>
      </c>
      <c r="I230" s="30">
        <f t="shared" si="2"/>
        <v>10.968</v>
      </c>
      <c r="J230" s="31" t="e">
        <f t="shared" si="3"/>
        <v>#REF!</v>
      </c>
      <c r="K230" s="25" t="e">
        <f t="shared" si="64"/>
        <v>#REF!</v>
      </c>
      <c r="L230" s="25" t="e">
        <f t="shared" si="65"/>
        <v>#REF!</v>
      </c>
      <c r="M230" s="25" t="e">
        <f t="shared" si="66"/>
        <v>#REF!</v>
      </c>
      <c r="N230" s="25" t="e">
        <f t="shared" si="67"/>
        <v>#REF!</v>
      </c>
      <c r="O230" s="25" t="e">
        <f t="shared" si="68"/>
        <v>#REF!</v>
      </c>
      <c r="P230" s="25" t="e">
        <f t="shared" si="69"/>
        <v>#REF!</v>
      </c>
      <c r="Q230" s="25" t="e">
        <f t="shared" si="70"/>
        <v>#REF!</v>
      </c>
      <c r="R230" s="25" t="e">
        <f t="shared" si="71"/>
        <v>#REF!</v>
      </c>
      <c r="S230" s="25" t="e">
        <f t="shared" si="72"/>
        <v>#REF!</v>
      </c>
      <c r="T230" s="25" t="e">
        <f t="shared" si="73"/>
        <v>#REF!</v>
      </c>
      <c r="U230" s="25" t="e">
        <f t="shared" si="74"/>
        <v>#REF!</v>
      </c>
      <c r="V230" s="25" t="e">
        <f t="shared" si="75"/>
        <v>#REF!</v>
      </c>
    </row>
    <row r="231" spans="1:22" ht="14.25" customHeight="1" x14ac:dyDescent="0.35">
      <c r="A231" s="2" t="s">
        <v>160</v>
      </c>
      <c r="B231" s="13" t="s">
        <v>48</v>
      </c>
      <c r="C231" s="13">
        <v>11037</v>
      </c>
      <c r="D231" s="14">
        <v>15536</v>
      </c>
      <c r="E231" s="15" t="e">
        <f>#REF!+#REF!+#REF!+#REF!+#REF!+#REF!+#REF!+GreenMobility!L231+#REF!+#REF!+#REF!+Partago!L231+#REF!+#REF!+#REF!</f>
        <v>#REF!</v>
      </c>
      <c r="F231" s="16" t="e">
        <f t="shared" si="0"/>
        <v>#REF!</v>
      </c>
      <c r="G231" s="19" t="e">
        <f>#REF!+#REF!+#REF!+#REF!+#REF!+#REF!+#REF!+#REF!+#REF!+Moovee!A231+#REF!+#REF!+#REF!</f>
        <v>#REF!</v>
      </c>
      <c r="H231" s="16" t="e">
        <f t="shared" si="1"/>
        <v>#REF!</v>
      </c>
      <c r="I231" s="30">
        <f t="shared" si="2"/>
        <v>31.071999999999999</v>
      </c>
      <c r="J231" s="31" t="e">
        <f t="shared" si="3"/>
        <v>#REF!</v>
      </c>
      <c r="K231" s="25" t="e">
        <f t="shared" si="64"/>
        <v>#REF!</v>
      </c>
      <c r="L231" s="25" t="e">
        <f t="shared" si="65"/>
        <v>#REF!</v>
      </c>
      <c r="M231" s="25" t="e">
        <f t="shared" si="66"/>
        <v>#REF!</v>
      </c>
      <c r="N231" s="25" t="e">
        <f t="shared" si="67"/>
        <v>#REF!</v>
      </c>
      <c r="O231" s="25" t="e">
        <f t="shared" si="68"/>
        <v>#REF!</v>
      </c>
      <c r="P231" s="25" t="e">
        <f t="shared" si="69"/>
        <v>#REF!</v>
      </c>
      <c r="Q231" s="25" t="e">
        <f t="shared" si="70"/>
        <v>#REF!</v>
      </c>
      <c r="R231" s="25" t="e">
        <f t="shared" si="71"/>
        <v>#REF!</v>
      </c>
      <c r="S231" s="25" t="e">
        <f t="shared" si="72"/>
        <v>#REF!</v>
      </c>
      <c r="T231" s="25" t="e">
        <f t="shared" si="73"/>
        <v>#REF!</v>
      </c>
      <c r="U231" s="25" t="e">
        <f t="shared" si="74"/>
        <v>#REF!</v>
      </c>
      <c r="V231" s="25" t="e">
        <f t="shared" si="75"/>
        <v>#REF!</v>
      </c>
    </row>
    <row r="232" spans="1:22" ht="14.25" customHeight="1" x14ac:dyDescent="0.35">
      <c r="A232" s="2" t="s">
        <v>169</v>
      </c>
      <c r="B232" s="13" t="s">
        <v>48</v>
      </c>
      <c r="C232" s="13">
        <v>11038</v>
      </c>
      <c r="D232" s="14">
        <v>8614</v>
      </c>
      <c r="E232" s="15" t="e">
        <f>#REF!+#REF!+#REF!+#REF!+#REF!+#REF!+#REF!+GreenMobility!L232+#REF!+#REF!+#REF!+Partago!L232+#REF!+#REF!+#REF!</f>
        <v>#REF!</v>
      </c>
      <c r="F232" s="16" t="e">
        <f t="shared" si="0"/>
        <v>#REF!</v>
      </c>
      <c r="G232" s="19" t="e">
        <f>#REF!+#REF!+#REF!+#REF!+#REF!+#REF!+#REF!+#REF!+#REF!+Moovee!A232+#REF!+#REF!+#REF!</f>
        <v>#REF!</v>
      </c>
      <c r="H232" s="16" t="e">
        <f t="shared" si="1"/>
        <v>#REF!</v>
      </c>
      <c r="I232" s="30">
        <f t="shared" si="2"/>
        <v>17.228000000000002</v>
      </c>
      <c r="J232" s="31" t="e">
        <f t="shared" si="3"/>
        <v>#REF!</v>
      </c>
      <c r="K232" s="25" t="e">
        <f t="shared" si="64"/>
        <v>#REF!</v>
      </c>
      <c r="L232" s="25" t="e">
        <f t="shared" si="65"/>
        <v>#REF!</v>
      </c>
      <c r="M232" s="25" t="e">
        <f t="shared" si="66"/>
        <v>#REF!</v>
      </c>
      <c r="N232" s="25" t="e">
        <f t="shared" si="67"/>
        <v>#REF!</v>
      </c>
      <c r="O232" s="25" t="e">
        <f t="shared" si="68"/>
        <v>#REF!</v>
      </c>
      <c r="P232" s="25" t="e">
        <f t="shared" si="69"/>
        <v>#REF!</v>
      </c>
      <c r="Q232" s="25" t="e">
        <f t="shared" si="70"/>
        <v>#REF!</v>
      </c>
      <c r="R232" s="25" t="e">
        <f t="shared" si="71"/>
        <v>#REF!</v>
      </c>
      <c r="S232" s="25" t="e">
        <f t="shared" si="72"/>
        <v>#REF!</v>
      </c>
      <c r="T232" s="25" t="e">
        <f t="shared" si="73"/>
        <v>#REF!</v>
      </c>
      <c r="U232" s="25" t="e">
        <f t="shared" si="74"/>
        <v>#REF!</v>
      </c>
      <c r="V232" s="25" t="e">
        <f t="shared" si="75"/>
        <v>#REF!</v>
      </c>
    </row>
    <row r="233" spans="1:22" ht="14.25" customHeight="1" x14ac:dyDescent="0.35">
      <c r="A233" s="2" t="s">
        <v>292</v>
      </c>
      <c r="B233" s="13" t="s">
        <v>52</v>
      </c>
      <c r="C233" s="13">
        <v>24134</v>
      </c>
      <c r="D233" s="14">
        <v>24001</v>
      </c>
      <c r="E233" s="15" t="e">
        <f>#REF!+#REF!+#REF!+#REF!+#REF!+#REF!+#REF!+GreenMobility!L233+#REF!+#REF!+#REF!+Partago!L233+#REF!+#REF!+#REF!</f>
        <v>#REF!</v>
      </c>
      <c r="F233" s="16" t="e">
        <f t="shared" si="0"/>
        <v>#REF!</v>
      </c>
      <c r="G233" s="19" t="e">
        <f>#REF!+#REF!+#REF!+#REF!+#REF!+#REF!+#REF!+#REF!+#REF!+Moovee!A233+#REF!+#REF!+#REF!</f>
        <v>#REF!</v>
      </c>
      <c r="H233" s="16" t="e">
        <f t="shared" si="1"/>
        <v>#REF!</v>
      </c>
      <c r="I233" s="30">
        <f t="shared" si="2"/>
        <v>48.002000000000002</v>
      </c>
      <c r="J233" s="31" t="e">
        <f t="shared" si="3"/>
        <v>#REF!</v>
      </c>
      <c r="K233" s="25" t="e">
        <f t="shared" si="64"/>
        <v>#REF!</v>
      </c>
      <c r="L233" s="25" t="e">
        <f t="shared" si="65"/>
        <v>#REF!</v>
      </c>
      <c r="M233" s="25" t="e">
        <f t="shared" si="66"/>
        <v>#REF!</v>
      </c>
      <c r="N233" s="25" t="e">
        <f t="shared" si="67"/>
        <v>#REF!</v>
      </c>
      <c r="O233" s="25" t="e">
        <f t="shared" si="68"/>
        <v>#REF!</v>
      </c>
      <c r="P233" s="25" t="e">
        <f t="shared" si="69"/>
        <v>#REF!</v>
      </c>
      <c r="Q233" s="25" t="e">
        <f t="shared" si="70"/>
        <v>#REF!</v>
      </c>
      <c r="R233" s="25" t="e">
        <f t="shared" si="71"/>
        <v>#REF!</v>
      </c>
      <c r="S233" s="25" t="e">
        <f t="shared" si="72"/>
        <v>#REF!</v>
      </c>
      <c r="T233" s="25" t="e">
        <f t="shared" si="73"/>
        <v>#REF!</v>
      </c>
      <c r="U233" s="25" t="e">
        <f t="shared" si="74"/>
        <v>#REF!</v>
      </c>
      <c r="V233" s="25" t="e">
        <f t="shared" si="75"/>
        <v>#REF!</v>
      </c>
    </row>
    <row r="234" spans="1:22" ht="14.25" customHeight="1" x14ac:dyDescent="0.35">
      <c r="A234" s="2" t="s">
        <v>311</v>
      </c>
      <c r="B234" s="13" t="s">
        <v>48</v>
      </c>
      <c r="C234" s="13">
        <v>11039</v>
      </c>
      <c r="D234" s="14">
        <v>20319</v>
      </c>
      <c r="E234" s="15" t="e">
        <f>#REF!+#REF!+#REF!+#REF!+#REF!+#REF!+#REF!+GreenMobility!L234+#REF!+#REF!+#REF!+Partago!L234+#REF!+#REF!+#REF!</f>
        <v>#REF!</v>
      </c>
      <c r="F234" s="16" t="e">
        <f t="shared" si="0"/>
        <v>#REF!</v>
      </c>
      <c r="G234" s="19" t="e">
        <f>#REF!+#REF!+#REF!+#REF!+#REF!+#REF!+#REF!+#REF!+#REF!+Moovee!A234+#REF!+#REF!+#REF!</f>
        <v>#REF!</v>
      </c>
      <c r="H234" s="16" t="e">
        <f t="shared" si="1"/>
        <v>#REF!</v>
      </c>
      <c r="I234" s="30">
        <f t="shared" si="2"/>
        <v>40.637999999999998</v>
      </c>
      <c r="J234" s="31" t="e">
        <f t="shared" si="3"/>
        <v>#REF!</v>
      </c>
      <c r="K234" s="25" t="e">
        <f t="shared" si="64"/>
        <v>#REF!</v>
      </c>
      <c r="L234" s="25" t="e">
        <f t="shared" si="65"/>
        <v>#REF!</v>
      </c>
      <c r="M234" s="25" t="e">
        <f t="shared" si="66"/>
        <v>#REF!</v>
      </c>
      <c r="N234" s="25" t="e">
        <f t="shared" si="67"/>
        <v>#REF!</v>
      </c>
      <c r="O234" s="25" t="e">
        <f t="shared" si="68"/>
        <v>#REF!</v>
      </c>
      <c r="P234" s="25" t="e">
        <f t="shared" si="69"/>
        <v>#REF!</v>
      </c>
      <c r="Q234" s="25" t="e">
        <f t="shared" si="70"/>
        <v>#REF!</v>
      </c>
      <c r="R234" s="25" t="e">
        <f t="shared" si="71"/>
        <v>#REF!</v>
      </c>
      <c r="S234" s="25" t="e">
        <f t="shared" si="72"/>
        <v>#REF!</v>
      </c>
      <c r="T234" s="25" t="e">
        <f t="shared" si="73"/>
        <v>#REF!</v>
      </c>
      <c r="U234" s="25" t="e">
        <f t="shared" si="74"/>
        <v>#REF!</v>
      </c>
      <c r="V234" s="25" t="e">
        <f t="shared" si="75"/>
        <v>#REF!</v>
      </c>
    </row>
    <row r="235" spans="1:22" ht="14.25" customHeight="1" x14ac:dyDescent="0.35">
      <c r="A235" s="2" t="s">
        <v>188</v>
      </c>
      <c r="B235" s="13" t="s">
        <v>48</v>
      </c>
      <c r="C235" s="13">
        <v>11040</v>
      </c>
      <c r="D235" s="14">
        <v>34641</v>
      </c>
      <c r="E235" s="15" t="e">
        <f>#REF!+#REF!+#REF!+#REF!+#REF!+#REF!+#REF!+GreenMobility!L235+#REF!+#REF!+#REF!+Partago!L235+#REF!+#REF!+#REF!</f>
        <v>#REF!</v>
      </c>
      <c r="F235" s="16" t="e">
        <f t="shared" si="0"/>
        <v>#REF!</v>
      </c>
      <c r="G235" s="19" t="e">
        <f>#REF!+#REF!+#REF!+#REF!+#REF!+#REF!+#REF!+#REF!+#REF!+Moovee!A235+#REF!+#REF!+#REF!</f>
        <v>#REF!</v>
      </c>
      <c r="H235" s="16" t="e">
        <f t="shared" si="1"/>
        <v>#REF!</v>
      </c>
      <c r="I235" s="30">
        <f t="shared" si="2"/>
        <v>69.281999999999996</v>
      </c>
      <c r="J235" s="31" t="e">
        <f t="shared" si="3"/>
        <v>#REF!</v>
      </c>
      <c r="K235" s="25" t="e">
        <f t="shared" si="64"/>
        <v>#REF!</v>
      </c>
      <c r="L235" s="25" t="e">
        <f t="shared" si="65"/>
        <v>#REF!</v>
      </c>
      <c r="M235" s="25" t="e">
        <f t="shared" si="66"/>
        <v>#REF!</v>
      </c>
      <c r="N235" s="25" t="e">
        <f t="shared" si="67"/>
        <v>#REF!</v>
      </c>
      <c r="O235" s="25" t="e">
        <f t="shared" si="68"/>
        <v>#REF!</v>
      </c>
      <c r="P235" s="25" t="e">
        <f t="shared" si="69"/>
        <v>#REF!</v>
      </c>
      <c r="Q235" s="25" t="e">
        <f t="shared" si="70"/>
        <v>#REF!</v>
      </c>
      <c r="R235" s="25" t="e">
        <f t="shared" si="71"/>
        <v>#REF!</v>
      </c>
      <c r="S235" s="25" t="e">
        <f t="shared" si="72"/>
        <v>#REF!</v>
      </c>
      <c r="T235" s="25" t="e">
        <f t="shared" si="73"/>
        <v>#REF!</v>
      </c>
      <c r="U235" s="25" t="e">
        <f t="shared" si="74"/>
        <v>#REF!</v>
      </c>
      <c r="V235" s="25" t="e">
        <f t="shared" si="75"/>
        <v>#REF!</v>
      </c>
    </row>
    <row r="236" spans="1:22" ht="14.25" customHeight="1" x14ac:dyDescent="0.35">
      <c r="A236" s="2" t="s">
        <v>220</v>
      </c>
      <c r="B236" s="13" t="s">
        <v>52</v>
      </c>
      <c r="C236" s="13">
        <v>23101</v>
      </c>
      <c r="D236" s="14">
        <v>18693</v>
      </c>
      <c r="E236" s="15" t="e">
        <f>#REF!+#REF!+#REF!+#REF!+#REF!+#REF!+#REF!+GreenMobility!L236+#REF!+#REF!+#REF!+Partago!L236+#REF!+#REF!+#REF!</f>
        <v>#REF!</v>
      </c>
      <c r="F236" s="16" t="e">
        <f t="shared" si="0"/>
        <v>#REF!</v>
      </c>
      <c r="G236" s="19" t="e">
        <f>#REF!+#REF!+#REF!+#REF!+#REF!+#REF!+#REF!+#REF!+#REF!+Moovee!A236+#REF!+#REF!+#REF!</f>
        <v>#REF!</v>
      </c>
      <c r="H236" s="16" t="e">
        <f t="shared" si="1"/>
        <v>#REF!</v>
      </c>
      <c r="I236" s="30">
        <f t="shared" si="2"/>
        <v>37.386000000000003</v>
      </c>
      <c r="J236" s="31" t="e">
        <f t="shared" si="3"/>
        <v>#REF!</v>
      </c>
      <c r="K236" s="25" t="e">
        <f t="shared" si="64"/>
        <v>#REF!</v>
      </c>
      <c r="L236" s="25" t="e">
        <f t="shared" si="65"/>
        <v>#REF!</v>
      </c>
      <c r="M236" s="25" t="e">
        <f t="shared" si="66"/>
        <v>#REF!</v>
      </c>
      <c r="N236" s="25" t="e">
        <f t="shared" si="67"/>
        <v>#REF!</v>
      </c>
      <c r="O236" s="25" t="e">
        <f t="shared" si="68"/>
        <v>#REF!</v>
      </c>
      <c r="P236" s="25" t="e">
        <f t="shared" si="69"/>
        <v>#REF!</v>
      </c>
      <c r="Q236" s="25" t="e">
        <f t="shared" si="70"/>
        <v>#REF!</v>
      </c>
      <c r="R236" s="25" t="e">
        <f t="shared" si="71"/>
        <v>#REF!</v>
      </c>
      <c r="S236" s="25" t="e">
        <f t="shared" si="72"/>
        <v>#REF!</v>
      </c>
      <c r="T236" s="25" t="e">
        <f t="shared" si="73"/>
        <v>#REF!</v>
      </c>
      <c r="U236" s="25" t="e">
        <f t="shared" si="74"/>
        <v>#REF!</v>
      </c>
      <c r="V236" s="25" t="e">
        <f t="shared" si="75"/>
        <v>#REF!</v>
      </c>
    </row>
    <row r="237" spans="1:22" ht="14.25" customHeight="1" x14ac:dyDescent="0.35">
      <c r="A237" s="2" t="s">
        <v>226</v>
      </c>
      <c r="B237" s="13" t="s">
        <v>50</v>
      </c>
      <c r="C237" s="13">
        <v>46020</v>
      </c>
      <c r="D237" s="14">
        <v>20144</v>
      </c>
      <c r="E237" s="15" t="e">
        <f>#REF!+#REF!+#REF!+#REF!+#REF!+#REF!+#REF!+GreenMobility!L237+#REF!+#REF!+#REF!+Partago!L237+#REF!+#REF!+#REF!</f>
        <v>#REF!</v>
      </c>
      <c r="F237" s="16" t="e">
        <f t="shared" si="0"/>
        <v>#REF!</v>
      </c>
      <c r="G237" s="19" t="e">
        <f>#REF!+#REF!+#REF!+#REF!+#REF!+#REF!+#REF!+#REF!+#REF!+Moovee!A237+#REF!+#REF!+#REF!</f>
        <v>#REF!</v>
      </c>
      <c r="H237" s="16" t="e">
        <f t="shared" si="1"/>
        <v>#REF!</v>
      </c>
      <c r="I237" s="30">
        <f t="shared" si="2"/>
        <v>40.287999999999997</v>
      </c>
      <c r="J237" s="31" t="e">
        <f t="shared" si="3"/>
        <v>#REF!</v>
      </c>
      <c r="K237" s="25" t="e">
        <f t="shared" si="64"/>
        <v>#REF!</v>
      </c>
      <c r="L237" s="25" t="e">
        <f t="shared" si="65"/>
        <v>#REF!</v>
      </c>
      <c r="M237" s="25" t="e">
        <f t="shared" si="66"/>
        <v>#REF!</v>
      </c>
      <c r="N237" s="25" t="e">
        <f t="shared" si="67"/>
        <v>#REF!</v>
      </c>
      <c r="O237" s="25" t="e">
        <f t="shared" si="68"/>
        <v>#REF!</v>
      </c>
      <c r="P237" s="25" t="e">
        <f t="shared" si="69"/>
        <v>#REF!</v>
      </c>
      <c r="Q237" s="25" t="e">
        <f t="shared" si="70"/>
        <v>#REF!</v>
      </c>
      <c r="R237" s="25" t="e">
        <f t="shared" si="71"/>
        <v>#REF!</v>
      </c>
      <c r="S237" s="25" t="e">
        <f t="shared" si="72"/>
        <v>#REF!</v>
      </c>
      <c r="T237" s="25" t="e">
        <f t="shared" si="73"/>
        <v>#REF!</v>
      </c>
      <c r="U237" s="25" t="e">
        <f t="shared" si="74"/>
        <v>#REF!</v>
      </c>
      <c r="V237" s="25" t="e">
        <f t="shared" si="75"/>
        <v>#REF!</v>
      </c>
    </row>
    <row r="238" spans="1:22" ht="14.25" customHeight="1" x14ac:dyDescent="0.35">
      <c r="A238" s="2" t="s">
        <v>183</v>
      </c>
      <c r="B238" s="13" t="s">
        <v>48</v>
      </c>
      <c r="C238" s="13">
        <v>12035</v>
      </c>
      <c r="D238" s="14">
        <v>21792</v>
      </c>
      <c r="E238" s="15" t="e">
        <f>#REF!+#REF!+#REF!+#REF!+#REF!+#REF!+#REF!+GreenMobility!L238+#REF!+#REF!+#REF!+Partago!L238+#REF!+#REF!+#REF!</f>
        <v>#REF!</v>
      </c>
      <c r="F238" s="16" t="e">
        <f t="shared" si="0"/>
        <v>#REF!</v>
      </c>
      <c r="G238" s="19" t="e">
        <f>#REF!+#REF!+#REF!+#REF!+#REF!+#REF!+#REF!+#REF!+#REF!+Moovee!A238+#REF!+#REF!+#REF!</f>
        <v>#REF!</v>
      </c>
      <c r="H238" s="16" t="e">
        <f t="shared" si="1"/>
        <v>#REF!</v>
      </c>
      <c r="I238" s="30">
        <f t="shared" si="2"/>
        <v>43.584000000000003</v>
      </c>
      <c r="J238" s="31" t="e">
        <f t="shared" si="3"/>
        <v>#REF!</v>
      </c>
      <c r="K238" s="25" t="e">
        <f t="shared" si="64"/>
        <v>#REF!</v>
      </c>
      <c r="L238" s="25" t="e">
        <f t="shared" si="65"/>
        <v>#REF!</v>
      </c>
      <c r="M238" s="25" t="e">
        <f t="shared" si="66"/>
        <v>#REF!</v>
      </c>
      <c r="N238" s="25" t="e">
        <f t="shared" si="67"/>
        <v>#REF!</v>
      </c>
      <c r="O238" s="25" t="e">
        <f t="shared" si="68"/>
        <v>#REF!</v>
      </c>
      <c r="P238" s="25" t="e">
        <f t="shared" si="69"/>
        <v>#REF!</v>
      </c>
      <c r="Q238" s="25" t="e">
        <f t="shared" si="70"/>
        <v>#REF!</v>
      </c>
      <c r="R238" s="25" t="e">
        <f t="shared" si="71"/>
        <v>#REF!</v>
      </c>
      <c r="S238" s="25" t="e">
        <f t="shared" si="72"/>
        <v>#REF!</v>
      </c>
      <c r="T238" s="25" t="e">
        <f t="shared" si="73"/>
        <v>#REF!</v>
      </c>
      <c r="U238" s="25" t="e">
        <f t="shared" si="74"/>
        <v>#REF!</v>
      </c>
      <c r="V238" s="25" t="e">
        <f t="shared" si="75"/>
        <v>#REF!</v>
      </c>
    </row>
    <row r="239" spans="1:22" ht="14.25" customHeight="1" x14ac:dyDescent="0.35">
      <c r="A239" s="2" t="s">
        <v>250</v>
      </c>
      <c r="B239" s="13" t="s">
        <v>50</v>
      </c>
      <c r="C239" s="13">
        <v>43014</v>
      </c>
      <c r="D239" s="14">
        <v>7016</v>
      </c>
      <c r="E239" s="15" t="e">
        <f>#REF!+#REF!+#REF!+#REF!+#REF!+#REF!+#REF!+GreenMobility!L239+#REF!+#REF!+#REF!+Partago!L239+#REF!+#REF!+#REF!</f>
        <v>#REF!</v>
      </c>
      <c r="F239" s="16" t="e">
        <f t="shared" si="0"/>
        <v>#REF!</v>
      </c>
      <c r="G239" s="19" t="e">
        <f>#REF!+#REF!+#REF!+#REF!+#REF!+#REF!+#REF!+#REF!+#REF!+Moovee!A239+#REF!+#REF!+#REF!</f>
        <v>#REF!</v>
      </c>
      <c r="H239" s="16" t="e">
        <f t="shared" si="1"/>
        <v>#REF!</v>
      </c>
      <c r="I239" s="30">
        <f t="shared" si="2"/>
        <v>14.032</v>
      </c>
      <c r="J239" s="31" t="e">
        <f t="shared" si="3"/>
        <v>#REF!</v>
      </c>
      <c r="K239" s="25" t="e">
        <f t="shared" si="64"/>
        <v>#REF!</v>
      </c>
      <c r="L239" s="25" t="e">
        <f t="shared" si="65"/>
        <v>#REF!</v>
      </c>
      <c r="M239" s="25" t="e">
        <f t="shared" si="66"/>
        <v>#REF!</v>
      </c>
      <c r="N239" s="25" t="e">
        <f t="shared" si="67"/>
        <v>#REF!</v>
      </c>
      <c r="O239" s="25" t="e">
        <f t="shared" si="68"/>
        <v>#REF!</v>
      </c>
      <c r="P239" s="25" t="e">
        <f t="shared" si="69"/>
        <v>#REF!</v>
      </c>
      <c r="Q239" s="25" t="e">
        <f t="shared" si="70"/>
        <v>#REF!</v>
      </c>
      <c r="R239" s="25" t="e">
        <f t="shared" si="71"/>
        <v>#REF!</v>
      </c>
      <c r="S239" s="25" t="e">
        <f t="shared" si="72"/>
        <v>#REF!</v>
      </c>
      <c r="T239" s="25" t="e">
        <f t="shared" si="73"/>
        <v>#REF!</v>
      </c>
      <c r="U239" s="25" t="e">
        <f t="shared" si="74"/>
        <v>#REF!</v>
      </c>
      <c r="V239" s="25" t="e">
        <f t="shared" si="75"/>
        <v>#REF!</v>
      </c>
    </row>
    <row r="240" spans="1:22" ht="14.25" customHeight="1" x14ac:dyDescent="0.35">
      <c r="A240" s="2" t="s">
        <v>202</v>
      </c>
      <c r="B240" s="13" t="s">
        <v>50</v>
      </c>
      <c r="C240" s="13">
        <v>41063</v>
      </c>
      <c r="D240" s="14">
        <v>10687</v>
      </c>
      <c r="E240" s="15" t="e">
        <f>#REF!+#REF!+#REF!+#REF!+#REF!+#REF!+#REF!+GreenMobility!L240+#REF!+#REF!+#REF!+Partago!L240+#REF!+#REF!+#REF!</f>
        <v>#REF!</v>
      </c>
      <c r="F240" s="16" t="e">
        <f t="shared" si="0"/>
        <v>#REF!</v>
      </c>
      <c r="G240" s="19" t="e">
        <f>#REF!+#REF!+#REF!+#REF!+#REF!+#REF!+#REF!+#REF!+#REF!+Moovee!A240+#REF!+#REF!+#REF!</f>
        <v>#REF!</v>
      </c>
      <c r="H240" s="16" t="e">
        <f t="shared" si="1"/>
        <v>#REF!</v>
      </c>
      <c r="I240" s="30">
        <f t="shared" si="2"/>
        <v>21.373999999999999</v>
      </c>
      <c r="J240" s="31" t="e">
        <f t="shared" si="3"/>
        <v>#REF!</v>
      </c>
      <c r="K240" s="25" t="e">
        <f t="shared" si="64"/>
        <v>#REF!</v>
      </c>
      <c r="L240" s="25" t="e">
        <f t="shared" si="65"/>
        <v>#REF!</v>
      </c>
      <c r="M240" s="25" t="e">
        <f t="shared" si="66"/>
        <v>#REF!</v>
      </c>
      <c r="N240" s="25" t="e">
        <f t="shared" si="67"/>
        <v>#REF!</v>
      </c>
      <c r="O240" s="25" t="e">
        <f t="shared" si="68"/>
        <v>#REF!</v>
      </c>
      <c r="P240" s="25" t="e">
        <f t="shared" si="69"/>
        <v>#REF!</v>
      </c>
      <c r="Q240" s="25" t="e">
        <f t="shared" si="70"/>
        <v>#REF!</v>
      </c>
      <c r="R240" s="25" t="e">
        <f t="shared" si="71"/>
        <v>#REF!</v>
      </c>
      <c r="S240" s="25" t="e">
        <f t="shared" si="72"/>
        <v>#REF!</v>
      </c>
      <c r="T240" s="25" t="e">
        <f t="shared" si="73"/>
        <v>#REF!</v>
      </c>
      <c r="U240" s="25" t="e">
        <f t="shared" si="74"/>
        <v>#REF!</v>
      </c>
      <c r="V240" s="25" t="e">
        <f t="shared" si="75"/>
        <v>#REF!</v>
      </c>
    </row>
    <row r="241" spans="1:22" ht="14.25" customHeight="1" x14ac:dyDescent="0.35">
      <c r="A241" s="2" t="s">
        <v>148</v>
      </c>
      <c r="B241" s="13" t="s">
        <v>50</v>
      </c>
      <c r="C241" s="13">
        <v>44064</v>
      </c>
      <c r="D241" s="14">
        <v>8208</v>
      </c>
      <c r="E241" s="15" t="e">
        <f>#REF!+#REF!+#REF!+#REF!+#REF!+#REF!+#REF!+GreenMobility!L241+#REF!+#REF!+#REF!+Partago!L241+#REF!+#REF!+#REF!</f>
        <v>#REF!</v>
      </c>
      <c r="F241" s="16" t="e">
        <f t="shared" si="0"/>
        <v>#REF!</v>
      </c>
      <c r="G241" s="19" t="e">
        <f>#REF!+#REF!+#REF!+#REF!+#REF!+#REF!+#REF!+#REF!+#REF!+Moovee!A241+#REF!+#REF!+#REF!</f>
        <v>#REF!</v>
      </c>
      <c r="H241" s="16" t="e">
        <f t="shared" si="1"/>
        <v>#REF!</v>
      </c>
      <c r="I241" s="30">
        <f t="shared" si="2"/>
        <v>16.416</v>
      </c>
      <c r="J241" s="31" t="e">
        <f t="shared" si="3"/>
        <v>#REF!</v>
      </c>
      <c r="K241" s="25" t="e">
        <f t="shared" si="64"/>
        <v>#REF!</v>
      </c>
      <c r="L241" s="25" t="e">
        <f t="shared" si="65"/>
        <v>#REF!</v>
      </c>
      <c r="M241" s="25" t="e">
        <f t="shared" si="66"/>
        <v>#REF!</v>
      </c>
      <c r="N241" s="25" t="e">
        <f t="shared" si="67"/>
        <v>#REF!</v>
      </c>
      <c r="O241" s="25" t="e">
        <f t="shared" si="68"/>
        <v>#REF!</v>
      </c>
      <c r="P241" s="25" t="e">
        <f t="shared" si="69"/>
        <v>#REF!</v>
      </c>
      <c r="Q241" s="25" t="e">
        <f t="shared" si="70"/>
        <v>#REF!</v>
      </c>
      <c r="R241" s="25" t="e">
        <f t="shared" si="71"/>
        <v>#REF!</v>
      </c>
      <c r="S241" s="25" t="e">
        <f t="shared" si="72"/>
        <v>#REF!</v>
      </c>
      <c r="T241" s="25" t="e">
        <f t="shared" si="73"/>
        <v>#REF!</v>
      </c>
      <c r="U241" s="25" t="e">
        <f t="shared" si="74"/>
        <v>#REF!</v>
      </c>
      <c r="V241" s="25" t="e">
        <f t="shared" si="75"/>
        <v>#REF!</v>
      </c>
    </row>
    <row r="242" spans="1:22" ht="14.25" customHeight="1" x14ac:dyDescent="0.35">
      <c r="A242" s="2" t="s">
        <v>57</v>
      </c>
      <c r="B242" s="13" t="s">
        <v>50</v>
      </c>
      <c r="C242" s="13">
        <v>46021</v>
      </c>
      <c r="D242" s="14">
        <v>81863</v>
      </c>
      <c r="E242" s="15" t="e">
        <f>#REF!+#REF!+#REF!+#REF!+#REF!+#REF!+#REF!+GreenMobility!L242+#REF!+#REF!+#REF!+Partago!L242+#REF!+#REF!+#REF!</f>
        <v>#REF!</v>
      </c>
      <c r="F242" s="16" t="e">
        <f t="shared" si="0"/>
        <v>#REF!</v>
      </c>
      <c r="G242" s="19" t="e">
        <f>#REF!+#REF!+#REF!+#REF!+#REF!+#REF!+#REF!+#REF!+#REF!+Moovee!A242+#REF!+#REF!+#REF!</f>
        <v>#REF!</v>
      </c>
      <c r="H242" s="16" t="e">
        <f t="shared" si="1"/>
        <v>#REF!</v>
      </c>
      <c r="I242" s="30">
        <f t="shared" si="2"/>
        <v>163.726</v>
      </c>
      <c r="J242" s="31" t="e">
        <f t="shared" si="3"/>
        <v>#REF!</v>
      </c>
      <c r="K242" s="25" t="e">
        <f t="shared" si="64"/>
        <v>#REF!</v>
      </c>
      <c r="L242" s="25" t="e">
        <f t="shared" si="65"/>
        <v>#REF!</v>
      </c>
      <c r="M242" s="25" t="e">
        <f t="shared" si="66"/>
        <v>#REF!</v>
      </c>
      <c r="N242" s="25" t="e">
        <f t="shared" si="67"/>
        <v>#REF!</v>
      </c>
      <c r="O242" s="25" t="e">
        <f t="shared" si="68"/>
        <v>#REF!</v>
      </c>
      <c r="P242" s="25" t="e">
        <f t="shared" si="69"/>
        <v>#REF!</v>
      </c>
      <c r="Q242" s="25" t="e">
        <f t="shared" si="70"/>
        <v>#REF!</v>
      </c>
      <c r="R242" s="25" t="e">
        <f t="shared" si="71"/>
        <v>#REF!</v>
      </c>
      <c r="S242" s="25" t="e">
        <f t="shared" si="72"/>
        <v>#REF!</v>
      </c>
      <c r="T242" s="25" t="e">
        <f t="shared" si="73"/>
        <v>#REF!</v>
      </c>
      <c r="U242" s="25" t="e">
        <f t="shared" si="74"/>
        <v>#REF!</v>
      </c>
      <c r="V242" s="25" t="e">
        <f t="shared" si="75"/>
        <v>#REF!</v>
      </c>
    </row>
    <row r="243" spans="1:22" ht="14.25" customHeight="1" x14ac:dyDescent="0.35">
      <c r="A243" s="2" t="s">
        <v>132</v>
      </c>
      <c r="B243" s="13" t="s">
        <v>52</v>
      </c>
      <c r="C243" s="13">
        <v>23077</v>
      </c>
      <c r="D243" s="14">
        <v>36525</v>
      </c>
      <c r="E243" s="15" t="e">
        <f>#REF!+#REF!+#REF!+#REF!+#REF!+#REF!+#REF!+GreenMobility!L243+#REF!+#REF!+#REF!+Partago!L243+#REF!+#REF!+#REF!</f>
        <v>#REF!</v>
      </c>
      <c r="F243" s="16" t="e">
        <f t="shared" si="0"/>
        <v>#REF!</v>
      </c>
      <c r="G243" s="19" t="e">
        <f>#REF!+#REF!+#REF!+#REF!+#REF!+#REF!+#REF!+#REF!+#REF!+Moovee!A243+#REF!+#REF!+#REF!</f>
        <v>#REF!</v>
      </c>
      <c r="H243" s="16" t="e">
        <f t="shared" si="1"/>
        <v>#REF!</v>
      </c>
      <c r="I243" s="30">
        <f t="shared" si="2"/>
        <v>73.05</v>
      </c>
      <c r="J243" s="31" t="e">
        <f t="shared" si="3"/>
        <v>#REF!</v>
      </c>
      <c r="K243" s="25" t="e">
        <f t="shared" si="64"/>
        <v>#REF!</v>
      </c>
      <c r="L243" s="25" t="e">
        <f t="shared" si="65"/>
        <v>#REF!</v>
      </c>
      <c r="M243" s="25" t="e">
        <f t="shared" si="66"/>
        <v>#REF!</v>
      </c>
      <c r="N243" s="25" t="e">
        <f t="shared" si="67"/>
        <v>#REF!</v>
      </c>
      <c r="O243" s="25" t="e">
        <f t="shared" si="68"/>
        <v>#REF!</v>
      </c>
      <c r="P243" s="25" t="e">
        <f t="shared" si="69"/>
        <v>#REF!</v>
      </c>
      <c r="Q243" s="25" t="e">
        <f t="shared" si="70"/>
        <v>#REF!</v>
      </c>
      <c r="R243" s="25" t="e">
        <f t="shared" si="71"/>
        <v>#REF!</v>
      </c>
      <c r="S243" s="25" t="e">
        <f t="shared" si="72"/>
        <v>#REF!</v>
      </c>
      <c r="T243" s="25" t="e">
        <f t="shared" si="73"/>
        <v>#REF!</v>
      </c>
      <c r="U243" s="25" t="e">
        <f t="shared" si="74"/>
        <v>#REF!</v>
      </c>
      <c r="V243" s="25" t="e">
        <f t="shared" si="75"/>
        <v>#REF!</v>
      </c>
    </row>
    <row r="244" spans="1:22" ht="14.25" customHeight="1" x14ac:dyDescent="0.35">
      <c r="A244" s="2" t="s">
        <v>189</v>
      </c>
      <c r="B244" s="13" t="s">
        <v>59</v>
      </c>
      <c r="C244" s="13">
        <v>71053</v>
      </c>
      <c r="D244" s="14">
        <v>41469</v>
      </c>
      <c r="E244" s="15" t="e">
        <f>#REF!+#REF!+#REF!+#REF!+#REF!+#REF!+#REF!+GreenMobility!L244+#REF!+#REF!+#REF!+Partago!L244+#REF!+#REF!+#REF!</f>
        <v>#REF!</v>
      </c>
      <c r="F244" s="16" t="e">
        <f t="shared" si="0"/>
        <v>#REF!</v>
      </c>
      <c r="G244" s="19" t="e">
        <f>#REF!+#REF!+#REF!+#REF!+#REF!+#REF!+#REF!+#REF!+#REF!+Moovee!A244+#REF!+#REF!+#REF!</f>
        <v>#REF!</v>
      </c>
      <c r="H244" s="16" t="e">
        <f t="shared" si="1"/>
        <v>#REF!</v>
      </c>
      <c r="I244" s="30">
        <f t="shared" si="2"/>
        <v>82.938000000000002</v>
      </c>
      <c r="J244" s="31" t="e">
        <f t="shared" si="3"/>
        <v>#REF!</v>
      </c>
      <c r="K244" s="25" t="e">
        <f t="shared" si="64"/>
        <v>#REF!</v>
      </c>
      <c r="L244" s="25" t="e">
        <f t="shared" si="65"/>
        <v>#REF!</v>
      </c>
      <c r="M244" s="25" t="e">
        <f t="shared" si="66"/>
        <v>#REF!</v>
      </c>
      <c r="N244" s="25" t="e">
        <f t="shared" si="67"/>
        <v>#REF!</v>
      </c>
      <c r="O244" s="25" t="e">
        <f t="shared" si="68"/>
        <v>#REF!</v>
      </c>
      <c r="P244" s="25" t="e">
        <f t="shared" si="69"/>
        <v>#REF!</v>
      </c>
      <c r="Q244" s="25" t="e">
        <f t="shared" si="70"/>
        <v>#REF!</v>
      </c>
      <c r="R244" s="25" t="e">
        <f t="shared" si="71"/>
        <v>#REF!</v>
      </c>
      <c r="S244" s="25" t="e">
        <f t="shared" si="72"/>
        <v>#REF!</v>
      </c>
      <c r="T244" s="25" t="e">
        <f t="shared" si="73"/>
        <v>#REF!</v>
      </c>
      <c r="U244" s="25" t="e">
        <f t="shared" si="74"/>
        <v>#REF!</v>
      </c>
      <c r="V244" s="25" t="e">
        <f t="shared" si="75"/>
        <v>#REF!</v>
      </c>
    </row>
    <row r="245" spans="1:22" ht="14.25" customHeight="1" x14ac:dyDescent="0.35">
      <c r="A245" s="2" t="s">
        <v>314</v>
      </c>
      <c r="B245" s="13" t="s">
        <v>55</v>
      </c>
      <c r="C245" s="13">
        <v>34043</v>
      </c>
      <c r="D245" s="14">
        <v>2063</v>
      </c>
      <c r="E245" s="15" t="e">
        <f>#REF!+#REF!+#REF!+#REF!+#REF!+#REF!+#REF!+GreenMobility!L245+#REF!+#REF!+#REF!+Partago!L245+#REF!+#REF!+#REF!</f>
        <v>#REF!</v>
      </c>
      <c r="F245" s="16" t="e">
        <f t="shared" si="0"/>
        <v>#REF!</v>
      </c>
      <c r="G245" s="19" t="e">
        <f>#REF!+#REF!+#REF!+#REF!+#REF!+#REF!+#REF!+#REF!+#REF!+Moovee!A245+#REF!+#REF!+#REF!</f>
        <v>#REF!</v>
      </c>
      <c r="H245" s="16" t="e">
        <f t="shared" si="1"/>
        <v>#REF!</v>
      </c>
      <c r="I245" s="30">
        <f t="shared" si="2"/>
        <v>4.1260000000000003</v>
      </c>
      <c r="J245" s="31" t="e">
        <f t="shared" si="3"/>
        <v>#REF!</v>
      </c>
      <c r="K245" s="25" t="e">
        <f t="shared" si="64"/>
        <v>#REF!</v>
      </c>
      <c r="L245" s="25" t="e">
        <f t="shared" si="65"/>
        <v>#REF!</v>
      </c>
      <c r="M245" s="25" t="e">
        <f t="shared" si="66"/>
        <v>#REF!</v>
      </c>
      <c r="N245" s="25" t="e">
        <f t="shared" si="67"/>
        <v>#REF!</v>
      </c>
      <c r="O245" s="25" t="e">
        <f t="shared" si="68"/>
        <v>#REF!</v>
      </c>
      <c r="P245" s="25" t="e">
        <f t="shared" si="69"/>
        <v>#REF!</v>
      </c>
      <c r="Q245" s="25" t="e">
        <f t="shared" si="70"/>
        <v>#REF!</v>
      </c>
      <c r="R245" s="25" t="e">
        <f t="shared" si="71"/>
        <v>#REF!</v>
      </c>
      <c r="S245" s="25" t="e">
        <f t="shared" si="72"/>
        <v>#REF!</v>
      </c>
      <c r="T245" s="25" t="e">
        <f t="shared" si="73"/>
        <v>#REF!</v>
      </c>
      <c r="U245" s="25" t="e">
        <f t="shared" si="74"/>
        <v>#REF!</v>
      </c>
      <c r="V245" s="25" t="e">
        <f t="shared" si="75"/>
        <v>#REF!</v>
      </c>
    </row>
    <row r="246" spans="1:22" ht="14.25" customHeight="1" x14ac:dyDescent="0.35">
      <c r="A246" s="2" t="s">
        <v>336</v>
      </c>
      <c r="B246" s="13" t="s">
        <v>48</v>
      </c>
      <c r="C246" s="13">
        <v>11044</v>
      </c>
      <c r="D246" s="14">
        <v>18826</v>
      </c>
      <c r="E246" s="15" t="e">
        <f>#REF!+#REF!+#REF!+#REF!+#REF!+#REF!+#REF!+GreenMobility!L246+#REF!+#REF!+#REF!+Partago!L246+#REF!+#REF!+#REF!</f>
        <v>#REF!</v>
      </c>
      <c r="F246" s="16" t="e">
        <f t="shared" si="0"/>
        <v>#REF!</v>
      </c>
      <c r="G246" s="19" t="e">
        <f>#REF!+#REF!+#REF!+#REF!+#REF!+#REF!+#REF!+#REF!+#REF!+Moovee!A246+#REF!+#REF!+#REF!</f>
        <v>#REF!</v>
      </c>
      <c r="H246" s="16" t="e">
        <f t="shared" si="1"/>
        <v>#REF!</v>
      </c>
      <c r="I246" s="30">
        <f t="shared" si="2"/>
        <v>37.652000000000001</v>
      </c>
      <c r="J246" s="31" t="e">
        <f t="shared" si="3"/>
        <v>#REF!</v>
      </c>
      <c r="K246" s="25" t="e">
        <f t="shared" si="64"/>
        <v>#REF!</v>
      </c>
      <c r="L246" s="25" t="e">
        <f t="shared" si="65"/>
        <v>#REF!</v>
      </c>
      <c r="M246" s="25" t="e">
        <f t="shared" si="66"/>
        <v>#REF!</v>
      </c>
      <c r="N246" s="25" t="e">
        <f t="shared" si="67"/>
        <v>#REF!</v>
      </c>
      <c r="O246" s="25" t="e">
        <f t="shared" si="68"/>
        <v>#REF!</v>
      </c>
      <c r="P246" s="25" t="e">
        <f t="shared" si="69"/>
        <v>#REF!</v>
      </c>
      <c r="Q246" s="25" t="e">
        <f t="shared" si="70"/>
        <v>#REF!</v>
      </c>
      <c r="R246" s="25" t="e">
        <f t="shared" si="71"/>
        <v>#REF!</v>
      </c>
      <c r="S246" s="25" t="e">
        <f t="shared" si="72"/>
        <v>#REF!</v>
      </c>
      <c r="T246" s="25" t="e">
        <f t="shared" si="73"/>
        <v>#REF!</v>
      </c>
      <c r="U246" s="25" t="e">
        <f t="shared" si="74"/>
        <v>#REF!</v>
      </c>
      <c r="V246" s="25" t="e">
        <f t="shared" si="75"/>
        <v>#REF!</v>
      </c>
    </row>
    <row r="247" spans="1:22" ht="14.25" customHeight="1" x14ac:dyDescent="0.35">
      <c r="A247" s="2" t="s">
        <v>154</v>
      </c>
      <c r="B247" s="13" t="s">
        <v>55</v>
      </c>
      <c r="C247" s="13">
        <v>36019</v>
      </c>
      <c r="D247" s="14">
        <v>11677</v>
      </c>
      <c r="E247" s="15" t="e">
        <f>#REF!+#REF!+#REF!+#REF!+#REF!+#REF!+#REF!+GreenMobility!L247+#REF!+#REF!+#REF!+Partago!L247+#REF!+#REF!+#REF!</f>
        <v>#REF!</v>
      </c>
      <c r="F247" s="16" t="e">
        <f t="shared" si="0"/>
        <v>#REF!</v>
      </c>
      <c r="G247" s="19" t="e">
        <f>#REF!+#REF!+#REF!+#REF!+#REF!+#REF!+#REF!+#REF!+#REF!+Moovee!A247+#REF!+#REF!+#REF!</f>
        <v>#REF!</v>
      </c>
      <c r="H247" s="16" t="e">
        <f t="shared" si="1"/>
        <v>#REF!</v>
      </c>
      <c r="I247" s="30">
        <f t="shared" si="2"/>
        <v>23.353999999999999</v>
      </c>
      <c r="J247" s="31" t="e">
        <f t="shared" si="3"/>
        <v>#REF!</v>
      </c>
      <c r="K247" s="25" t="e">
        <f t="shared" si="64"/>
        <v>#REF!</v>
      </c>
      <c r="L247" s="25" t="e">
        <f t="shared" si="65"/>
        <v>#REF!</v>
      </c>
      <c r="M247" s="25" t="e">
        <f t="shared" si="66"/>
        <v>#REF!</v>
      </c>
      <c r="N247" s="25" t="e">
        <f t="shared" si="67"/>
        <v>#REF!</v>
      </c>
      <c r="O247" s="25" t="e">
        <f t="shared" si="68"/>
        <v>#REF!</v>
      </c>
      <c r="P247" s="25" t="e">
        <f t="shared" si="69"/>
        <v>#REF!</v>
      </c>
      <c r="Q247" s="25" t="e">
        <f t="shared" si="70"/>
        <v>#REF!</v>
      </c>
      <c r="R247" s="25" t="e">
        <f t="shared" si="71"/>
        <v>#REF!</v>
      </c>
      <c r="S247" s="25" t="e">
        <f t="shared" si="72"/>
        <v>#REF!</v>
      </c>
      <c r="T247" s="25" t="e">
        <f t="shared" si="73"/>
        <v>#REF!</v>
      </c>
      <c r="U247" s="25" t="e">
        <f t="shared" si="74"/>
        <v>#REF!</v>
      </c>
      <c r="V247" s="25" t="e">
        <f t="shared" si="75"/>
        <v>#REF!</v>
      </c>
    </row>
    <row r="248" spans="1:22" ht="14.25" customHeight="1" x14ac:dyDescent="0.35">
      <c r="A248" s="2" t="s">
        <v>208</v>
      </c>
      <c r="B248" s="13" t="s">
        <v>52</v>
      </c>
      <c r="C248" s="13">
        <v>23081</v>
      </c>
      <c r="D248" s="14">
        <v>12663</v>
      </c>
      <c r="E248" s="15" t="e">
        <f>#REF!+#REF!+#REF!+#REF!+#REF!+#REF!+#REF!+GreenMobility!L248+#REF!+#REF!+#REF!+Partago!L248+#REF!+#REF!+#REF!</f>
        <v>#REF!</v>
      </c>
      <c r="F248" s="16" t="e">
        <f t="shared" si="0"/>
        <v>#REF!</v>
      </c>
      <c r="G248" s="19" t="e">
        <f>#REF!+#REF!+#REF!+#REF!+#REF!+#REF!+#REF!+#REF!+#REF!+Moovee!A248+#REF!+#REF!+#REF!</f>
        <v>#REF!</v>
      </c>
      <c r="H248" s="16" t="e">
        <f t="shared" si="1"/>
        <v>#REF!</v>
      </c>
      <c r="I248" s="30">
        <f t="shared" si="2"/>
        <v>25.326000000000001</v>
      </c>
      <c r="J248" s="31" t="e">
        <f t="shared" si="3"/>
        <v>#REF!</v>
      </c>
      <c r="K248" s="25" t="e">
        <f t="shared" si="64"/>
        <v>#REF!</v>
      </c>
      <c r="L248" s="25" t="e">
        <f t="shared" si="65"/>
        <v>#REF!</v>
      </c>
      <c r="M248" s="25" t="e">
        <f t="shared" si="66"/>
        <v>#REF!</v>
      </c>
      <c r="N248" s="25" t="e">
        <f t="shared" si="67"/>
        <v>#REF!</v>
      </c>
      <c r="O248" s="25" t="e">
        <f t="shared" si="68"/>
        <v>#REF!</v>
      </c>
      <c r="P248" s="25" t="e">
        <f t="shared" si="69"/>
        <v>#REF!</v>
      </c>
      <c r="Q248" s="25" t="e">
        <f t="shared" si="70"/>
        <v>#REF!</v>
      </c>
      <c r="R248" s="25" t="e">
        <f t="shared" si="71"/>
        <v>#REF!</v>
      </c>
      <c r="S248" s="25" t="e">
        <f t="shared" si="72"/>
        <v>#REF!</v>
      </c>
      <c r="T248" s="25" t="e">
        <f t="shared" si="73"/>
        <v>#REF!</v>
      </c>
      <c r="U248" s="25" t="e">
        <f t="shared" si="74"/>
        <v>#REF!</v>
      </c>
      <c r="V248" s="25" t="e">
        <f t="shared" si="75"/>
        <v>#REF!</v>
      </c>
    </row>
    <row r="249" spans="1:22" ht="14.25" customHeight="1" x14ac:dyDescent="0.35">
      <c r="A249" s="2" t="s">
        <v>285</v>
      </c>
      <c r="B249" s="13" t="s">
        <v>50</v>
      </c>
      <c r="C249" s="13">
        <v>46024</v>
      </c>
      <c r="D249" s="14">
        <v>19589</v>
      </c>
      <c r="E249" s="15" t="e">
        <f>#REF!+#REF!+#REF!+#REF!+#REF!+#REF!+#REF!+GreenMobility!L249+#REF!+#REF!+#REF!+Partago!L249+#REF!+#REF!+#REF!</f>
        <v>#REF!</v>
      </c>
      <c r="F249" s="16" t="e">
        <f t="shared" si="0"/>
        <v>#REF!</v>
      </c>
      <c r="G249" s="19" t="e">
        <f>#REF!+#REF!+#REF!+#REF!+#REF!+#REF!+#REF!+#REF!+#REF!+Moovee!A249+#REF!+#REF!+#REF!</f>
        <v>#REF!</v>
      </c>
      <c r="H249" s="16" t="e">
        <f t="shared" si="1"/>
        <v>#REF!</v>
      </c>
      <c r="I249" s="30">
        <f t="shared" si="2"/>
        <v>39.177999999999997</v>
      </c>
      <c r="J249" s="31" t="e">
        <f t="shared" si="3"/>
        <v>#REF!</v>
      </c>
      <c r="K249" s="25" t="e">
        <f t="shared" si="64"/>
        <v>#REF!</v>
      </c>
      <c r="L249" s="25" t="e">
        <f t="shared" si="65"/>
        <v>#REF!</v>
      </c>
      <c r="M249" s="25" t="e">
        <f t="shared" si="66"/>
        <v>#REF!</v>
      </c>
      <c r="N249" s="25" t="e">
        <f t="shared" si="67"/>
        <v>#REF!</v>
      </c>
      <c r="O249" s="25" t="e">
        <f t="shared" si="68"/>
        <v>#REF!</v>
      </c>
      <c r="P249" s="25" t="e">
        <f t="shared" si="69"/>
        <v>#REF!</v>
      </c>
      <c r="Q249" s="25" t="e">
        <f t="shared" si="70"/>
        <v>#REF!</v>
      </c>
      <c r="R249" s="25" t="e">
        <f t="shared" si="71"/>
        <v>#REF!</v>
      </c>
      <c r="S249" s="25" t="e">
        <f t="shared" si="72"/>
        <v>#REF!</v>
      </c>
      <c r="T249" s="25" t="e">
        <f t="shared" si="73"/>
        <v>#REF!</v>
      </c>
      <c r="U249" s="25" t="e">
        <f t="shared" si="74"/>
        <v>#REF!</v>
      </c>
      <c r="V249" s="25" t="e">
        <f t="shared" si="75"/>
        <v>#REF!</v>
      </c>
    </row>
    <row r="250" spans="1:22" ht="14.25" customHeight="1" x14ac:dyDescent="0.35">
      <c r="A250" s="2" t="s">
        <v>166</v>
      </c>
      <c r="B250" s="13" t="s">
        <v>50</v>
      </c>
      <c r="C250" s="13">
        <v>46025</v>
      </c>
      <c r="D250" s="14">
        <v>31271</v>
      </c>
      <c r="E250" s="15" t="e">
        <f>#REF!+#REF!+#REF!+#REF!+#REF!+#REF!+#REF!+GreenMobility!L250+#REF!+#REF!+#REF!+Partago!L250+#REF!+#REF!+#REF!</f>
        <v>#REF!</v>
      </c>
      <c r="F250" s="16" t="e">
        <f t="shared" si="0"/>
        <v>#REF!</v>
      </c>
      <c r="G250" s="19" t="e">
        <f>#REF!+#REF!+#REF!+#REF!+#REF!+#REF!+#REF!+#REF!+#REF!+Moovee!A250+#REF!+#REF!+#REF!</f>
        <v>#REF!</v>
      </c>
      <c r="H250" s="16" t="e">
        <f t="shared" si="1"/>
        <v>#REF!</v>
      </c>
      <c r="I250" s="30">
        <f t="shared" si="2"/>
        <v>62.542000000000002</v>
      </c>
      <c r="J250" s="31" t="e">
        <f t="shared" si="3"/>
        <v>#REF!</v>
      </c>
      <c r="K250" s="25" t="e">
        <f t="shared" si="64"/>
        <v>#REF!</v>
      </c>
      <c r="L250" s="25" t="e">
        <f t="shared" si="65"/>
        <v>#REF!</v>
      </c>
      <c r="M250" s="25" t="e">
        <f t="shared" si="66"/>
        <v>#REF!</v>
      </c>
      <c r="N250" s="25" t="e">
        <f t="shared" si="67"/>
        <v>#REF!</v>
      </c>
      <c r="O250" s="25" t="e">
        <f t="shared" si="68"/>
        <v>#REF!</v>
      </c>
      <c r="P250" s="25" t="e">
        <f t="shared" si="69"/>
        <v>#REF!</v>
      </c>
      <c r="Q250" s="25" t="e">
        <f t="shared" si="70"/>
        <v>#REF!</v>
      </c>
      <c r="R250" s="25" t="e">
        <f t="shared" si="71"/>
        <v>#REF!</v>
      </c>
      <c r="S250" s="25" t="e">
        <f t="shared" si="72"/>
        <v>#REF!</v>
      </c>
      <c r="T250" s="25" t="e">
        <f t="shared" si="73"/>
        <v>#REF!</v>
      </c>
      <c r="U250" s="25" t="e">
        <f t="shared" si="74"/>
        <v>#REF!</v>
      </c>
      <c r="V250" s="25" t="e">
        <f t="shared" si="75"/>
        <v>#REF!</v>
      </c>
    </row>
    <row r="251" spans="1:22" ht="14.25" customHeight="1" x14ac:dyDescent="0.35">
      <c r="A251" s="2" t="s">
        <v>217</v>
      </c>
      <c r="B251" s="13" t="s">
        <v>52</v>
      </c>
      <c r="C251" s="13">
        <v>23086</v>
      </c>
      <c r="D251" s="14">
        <v>16578</v>
      </c>
      <c r="E251" s="15" t="e">
        <f>#REF!+#REF!+#REF!+#REF!+#REF!+#REF!+#REF!+GreenMobility!L251+#REF!+#REF!+#REF!+Partago!L251+#REF!+#REF!+#REF!</f>
        <v>#REF!</v>
      </c>
      <c r="F251" s="16" t="e">
        <f t="shared" si="0"/>
        <v>#REF!</v>
      </c>
      <c r="G251" s="19" t="e">
        <f>#REF!+#REF!+#REF!+#REF!+#REF!+#REF!+#REF!+#REF!+#REF!+Moovee!A251+#REF!+#REF!+#REF!</f>
        <v>#REF!</v>
      </c>
      <c r="H251" s="16" t="e">
        <f t="shared" si="1"/>
        <v>#REF!</v>
      </c>
      <c r="I251" s="30">
        <f t="shared" si="2"/>
        <v>33.155999999999999</v>
      </c>
      <c r="J251" s="31" t="e">
        <f t="shared" si="3"/>
        <v>#REF!</v>
      </c>
      <c r="K251" s="25" t="e">
        <f t="shared" si="64"/>
        <v>#REF!</v>
      </c>
      <c r="L251" s="25" t="e">
        <f t="shared" si="65"/>
        <v>#REF!</v>
      </c>
      <c r="M251" s="25" t="e">
        <f t="shared" si="66"/>
        <v>#REF!</v>
      </c>
      <c r="N251" s="25" t="e">
        <f t="shared" si="67"/>
        <v>#REF!</v>
      </c>
      <c r="O251" s="25" t="e">
        <f t="shared" si="68"/>
        <v>#REF!</v>
      </c>
      <c r="P251" s="25" t="e">
        <f t="shared" si="69"/>
        <v>#REF!</v>
      </c>
      <c r="Q251" s="25" t="e">
        <f t="shared" si="70"/>
        <v>#REF!</v>
      </c>
      <c r="R251" s="25" t="e">
        <f t="shared" si="71"/>
        <v>#REF!</v>
      </c>
      <c r="S251" s="25" t="e">
        <f t="shared" si="72"/>
        <v>#REF!</v>
      </c>
      <c r="T251" s="25" t="e">
        <f t="shared" si="73"/>
        <v>#REF!</v>
      </c>
      <c r="U251" s="25" t="e">
        <f t="shared" si="74"/>
        <v>#REF!</v>
      </c>
      <c r="V251" s="25" t="e">
        <f t="shared" si="75"/>
        <v>#REF!</v>
      </c>
    </row>
    <row r="252" spans="1:22" ht="14.25" customHeight="1" x14ac:dyDescent="0.35">
      <c r="A252" s="2" t="s">
        <v>87</v>
      </c>
      <c r="B252" s="13" t="s">
        <v>52</v>
      </c>
      <c r="C252" s="13">
        <v>24104</v>
      </c>
      <c r="D252" s="14">
        <v>23077</v>
      </c>
      <c r="E252" s="15" t="e">
        <f>#REF!+#REF!+#REF!+#REF!+#REF!+#REF!+#REF!+GreenMobility!L252+#REF!+#REF!+#REF!+Partago!L252+#REF!+#REF!+#REF!</f>
        <v>#REF!</v>
      </c>
      <c r="F252" s="16" t="e">
        <f t="shared" si="0"/>
        <v>#REF!</v>
      </c>
      <c r="G252" s="19" t="e">
        <f>#REF!+#REF!+#REF!+#REF!+#REF!+#REF!+#REF!+#REF!+#REF!+Moovee!A252+#REF!+#REF!+#REF!</f>
        <v>#REF!</v>
      </c>
      <c r="H252" s="16" t="e">
        <f t="shared" si="1"/>
        <v>#REF!</v>
      </c>
      <c r="I252" s="30">
        <f t="shared" si="2"/>
        <v>46.154000000000003</v>
      </c>
      <c r="J252" s="31" t="e">
        <f t="shared" si="3"/>
        <v>#REF!</v>
      </c>
      <c r="K252" s="25" t="e">
        <f t="shared" si="64"/>
        <v>#REF!</v>
      </c>
      <c r="L252" s="25" t="e">
        <f t="shared" si="65"/>
        <v>#REF!</v>
      </c>
      <c r="M252" s="25" t="e">
        <f t="shared" si="66"/>
        <v>#REF!</v>
      </c>
      <c r="N252" s="25" t="e">
        <f t="shared" si="67"/>
        <v>#REF!</v>
      </c>
      <c r="O252" s="25" t="e">
        <f t="shared" si="68"/>
        <v>#REF!</v>
      </c>
      <c r="P252" s="25" t="e">
        <f t="shared" si="69"/>
        <v>#REF!</v>
      </c>
      <c r="Q252" s="25" t="e">
        <f t="shared" si="70"/>
        <v>#REF!</v>
      </c>
      <c r="R252" s="25" t="e">
        <f t="shared" si="71"/>
        <v>#REF!</v>
      </c>
      <c r="S252" s="25" t="e">
        <f t="shared" si="72"/>
        <v>#REF!</v>
      </c>
      <c r="T252" s="25" t="e">
        <f t="shared" si="73"/>
        <v>#REF!</v>
      </c>
      <c r="U252" s="25" t="e">
        <f t="shared" si="74"/>
        <v>#REF!</v>
      </c>
      <c r="V252" s="25" t="e">
        <f t="shared" si="75"/>
        <v>#REF!</v>
      </c>
    </row>
    <row r="253" spans="1:22" ht="14.25" customHeight="1" x14ac:dyDescent="0.35">
      <c r="A253" s="2" t="s">
        <v>355</v>
      </c>
      <c r="B253" s="13" t="s">
        <v>59</v>
      </c>
      <c r="C253" s="13">
        <v>71057</v>
      </c>
      <c r="D253" s="14">
        <v>19011</v>
      </c>
      <c r="E253" s="15" t="e">
        <f>#REF!+#REF!+#REF!+#REF!+#REF!+#REF!+#REF!+GreenMobility!L253+#REF!+#REF!+#REF!+Partago!L253+#REF!+#REF!+#REF!</f>
        <v>#REF!</v>
      </c>
      <c r="F253" s="16" t="e">
        <f t="shared" si="0"/>
        <v>#REF!</v>
      </c>
      <c r="G253" s="19" t="e">
        <f>#REF!+#REF!+#REF!+#REF!+#REF!+#REF!+#REF!+#REF!+#REF!+Moovee!A253+#REF!+#REF!+#REF!</f>
        <v>#REF!</v>
      </c>
      <c r="H253" s="16" t="e">
        <f t="shared" si="1"/>
        <v>#REF!</v>
      </c>
      <c r="I253" s="30">
        <f t="shared" si="2"/>
        <v>38.021999999999998</v>
      </c>
      <c r="J253" s="31" t="e">
        <f t="shared" si="3"/>
        <v>#REF!</v>
      </c>
      <c r="K253" s="25" t="e">
        <f t="shared" si="64"/>
        <v>#REF!</v>
      </c>
      <c r="L253" s="25" t="e">
        <f t="shared" si="65"/>
        <v>#REF!</v>
      </c>
      <c r="M253" s="25" t="e">
        <f t="shared" si="66"/>
        <v>#REF!</v>
      </c>
      <c r="N253" s="25" t="e">
        <f t="shared" si="67"/>
        <v>#REF!</v>
      </c>
      <c r="O253" s="25" t="e">
        <f t="shared" si="68"/>
        <v>#REF!</v>
      </c>
      <c r="P253" s="25" t="e">
        <f t="shared" si="69"/>
        <v>#REF!</v>
      </c>
      <c r="Q253" s="25" t="e">
        <f t="shared" si="70"/>
        <v>#REF!</v>
      </c>
      <c r="R253" s="25" t="e">
        <f t="shared" si="71"/>
        <v>#REF!</v>
      </c>
      <c r="S253" s="25" t="e">
        <f t="shared" si="72"/>
        <v>#REF!</v>
      </c>
      <c r="T253" s="25" t="e">
        <f t="shared" si="73"/>
        <v>#REF!</v>
      </c>
      <c r="U253" s="25" t="e">
        <f t="shared" si="74"/>
        <v>#REF!</v>
      </c>
      <c r="V253" s="25" t="e">
        <f t="shared" si="75"/>
        <v>#REF!</v>
      </c>
    </row>
    <row r="254" spans="1:22" ht="14.25" customHeight="1" x14ac:dyDescent="0.35">
      <c r="A254" s="2" t="s">
        <v>102</v>
      </c>
      <c r="B254" s="13" t="s">
        <v>55</v>
      </c>
      <c r="C254" s="13">
        <v>37015</v>
      </c>
      <c r="D254" s="14">
        <v>20627</v>
      </c>
      <c r="E254" s="15" t="e">
        <f>#REF!+#REF!+#REF!+#REF!+#REF!+#REF!+#REF!+GreenMobility!L254+#REF!+#REF!+#REF!+Partago!L254+#REF!+#REF!+#REF!</f>
        <v>#REF!</v>
      </c>
      <c r="F254" s="16" t="e">
        <f t="shared" si="0"/>
        <v>#REF!</v>
      </c>
      <c r="G254" s="19" t="e">
        <f>#REF!+#REF!+#REF!+#REF!+#REF!+#REF!+#REF!+#REF!+#REF!+Moovee!A254+#REF!+#REF!+#REF!</f>
        <v>#REF!</v>
      </c>
      <c r="H254" s="16" t="e">
        <f t="shared" si="1"/>
        <v>#REF!</v>
      </c>
      <c r="I254" s="30">
        <f t="shared" si="2"/>
        <v>41.253999999999998</v>
      </c>
      <c r="J254" s="31" t="e">
        <f t="shared" si="3"/>
        <v>#REF!</v>
      </c>
      <c r="K254" s="25" t="e">
        <f t="shared" si="64"/>
        <v>#REF!</v>
      </c>
      <c r="L254" s="25" t="e">
        <f t="shared" si="65"/>
        <v>#REF!</v>
      </c>
      <c r="M254" s="25" t="e">
        <f t="shared" si="66"/>
        <v>#REF!</v>
      </c>
      <c r="N254" s="25" t="e">
        <f t="shared" si="67"/>
        <v>#REF!</v>
      </c>
      <c r="O254" s="25" t="e">
        <f t="shared" si="68"/>
        <v>#REF!</v>
      </c>
      <c r="P254" s="25" t="e">
        <f t="shared" si="69"/>
        <v>#REF!</v>
      </c>
      <c r="Q254" s="25" t="e">
        <f t="shared" si="70"/>
        <v>#REF!</v>
      </c>
      <c r="R254" s="25" t="e">
        <f t="shared" si="71"/>
        <v>#REF!</v>
      </c>
      <c r="S254" s="25" t="e">
        <f t="shared" si="72"/>
        <v>#REF!</v>
      </c>
      <c r="T254" s="25" t="e">
        <f t="shared" si="73"/>
        <v>#REF!</v>
      </c>
      <c r="U254" s="25" t="e">
        <f t="shared" si="74"/>
        <v>#REF!</v>
      </c>
      <c r="V254" s="25" t="e">
        <f t="shared" si="75"/>
        <v>#REF!</v>
      </c>
    </row>
    <row r="255" spans="1:22" ht="14.25" customHeight="1" x14ac:dyDescent="0.35">
      <c r="A255" s="2" t="s">
        <v>302</v>
      </c>
      <c r="B255" s="13" t="s">
        <v>52</v>
      </c>
      <c r="C255" s="13">
        <v>24135</v>
      </c>
      <c r="D255" s="14">
        <v>11604</v>
      </c>
      <c r="E255" s="15" t="e">
        <f>#REF!+#REF!+#REF!+#REF!+#REF!+#REF!+#REF!+GreenMobility!L255+#REF!+#REF!+#REF!+Partago!L255+#REF!+#REF!+#REF!</f>
        <v>#REF!</v>
      </c>
      <c r="F255" s="16" t="e">
        <f t="shared" si="0"/>
        <v>#REF!</v>
      </c>
      <c r="G255" s="19" t="e">
        <f>#REF!+#REF!+#REF!+#REF!+#REF!+#REF!+#REF!+#REF!+#REF!+Moovee!A255+#REF!+#REF!+#REF!</f>
        <v>#REF!</v>
      </c>
      <c r="H255" s="16" t="e">
        <f t="shared" si="1"/>
        <v>#REF!</v>
      </c>
      <c r="I255" s="30">
        <f t="shared" si="2"/>
        <v>23.207999999999998</v>
      </c>
      <c r="J255" s="31" t="e">
        <f t="shared" si="3"/>
        <v>#REF!</v>
      </c>
      <c r="K255" s="25" t="e">
        <f t="shared" si="64"/>
        <v>#REF!</v>
      </c>
      <c r="L255" s="25" t="e">
        <f t="shared" si="65"/>
        <v>#REF!</v>
      </c>
      <c r="M255" s="25" t="e">
        <f t="shared" si="66"/>
        <v>#REF!</v>
      </c>
      <c r="N255" s="25" t="e">
        <f t="shared" si="67"/>
        <v>#REF!</v>
      </c>
      <c r="O255" s="25" t="e">
        <f t="shared" si="68"/>
        <v>#REF!</v>
      </c>
      <c r="P255" s="25" t="e">
        <f t="shared" si="69"/>
        <v>#REF!</v>
      </c>
      <c r="Q255" s="25" t="e">
        <f t="shared" si="70"/>
        <v>#REF!</v>
      </c>
      <c r="R255" s="25" t="e">
        <f t="shared" si="71"/>
        <v>#REF!</v>
      </c>
      <c r="S255" s="25" t="e">
        <f t="shared" si="72"/>
        <v>#REF!</v>
      </c>
      <c r="T255" s="25" t="e">
        <f t="shared" si="73"/>
        <v>#REF!</v>
      </c>
      <c r="U255" s="25" t="e">
        <f t="shared" si="74"/>
        <v>#REF!</v>
      </c>
      <c r="V255" s="25" t="e">
        <f t="shared" si="75"/>
        <v>#REF!</v>
      </c>
    </row>
    <row r="256" spans="1:22" ht="14.25" customHeight="1" x14ac:dyDescent="0.35">
      <c r="A256" s="2" t="s">
        <v>104</v>
      </c>
      <c r="B256" s="13" t="s">
        <v>52</v>
      </c>
      <c r="C256" s="13">
        <v>24107</v>
      </c>
      <c r="D256" s="14">
        <v>36581</v>
      </c>
      <c r="E256" s="15" t="e">
        <f>#REF!+#REF!+#REF!+#REF!+#REF!+#REF!+#REF!+GreenMobility!L256+#REF!+#REF!+#REF!+Partago!L256+#REF!+#REF!+#REF!</f>
        <v>#REF!</v>
      </c>
      <c r="F256" s="16" t="e">
        <f t="shared" si="0"/>
        <v>#REF!</v>
      </c>
      <c r="G256" s="19" t="e">
        <f>#REF!+#REF!+#REF!+#REF!+#REF!+#REF!+#REF!+#REF!+#REF!+Moovee!A256+#REF!+#REF!+#REF!</f>
        <v>#REF!</v>
      </c>
      <c r="H256" s="16" t="e">
        <f t="shared" si="1"/>
        <v>#REF!</v>
      </c>
      <c r="I256" s="30">
        <f t="shared" si="2"/>
        <v>73.162000000000006</v>
      </c>
      <c r="J256" s="31" t="e">
        <f t="shared" si="3"/>
        <v>#REF!</v>
      </c>
      <c r="K256" s="25" t="e">
        <f t="shared" si="64"/>
        <v>#REF!</v>
      </c>
      <c r="L256" s="25" t="e">
        <f t="shared" si="65"/>
        <v>#REF!</v>
      </c>
      <c r="M256" s="25" t="e">
        <f t="shared" si="66"/>
        <v>#REF!</v>
      </c>
      <c r="N256" s="25" t="e">
        <f t="shared" si="67"/>
        <v>#REF!</v>
      </c>
      <c r="O256" s="25" t="e">
        <f t="shared" si="68"/>
        <v>#REF!</v>
      </c>
      <c r="P256" s="25" t="e">
        <f t="shared" si="69"/>
        <v>#REF!</v>
      </c>
      <c r="Q256" s="25" t="e">
        <f t="shared" si="70"/>
        <v>#REF!</v>
      </c>
      <c r="R256" s="25" t="e">
        <f t="shared" si="71"/>
        <v>#REF!</v>
      </c>
      <c r="S256" s="25" t="e">
        <f t="shared" si="72"/>
        <v>#REF!</v>
      </c>
      <c r="T256" s="25" t="e">
        <f t="shared" si="73"/>
        <v>#REF!</v>
      </c>
      <c r="U256" s="25" t="e">
        <f t="shared" si="74"/>
        <v>#REF!</v>
      </c>
      <c r="V256" s="25" t="e">
        <f t="shared" si="75"/>
        <v>#REF!</v>
      </c>
    </row>
    <row r="257" spans="1:22" ht="14.25" customHeight="1" x14ac:dyDescent="0.35">
      <c r="A257" s="2" t="s">
        <v>356</v>
      </c>
      <c r="B257" s="13" t="s">
        <v>59</v>
      </c>
      <c r="C257" s="13">
        <v>73083</v>
      </c>
      <c r="D257" s="14">
        <v>32138</v>
      </c>
      <c r="E257" s="15" t="e">
        <f>#REF!+#REF!+#REF!+#REF!+#REF!+#REF!+#REF!+GreenMobility!L257+#REF!+#REF!+#REF!+Partago!L257+#REF!+#REF!+#REF!</f>
        <v>#REF!</v>
      </c>
      <c r="F257" s="16" t="e">
        <f t="shared" ref="F257:F301" si="76">(E257/D257)*1000</f>
        <v>#REF!</v>
      </c>
      <c r="G257" s="19" t="e">
        <f>#REF!+#REF!+#REF!+#REF!+#REF!+#REF!+#REF!+#REF!+#REF!+Moovee!A257+#REF!+#REF!+#REF!</f>
        <v>#REF!</v>
      </c>
      <c r="H257" s="16" t="e">
        <f t="shared" ref="H257:H301" si="77">(G257/D257)*1000</f>
        <v>#REF!</v>
      </c>
      <c r="I257" s="30">
        <f t="shared" ref="I257:I301" si="78">D257/1000*2</f>
        <v>64.275999999999996</v>
      </c>
      <c r="J257" s="31" t="e">
        <f t="shared" ref="J257:J301" si="79">I257-G257</f>
        <v>#REF!</v>
      </c>
      <c r="K257" s="25" t="e">
        <f t="shared" si="64"/>
        <v>#REF!</v>
      </c>
      <c r="L257" s="25" t="e">
        <f t="shared" si="65"/>
        <v>#REF!</v>
      </c>
      <c r="M257" s="25" t="e">
        <f t="shared" si="66"/>
        <v>#REF!</v>
      </c>
      <c r="N257" s="25" t="e">
        <f t="shared" si="67"/>
        <v>#REF!</v>
      </c>
      <c r="O257" s="25" t="e">
        <f t="shared" si="68"/>
        <v>#REF!</v>
      </c>
      <c r="P257" s="25" t="e">
        <f t="shared" si="69"/>
        <v>#REF!</v>
      </c>
      <c r="Q257" s="25" t="e">
        <f t="shared" si="70"/>
        <v>#REF!</v>
      </c>
      <c r="R257" s="25" t="e">
        <f t="shared" si="71"/>
        <v>#REF!</v>
      </c>
      <c r="S257" s="25" t="e">
        <f t="shared" si="72"/>
        <v>#REF!</v>
      </c>
      <c r="T257" s="25" t="e">
        <f t="shared" si="73"/>
        <v>#REF!</v>
      </c>
      <c r="U257" s="25" t="e">
        <f t="shared" si="74"/>
        <v>#REF!</v>
      </c>
      <c r="V257" s="25" t="e">
        <f t="shared" si="75"/>
        <v>#REF!</v>
      </c>
    </row>
    <row r="258" spans="1:22" ht="14.25" customHeight="1" x14ac:dyDescent="0.35">
      <c r="A258" s="2" t="s">
        <v>93</v>
      </c>
      <c r="B258" s="13" t="s">
        <v>55</v>
      </c>
      <c r="C258" s="13">
        <v>31033</v>
      </c>
      <c r="D258" s="14">
        <v>20965</v>
      </c>
      <c r="E258" s="15" t="e">
        <f>#REF!+#REF!+#REF!+#REF!+#REF!+#REF!+#REF!+GreenMobility!L258+#REF!+#REF!+#REF!+Partago!L258+#REF!+#REF!+#REF!</f>
        <v>#REF!</v>
      </c>
      <c r="F258" s="16" t="e">
        <f t="shared" si="76"/>
        <v>#REF!</v>
      </c>
      <c r="G258" s="19" t="e">
        <f>#REF!+#REF!+#REF!+#REF!+#REF!+#REF!+#REF!+#REF!+#REF!+Moovee!A258+#REF!+#REF!+#REF!</f>
        <v>#REF!</v>
      </c>
      <c r="H258" s="16" t="e">
        <f t="shared" si="77"/>
        <v>#REF!</v>
      </c>
      <c r="I258" s="30">
        <f t="shared" si="78"/>
        <v>41.93</v>
      </c>
      <c r="J258" s="31" t="e">
        <f t="shared" si="79"/>
        <v>#REF!</v>
      </c>
      <c r="K258" s="25" t="e">
        <f t="shared" si="64"/>
        <v>#REF!</v>
      </c>
      <c r="L258" s="25" t="e">
        <f t="shared" si="65"/>
        <v>#REF!</v>
      </c>
      <c r="M258" s="25" t="e">
        <f t="shared" si="66"/>
        <v>#REF!</v>
      </c>
      <c r="N258" s="25" t="e">
        <f t="shared" si="67"/>
        <v>#REF!</v>
      </c>
      <c r="O258" s="25" t="e">
        <f t="shared" si="68"/>
        <v>#REF!</v>
      </c>
      <c r="P258" s="25" t="e">
        <f t="shared" si="69"/>
        <v>#REF!</v>
      </c>
      <c r="Q258" s="25" t="e">
        <f t="shared" si="70"/>
        <v>#REF!</v>
      </c>
      <c r="R258" s="25" t="e">
        <f t="shared" si="71"/>
        <v>#REF!</v>
      </c>
      <c r="S258" s="25" t="e">
        <f t="shared" si="72"/>
        <v>#REF!</v>
      </c>
      <c r="T258" s="25" t="e">
        <f t="shared" si="73"/>
        <v>#REF!</v>
      </c>
      <c r="U258" s="25" t="e">
        <f t="shared" si="74"/>
        <v>#REF!</v>
      </c>
      <c r="V258" s="25" t="e">
        <f t="shared" si="75"/>
        <v>#REF!</v>
      </c>
    </row>
    <row r="259" spans="1:22" ht="14.25" customHeight="1" x14ac:dyDescent="0.35">
      <c r="A259" s="2" t="s">
        <v>215</v>
      </c>
      <c r="B259" s="13" t="s">
        <v>52</v>
      </c>
      <c r="C259" s="13">
        <v>24109</v>
      </c>
      <c r="D259" s="14">
        <v>15417</v>
      </c>
      <c r="E259" s="15" t="e">
        <f>#REF!+#REF!+#REF!+#REF!+#REF!+#REF!+#REF!+GreenMobility!L259+#REF!+#REF!+#REF!+Partago!L259+#REF!+#REF!+#REF!</f>
        <v>#REF!</v>
      </c>
      <c r="F259" s="16" t="e">
        <f t="shared" si="76"/>
        <v>#REF!</v>
      </c>
      <c r="G259" s="19" t="e">
        <f>#REF!+#REF!+#REF!+#REF!+#REF!+#REF!+#REF!+#REF!+#REF!+Moovee!A259+#REF!+#REF!+#REF!</f>
        <v>#REF!</v>
      </c>
      <c r="H259" s="16" t="e">
        <f t="shared" si="77"/>
        <v>#REF!</v>
      </c>
      <c r="I259" s="30">
        <f t="shared" si="78"/>
        <v>30.834</v>
      </c>
      <c r="J259" s="31" t="e">
        <f t="shared" si="79"/>
        <v>#REF!</v>
      </c>
      <c r="K259" s="25" t="e">
        <f t="shared" si="64"/>
        <v>#REF!</v>
      </c>
      <c r="L259" s="25" t="e">
        <f t="shared" si="65"/>
        <v>#REF!</v>
      </c>
      <c r="M259" s="25" t="e">
        <f t="shared" si="66"/>
        <v>#REF!</v>
      </c>
      <c r="N259" s="25" t="e">
        <f t="shared" si="67"/>
        <v>#REF!</v>
      </c>
      <c r="O259" s="25" t="e">
        <f t="shared" si="68"/>
        <v>#REF!</v>
      </c>
      <c r="P259" s="25" t="e">
        <f t="shared" si="69"/>
        <v>#REF!</v>
      </c>
      <c r="Q259" s="25" t="e">
        <f t="shared" si="70"/>
        <v>#REF!</v>
      </c>
      <c r="R259" s="25" t="e">
        <f t="shared" si="71"/>
        <v>#REF!</v>
      </c>
      <c r="S259" s="25" t="e">
        <f t="shared" si="72"/>
        <v>#REF!</v>
      </c>
      <c r="T259" s="25" t="e">
        <f t="shared" si="73"/>
        <v>#REF!</v>
      </c>
      <c r="U259" s="25" t="e">
        <f t="shared" si="74"/>
        <v>#REF!</v>
      </c>
      <c r="V259" s="25" t="e">
        <f t="shared" si="75"/>
        <v>#REF!</v>
      </c>
    </row>
    <row r="260" spans="1:22" ht="14.25" customHeight="1" x14ac:dyDescent="0.35">
      <c r="A260" s="2" t="s">
        <v>61</v>
      </c>
      <c r="B260" s="13" t="s">
        <v>48</v>
      </c>
      <c r="C260" s="13">
        <v>13040</v>
      </c>
      <c r="D260" s="14">
        <v>47305</v>
      </c>
      <c r="E260" s="15" t="e">
        <f>#REF!+#REF!+#REF!+#REF!+#REF!+#REF!+#REF!+GreenMobility!L260+#REF!+#REF!+#REF!+Partago!L260+#REF!+#REF!+#REF!</f>
        <v>#REF!</v>
      </c>
      <c r="F260" s="16" t="e">
        <f t="shared" si="76"/>
        <v>#REF!</v>
      </c>
      <c r="G260" s="19" t="e">
        <f>#REF!+#REF!+#REF!+#REF!+#REF!+#REF!+#REF!+#REF!+#REF!+Moovee!A260+#REF!+#REF!+#REF!</f>
        <v>#REF!</v>
      </c>
      <c r="H260" s="16" t="e">
        <f t="shared" si="77"/>
        <v>#REF!</v>
      </c>
      <c r="I260" s="30">
        <f t="shared" si="78"/>
        <v>94.61</v>
      </c>
      <c r="J260" s="31" t="e">
        <f t="shared" si="79"/>
        <v>#REF!</v>
      </c>
      <c r="K260" s="25" t="e">
        <f t="shared" si="64"/>
        <v>#REF!</v>
      </c>
      <c r="L260" s="25" t="e">
        <f t="shared" si="65"/>
        <v>#REF!</v>
      </c>
      <c r="M260" s="25" t="e">
        <f t="shared" si="66"/>
        <v>#REF!</v>
      </c>
      <c r="N260" s="25" t="e">
        <f t="shared" si="67"/>
        <v>#REF!</v>
      </c>
      <c r="O260" s="25" t="e">
        <f t="shared" si="68"/>
        <v>#REF!</v>
      </c>
      <c r="P260" s="25" t="e">
        <f t="shared" si="69"/>
        <v>#REF!</v>
      </c>
      <c r="Q260" s="25" t="e">
        <f t="shared" si="70"/>
        <v>#REF!</v>
      </c>
      <c r="R260" s="25" t="e">
        <f t="shared" si="71"/>
        <v>#REF!</v>
      </c>
      <c r="S260" s="25" t="e">
        <f t="shared" si="72"/>
        <v>#REF!</v>
      </c>
      <c r="T260" s="25" t="e">
        <f t="shared" si="73"/>
        <v>#REF!</v>
      </c>
      <c r="U260" s="25" t="e">
        <f t="shared" si="74"/>
        <v>#REF!</v>
      </c>
      <c r="V260" s="25" t="e">
        <f t="shared" si="75"/>
        <v>#REF!</v>
      </c>
    </row>
    <row r="261" spans="1:22" ht="14.25" customHeight="1" x14ac:dyDescent="0.35">
      <c r="A261" s="2" t="s">
        <v>175</v>
      </c>
      <c r="B261" s="13" t="s">
        <v>55</v>
      </c>
      <c r="C261" s="13">
        <v>38025</v>
      </c>
      <c r="D261" s="14">
        <v>12542</v>
      </c>
      <c r="E261" s="15" t="e">
        <f>#REF!+#REF!+#REF!+#REF!+#REF!+#REF!+#REF!+GreenMobility!L261+#REF!+#REF!+#REF!+Partago!L261+#REF!+#REF!+#REF!</f>
        <v>#REF!</v>
      </c>
      <c r="F261" s="16" t="e">
        <f t="shared" si="76"/>
        <v>#REF!</v>
      </c>
      <c r="G261" s="19" t="e">
        <f>#REF!+#REF!+#REF!+#REF!+#REF!+#REF!+#REF!+#REF!+#REF!+Moovee!A261+#REF!+#REF!+#REF!</f>
        <v>#REF!</v>
      </c>
      <c r="H261" s="16" t="e">
        <f t="shared" si="77"/>
        <v>#REF!</v>
      </c>
      <c r="I261" s="30">
        <f t="shared" si="78"/>
        <v>25.084</v>
      </c>
      <c r="J261" s="31" t="e">
        <f t="shared" si="79"/>
        <v>#REF!</v>
      </c>
      <c r="K261" s="25" t="e">
        <f t="shared" si="64"/>
        <v>#REF!</v>
      </c>
      <c r="L261" s="25" t="e">
        <f t="shared" si="65"/>
        <v>#REF!</v>
      </c>
      <c r="M261" s="25" t="e">
        <f t="shared" si="66"/>
        <v>#REF!</v>
      </c>
      <c r="N261" s="25" t="e">
        <f t="shared" si="67"/>
        <v>#REF!</v>
      </c>
      <c r="O261" s="25" t="e">
        <f t="shared" si="68"/>
        <v>#REF!</v>
      </c>
      <c r="P261" s="25" t="e">
        <f t="shared" si="69"/>
        <v>#REF!</v>
      </c>
      <c r="Q261" s="25" t="e">
        <f t="shared" si="70"/>
        <v>#REF!</v>
      </c>
      <c r="R261" s="25" t="e">
        <f t="shared" si="71"/>
        <v>#REF!</v>
      </c>
      <c r="S261" s="25" t="e">
        <f t="shared" si="72"/>
        <v>#REF!</v>
      </c>
      <c r="T261" s="25" t="e">
        <f t="shared" si="73"/>
        <v>#REF!</v>
      </c>
      <c r="U261" s="25" t="e">
        <f t="shared" si="74"/>
        <v>#REF!</v>
      </c>
      <c r="V261" s="25" t="e">
        <f t="shared" si="75"/>
        <v>#REF!</v>
      </c>
    </row>
    <row r="262" spans="1:22" ht="14.25" customHeight="1" x14ac:dyDescent="0.35">
      <c r="A262" s="2" t="s">
        <v>74</v>
      </c>
      <c r="B262" s="13" t="s">
        <v>52</v>
      </c>
      <c r="C262" s="13">
        <v>23088</v>
      </c>
      <c r="D262" s="14">
        <v>47445</v>
      </c>
      <c r="E262" s="15" t="e">
        <f>#REF!+#REF!+#REF!+#REF!+#REF!+#REF!+#REF!+GreenMobility!L262+#REF!+#REF!+#REF!+Partago!L262+#REF!+#REF!+#REF!</f>
        <v>#REF!</v>
      </c>
      <c r="F262" s="16" t="e">
        <f t="shared" si="76"/>
        <v>#REF!</v>
      </c>
      <c r="G262" s="19" t="e">
        <f>#REF!+#REF!+#REF!+#REF!+#REF!+#REF!+#REF!+#REF!+#REF!+Moovee!A262+#REF!+#REF!+#REF!</f>
        <v>#REF!</v>
      </c>
      <c r="H262" s="16" t="e">
        <f t="shared" si="77"/>
        <v>#REF!</v>
      </c>
      <c r="I262" s="30">
        <f t="shared" si="78"/>
        <v>94.89</v>
      </c>
      <c r="J262" s="31" t="e">
        <f t="shared" si="79"/>
        <v>#REF!</v>
      </c>
      <c r="K262" s="25" t="e">
        <f t="shared" si="64"/>
        <v>#REF!</v>
      </c>
      <c r="L262" s="25" t="e">
        <f t="shared" si="65"/>
        <v>#REF!</v>
      </c>
      <c r="M262" s="25" t="e">
        <f t="shared" si="66"/>
        <v>#REF!</v>
      </c>
      <c r="N262" s="25" t="e">
        <f t="shared" si="67"/>
        <v>#REF!</v>
      </c>
      <c r="O262" s="25" t="e">
        <f t="shared" si="68"/>
        <v>#REF!</v>
      </c>
      <c r="P262" s="25" t="e">
        <f t="shared" si="69"/>
        <v>#REF!</v>
      </c>
      <c r="Q262" s="25" t="e">
        <f t="shared" si="70"/>
        <v>#REF!</v>
      </c>
      <c r="R262" s="25" t="e">
        <f t="shared" si="71"/>
        <v>#REF!</v>
      </c>
      <c r="S262" s="25" t="e">
        <f t="shared" si="72"/>
        <v>#REF!</v>
      </c>
      <c r="T262" s="25" t="e">
        <f t="shared" si="73"/>
        <v>#REF!</v>
      </c>
      <c r="U262" s="25" t="e">
        <f t="shared" si="74"/>
        <v>#REF!</v>
      </c>
      <c r="V262" s="25" t="e">
        <f t="shared" si="75"/>
        <v>#REF!</v>
      </c>
    </row>
    <row r="263" spans="1:22" ht="14.25" customHeight="1" x14ac:dyDescent="0.35">
      <c r="A263" s="2" t="s">
        <v>240</v>
      </c>
      <c r="B263" s="13" t="s">
        <v>55</v>
      </c>
      <c r="C263" s="13">
        <v>33041</v>
      </c>
      <c r="D263" s="14">
        <v>3600</v>
      </c>
      <c r="E263" s="15" t="e">
        <f>#REF!+#REF!+#REF!+#REF!+#REF!+#REF!+#REF!+GreenMobility!L263+#REF!+#REF!+#REF!+Partago!L263+#REF!+#REF!+#REF!</f>
        <v>#REF!</v>
      </c>
      <c r="F263" s="16" t="e">
        <f t="shared" si="76"/>
        <v>#REF!</v>
      </c>
      <c r="G263" s="19" t="e">
        <f>#REF!+#REF!+#REF!+#REF!+#REF!+#REF!+#REF!+#REF!+#REF!+Moovee!A263+#REF!+#REF!+#REF!</f>
        <v>#REF!</v>
      </c>
      <c r="H263" s="16" t="e">
        <f t="shared" si="77"/>
        <v>#REF!</v>
      </c>
      <c r="I263" s="30">
        <f t="shared" si="78"/>
        <v>7.2</v>
      </c>
      <c r="J263" s="31" t="e">
        <f t="shared" si="79"/>
        <v>#REF!</v>
      </c>
      <c r="K263" s="25" t="e">
        <f t="shared" si="64"/>
        <v>#REF!</v>
      </c>
      <c r="L263" s="25" t="e">
        <f t="shared" si="65"/>
        <v>#REF!</v>
      </c>
      <c r="M263" s="25" t="e">
        <f t="shared" si="66"/>
        <v>#REF!</v>
      </c>
      <c r="N263" s="25" t="e">
        <f t="shared" si="67"/>
        <v>#REF!</v>
      </c>
      <c r="O263" s="25" t="e">
        <f t="shared" si="68"/>
        <v>#REF!</v>
      </c>
      <c r="P263" s="25" t="e">
        <f t="shared" si="69"/>
        <v>#REF!</v>
      </c>
      <c r="Q263" s="25" t="e">
        <f t="shared" si="70"/>
        <v>#REF!</v>
      </c>
      <c r="R263" s="25" t="e">
        <f t="shared" si="71"/>
        <v>#REF!</v>
      </c>
      <c r="S263" s="25" t="e">
        <f t="shared" si="72"/>
        <v>#REF!</v>
      </c>
      <c r="T263" s="25" t="e">
        <f t="shared" si="73"/>
        <v>#REF!</v>
      </c>
      <c r="U263" s="25" t="e">
        <f t="shared" si="74"/>
        <v>#REF!</v>
      </c>
      <c r="V263" s="25" t="e">
        <f t="shared" si="75"/>
        <v>#REF!</v>
      </c>
    </row>
    <row r="264" spans="1:22" ht="14.25" customHeight="1" x14ac:dyDescent="0.35">
      <c r="A264" s="2" t="s">
        <v>318</v>
      </c>
      <c r="B264" s="13" t="s">
        <v>59</v>
      </c>
      <c r="C264" s="13">
        <v>73109</v>
      </c>
      <c r="D264" s="14">
        <v>4406</v>
      </c>
      <c r="E264" s="15" t="e">
        <f>#REF!+#REF!+#REF!+#REF!+#REF!+#REF!+#REF!+GreenMobility!L264+#REF!+#REF!+#REF!+Partago!L264+#REF!+#REF!+#REF!</f>
        <v>#REF!</v>
      </c>
      <c r="F264" s="16" t="e">
        <f t="shared" si="76"/>
        <v>#REF!</v>
      </c>
      <c r="G264" s="19" t="e">
        <f>#REF!+#REF!+#REF!+#REF!+#REF!+#REF!+#REF!+#REF!+#REF!+Moovee!A264+#REF!+#REF!+#REF!</f>
        <v>#REF!</v>
      </c>
      <c r="H264" s="16" t="e">
        <f t="shared" si="77"/>
        <v>#REF!</v>
      </c>
      <c r="I264" s="30">
        <f t="shared" si="78"/>
        <v>8.8119999999999994</v>
      </c>
      <c r="J264" s="31" t="e">
        <f t="shared" si="79"/>
        <v>#REF!</v>
      </c>
      <c r="K264" s="25" t="e">
        <f t="shared" si="64"/>
        <v>#REF!</v>
      </c>
      <c r="L264" s="25" t="e">
        <f t="shared" si="65"/>
        <v>#REF!</v>
      </c>
      <c r="M264" s="25" t="e">
        <f t="shared" si="66"/>
        <v>#REF!</v>
      </c>
      <c r="N264" s="25" t="e">
        <f t="shared" si="67"/>
        <v>#REF!</v>
      </c>
      <c r="O264" s="25" t="e">
        <f t="shared" si="68"/>
        <v>#REF!</v>
      </c>
      <c r="P264" s="25" t="e">
        <f t="shared" si="69"/>
        <v>#REF!</v>
      </c>
      <c r="Q264" s="25" t="e">
        <f t="shared" si="70"/>
        <v>#REF!</v>
      </c>
      <c r="R264" s="25" t="e">
        <f t="shared" si="71"/>
        <v>#REF!</v>
      </c>
      <c r="S264" s="25" t="e">
        <f t="shared" si="72"/>
        <v>#REF!</v>
      </c>
      <c r="T264" s="25" t="e">
        <f t="shared" si="73"/>
        <v>#REF!</v>
      </c>
      <c r="U264" s="25" t="e">
        <f t="shared" si="74"/>
        <v>#REF!</v>
      </c>
      <c r="V264" s="25" t="e">
        <f t="shared" si="75"/>
        <v>#REF!</v>
      </c>
    </row>
    <row r="265" spans="1:22" ht="14.25" customHeight="1" x14ac:dyDescent="0.35">
      <c r="A265" s="2" t="s">
        <v>195</v>
      </c>
      <c r="B265" s="13" t="s">
        <v>48</v>
      </c>
      <c r="C265" s="13">
        <v>13044</v>
      </c>
      <c r="D265" s="14">
        <v>8034</v>
      </c>
      <c r="E265" s="15" t="e">
        <f>#REF!+#REF!+#REF!+#REF!+#REF!+#REF!+#REF!+GreenMobility!L265+#REF!+#REF!+#REF!+Partago!L265+#REF!+#REF!+#REF!</f>
        <v>#REF!</v>
      </c>
      <c r="F265" s="16" t="e">
        <f t="shared" si="76"/>
        <v>#REF!</v>
      </c>
      <c r="G265" s="19" t="e">
        <f>#REF!+#REF!+#REF!+#REF!+#REF!+#REF!+#REF!+#REF!+#REF!+Moovee!A265+#REF!+#REF!+#REF!</f>
        <v>#REF!</v>
      </c>
      <c r="H265" s="16" t="e">
        <f t="shared" si="77"/>
        <v>#REF!</v>
      </c>
      <c r="I265" s="30">
        <f t="shared" si="78"/>
        <v>16.068000000000001</v>
      </c>
      <c r="J265" s="31" t="e">
        <f t="shared" si="79"/>
        <v>#REF!</v>
      </c>
      <c r="K265" s="25" t="e">
        <f t="shared" si="64"/>
        <v>#REF!</v>
      </c>
      <c r="L265" s="25" t="e">
        <f t="shared" si="65"/>
        <v>#REF!</v>
      </c>
      <c r="M265" s="25" t="e">
        <f t="shared" si="66"/>
        <v>#REF!</v>
      </c>
      <c r="N265" s="25" t="e">
        <f t="shared" si="67"/>
        <v>#REF!</v>
      </c>
      <c r="O265" s="25" t="e">
        <f t="shared" si="68"/>
        <v>#REF!</v>
      </c>
      <c r="P265" s="25" t="e">
        <f t="shared" si="69"/>
        <v>#REF!</v>
      </c>
      <c r="Q265" s="25" t="e">
        <f t="shared" si="70"/>
        <v>#REF!</v>
      </c>
      <c r="R265" s="25" t="e">
        <f t="shared" si="71"/>
        <v>#REF!</v>
      </c>
      <c r="S265" s="25" t="e">
        <f t="shared" si="72"/>
        <v>#REF!</v>
      </c>
      <c r="T265" s="25" t="e">
        <f t="shared" si="73"/>
        <v>#REF!</v>
      </c>
      <c r="U265" s="25" t="e">
        <f t="shared" si="74"/>
        <v>#REF!</v>
      </c>
      <c r="V265" s="25" t="e">
        <f t="shared" si="75"/>
        <v>#REF!</v>
      </c>
    </row>
    <row r="266" spans="1:22" ht="14.25" customHeight="1" x14ac:dyDescent="0.35">
      <c r="A266" s="2" t="s">
        <v>264</v>
      </c>
      <c r="B266" s="13" t="s">
        <v>48</v>
      </c>
      <c r="C266" s="13">
        <v>13046</v>
      </c>
      <c r="D266" s="14">
        <v>11801</v>
      </c>
      <c r="E266" s="15" t="e">
        <f>#REF!+#REF!+#REF!+#REF!+#REF!+#REF!+#REF!+GreenMobility!L266+#REF!+#REF!+#REF!+Partago!L266+#REF!+#REF!+#REF!</f>
        <v>#REF!</v>
      </c>
      <c r="F266" s="16" t="e">
        <f t="shared" si="76"/>
        <v>#REF!</v>
      </c>
      <c r="G266" s="19" t="e">
        <f>#REF!+#REF!+#REF!+#REF!+#REF!+#REF!+#REF!+#REF!+#REF!+Moovee!A266+#REF!+#REF!+#REF!</f>
        <v>#REF!</v>
      </c>
      <c r="H266" s="16" t="e">
        <f t="shared" si="77"/>
        <v>#REF!</v>
      </c>
      <c r="I266" s="30">
        <f t="shared" si="78"/>
        <v>23.602</v>
      </c>
      <c r="J266" s="31" t="e">
        <f t="shared" si="79"/>
        <v>#REF!</v>
      </c>
      <c r="K266" s="25" t="e">
        <f t="shared" si="64"/>
        <v>#REF!</v>
      </c>
      <c r="L266" s="25" t="e">
        <f t="shared" si="65"/>
        <v>#REF!</v>
      </c>
      <c r="M266" s="25" t="e">
        <f t="shared" si="66"/>
        <v>#REF!</v>
      </c>
      <c r="N266" s="25" t="e">
        <f t="shared" si="67"/>
        <v>#REF!</v>
      </c>
      <c r="O266" s="25" t="e">
        <f t="shared" si="68"/>
        <v>#REF!</v>
      </c>
      <c r="P266" s="25" t="e">
        <f t="shared" si="69"/>
        <v>#REF!</v>
      </c>
      <c r="Q266" s="25" t="e">
        <f t="shared" si="70"/>
        <v>#REF!</v>
      </c>
      <c r="R266" s="25" t="e">
        <f t="shared" si="71"/>
        <v>#REF!</v>
      </c>
      <c r="S266" s="25" t="e">
        <f t="shared" si="72"/>
        <v>#REF!</v>
      </c>
      <c r="T266" s="25" t="e">
        <f t="shared" si="73"/>
        <v>#REF!</v>
      </c>
      <c r="U266" s="25" t="e">
        <f t="shared" si="74"/>
        <v>#REF!</v>
      </c>
      <c r="V266" s="25" t="e">
        <f t="shared" si="75"/>
        <v>#REF!</v>
      </c>
    </row>
    <row r="267" spans="1:22" ht="14.25" customHeight="1" x14ac:dyDescent="0.35">
      <c r="A267" s="2" t="s">
        <v>262</v>
      </c>
      <c r="B267" s="13" t="s">
        <v>50</v>
      </c>
      <c r="C267" s="13">
        <v>42023</v>
      </c>
      <c r="D267" s="14">
        <v>11296</v>
      </c>
      <c r="E267" s="15" t="e">
        <f>#REF!+#REF!+#REF!+#REF!+#REF!+#REF!+#REF!+GreenMobility!L267+#REF!+#REF!+#REF!+Partago!L267+#REF!+#REF!+#REF!</f>
        <v>#REF!</v>
      </c>
      <c r="F267" s="16" t="e">
        <f t="shared" si="76"/>
        <v>#REF!</v>
      </c>
      <c r="G267" s="19" t="e">
        <f>#REF!+#REF!+#REF!+#REF!+#REF!+#REF!+#REF!+#REF!+#REF!+Moovee!A267+#REF!+#REF!+#REF!</f>
        <v>#REF!</v>
      </c>
      <c r="H267" s="16" t="e">
        <f t="shared" si="77"/>
        <v>#REF!</v>
      </c>
      <c r="I267" s="30">
        <f t="shared" si="78"/>
        <v>22.591999999999999</v>
      </c>
      <c r="J267" s="31" t="e">
        <f t="shared" si="79"/>
        <v>#REF!</v>
      </c>
      <c r="K267" s="25" t="e">
        <f t="shared" si="64"/>
        <v>#REF!</v>
      </c>
      <c r="L267" s="25" t="e">
        <f t="shared" si="65"/>
        <v>#REF!</v>
      </c>
      <c r="M267" s="25" t="e">
        <f t="shared" si="66"/>
        <v>#REF!</v>
      </c>
      <c r="N267" s="25" t="e">
        <f t="shared" si="67"/>
        <v>#REF!</v>
      </c>
      <c r="O267" s="25" t="e">
        <f t="shared" si="68"/>
        <v>#REF!</v>
      </c>
      <c r="P267" s="25" t="e">
        <f t="shared" si="69"/>
        <v>#REF!</v>
      </c>
      <c r="Q267" s="25" t="e">
        <f t="shared" si="70"/>
        <v>#REF!</v>
      </c>
      <c r="R267" s="25" t="e">
        <f t="shared" si="71"/>
        <v>#REF!</v>
      </c>
      <c r="S267" s="25" t="e">
        <f t="shared" si="72"/>
        <v>#REF!</v>
      </c>
      <c r="T267" s="25" t="e">
        <f t="shared" si="73"/>
        <v>#REF!</v>
      </c>
      <c r="U267" s="25" t="e">
        <f t="shared" si="74"/>
        <v>#REF!</v>
      </c>
      <c r="V267" s="25" t="e">
        <f t="shared" si="75"/>
        <v>#REF!</v>
      </c>
    </row>
    <row r="268" spans="1:22" ht="14.25" customHeight="1" x14ac:dyDescent="0.35">
      <c r="A268" s="2" t="s">
        <v>357</v>
      </c>
      <c r="B268" s="13" t="s">
        <v>50</v>
      </c>
      <c r="C268" s="13">
        <v>44073</v>
      </c>
      <c r="D268" s="14">
        <v>7897</v>
      </c>
      <c r="E268" s="15" t="e">
        <f>#REF!+#REF!+#REF!+#REF!+#REF!+#REF!+#REF!+GreenMobility!L268+#REF!+#REF!+#REF!+Partago!L268+#REF!+#REF!+#REF!</f>
        <v>#REF!</v>
      </c>
      <c r="F268" s="16" t="e">
        <f t="shared" si="76"/>
        <v>#REF!</v>
      </c>
      <c r="G268" s="19" t="e">
        <f>#REF!+#REF!+#REF!+#REF!+#REF!+#REF!+#REF!+#REF!+#REF!+Moovee!A268+#REF!+#REF!+#REF!</f>
        <v>#REF!</v>
      </c>
      <c r="H268" s="16" t="e">
        <f t="shared" si="77"/>
        <v>#REF!</v>
      </c>
      <c r="I268" s="30">
        <f t="shared" si="78"/>
        <v>15.794</v>
      </c>
      <c r="J268" s="31" t="e">
        <f t="shared" si="79"/>
        <v>#REF!</v>
      </c>
      <c r="K268" s="25" t="e">
        <f t="shared" si="64"/>
        <v>#REF!</v>
      </c>
      <c r="L268" s="25" t="e">
        <f t="shared" si="65"/>
        <v>#REF!</v>
      </c>
      <c r="M268" s="25" t="e">
        <f t="shared" si="66"/>
        <v>#REF!</v>
      </c>
      <c r="N268" s="25" t="e">
        <f t="shared" si="67"/>
        <v>#REF!</v>
      </c>
      <c r="O268" s="25" t="e">
        <f t="shared" si="68"/>
        <v>#REF!</v>
      </c>
      <c r="P268" s="25" t="e">
        <f t="shared" si="69"/>
        <v>#REF!</v>
      </c>
      <c r="Q268" s="25" t="e">
        <f t="shared" si="70"/>
        <v>#REF!</v>
      </c>
      <c r="R268" s="25" t="e">
        <f t="shared" si="71"/>
        <v>#REF!</v>
      </c>
      <c r="S268" s="25" t="e">
        <f t="shared" si="72"/>
        <v>#REF!</v>
      </c>
      <c r="T268" s="25" t="e">
        <f t="shared" si="73"/>
        <v>#REF!</v>
      </c>
      <c r="U268" s="25" t="e">
        <f t="shared" si="74"/>
        <v>#REF!</v>
      </c>
      <c r="V268" s="25" t="e">
        <f t="shared" si="75"/>
        <v>#REF!</v>
      </c>
    </row>
    <row r="269" spans="1:22" ht="14.25" customHeight="1" x14ac:dyDescent="0.35">
      <c r="A269" s="2" t="s">
        <v>146</v>
      </c>
      <c r="B269" s="13" t="s">
        <v>55</v>
      </c>
      <c r="C269" s="13">
        <v>34040</v>
      </c>
      <c r="D269" s="14">
        <v>39997</v>
      </c>
      <c r="E269" s="15" t="e">
        <f>#REF!+#REF!+#REF!+#REF!+#REF!+#REF!+#REF!+GreenMobility!L269+#REF!+#REF!+#REF!+Partago!L269+#REF!+#REF!+#REF!</f>
        <v>#REF!</v>
      </c>
      <c r="F269" s="16" t="e">
        <f t="shared" si="76"/>
        <v>#REF!</v>
      </c>
      <c r="G269" s="19" t="e">
        <f>#REF!+#REF!+#REF!+#REF!+#REF!+#REF!+#REF!+#REF!+#REF!+Moovee!A269+#REF!+#REF!+#REF!</f>
        <v>#REF!</v>
      </c>
      <c r="H269" s="16" t="e">
        <f t="shared" si="77"/>
        <v>#REF!</v>
      </c>
      <c r="I269" s="30">
        <f t="shared" si="78"/>
        <v>79.994</v>
      </c>
      <c r="J269" s="31" t="e">
        <f t="shared" si="79"/>
        <v>#REF!</v>
      </c>
      <c r="K269" s="25" t="e">
        <f t="shared" si="64"/>
        <v>#REF!</v>
      </c>
      <c r="L269" s="25" t="e">
        <f t="shared" si="65"/>
        <v>#REF!</v>
      </c>
      <c r="M269" s="25" t="e">
        <f t="shared" si="66"/>
        <v>#REF!</v>
      </c>
      <c r="N269" s="25" t="e">
        <f t="shared" si="67"/>
        <v>#REF!</v>
      </c>
      <c r="O269" s="25" t="e">
        <f t="shared" si="68"/>
        <v>#REF!</v>
      </c>
      <c r="P269" s="25" t="e">
        <f t="shared" si="69"/>
        <v>#REF!</v>
      </c>
      <c r="Q269" s="25" t="e">
        <f t="shared" si="70"/>
        <v>#REF!</v>
      </c>
      <c r="R269" s="25" t="e">
        <f t="shared" si="71"/>
        <v>#REF!</v>
      </c>
      <c r="S269" s="25" t="e">
        <f t="shared" si="72"/>
        <v>#REF!</v>
      </c>
      <c r="T269" s="25" t="e">
        <f t="shared" si="73"/>
        <v>#REF!</v>
      </c>
      <c r="U269" s="25" t="e">
        <f t="shared" si="74"/>
        <v>#REF!</v>
      </c>
      <c r="V269" s="25" t="e">
        <f t="shared" si="75"/>
        <v>#REF!</v>
      </c>
    </row>
    <row r="270" spans="1:22" ht="14.25" customHeight="1" x14ac:dyDescent="0.35">
      <c r="A270" s="2" t="s">
        <v>322</v>
      </c>
      <c r="B270" s="13" t="s">
        <v>59</v>
      </c>
      <c r="C270" s="13">
        <v>73098</v>
      </c>
      <c r="D270" s="14">
        <v>7490</v>
      </c>
      <c r="E270" s="15" t="e">
        <f>#REF!+#REF!+#REF!+#REF!+#REF!+#REF!+#REF!+GreenMobility!L270+#REF!+#REF!+#REF!+Partago!L270+#REF!+#REF!+#REF!</f>
        <v>#REF!</v>
      </c>
      <c r="F270" s="16" t="e">
        <f t="shared" si="76"/>
        <v>#REF!</v>
      </c>
      <c r="G270" s="19" t="e">
        <f>#REF!+#REF!+#REF!+#REF!+#REF!+#REF!+#REF!+#REF!+#REF!+Moovee!A270+#REF!+#REF!+#REF!</f>
        <v>#REF!</v>
      </c>
      <c r="H270" s="16" t="e">
        <f t="shared" si="77"/>
        <v>#REF!</v>
      </c>
      <c r="I270" s="30">
        <f t="shared" si="78"/>
        <v>14.98</v>
      </c>
      <c r="J270" s="31" t="e">
        <f t="shared" si="79"/>
        <v>#REF!</v>
      </c>
      <c r="K270" s="25" t="e">
        <f t="shared" si="64"/>
        <v>#REF!</v>
      </c>
      <c r="L270" s="25" t="e">
        <f t="shared" si="65"/>
        <v>#REF!</v>
      </c>
      <c r="M270" s="25" t="e">
        <f t="shared" si="66"/>
        <v>#REF!</v>
      </c>
      <c r="N270" s="25" t="e">
        <f t="shared" si="67"/>
        <v>#REF!</v>
      </c>
      <c r="O270" s="25" t="e">
        <f t="shared" si="68"/>
        <v>#REF!</v>
      </c>
      <c r="P270" s="25" t="e">
        <f t="shared" si="69"/>
        <v>#REF!</v>
      </c>
      <c r="Q270" s="25" t="e">
        <f t="shared" si="70"/>
        <v>#REF!</v>
      </c>
      <c r="R270" s="25" t="e">
        <f t="shared" si="71"/>
        <v>#REF!</v>
      </c>
      <c r="S270" s="25" t="e">
        <f t="shared" si="72"/>
        <v>#REF!</v>
      </c>
      <c r="T270" s="25" t="e">
        <f t="shared" si="73"/>
        <v>#REF!</v>
      </c>
      <c r="U270" s="25" t="e">
        <f t="shared" si="74"/>
        <v>#REF!</v>
      </c>
      <c r="V270" s="25" t="e">
        <f t="shared" si="75"/>
        <v>#REF!</v>
      </c>
    </row>
    <row r="271" spans="1:22" ht="14.25" customHeight="1" x14ac:dyDescent="0.35">
      <c r="A271" s="2" t="s">
        <v>162</v>
      </c>
      <c r="B271" s="13" t="s">
        <v>52</v>
      </c>
      <c r="C271" s="13">
        <v>23102</v>
      </c>
      <c r="D271" s="14">
        <v>18179</v>
      </c>
      <c r="E271" s="15" t="e">
        <f>#REF!+#REF!+#REF!+#REF!+#REF!+#REF!+#REF!+GreenMobility!L271+#REF!+#REF!+#REF!+Partago!L271+#REF!+#REF!+#REF!</f>
        <v>#REF!</v>
      </c>
      <c r="F271" s="16" t="e">
        <f t="shared" si="76"/>
        <v>#REF!</v>
      </c>
      <c r="G271" s="19" t="e">
        <f>#REF!+#REF!+#REF!+#REF!+#REF!+#REF!+#REF!+#REF!+#REF!+Moovee!A271+#REF!+#REF!+#REF!</f>
        <v>#REF!</v>
      </c>
      <c r="H271" s="16" t="e">
        <f t="shared" si="77"/>
        <v>#REF!</v>
      </c>
      <c r="I271" s="30">
        <f t="shared" si="78"/>
        <v>36.357999999999997</v>
      </c>
      <c r="J271" s="31" t="e">
        <f t="shared" si="79"/>
        <v>#REF!</v>
      </c>
      <c r="K271" s="25" t="e">
        <f t="shared" si="64"/>
        <v>#REF!</v>
      </c>
      <c r="L271" s="25" t="e">
        <f t="shared" si="65"/>
        <v>#REF!</v>
      </c>
      <c r="M271" s="25" t="e">
        <f t="shared" si="66"/>
        <v>#REF!</v>
      </c>
      <c r="N271" s="25" t="e">
        <f t="shared" si="67"/>
        <v>#REF!</v>
      </c>
      <c r="O271" s="25" t="e">
        <f t="shared" si="68"/>
        <v>#REF!</v>
      </c>
      <c r="P271" s="25" t="e">
        <f t="shared" si="69"/>
        <v>#REF!</v>
      </c>
      <c r="Q271" s="25" t="e">
        <f t="shared" si="70"/>
        <v>#REF!</v>
      </c>
      <c r="R271" s="25" t="e">
        <f t="shared" si="71"/>
        <v>#REF!</v>
      </c>
      <c r="S271" s="25" t="e">
        <f t="shared" si="72"/>
        <v>#REF!</v>
      </c>
      <c r="T271" s="25" t="e">
        <f t="shared" si="73"/>
        <v>#REF!</v>
      </c>
      <c r="U271" s="25" t="e">
        <f t="shared" si="74"/>
        <v>#REF!</v>
      </c>
      <c r="V271" s="25" t="e">
        <f t="shared" si="75"/>
        <v>#REF!</v>
      </c>
    </row>
    <row r="272" spans="1:22" ht="14.25" customHeight="1" x14ac:dyDescent="0.35">
      <c r="A272" s="2" t="s">
        <v>222</v>
      </c>
      <c r="B272" s="13" t="s">
        <v>55</v>
      </c>
      <c r="C272" s="13">
        <v>33029</v>
      </c>
      <c r="D272" s="14">
        <v>19209</v>
      </c>
      <c r="E272" s="15" t="e">
        <f>#REF!+#REF!+#REF!+#REF!+#REF!+#REF!+#REF!+GreenMobility!L272+#REF!+#REF!+#REF!+Partago!L272+#REF!+#REF!+#REF!</f>
        <v>#REF!</v>
      </c>
      <c r="F272" s="16" t="e">
        <f t="shared" si="76"/>
        <v>#REF!</v>
      </c>
      <c r="G272" s="19" t="e">
        <f>#REF!+#REF!+#REF!+#REF!+#REF!+#REF!+#REF!+#REF!+#REF!+Moovee!A272+#REF!+#REF!+#REF!</f>
        <v>#REF!</v>
      </c>
      <c r="H272" s="16" t="e">
        <f t="shared" si="77"/>
        <v>#REF!</v>
      </c>
      <c r="I272" s="30">
        <f t="shared" si="78"/>
        <v>38.417999999999999</v>
      </c>
      <c r="J272" s="31" t="e">
        <f t="shared" si="79"/>
        <v>#REF!</v>
      </c>
      <c r="K272" s="25" t="e">
        <f t="shared" si="64"/>
        <v>#REF!</v>
      </c>
      <c r="L272" s="25" t="e">
        <f t="shared" si="65"/>
        <v>#REF!</v>
      </c>
      <c r="M272" s="25" t="e">
        <f t="shared" si="66"/>
        <v>#REF!</v>
      </c>
      <c r="N272" s="25" t="e">
        <f t="shared" si="67"/>
        <v>#REF!</v>
      </c>
      <c r="O272" s="25" t="e">
        <f t="shared" si="68"/>
        <v>#REF!</v>
      </c>
      <c r="P272" s="25" t="e">
        <f t="shared" si="69"/>
        <v>#REF!</v>
      </c>
      <c r="Q272" s="25" t="e">
        <f t="shared" si="70"/>
        <v>#REF!</v>
      </c>
      <c r="R272" s="25" t="e">
        <f t="shared" si="71"/>
        <v>#REF!</v>
      </c>
      <c r="S272" s="25" t="e">
        <f t="shared" si="72"/>
        <v>#REF!</v>
      </c>
      <c r="T272" s="25" t="e">
        <f t="shared" si="73"/>
        <v>#REF!</v>
      </c>
      <c r="U272" s="25" t="e">
        <f t="shared" si="74"/>
        <v>#REF!</v>
      </c>
      <c r="V272" s="25" t="e">
        <f t="shared" si="75"/>
        <v>#REF!</v>
      </c>
    </row>
    <row r="273" spans="1:22" ht="14.25" customHeight="1" x14ac:dyDescent="0.35">
      <c r="A273" s="2" t="s">
        <v>101</v>
      </c>
      <c r="B273" s="13" t="s">
        <v>48</v>
      </c>
      <c r="C273" s="13">
        <v>13049</v>
      </c>
      <c r="D273" s="14">
        <v>25625</v>
      </c>
      <c r="E273" s="15" t="e">
        <f>#REF!+#REF!+#REF!+#REF!+#REF!+#REF!+#REF!+GreenMobility!L273+#REF!+#REF!+#REF!+Partago!L273+#REF!+#REF!+#REF!</f>
        <v>#REF!</v>
      </c>
      <c r="F273" s="16" t="e">
        <f t="shared" si="76"/>
        <v>#REF!</v>
      </c>
      <c r="G273" s="19" t="e">
        <f>#REF!+#REF!+#REF!+#REF!+#REF!+#REF!+#REF!+#REF!+#REF!+Moovee!A273+#REF!+#REF!+#REF!</f>
        <v>#REF!</v>
      </c>
      <c r="H273" s="16" t="e">
        <f t="shared" si="77"/>
        <v>#REF!</v>
      </c>
      <c r="I273" s="30">
        <f t="shared" si="78"/>
        <v>51.25</v>
      </c>
      <c r="J273" s="31" t="e">
        <f t="shared" si="79"/>
        <v>#REF!</v>
      </c>
      <c r="K273" s="25" t="e">
        <f t="shared" si="64"/>
        <v>#REF!</v>
      </c>
      <c r="L273" s="25" t="e">
        <f t="shared" si="65"/>
        <v>#REF!</v>
      </c>
      <c r="M273" s="25" t="e">
        <f t="shared" si="66"/>
        <v>#REF!</v>
      </c>
      <c r="N273" s="25" t="e">
        <f t="shared" si="67"/>
        <v>#REF!</v>
      </c>
      <c r="O273" s="25" t="e">
        <f t="shared" si="68"/>
        <v>#REF!</v>
      </c>
      <c r="P273" s="25" t="e">
        <f t="shared" si="69"/>
        <v>#REF!</v>
      </c>
      <c r="Q273" s="25" t="e">
        <f t="shared" si="70"/>
        <v>#REF!</v>
      </c>
      <c r="R273" s="25" t="e">
        <f t="shared" si="71"/>
        <v>#REF!</v>
      </c>
      <c r="S273" s="25" t="e">
        <f t="shared" si="72"/>
        <v>#REF!</v>
      </c>
      <c r="T273" s="25" t="e">
        <f t="shared" si="73"/>
        <v>#REF!</v>
      </c>
      <c r="U273" s="25" t="e">
        <f t="shared" si="74"/>
        <v>#REF!</v>
      </c>
      <c r="V273" s="25" t="e">
        <f t="shared" si="75"/>
        <v>#REF!</v>
      </c>
    </row>
    <row r="274" spans="1:22" ht="14.25" customHeight="1" x14ac:dyDescent="0.35">
      <c r="A274" s="2" t="s">
        <v>89</v>
      </c>
      <c r="B274" s="13" t="s">
        <v>50</v>
      </c>
      <c r="C274" s="13">
        <v>42025</v>
      </c>
      <c r="D274" s="14">
        <v>26960</v>
      </c>
      <c r="E274" s="15" t="e">
        <f>#REF!+#REF!+#REF!+#REF!+#REF!+#REF!+#REF!+GreenMobility!L274+#REF!+#REF!+#REF!+Partago!L274+#REF!+#REF!+#REF!</f>
        <v>#REF!</v>
      </c>
      <c r="F274" s="16" t="e">
        <f t="shared" si="76"/>
        <v>#REF!</v>
      </c>
      <c r="G274" s="19" t="e">
        <f>#REF!+#REF!+#REF!+#REF!+#REF!+#REF!+#REF!+#REF!+#REF!+Moovee!A274+#REF!+#REF!+#REF!</f>
        <v>#REF!</v>
      </c>
      <c r="H274" s="16" t="e">
        <f t="shared" si="77"/>
        <v>#REF!</v>
      </c>
      <c r="I274" s="30">
        <f t="shared" si="78"/>
        <v>53.92</v>
      </c>
      <c r="J274" s="31" t="e">
        <f t="shared" si="79"/>
        <v>#REF!</v>
      </c>
      <c r="K274" s="25" t="e">
        <f t="shared" si="64"/>
        <v>#REF!</v>
      </c>
      <c r="L274" s="25" t="e">
        <f t="shared" si="65"/>
        <v>#REF!</v>
      </c>
      <c r="M274" s="25" t="e">
        <f t="shared" si="66"/>
        <v>#REF!</v>
      </c>
      <c r="N274" s="25" t="e">
        <f t="shared" si="67"/>
        <v>#REF!</v>
      </c>
      <c r="O274" s="25" t="e">
        <f t="shared" si="68"/>
        <v>#REF!</v>
      </c>
      <c r="P274" s="25" t="e">
        <f t="shared" si="69"/>
        <v>#REF!</v>
      </c>
      <c r="Q274" s="25" t="e">
        <f t="shared" si="70"/>
        <v>#REF!</v>
      </c>
      <c r="R274" s="25" t="e">
        <f t="shared" si="71"/>
        <v>#REF!</v>
      </c>
      <c r="S274" s="25" t="e">
        <f t="shared" si="72"/>
        <v>#REF!</v>
      </c>
      <c r="T274" s="25" t="e">
        <f t="shared" si="73"/>
        <v>#REF!</v>
      </c>
      <c r="U274" s="25" t="e">
        <f t="shared" si="74"/>
        <v>#REF!</v>
      </c>
      <c r="V274" s="25" t="e">
        <f t="shared" si="75"/>
        <v>#REF!</v>
      </c>
    </row>
    <row r="275" spans="1:22" ht="14.25" customHeight="1" x14ac:dyDescent="0.35">
      <c r="A275" s="2" t="s">
        <v>143</v>
      </c>
      <c r="B275" s="13" t="s">
        <v>55</v>
      </c>
      <c r="C275" s="13">
        <v>34041</v>
      </c>
      <c r="D275" s="14">
        <v>31884</v>
      </c>
      <c r="E275" s="15" t="e">
        <f>#REF!+#REF!+#REF!+#REF!+#REF!+#REF!+#REF!+GreenMobility!L275+#REF!+#REF!+#REF!+Partago!L275+#REF!+#REF!+#REF!</f>
        <v>#REF!</v>
      </c>
      <c r="F275" s="16" t="e">
        <f t="shared" si="76"/>
        <v>#REF!</v>
      </c>
      <c r="G275" s="19" t="e">
        <f>#REF!+#REF!+#REF!+#REF!+#REF!+#REF!+#REF!+#REF!+#REF!+Moovee!A275+#REF!+#REF!+#REF!</f>
        <v>#REF!</v>
      </c>
      <c r="H275" s="16" t="e">
        <f t="shared" si="77"/>
        <v>#REF!</v>
      </c>
      <c r="I275" s="30">
        <f t="shared" si="78"/>
        <v>63.768000000000001</v>
      </c>
      <c r="J275" s="31" t="e">
        <f t="shared" si="79"/>
        <v>#REF!</v>
      </c>
      <c r="K275" s="25" t="e">
        <f t="shared" si="64"/>
        <v>#REF!</v>
      </c>
      <c r="L275" s="25" t="e">
        <f t="shared" si="65"/>
        <v>#REF!</v>
      </c>
      <c r="M275" s="25" t="e">
        <f t="shared" si="66"/>
        <v>#REF!</v>
      </c>
      <c r="N275" s="25" t="e">
        <f t="shared" si="67"/>
        <v>#REF!</v>
      </c>
      <c r="O275" s="25" t="e">
        <f t="shared" si="68"/>
        <v>#REF!</v>
      </c>
      <c r="P275" s="25" t="e">
        <f t="shared" si="69"/>
        <v>#REF!</v>
      </c>
      <c r="Q275" s="25" t="e">
        <f t="shared" si="70"/>
        <v>#REF!</v>
      </c>
      <c r="R275" s="25" t="e">
        <f t="shared" si="71"/>
        <v>#REF!</v>
      </c>
      <c r="S275" s="25" t="e">
        <f t="shared" si="72"/>
        <v>#REF!</v>
      </c>
      <c r="T275" s="25" t="e">
        <f t="shared" si="73"/>
        <v>#REF!</v>
      </c>
      <c r="U275" s="25" t="e">
        <f t="shared" si="74"/>
        <v>#REF!</v>
      </c>
      <c r="V275" s="25" t="e">
        <f t="shared" si="75"/>
        <v>#REF!</v>
      </c>
    </row>
    <row r="276" spans="1:22" ht="14.25" customHeight="1" x14ac:dyDescent="0.35">
      <c r="A276" s="2" t="s">
        <v>213</v>
      </c>
      <c r="B276" s="13" t="s">
        <v>52</v>
      </c>
      <c r="C276" s="13">
        <v>23103</v>
      </c>
      <c r="D276" s="14">
        <v>14742</v>
      </c>
      <c r="E276" s="15" t="e">
        <f>#REF!+#REF!+#REF!+#REF!+#REF!+#REF!+#REF!+GreenMobility!L276+#REF!+#REF!+#REF!+Partago!L276+#REF!+#REF!+#REF!</f>
        <v>#REF!</v>
      </c>
      <c r="F276" s="16" t="e">
        <f t="shared" si="76"/>
        <v>#REF!</v>
      </c>
      <c r="G276" s="19" t="e">
        <f>#REF!+#REF!+#REF!+#REF!+#REF!+#REF!+#REF!+#REF!+#REF!+Moovee!A276+#REF!+#REF!+#REF!</f>
        <v>#REF!</v>
      </c>
      <c r="H276" s="16" t="e">
        <f t="shared" si="77"/>
        <v>#REF!</v>
      </c>
      <c r="I276" s="30">
        <f t="shared" si="78"/>
        <v>29.484000000000002</v>
      </c>
      <c r="J276" s="31" t="e">
        <f t="shared" si="79"/>
        <v>#REF!</v>
      </c>
      <c r="K276" s="25" t="e">
        <f t="shared" si="64"/>
        <v>#REF!</v>
      </c>
      <c r="L276" s="25" t="e">
        <f t="shared" si="65"/>
        <v>#REF!</v>
      </c>
      <c r="M276" s="25" t="e">
        <f t="shared" si="66"/>
        <v>#REF!</v>
      </c>
      <c r="N276" s="25" t="e">
        <f t="shared" si="67"/>
        <v>#REF!</v>
      </c>
      <c r="O276" s="25" t="e">
        <f t="shared" si="68"/>
        <v>#REF!</v>
      </c>
      <c r="P276" s="25" t="e">
        <f t="shared" si="69"/>
        <v>#REF!</v>
      </c>
      <c r="Q276" s="25" t="e">
        <f t="shared" si="70"/>
        <v>#REF!</v>
      </c>
      <c r="R276" s="25" t="e">
        <f t="shared" si="71"/>
        <v>#REF!</v>
      </c>
      <c r="S276" s="25" t="e">
        <f t="shared" si="72"/>
        <v>#REF!</v>
      </c>
      <c r="T276" s="25" t="e">
        <f t="shared" si="73"/>
        <v>#REF!</v>
      </c>
      <c r="U276" s="25" t="e">
        <f t="shared" si="74"/>
        <v>#REF!</v>
      </c>
      <c r="V276" s="25" t="e">
        <f t="shared" si="75"/>
        <v>#REF!</v>
      </c>
    </row>
    <row r="277" spans="1:22" ht="14.25" customHeight="1" x14ac:dyDescent="0.35">
      <c r="A277" s="2" t="s">
        <v>205</v>
      </c>
      <c r="B277" s="13" t="s">
        <v>50</v>
      </c>
      <c r="C277" s="13">
        <v>42026</v>
      </c>
      <c r="D277" s="14">
        <v>12032</v>
      </c>
      <c r="E277" s="15" t="e">
        <f>#REF!+#REF!+#REF!+#REF!+#REF!+#REF!+#REF!+GreenMobility!L277+#REF!+#REF!+#REF!+Partago!L277+#REF!+#REF!+#REF!</f>
        <v>#REF!</v>
      </c>
      <c r="F277" s="16" t="e">
        <f t="shared" si="76"/>
        <v>#REF!</v>
      </c>
      <c r="G277" s="19" t="e">
        <f>#REF!+#REF!+#REF!+#REF!+#REF!+#REF!+#REF!+#REF!+#REF!+Moovee!A277+#REF!+#REF!+#REF!</f>
        <v>#REF!</v>
      </c>
      <c r="H277" s="16" t="e">
        <f t="shared" si="77"/>
        <v>#REF!</v>
      </c>
      <c r="I277" s="30">
        <f t="shared" si="78"/>
        <v>24.064</v>
      </c>
      <c r="J277" s="31" t="e">
        <f t="shared" si="79"/>
        <v>#REF!</v>
      </c>
      <c r="K277" s="25" t="e">
        <f t="shared" si="64"/>
        <v>#REF!</v>
      </c>
      <c r="L277" s="25" t="e">
        <f t="shared" si="65"/>
        <v>#REF!</v>
      </c>
      <c r="M277" s="25" t="e">
        <f t="shared" si="66"/>
        <v>#REF!</v>
      </c>
      <c r="N277" s="25" t="e">
        <f t="shared" si="67"/>
        <v>#REF!</v>
      </c>
      <c r="O277" s="25" t="e">
        <f t="shared" si="68"/>
        <v>#REF!</v>
      </c>
      <c r="P277" s="25" t="e">
        <f t="shared" si="69"/>
        <v>#REF!</v>
      </c>
      <c r="Q277" s="25" t="e">
        <f t="shared" si="70"/>
        <v>#REF!</v>
      </c>
      <c r="R277" s="25" t="e">
        <f t="shared" si="71"/>
        <v>#REF!</v>
      </c>
      <c r="S277" s="25" t="e">
        <f t="shared" si="72"/>
        <v>#REF!</v>
      </c>
      <c r="T277" s="25" t="e">
        <f t="shared" si="73"/>
        <v>#REF!</v>
      </c>
      <c r="U277" s="25" t="e">
        <f t="shared" si="74"/>
        <v>#REF!</v>
      </c>
      <c r="V277" s="25" t="e">
        <f t="shared" si="75"/>
        <v>#REF!</v>
      </c>
    </row>
    <row r="278" spans="1:22" ht="14.25" customHeight="1" x14ac:dyDescent="0.35">
      <c r="A278" s="2" t="s">
        <v>201</v>
      </c>
      <c r="B278" s="13" t="s">
        <v>55</v>
      </c>
      <c r="C278" s="13">
        <v>37017</v>
      </c>
      <c r="D278" s="14">
        <v>10138</v>
      </c>
      <c r="E278" s="15" t="e">
        <f>#REF!+#REF!+#REF!+#REF!+#REF!+#REF!+#REF!+GreenMobility!L278+#REF!+#REF!+#REF!+Partago!L278+#REF!+#REF!+#REF!</f>
        <v>#REF!</v>
      </c>
      <c r="F278" s="16" t="e">
        <f t="shared" si="76"/>
        <v>#REF!</v>
      </c>
      <c r="G278" s="19" t="e">
        <f>#REF!+#REF!+#REF!+#REF!+#REF!+#REF!+#REF!+#REF!+#REF!+Moovee!A278+#REF!+#REF!+#REF!</f>
        <v>#REF!</v>
      </c>
      <c r="H278" s="16" t="e">
        <f t="shared" si="77"/>
        <v>#REF!</v>
      </c>
      <c r="I278" s="30">
        <f t="shared" si="78"/>
        <v>20.276</v>
      </c>
      <c r="J278" s="31" t="e">
        <f t="shared" si="79"/>
        <v>#REF!</v>
      </c>
      <c r="K278" s="25" t="e">
        <f t="shared" si="64"/>
        <v>#REF!</v>
      </c>
      <c r="L278" s="25" t="e">
        <f t="shared" si="65"/>
        <v>#REF!</v>
      </c>
      <c r="M278" s="25" t="e">
        <f t="shared" si="66"/>
        <v>#REF!</v>
      </c>
      <c r="N278" s="25" t="e">
        <f t="shared" si="67"/>
        <v>#REF!</v>
      </c>
      <c r="O278" s="25" t="e">
        <f t="shared" si="68"/>
        <v>#REF!</v>
      </c>
      <c r="P278" s="25" t="e">
        <f t="shared" si="69"/>
        <v>#REF!</v>
      </c>
      <c r="Q278" s="25" t="e">
        <f t="shared" si="70"/>
        <v>#REF!</v>
      </c>
      <c r="R278" s="25" t="e">
        <f t="shared" si="71"/>
        <v>#REF!</v>
      </c>
      <c r="S278" s="25" t="e">
        <f t="shared" si="72"/>
        <v>#REF!</v>
      </c>
      <c r="T278" s="25" t="e">
        <f t="shared" si="73"/>
        <v>#REF!</v>
      </c>
      <c r="U278" s="25" t="e">
        <f t="shared" si="74"/>
        <v>#REF!</v>
      </c>
      <c r="V278" s="25" t="e">
        <f t="shared" si="75"/>
        <v>#REF!</v>
      </c>
    </row>
    <row r="279" spans="1:22" ht="14.25" customHeight="1" x14ac:dyDescent="0.35">
      <c r="A279" s="2" t="s">
        <v>151</v>
      </c>
      <c r="B279" s="13" t="s">
        <v>48</v>
      </c>
      <c r="C279" s="13">
        <v>11050</v>
      </c>
      <c r="D279" s="14">
        <v>10580</v>
      </c>
      <c r="E279" s="15" t="e">
        <f>#REF!+#REF!+#REF!+#REF!+#REF!+#REF!+#REF!+GreenMobility!L279+#REF!+#REF!+#REF!+Partago!L279+#REF!+#REF!+#REF!</f>
        <v>#REF!</v>
      </c>
      <c r="F279" s="48" t="e">
        <f t="shared" si="76"/>
        <v>#REF!</v>
      </c>
      <c r="G279" s="19" t="e">
        <f>#REF!+#REF!+#REF!+#REF!+#REF!+#REF!+#REF!+#REF!+#REF!+Moovee!A279+#REF!+#REF!+#REF!</f>
        <v>#REF!</v>
      </c>
      <c r="H279" s="16" t="e">
        <f t="shared" si="77"/>
        <v>#REF!</v>
      </c>
      <c r="I279" s="30">
        <f t="shared" si="78"/>
        <v>21.16</v>
      </c>
      <c r="J279" s="31" t="e">
        <f t="shared" si="79"/>
        <v>#REF!</v>
      </c>
      <c r="K279" s="25"/>
      <c r="L279" s="25"/>
      <c r="M279" s="25"/>
      <c r="N279" s="25"/>
      <c r="O279" s="25"/>
      <c r="P279" s="25"/>
      <c r="Q279" s="25"/>
      <c r="R279" s="25"/>
      <c r="S279" s="25"/>
      <c r="T279" s="25"/>
      <c r="U279" s="25"/>
      <c r="V279" s="25"/>
    </row>
    <row r="280" spans="1:22" ht="14.25" customHeight="1" x14ac:dyDescent="0.35">
      <c r="A280" s="2" t="s">
        <v>142</v>
      </c>
      <c r="B280" s="13" t="s">
        <v>48</v>
      </c>
      <c r="C280" s="13">
        <v>12040</v>
      </c>
      <c r="D280" s="14">
        <v>28248</v>
      </c>
      <c r="E280" s="15" t="e">
        <f>#REF!+#REF!+#REF!+#REF!+#REF!+#REF!+#REF!+GreenMobility!L280+#REF!+#REF!+#REF!+Partago!L280+#REF!+#REF!+#REF!</f>
        <v>#REF!</v>
      </c>
      <c r="F280" s="16" t="e">
        <f t="shared" si="76"/>
        <v>#REF!</v>
      </c>
      <c r="G280" s="19" t="e">
        <f>#REF!+#REF!+#REF!+#REF!+#REF!+#REF!+#REF!+#REF!+#REF!+Moovee!A280+#REF!+#REF!+#REF!</f>
        <v>#REF!</v>
      </c>
      <c r="H280" s="16" t="e">
        <f t="shared" si="77"/>
        <v>#REF!</v>
      </c>
      <c r="I280" s="30">
        <f t="shared" si="78"/>
        <v>56.496000000000002</v>
      </c>
      <c r="J280" s="31" t="e">
        <f t="shared" si="79"/>
        <v>#REF!</v>
      </c>
      <c r="K280" s="25" t="e">
        <f t="shared" ref="K280:K301" si="80">J280*0.05</f>
        <v>#REF!</v>
      </c>
      <c r="L280" s="25" t="e">
        <f t="shared" ref="L280:L301" si="81">J280*0.1</f>
        <v>#REF!</v>
      </c>
      <c r="M280" s="25" t="e">
        <f t="shared" ref="M280:M301" si="82">J280*0.15</f>
        <v>#REF!</v>
      </c>
      <c r="N280" s="25" t="e">
        <f t="shared" ref="N280:N301" si="83">J280*0.2</f>
        <v>#REF!</v>
      </c>
      <c r="O280" s="25" t="e">
        <f t="shared" ref="O280:O301" si="84">J280*0.233333</f>
        <v>#REF!</v>
      </c>
      <c r="P280" s="25" t="e">
        <f t="shared" ref="P280:P301" si="85">J280*0.266667</f>
        <v>#REF!</v>
      </c>
      <c r="Q280" s="25" t="e">
        <f t="shared" ref="Q280:Q301" si="86">J280*0.0158729999</f>
        <v>#REF!</v>
      </c>
      <c r="R280" s="25" t="e">
        <f t="shared" ref="R280:R301" si="87">J280*0.031746</f>
        <v>#REF!</v>
      </c>
      <c r="S280" s="25" t="e">
        <f t="shared" ref="S280:S301" si="88">J280*0.063492</f>
        <v>#REF!</v>
      </c>
      <c r="T280" s="25" t="e">
        <f t="shared" ref="T280:T301" si="89">J280*0.126984</f>
        <v>#REF!</v>
      </c>
      <c r="U280" s="25" t="e">
        <f t="shared" ref="U280:U301" si="90">J280*0.253968</f>
        <v>#REF!</v>
      </c>
      <c r="V280" s="25" t="e">
        <f t="shared" ref="V280:V301" si="91">J280*0.507936</f>
        <v>#REF!</v>
      </c>
    </row>
    <row r="281" spans="1:22" ht="14.25" customHeight="1" x14ac:dyDescent="0.35">
      <c r="A281" s="2" t="s">
        <v>115</v>
      </c>
      <c r="B281" s="13" t="s">
        <v>55</v>
      </c>
      <c r="C281" s="13">
        <v>37018</v>
      </c>
      <c r="D281" s="14">
        <v>15161</v>
      </c>
      <c r="E281" s="15" t="e">
        <f>#REF!+#REF!+#REF!+#REF!+#REF!+#REF!+#REF!+GreenMobility!L281+#REF!+#REF!+#REF!+Partago!L281+#REF!+#REF!+#REF!</f>
        <v>#REF!</v>
      </c>
      <c r="F281" s="16" t="e">
        <f t="shared" si="76"/>
        <v>#REF!</v>
      </c>
      <c r="G281" s="19" t="e">
        <f>#REF!+#REF!+#REF!+#REF!+#REF!+#REF!+#REF!+#REF!+#REF!+Moovee!A281+#REF!+#REF!+#REF!</f>
        <v>#REF!</v>
      </c>
      <c r="H281" s="16" t="e">
        <f t="shared" si="77"/>
        <v>#REF!</v>
      </c>
      <c r="I281" s="30">
        <f t="shared" si="78"/>
        <v>30.321999999999999</v>
      </c>
      <c r="J281" s="31" t="e">
        <f t="shared" si="79"/>
        <v>#REF!</v>
      </c>
      <c r="K281" s="25" t="e">
        <f t="shared" si="80"/>
        <v>#REF!</v>
      </c>
      <c r="L281" s="25" t="e">
        <f t="shared" si="81"/>
        <v>#REF!</v>
      </c>
      <c r="M281" s="25" t="e">
        <f t="shared" si="82"/>
        <v>#REF!</v>
      </c>
      <c r="N281" s="25" t="e">
        <f t="shared" si="83"/>
        <v>#REF!</v>
      </c>
      <c r="O281" s="25" t="e">
        <f t="shared" si="84"/>
        <v>#REF!</v>
      </c>
      <c r="P281" s="25" t="e">
        <f t="shared" si="85"/>
        <v>#REF!</v>
      </c>
      <c r="Q281" s="25" t="e">
        <f t="shared" si="86"/>
        <v>#REF!</v>
      </c>
      <c r="R281" s="25" t="e">
        <f t="shared" si="87"/>
        <v>#REF!</v>
      </c>
      <c r="S281" s="25" t="e">
        <f t="shared" si="88"/>
        <v>#REF!</v>
      </c>
      <c r="T281" s="25" t="e">
        <f t="shared" si="89"/>
        <v>#REF!</v>
      </c>
      <c r="U281" s="25" t="e">
        <f t="shared" si="90"/>
        <v>#REF!</v>
      </c>
      <c r="V281" s="25" t="e">
        <f t="shared" si="91"/>
        <v>#REF!</v>
      </c>
    </row>
    <row r="282" spans="1:22" ht="14.25" customHeight="1" x14ac:dyDescent="0.35">
      <c r="A282" s="2" t="s">
        <v>210</v>
      </c>
      <c r="B282" s="13" t="s">
        <v>48</v>
      </c>
      <c r="C282" s="13">
        <v>11052</v>
      </c>
      <c r="D282" s="14">
        <v>13370</v>
      </c>
      <c r="E282" s="15" t="e">
        <f>#REF!+#REF!+#REF!+#REF!+#REF!+#REF!+#REF!+GreenMobility!L282+#REF!+#REF!+#REF!+Partago!L282+#REF!+#REF!+#REF!</f>
        <v>#REF!</v>
      </c>
      <c r="F282" s="16" t="e">
        <f t="shared" si="76"/>
        <v>#REF!</v>
      </c>
      <c r="G282" s="19" t="e">
        <f>#REF!+#REF!+#REF!+#REF!+#REF!+#REF!+#REF!+#REF!+#REF!+Moovee!A282+#REF!+#REF!+#REF!</f>
        <v>#REF!</v>
      </c>
      <c r="H282" s="16" t="e">
        <f t="shared" si="77"/>
        <v>#REF!</v>
      </c>
      <c r="I282" s="30">
        <f t="shared" si="78"/>
        <v>26.74</v>
      </c>
      <c r="J282" s="31" t="e">
        <f t="shared" si="79"/>
        <v>#REF!</v>
      </c>
      <c r="K282" s="25" t="e">
        <f t="shared" si="80"/>
        <v>#REF!</v>
      </c>
      <c r="L282" s="25" t="e">
        <f t="shared" si="81"/>
        <v>#REF!</v>
      </c>
      <c r="M282" s="25" t="e">
        <f t="shared" si="82"/>
        <v>#REF!</v>
      </c>
      <c r="N282" s="25" t="e">
        <f t="shared" si="83"/>
        <v>#REF!</v>
      </c>
      <c r="O282" s="25" t="e">
        <f t="shared" si="84"/>
        <v>#REF!</v>
      </c>
      <c r="P282" s="25" t="e">
        <f t="shared" si="85"/>
        <v>#REF!</v>
      </c>
      <c r="Q282" s="25" t="e">
        <f t="shared" si="86"/>
        <v>#REF!</v>
      </c>
      <c r="R282" s="25" t="e">
        <f t="shared" si="87"/>
        <v>#REF!</v>
      </c>
      <c r="S282" s="25" t="e">
        <f t="shared" si="88"/>
        <v>#REF!</v>
      </c>
      <c r="T282" s="25" t="e">
        <f t="shared" si="89"/>
        <v>#REF!</v>
      </c>
      <c r="U282" s="25" t="e">
        <f t="shared" si="90"/>
        <v>#REF!</v>
      </c>
      <c r="V282" s="25" t="e">
        <f t="shared" si="91"/>
        <v>#REF!</v>
      </c>
    </row>
    <row r="283" spans="1:22" ht="14.25" customHeight="1" x14ac:dyDescent="0.35">
      <c r="A283" s="2" t="s">
        <v>246</v>
      </c>
      <c r="B283" s="13" t="s">
        <v>50</v>
      </c>
      <c r="C283" s="13">
        <v>45061</v>
      </c>
      <c r="D283" s="14">
        <v>6552</v>
      </c>
      <c r="E283" s="15" t="e">
        <f>#REF!+#REF!+#REF!+#REF!+#REF!+#REF!+#REF!+GreenMobility!L283+#REF!+#REF!+#REF!+Partago!L283+#REF!+#REF!+#REF!</f>
        <v>#REF!</v>
      </c>
      <c r="F283" s="16" t="e">
        <f t="shared" si="76"/>
        <v>#REF!</v>
      </c>
      <c r="G283" s="19" t="e">
        <f>#REF!+#REF!+#REF!+#REF!+#REF!+#REF!+#REF!+#REF!+#REF!+Moovee!A283+#REF!+#REF!+#REF!</f>
        <v>#REF!</v>
      </c>
      <c r="H283" s="16" t="e">
        <f t="shared" si="77"/>
        <v>#REF!</v>
      </c>
      <c r="I283" s="30">
        <f t="shared" si="78"/>
        <v>13.103999999999999</v>
      </c>
      <c r="J283" s="31" t="e">
        <f t="shared" si="79"/>
        <v>#REF!</v>
      </c>
      <c r="K283" s="25" t="e">
        <f t="shared" si="80"/>
        <v>#REF!</v>
      </c>
      <c r="L283" s="25" t="e">
        <f t="shared" si="81"/>
        <v>#REF!</v>
      </c>
      <c r="M283" s="25" t="e">
        <f t="shared" si="82"/>
        <v>#REF!</v>
      </c>
      <c r="N283" s="25" t="e">
        <f t="shared" si="83"/>
        <v>#REF!</v>
      </c>
      <c r="O283" s="25" t="e">
        <f t="shared" si="84"/>
        <v>#REF!</v>
      </c>
      <c r="P283" s="25" t="e">
        <f t="shared" si="85"/>
        <v>#REF!</v>
      </c>
      <c r="Q283" s="25" t="e">
        <f t="shared" si="86"/>
        <v>#REF!</v>
      </c>
      <c r="R283" s="25" t="e">
        <f t="shared" si="87"/>
        <v>#REF!</v>
      </c>
      <c r="S283" s="25" t="e">
        <f t="shared" si="88"/>
        <v>#REF!</v>
      </c>
      <c r="T283" s="25" t="e">
        <f t="shared" si="89"/>
        <v>#REF!</v>
      </c>
      <c r="U283" s="25" t="e">
        <f t="shared" si="90"/>
        <v>#REF!</v>
      </c>
      <c r="V283" s="25" t="e">
        <f t="shared" si="91"/>
        <v>#REF!</v>
      </c>
    </row>
    <row r="284" spans="1:22" ht="14.25" customHeight="1" x14ac:dyDescent="0.35">
      <c r="A284" s="2" t="s">
        <v>290</v>
      </c>
      <c r="B284" s="13" t="s">
        <v>48</v>
      </c>
      <c r="C284" s="13">
        <v>11053</v>
      </c>
      <c r="D284" s="14">
        <v>21794</v>
      </c>
      <c r="E284" s="15" t="e">
        <f>#REF!+#REF!+#REF!+#REF!+#REF!+#REF!+#REF!+GreenMobility!L284+#REF!+#REF!+#REF!+Partago!L284+#REF!+#REF!+#REF!</f>
        <v>#REF!</v>
      </c>
      <c r="F284" s="16" t="e">
        <f t="shared" si="76"/>
        <v>#REF!</v>
      </c>
      <c r="G284" s="19" t="e">
        <f>#REF!+#REF!+#REF!+#REF!+#REF!+#REF!+#REF!+#REF!+#REF!+Moovee!A284+#REF!+#REF!+#REF!</f>
        <v>#REF!</v>
      </c>
      <c r="H284" s="16" t="e">
        <f t="shared" si="77"/>
        <v>#REF!</v>
      </c>
      <c r="I284" s="30">
        <f t="shared" si="78"/>
        <v>43.588000000000001</v>
      </c>
      <c r="J284" s="31" t="e">
        <f t="shared" si="79"/>
        <v>#REF!</v>
      </c>
      <c r="K284" s="25" t="e">
        <f t="shared" si="80"/>
        <v>#REF!</v>
      </c>
      <c r="L284" s="25" t="e">
        <f t="shared" si="81"/>
        <v>#REF!</v>
      </c>
      <c r="M284" s="25" t="e">
        <f t="shared" si="82"/>
        <v>#REF!</v>
      </c>
      <c r="N284" s="25" t="e">
        <f t="shared" si="83"/>
        <v>#REF!</v>
      </c>
      <c r="O284" s="25" t="e">
        <f t="shared" si="84"/>
        <v>#REF!</v>
      </c>
      <c r="P284" s="25" t="e">
        <f t="shared" si="85"/>
        <v>#REF!</v>
      </c>
      <c r="Q284" s="25" t="e">
        <f t="shared" si="86"/>
        <v>#REF!</v>
      </c>
      <c r="R284" s="25" t="e">
        <f t="shared" si="87"/>
        <v>#REF!</v>
      </c>
      <c r="S284" s="25" t="e">
        <f t="shared" si="88"/>
        <v>#REF!</v>
      </c>
      <c r="T284" s="25" t="e">
        <f t="shared" si="89"/>
        <v>#REF!</v>
      </c>
      <c r="U284" s="25" t="e">
        <f t="shared" si="90"/>
        <v>#REF!</v>
      </c>
      <c r="V284" s="25" t="e">
        <f t="shared" si="91"/>
        <v>#REF!</v>
      </c>
    </row>
    <row r="285" spans="1:22" ht="14.25" customHeight="1" x14ac:dyDescent="0.35">
      <c r="A285" s="2" t="s">
        <v>305</v>
      </c>
      <c r="B285" s="13" t="s">
        <v>48</v>
      </c>
      <c r="C285" s="13">
        <v>11054</v>
      </c>
      <c r="D285" s="14">
        <v>13445</v>
      </c>
      <c r="E285" s="15" t="e">
        <f>#REF!+#REF!+#REF!+#REF!+#REF!+#REF!+#REF!+GreenMobility!L285+#REF!+#REF!+#REF!+Partago!L285+#REF!+#REF!+#REF!</f>
        <v>#REF!</v>
      </c>
      <c r="F285" s="16" t="e">
        <f t="shared" si="76"/>
        <v>#REF!</v>
      </c>
      <c r="G285" s="19" t="e">
        <f>#REF!+#REF!+#REF!+#REF!+#REF!+#REF!+#REF!+#REF!+#REF!+Moovee!A285+#REF!+#REF!+#REF!</f>
        <v>#REF!</v>
      </c>
      <c r="H285" s="16" t="e">
        <f t="shared" si="77"/>
        <v>#REF!</v>
      </c>
      <c r="I285" s="30">
        <f t="shared" si="78"/>
        <v>26.89</v>
      </c>
      <c r="J285" s="31" t="e">
        <f t="shared" si="79"/>
        <v>#REF!</v>
      </c>
      <c r="K285" s="25" t="e">
        <f t="shared" si="80"/>
        <v>#REF!</v>
      </c>
      <c r="L285" s="25" t="e">
        <f t="shared" si="81"/>
        <v>#REF!</v>
      </c>
      <c r="M285" s="25" t="e">
        <f t="shared" si="82"/>
        <v>#REF!</v>
      </c>
      <c r="N285" s="25" t="e">
        <f t="shared" si="83"/>
        <v>#REF!</v>
      </c>
      <c r="O285" s="25" t="e">
        <f t="shared" si="84"/>
        <v>#REF!</v>
      </c>
      <c r="P285" s="25" t="e">
        <f t="shared" si="85"/>
        <v>#REF!</v>
      </c>
      <c r="Q285" s="25" t="e">
        <f t="shared" si="86"/>
        <v>#REF!</v>
      </c>
      <c r="R285" s="25" t="e">
        <f t="shared" si="87"/>
        <v>#REF!</v>
      </c>
      <c r="S285" s="25" t="e">
        <f t="shared" si="88"/>
        <v>#REF!</v>
      </c>
      <c r="T285" s="25" t="e">
        <f t="shared" si="89"/>
        <v>#REF!</v>
      </c>
      <c r="U285" s="25" t="e">
        <f t="shared" si="90"/>
        <v>#REF!</v>
      </c>
      <c r="V285" s="25" t="e">
        <f t="shared" si="91"/>
        <v>#REF!</v>
      </c>
    </row>
    <row r="286" spans="1:22" ht="14.25" customHeight="1" x14ac:dyDescent="0.35">
      <c r="A286" s="2" t="s">
        <v>105</v>
      </c>
      <c r="B286" s="13" t="s">
        <v>52</v>
      </c>
      <c r="C286" s="13">
        <v>23094</v>
      </c>
      <c r="D286" s="14">
        <v>36676</v>
      </c>
      <c r="E286" s="15" t="e">
        <f>#REF!+#REF!+#REF!+#REF!+#REF!+#REF!+#REF!+GreenMobility!L286+#REF!+#REF!+#REF!+Partago!L286+#REF!+#REF!+#REF!</f>
        <v>#REF!</v>
      </c>
      <c r="F286" s="16" t="e">
        <f t="shared" si="76"/>
        <v>#REF!</v>
      </c>
      <c r="G286" s="19" t="e">
        <f>#REF!+#REF!+#REF!+#REF!+#REF!+#REF!+#REF!+#REF!+#REF!+Moovee!A286+#REF!+#REF!+#REF!</f>
        <v>#REF!</v>
      </c>
      <c r="H286" s="16" t="e">
        <f t="shared" si="77"/>
        <v>#REF!</v>
      </c>
      <c r="I286" s="30">
        <f t="shared" si="78"/>
        <v>73.352000000000004</v>
      </c>
      <c r="J286" s="31" t="e">
        <f t="shared" si="79"/>
        <v>#REF!</v>
      </c>
      <c r="K286" s="25" t="e">
        <f t="shared" si="80"/>
        <v>#REF!</v>
      </c>
      <c r="L286" s="25" t="e">
        <f t="shared" si="81"/>
        <v>#REF!</v>
      </c>
      <c r="M286" s="25" t="e">
        <f t="shared" si="82"/>
        <v>#REF!</v>
      </c>
      <c r="N286" s="25" t="e">
        <f t="shared" si="83"/>
        <v>#REF!</v>
      </c>
      <c r="O286" s="25" t="e">
        <f t="shared" si="84"/>
        <v>#REF!</v>
      </c>
      <c r="P286" s="25" t="e">
        <f t="shared" si="85"/>
        <v>#REF!</v>
      </c>
      <c r="Q286" s="25" t="e">
        <f t="shared" si="86"/>
        <v>#REF!</v>
      </c>
      <c r="R286" s="25" t="e">
        <f t="shared" si="87"/>
        <v>#REF!</v>
      </c>
      <c r="S286" s="25" t="e">
        <f t="shared" si="88"/>
        <v>#REF!</v>
      </c>
      <c r="T286" s="25" t="e">
        <f t="shared" si="89"/>
        <v>#REF!</v>
      </c>
      <c r="U286" s="25" t="e">
        <f t="shared" si="90"/>
        <v>#REF!</v>
      </c>
      <c r="V286" s="25" t="e">
        <f t="shared" si="91"/>
        <v>#REF!</v>
      </c>
    </row>
    <row r="287" spans="1:22" ht="14.25" customHeight="1" x14ac:dyDescent="0.35">
      <c r="A287" s="2" t="s">
        <v>164</v>
      </c>
      <c r="B287" s="13" t="s">
        <v>55</v>
      </c>
      <c r="C287" s="13">
        <v>31040</v>
      </c>
      <c r="D287" s="14">
        <v>23460</v>
      </c>
      <c r="E287" s="15" t="e">
        <f>#REF!+#REF!+#REF!+#REF!+#REF!+#REF!+#REF!+GreenMobility!L287+#REF!+#REF!+#REF!+Partago!L287+#REF!+#REF!+#REF!</f>
        <v>#REF!</v>
      </c>
      <c r="F287" s="16" t="e">
        <f t="shared" si="76"/>
        <v>#REF!</v>
      </c>
      <c r="G287" s="19" t="e">
        <f>#REF!+#REF!+#REF!+#REF!+#REF!+#REF!+#REF!+#REF!+#REF!+Moovee!A287+#REF!+#REF!+#REF!</f>
        <v>#REF!</v>
      </c>
      <c r="H287" s="16" t="e">
        <f t="shared" si="77"/>
        <v>#REF!</v>
      </c>
      <c r="I287" s="30">
        <f t="shared" si="78"/>
        <v>46.92</v>
      </c>
      <c r="J287" s="31" t="e">
        <f t="shared" si="79"/>
        <v>#REF!</v>
      </c>
      <c r="K287" s="25" t="e">
        <f t="shared" si="80"/>
        <v>#REF!</v>
      </c>
      <c r="L287" s="25" t="e">
        <f t="shared" si="81"/>
        <v>#REF!</v>
      </c>
      <c r="M287" s="25" t="e">
        <f t="shared" si="82"/>
        <v>#REF!</v>
      </c>
      <c r="N287" s="25" t="e">
        <f t="shared" si="83"/>
        <v>#REF!</v>
      </c>
      <c r="O287" s="25" t="e">
        <f t="shared" si="84"/>
        <v>#REF!</v>
      </c>
      <c r="P287" s="25" t="e">
        <f t="shared" si="85"/>
        <v>#REF!</v>
      </c>
      <c r="Q287" s="25" t="e">
        <f t="shared" si="86"/>
        <v>#REF!</v>
      </c>
      <c r="R287" s="25" t="e">
        <f t="shared" si="87"/>
        <v>#REF!</v>
      </c>
      <c r="S287" s="25" t="e">
        <f t="shared" si="88"/>
        <v>#REF!</v>
      </c>
      <c r="T287" s="25" t="e">
        <f t="shared" si="89"/>
        <v>#REF!</v>
      </c>
      <c r="U287" s="25" t="e">
        <f t="shared" si="90"/>
        <v>#REF!</v>
      </c>
      <c r="V287" s="25" t="e">
        <f t="shared" si="91"/>
        <v>#REF!</v>
      </c>
    </row>
    <row r="288" spans="1:22" ht="14.25" customHeight="1" x14ac:dyDescent="0.35">
      <c r="A288" s="2" t="s">
        <v>228</v>
      </c>
      <c r="B288" s="13" t="s">
        <v>50</v>
      </c>
      <c r="C288" s="13">
        <v>42028</v>
      </c>
      <c r="D288" s="14">
        <v>21501</v>
      </c>
      <c r="E288" s="15" t="e">
        <f>#REF!+#REF!+#REF!+#REF!+#REF!+#REF!+#REF!+GreenMobility!L288+#REF!+#REF!+#REF!+Partago!L288+#REF!+#REF!+#REF!</f>
        <v>#REF!</v>
      </c>
      <c r="F288" s="16" t="e">
        <f t="shared" si="76"/>
        <v>#REF!</v>
      </c>
      <c r="G288" s="19" t="e">
        <f>#REF!+#REF!+#REF!+#REF!+#REF!+#REF!+#REF!+#REF!+#REF!+Moovee!A288+#REF!+#REF!+#REF!</f>
        <v>#REF!</v>
      </c>
      <c r="H288" s="16" t="e">
        <f t="shared" si="77"/>
        <v>#REF!</v>
      </c>
      <c r="I288" s="30">
        <f t="shared" si="78"/>
        <v>43.002000000000002</v>
      </c>
      <c r="J288" s="31" t="e">
        <f t="shared" si="79"/>
        <v>#REF!</v>
      </c>
      <c r="K288" s="25" t="e">
        <f t="shared" si="80"/>
        <v>#REF!</v>
      </c>
      <c r="L288" s="25" t="e">
        <f t="shared" si="81"/>
        <v>#REF!</v>
      </c>
      <c r="M288" s="25" t="e">
        <f t="shared" si="82"/>
        <v>#REF!</v>
      </c>
      <c r="N288" s="25" t="e">
        <f t="shared" si="83"/>
        <v>#REF!</v>
      </c>
      <c r="O288" s="25" t="e">
        <f t="shared" si="84"/>
        <v>#REF!</v>
      </c>
      <c r="P288" s="25" t="e">
        <f t="shared" si="85"/>
        <v>#REF!</v>
      </c>
      <c r="Q288" s="25" t="e">
        <f t="shared" si="86"/>
        <v>#REF!</v>
      </c>
      <c r="R288" s="25" t="e">
        <f t="shared" si="87"/>
        <v>#REF!</v>
      </c>
      <c r="S288" s="25" t="e">
        <f t="shared" si="88"/>
        <v>#REF!</v>
      </c>
      <c r="T288" s="25" t="e">
        <f t="shared" si="89"/>
        <v>#REF!</v>
      </c>
      <c r="U288" s="25" t="e">
        <f t="shared" si="90"/>
        <v>#REF!</v>
      </c>
      <c r="V288" s="25" t="e">
        <f t="shared" si="91"/>
        <v>#REF!</v>
      </c>
    </row>
    <row r="289" spans="1:22" ht="14.25" customHeight="1" x14ac:dyDescent="0.35">
      <c r="A289" s="2" t="s">
        <v>269</v>
      </c>
      <c r="B289" s="13" t="s">
        <v>50</v>
      </c>
      <c r="C289" s="13">
        <v>43018</v>
      </c>
      <c r="D289" s="14">
        <v>13704</v>
      </c>
      <c r="E289" s="15" t="e">
        <f>#REF!+#REF!+#REF!+#REF!+#REF!+#REF!+#REF!+GreenMobility!L289+#REF!+#REF!+#REF!+Partago!L289+#REF!+#REF!+#REF!</f>
        <v>#REF!</v>
      </c>
      <c r="F289" s="16" t="e">
        <f t="shared" si="76"/>
        <v>#REF!</v>
      </c>
      <c r="G289" s="19" t="e">
        <f>#REF!+#REF!+#REF!+#REF!+#REF!+#REF!+#REF!+#REF!+#REF!+Moovee!A289+#REF!+#REF!+#REF!</f>
        <v>#REF!</v>
      </c>
      <c r="H289" s="16" t="e">
        <f t="shared" si="77"/>
        <v>#REF!</v>
      </c>
      <c r="I289" s="30">
        <f t="shared" si="78"/>
        <v>27.408000000000001</v>
      </c>
      <c r="J289" s="31" t="e">
        <f t="shared" si="79"/>
        <v>#REF!</v>
      </c>
      <c r="K289" s="25" t="e">
        <f t="shared" si="80"/>
        <v>#REF!</v>
      </c>
      <c r="L289" s="25" t="e">
        <f t="shared" si="81"/>
        <v>#REF!</v>
      </c>
      <c r="M289" s="25" t="e">
        <f t="shared" si="82"/>
        <v>#REF!</v>
      </c>
      <c r="N289" s="25" t="e">
        <f t="shared" si="83"/>
        <v>#REF!</v>
      </c>
      <c r="O289" s="25" t="e">
        <f t="shared" si="84"/>
        <v>#REF!</v>
      </c>
      <c r="P289" s="25" t="e">
        <f t="shared" si="85"/>
        <v>#REF!</v>
      </c>
      <c r="Q289" s="25" t="e">
        <f t="shared" si="86"/>
        <v>#REF!</v>
      </c>
      <c r="R289" s="25" t="e">
        <f t="shared" si="87"/>
        <v>#REF!</v>
      </c>
      <c r="S289" s="25" t="e">
        <f t="shared" si="88"/>
        <v>#REF!</v>
      </c>
      <c r="T289" s="25" t="e">
        <f t="shared" si="89"/>
        <v>#REF!</v>
      </c>
      <c r="U289" s="25" t="e">
        <f t="shared" si="90"/>
        <v>#REF!</v>
      </c>
      <c r="V289" s="25" t="e">
        <f t="shared" si="91"/>
        <v>#REF!</v>
      </c>
    </row>
    <row r="290" spans="1:22" ht="14.25" customHeight="1" x14ac:dyDescent="0.35">
      <c r="A290" s="2" t="s">
        <v>119</v>
      </c>
      <c r="B290" s="13" t="s">
        <v>52</v>
      </c>
      <c r="C290" s="13">
        <v>23096</v>
      </c>
      <c r="D290" s="14">
        <v>23401</v>
      </c>
      <c r="E290" s="15" t="e">
        <f>#REF!+#REF!+#REF!+#REF!+#REF!+#REF!+#REF!+GreenMobility!L290+#REF!+#REF!+#REF!+Partago!L290+#REF!+#REF!+#REF!</f>
        <v>#REF!</v>
      </c>
      <c r="F290" s="16" t="e">
        <f t="shared" si="76"/>
        <v>#REF!</v>
      </c>
      <c r="G290" s="19" t="e">
        <f>#REF!+#REF!+#REF!+#REF!+#REF!+#REF!+#REF!+#REF!+#REF!+Moovee!A290+#REF!+#REF!+#REF!</f>
        <v>#REF!</v>
      </c>
      <c r="H290" s="16" t="e">
        <f t="shared" si="77"/>
        <v>#REF!</v>
      </c>
      <c r="I290" s="30">
        <f t="shared" si="78"/>
        <v>46.802</v>
      </c>
      <c r="J290" s="31" t="e">
        <f t="shared" si="79"/>
        <v>#REF!</v>
      </c>
      <c r="K290" s="25" t="e">
        <f t="shared" si="80"/>
        <v>#REF!</v>
      </c>
      <c r="L290" s="25" t="e">
        <f t="shared" si="81"/>
        <v>#REF!</v>
      </c>
      <c r="M290" s="25" t="e">
        <f t="shared" si="82"/>
        <v>#REF!</v>
      </c>
      <c r="N290" s="25" t="e">
        <f t="shared" si="83"/>
        <v>#REF!</v>
      </c>
      <c r="O290" s="25" t="e">
        <f t="shared" si="84"/>
        <v>#REF!</v>
      </c>
      <c r="P290" s="25" t="e">
        <f t="shared" si="85"/>
        <v>#REF!</v>
      </c>
      <c r="Q290" s="25" t="e">
        <f t="shared" si="86"/>
        <v>#REF!</v>
      </c>
      <c r="R290" s="25" t="e">
        <f t="shared" si="87"/>
        <v>#REF!</v>
      </c>
      <c r="S290" s="25" t="e">
        <f t="shared" si="88"/>
        <v>#REF!</v>
      </c>
      <c r="T290" s="25" t="e">
        <f t="shared" si="89"/>
        <v>#REF!</v>
      </c>
      <c r="U290" s="25" t="e">
        <f t="shared" si="90"/>
        <v>#REF!</v>
      </c>
      <c r="V290" s="25" t="e">
        <f t="shared" si="91"/>
        <v>#REF!</v>
      </c>
    </row>
    <row r="291" spans="1:22" ht="14.25" customHeight="1" x14ac:dyDescent="0.35">
      <c r="A291" s="2" t="s">
        <v>291</v>
      </c>
      <c r="B291" s="13" t="s">
        <v>48</v>
      </c>
      <c r="C291" s="13">
        <v>11055</v>
      </c>
      <c r="D291" s="14">
        <v>22557</v>
      </c>
      <c r="E291" s="15" t="e">
        <f>#REF!+#REF!+#REF!+#REF!+#REF!+#REF!+#REF!+GreenMobility!L291+#REF!+#REF!+#REF!+Partago!L291+#REF!+#REF!+#REF!</f>
        <v>#REF!</v>
      </c>
      <c r="F291" s="16" t="e">
        <f t="shared" si="76"/>
        <v>#REF!</v>
      </c>
      <c r="G291" s="19" t="e">
        <f>#REF!+#REF!+#REF!+#REF!+#REF!+#REF!+#REF!+#REF!+#REF!+Moovee!A291+#REF!+#REF!+#REF!</f>
        <v>#REF!</v>
      </c>
      <c r="H291" s="16" t="e">
        <f t="shared" si="77"/>
        <v>#REF!</v>
      </c>
      <c r="I291" s="30">
        <f t="shared" si="78"/>
        <v>45.113999999999997</v>
      </c>
      <c r="J291" s="31" t="e">
        <f t="shared" si="79"/>
        <v>#REF!</v>
      </c>
      <c r="K291" s="25" t="e">
        <f t="shared" si="80"/>
        <v>#REF!</v>
      </c>
      <c r="L291" s="25" t="e">
        <f t="shared" si="81"/>
        <v>#REF!</v>
      </c>
      <c r="M291" s="25" t="e">
        <f t="shared" si="82"/>
        <v>#REF!</v>
      </c>
      <c r="N291" s="25" t="e">
        <f t="shared" si="83"/>
        <v>#REF!</v>
      </c>
      <c r="O291" s="25" t="e">
        <f t="shared" si="84"/>
        <v>#REF!</v>
      </c>
      <c r="P291" s="25" t="e">
        <f t="shared" si="85"/>
        <v>#REF!</v>
      </c>
      <c r="Q291" s="25" t="e">
        <f t="shared" si="86"/>
        <v>#REF!</v>
      </c>
      <c r="R291" s="25" t="e">
        <f t="shared" si="87"/>
        <v>#REF!</v>
      </c>
      <c r="S291" s="25" t="e">
        <f t="shared" si="88"/>
        <v>#REF!</v>
      </c>
      <c r="T291" s="25" t="e">
        <f t="shared" si="89"/>
        <v>#REF!</v>
      </c>
      <c r="U291" s="25" t="e">
        <f t="shared" si="90"/>
        <v>#REF!</v>
      </c>
      <c r="V291" s="25" t="e">
        <f t="shared" si="91"/>
        <v>#REF!</v>
      </c>
    </row>
    <row r="292" spans="1:22" ht="14.25" customHeight="1" x14ac:dyDescent="0.35">
      <c r="A292" s="2" t="s">
        <v>289</v>
      </c>
      <c r="B292" s="13" t="s">
        <v>59</v>
      </c>
      <c r="C292" s="13">
        <v>71066</v>
      </c>
      <c r="D292" s="14">
        <v>21845</v>
      </c>
      <c r="E292" s="15" t="e">
        <f>#REF!+#REF!+#REF!+#REF!+#REF!+#REF!+#REF!+GreenMobility!L292+#REF!+#REF!+#REF!+Partago!L292+#REF!+#REF!+#REF!</f>
        <v>#REF!</v>
      </c>
      <c r="F292" s="16" t="e">
        <f t="shared" si="76"/>
        <v>#REF!</v>
      </c>
      <c r="G292" s="19" t="e">
        <f>#REF!+#REF!+#REF!+#REF!+#REF!+#REF!+#REF!+#REF!+#REF!+Moovee!A292+#REF!+#REF!+#REF!</f>
        <v>#REF!</v>
      </c>
      <c r="H292" s="16" t="e">
        <f t="shared" si="77"/>
        <v>#REF!</v>
      </c>
      <c r="I292" s="30">
        <f t="shared" si="78"/>
        <v>43.69</v>
      </c>
      <c r="J292" s="31" t="e">
        <f t="shared" si="79"/>
        <v>#REF!</v>
      </c>
      <c r="K292" s="25" t="e">
        <f t="shared" si="80"/>
        <v>#REF!</v>
      </c>
      <c r="L292" s="25" t="e">
        <f t="shared" si="81"/>
        <v>#REF!</v>
      </c>
      <c r="M292" s="25" t="e">
        <f t="shared" si="82"/>
        <v>#REF!</v>
      </c>
      <c r="N292" s="25" t="e">
        <f t="shared" si="83"/>
        <v>#REF!</v>
      </c>
      <c r="O292" s="25" t="e">
        <f t="shared" si="84"/>
        <v>#REF!</v>
      </c>
      <c r="P292" s="25" t="e">
        <f t="shared" si="85"/>
        <v>#REF!</v>
      </c>
      <c r="Q292" s="25" t="e">
        <f t="shared" si="86"/>
        <v>#REF!</v>
      </c>
      <c r="R292" s="25" t="e">
        <f t="shared" si="87"/>
        <v>#REF!</v>
      </c>
      <c r="S292" s="25" t="e">
        <f t="shared" si="88"/>
        <v>#REF!</v>
      </c>
      <c r="T292" s="25" t="e">
        <f t="shared" si="89"/>
        <v>#REF!</v>
      </c>
      <c r="U292" s="25" t="e">
        <f t="shared" si="90"/>
        <v>#REF!</v>
      </c>
      <c r="V292" s="25" t="e">
        <f t="shared" si="91"/>
        <v>#REF!</v>
      </c>
    </row>
    <row r="293" spans="1:22" ht="14.25" customHeight="1" x14ac:dyDescent="0.35">
      <c r="A293" s="2" t="s">
        <v>137</v>
      </c>
      <c r="B293" s="13" t="s">
        <v>55</v>
      </c>
      <c r="C293" s="13">
        <v>33037</v>
      </c>
      <c r="D293" s="14">
        <v>12705</v>
      </c>
      <c r="E293" s="15" t="e">
        <f>#REF!+#REF!+#REF!+#REF!+#REF!+#REF!+#REF!+GreenMobility!L293+#REF!+#REF!+#REF!+Partago!L293+#REF!+#REF!+#REF!</f>
        <v>#REF!</v>
      </c>
      <c r="F293" s="16" t="e">
        <f t="shared" si="76"/>
        <v>#REF!</v>
      </c>
      <c r="G293" s="19" t="e">
        <f>#REF!+#REF!+#REF!+#REF!+#REF!+#REF!+#REF!+#REF!+#REF!+Moovee!A293+#REF!+#REF!+#REF!</f>
        <v>#REF!</v>
      </c>
      <c r="H293" s="16" t="e">
        <f t="shared" si="77"/>
        <v>#REF!</v>
      </c>
      <c r="I293" s="30">
        <f t="shared" si="78"/>
        <v>25.41</v>
      </c>
      <c r="J293" s="31" t="e">
        <f t="shared" si="79"/>
        <v>#REF!</v>
      </c>
      <c r="K293" s="25" t="e">
        <f t="shared" si="80"/>
        <v>#REF!</v>
      </c>
      <c r="L293" s="25" t="e">
        <f t="shared" si="81"/>
        <v>#REF!</v>
      </c>
      <c r="M293" s="25" t="e">
        <f t="shared" si="82"/>
        <v>#REF!</v>
      </c>
      <c r="N293" s="25" t="e">
        <f t="shared" si="83"/>
        <v>#REF!</v>
      </c>
      <c r="O293" s="25" t="e">
        <f t="shared" si="84"/>
        <v>#REF!</v>
      </c>
      <c r="P293" s="25" t="e">
        <f t="shared" si="85"/>
        <v>#REF!</v>
      </c>
      <c r="Q293" s="25" t="e">
        <f t="shared" si="86"/>
        <v>#REF!</v>
      </c>
      <c r="R293" s="25" t="e">
        <f t="shared" si="87"/>
        <v>#REF!</v>
      </c>
      <c r="S293" s="25" t="e">
        <f t="shared" si="88"/>
        <v>#REF!</v>
      </c>
      <c r="T293" s="25" t="e">
        <f t="shared" si="89"/>
        <v>#REF!</v>
      </c>
      <c r="U293" s="25" t="e">
        <f t="shared" si="90"/>
        <v>#REF!</v>
      </c>
      <c r="V293" s="25" t="e">
        <f t="shared" si="91"/>
        <v>#REF!</v>
      </c>
    </row>
    <row r="294" spans="1:22" ht="14.25" customHeight="1" x14ac:dyDescent="0.35">
      <c r="A294" s="2" t="s">
        <v>120</v>
      </c>
      <c r="B294" s="13" t="s">
        <v>50</v>
      </c>
      <c r="C294" s="13">
        <v>41081</v>
      </c>
      <c r="D294" s="14">
        <v>28085</v>
      </c>
      <c r="E294" s="15" t="e">
        <f>#REF!+#REF!+#REF!+#REF!+#REF!+#REF!+#REF!+GreenMobility!L294+#REF!+#REF!+#REF!+Partago!L294+#REF!+#REF!+#REF!</f>
        <v>#REF!</v>
      </c>
      <c r="F294" s="16" t="e">
        <f t="shared" si="76"/>
        <v>#REF!</v>
      </c>
      <c r="G294" s="19" t="e">
        <f>#REF!+#REF!+#REF!+#REF!+#REF!+#REF!+#REF!+#REF!+#REF!+Moovee!A294+#REF!+#REF!+#REF!</f>
        <v>#REF!</v>
      </c>
      <c r="H294" s="16" t="e">
        <f t="shared" si="77"/>
        <v>#REF!</v>
      </c>
      <c r="I294" s="30">
        <f t="shared" si="78"/>
        <v>56.17</v>
      </c>
      <c r="J294" s="31" t="e">
        <f t="shared" si="79"/>
        <v>#REF!</v>
      </c>
      <c r="K294" s="25" t="e">
        <f t="shared" si="80"/>
        <v>#REF!</v>
      </c>
      <c r="L294" s="25" t="e">
        <f t="shared" si="81"/>
        <v>#REF!</v>
      </c>
      <c r="M294" s="25" t="e">
        <f t="shared" si="82"/>
        <v>#REF!</v>
      </c>
      <c r="N294" s="25" t="e">
        <f t="shared" si="83"/>
        <v>#REF!</v>
      </c>
      <c r="O294" s="25" t="e">
        <f t="shared" si="84"/>
        <v>#REF!</v>
      </c>
      <c r="P294" s="25" t="e">
        <f t="shared" si="85"/>
        <v>#REF!</v>
      </c>
      <c r="Q294" s="25" t="e">
        <f t="shared" si="86"/>
        <v>#REF!</v>
      </c>
      <c r="R294" s="25" t="e">
        <f t="shared" si="87"/>
        <v>#REF!</v>
      </c>
      <c r="S294" s="25" t="e">
        <f t="shared" si="88"/>
        <v>#REF!</v>
      </c>
      <c r="T294" s="25" t="e">
        <f t="shared" si="89"/>
        <v>#REF!</v>
      </c>
      <c r="U294" s="25" t="e">
        <f t="shared" si="90"/>
        <v>#REF!</v>
      </c>
      <c r="V294" s="25" t="e">
        <f t="shared" si="91"/>
        <v>#REF!</v>
      </c>
    </row>
    <row r="295" spans="1:22" ht="14.25" customHeight="1" x14ac:dyDescent="0.35">
      <c r="A295" s="2" t="s">
        <v>255</v>
      </c>
      <c r="B295" s="13" t="s">
        <v>52</v>
      </c>
      <c r="C295" s="13">
        <v>24130</v>
      </c>
      <c r="D295" s="14">
        <v>8734</v>
      </c>
      <c r="E295" s="15" t="e">
        <f>#REF!+#REF!+#REF!+#REF!+#REF!+#REF!+#REF!+GreenMobility!L295+#REF!+#REF!+#REF!+Partago!L295+#REF!+#REF!+#REF!</f>
        <v>#REF!</v>
      </c>
      <c r="F295" s="16" t="e">
        <f t="shared" si="76"/>
        <v>#REF!</v>
      </c>
      <c r="G295" s="19" t="e">
        <f>#REF!+#REF!+#REF!+#REF!+#REF!+#REF!+#REF!+#REF!+#REF!+Moovee!A295+#REF!+#REF!+#REF!</f>
        <v>#REF!</v>
      </c>
      <c r="H295" s="16" t="e">
        <f t="shared" si="77"/>
        <v>#REF!</v>
      </c>
      <c r="I295" s="30">
        <f t="shared" si="78"/>
        <v>17.468</v>
      </c>
      <c r="J295" s="31" t="e">
        <f t="shared" si="79"/>
        <v>#REF!</v>
      </c>
      <c r="K295" s="25" t="e">
        <f t="shared" si="80"/>
        <v>#REF!</v>
      </c>
      <c r="L295" s="25" t="e">
        <f t="shared" si="81"/>
        <v>#REF!</v>
      </c>
      <c r="M295" s="25" t="e">
        <f t="shared" si="82"/>
        <v>#REF!</v>
      </c>
      <c r="N295" s="25" t="e">
        <f t="shared" si="83"/>
        <v>#REF!</v>
      </c>
      <c r="O295" s="25" t="e">
        <f t="shared" si="84"/>
        <v>#REF!</v>
      </c>
      <c r="P295" s="25" t="e">
        <f t="shared" si="85"/>
        <v>#REF!</v>
      </c>
      <c r="Q295" s="25" t="e">
        <f t="shared" si="86"/>
        <v>#REF!</v>
      </c>
      <c r="R295" s="25" t="e">
        <f t="shared" si="87"/>
        <v>#REF!</v>
      </c>
      <c r="S295" s="25" t="e">
        <f t="shared" si="88"/>
        <v>#REF!</v>
      </c>
      <c r="T295" s="25" t="e">
        <f t="shared" si="89"/>
        <v>#REF!</v>
      </c>
      <c r="U295" s="25" t="e">
        <f t="shared" si="90"/>
        <v>#REF!</v>
      </c>
      <c r="V295" s="25" t="e">
        <f t="shared" si="91"/>
        <v>#REF!</v>
      </c>
    </row>
    <row r="296" spans="1:22" ht="14.25" customHeight="1" x14ac:dyDescent="0.35">
      <c r="A296" s="2" t="s">
        <v>316</v>
      </c>
      <c r="B296" s="13" t="s">
        <v>55</v>
      </c>
      <c r="C296" s="13">
        <v>31042</v>
      </c>
      <c r="D296" s="14">
        <v>2676</v>
      </c>
      <c r="E296" s="15" t="e">
        <f>#REF!+#REF!+#REF!+#REF!+#REF!+#REF!+#REF!+GreenMobility!L296+#REF!+#REF!+#REF!+Partago!L296+#REF!+#REF!+#REF!</f>
        <v>#REF!</v>
      </c>
      <c r="F296" s="16" t="e">
        <f t="shared" si="76"/>
        <v>#REF!</v>
      </c>
      <c r="G296" s="19" t="e">
        <f>#REF!+#REF!+#REF!+#REF!+#REF!+#REF!+#REF!+#REF!+#REF!+Moovee!A296+#REF!+#REF!+#REF!</f>
        <v>#REF!</v>
      </c>
      <c r="H296" s="16" t="e">
        <f t="shared" si="77"/>
        <v>#REF!</v>
      </c>
      <c r="I296" s="30">
        <f t="shared" si="78"/>
        <v>5.3520000000000003</v>
      </c>
      <c r="J296" s="31" t="e">
        <f t="shared" si="79"/>
        <v>#REF!</v>
      </c>
      <c r="K296" s="25" t="e">
        <f t="shared" si="80"/>
        <v>#REF!</v>
      </c>
      <c r="L296" s="25" t="e">
        <f t="shared" si="81"/>
        <v>#REF!</v>
      </c>
      <c r="M296" s="25" t="e">
        <f t="shared" si="82"/>
        <v>#REF!</v>
      </c>
      <c r="N296" s="25" t="e">
        <f t="shared" si="83"/>
        <v>#REF!</v>
      </c>
      <c r="O296" s="25" t="e">
        <f t="shared" si="84"/>
        <v>#REF!</v>
      </c>
      <c r="P296" s="25" t="e">
        <f t="shared" si="85"/>
        <v>#REF!</v>
      </c>
      <c r="Q296" s="25" t="e">
        <f t="shared" si="86"/>
        <v>#REF!</v>
      </c>
      <c r="R296" s="25" t="e">
        <f t="shared" si="87"/>
        <v>#REF!</v>
      </c>
      <c r="S296" s="25" t="e">
        <f t="shared" si="88"/>
        <v>#REF!</v>
      </c>
      <c r="T296" s="25" t="e">
        <f t="shared" si="89"/>
        <v>#REF!</v>
      </c>
      <c r="U296" s="25" t="e">
        <f t="shared" si="90"/>
        <v>#REF!</v>
      </c>
      <c r="V296" s="25" t="e">
        <f t="shared" si="91"/>
        <v>#REF!</v>
      </c>
    </row>
    <row r="297" spans="1:22" ht="14.25" customHeight="1" x14ac:dyDescent="0.35">
      <c r="A297" s="2" t="s">
        <v>111</v>
      </c>
      <c r="B297" s="13" t="s">
        <v>50</v>
      </c>
      <c r="C297" s="13">
        <v>44081</v>
      </c>
      <c r="D297" s="14">
        <v>16095</v>
      </c>
      <c r="E297" s="15" t="e">
        <f>#REF!+#REF!+#REF!+#REF!+#REF!+#REF!+#REF!+GreenMobility!L297+#REF!+#REF!+#REF!+Partago!L297+#REF!+#REF!+#REF!</f>
        <v>#REF!</v>
      </c>
      <c r="F297" s="16" t="e">
        <f t="shared" si="76"/>
        <v>#REF!</v>
      </c>
      <c r="G297" s="19" t="e">
        <f>#REF!+#REF!+#REF!+#REF!+#REF!+#REF!+#REF!+#REF!+#REF!+Moovee!A297+#REF!+#REF!+#REF!</f>
        <v>#REF!</v>
      </c>
      <c r="H297" s="16" t="e">
        <f t="shared" si="77"/>
        <v>#REF!</v>
      </c>
      <c r="I297" s="30">
        <f t="shared" si="78"/>
        <v>32.19</v>
      </c>
      <c r="J297" s="31" t="e">
        <f t="shared" si="79"/>
        <v>#REF!</v>
      </c>
      <c r="K297" s="25" t="e">
        <f t="shared" si="80"/>
        <v>#REF!</v>
      </c>
      <c r="L297" s="25" t="e">
        <f t="shared" si="81"/>
        <v>#REF!</v>
      </c>
      <c r="M297" s="25" t="e">
        <f t="shared" si="82"/>
        <v>#REF!</v>
      </c>
      <c r="N297" s="25" t="e">
        <f t="shared" si="83"/>
        <v>#REF!</v>
      </c>
      <c r="O297" s="25" t="e">
        <f t="shared" si="84"/>
        <v>#REF!</v>
      </c>
      <c r="P297" s="25" t="e">
        <f t="shared" si="85"/>
        <v>#REF!</v>
      </c>
      <c r="Q297" s="25" t="e">
        <f t="shared" si="86"/>
        <v>#REF!</v>
      </c>
      <c r="R297" s="25" t="e">
        <f t="shared" si="87"/>
        <v>#REF!</v>
      </c>
      <c r="S297" s="25" t="e">
        <f t="shared" si="88"/>
        <v>#REF!</v>
      </c>
      <c r="T297" s="25" t="e">
        <f t="shared" si="89"/>
        <v>#REF!</v>
      </c>
      <c r="U297" s="25" t="e">
        <f t="shared" si="90"/>
        <v>#REF!</v>
      </c>
      <c r="V297" s="25" t="e">
        <f t="shared" si="91"/>
        <v>#REF!</v>
      </c>
    </row>
    <row r="298" spans="1:22" ht="14.25" customHeight="1" x14ac:dyDescent="0.35">
      <c r="A298" s="2" t="s">
        <v>321</v>
      </c>
      <c r="B298" s="13" t="s">
        <v>59</v>
      </c>
      <c r="C298" s="13">
        <v>71067</v>
      </c>
      <c r="D298" s="14">
        <v>7384</v>
      </c>
      <c r="E298" s="15" t="e">
        <f>#REF!+#REF!+#REF!+#REF!+#REF!+#REF!+#REF!+GreenMobility!L298+#REF!+#REF!+#REF!+Partago!L298+#REF!+#REF!+#REF!</f>
        <v>#REF!</v>
      </c>
      <c r="F298" s="16" t="e">
        <f t="shared" si="76"/>
        <v>#REF!</v>
      </c>
      <c r="G298" s="19" t="e">
        <f>#REF!+#REF!+#REF!+#REF!+#REF!+#REF!+#REF!+#REF!+#REF!+Moovee!A298+#REF!+#REF!+#REF!</f>
        <v>#REF!</v>
      </c>
      <c r="H298" s="16" t="e">
        <f t="shared" si="77"/>
        <v>#REF!</v>
      </c>
      <c r="I298" s="30">
        <f t="shared" si="78"/>
        <v>14.768000000000001</v>
      </c>
      <c r="J298" s="31" t="e">
        <f t="shared" si="79"/>
        <v>#REF!</v>
      </c>
      <c r="K298" s="25" t="e">
        <f t="shared" si="80"/>
        <v>#REF!</v>
      </c>
      <c r="L298" s="25" t="e">
        <f t="shared" si="81"/>
        <v>#REF!</v>
      </c>
      <c r="M298" s="25" t="e">
        <f t="shared" si="82"/>
        <v>#REF!</v>
      </c>
      <c r="N298" s="25" t="e">
        <f t="shared" si="83"/>
        <v>#REF!</v>
      </c>
      <c r="O298" s="25" t="e">
        <f t="shared" si="84"/>
        <v>#REF!</v>
      </c>
      <c r="P298" s="25" t="e">
        <f t="shared" si="85"/>
        <v>#REF!</v>
      </c>
      <c r="Q298" s="25" t="e">
        <f t="shared" si="86"/>
        <v>#REF!</v>
      </c>
      <c r="R298" s="25" t="e">
        <f t="shared" si="87"/>
        <v>#REF!</v>
      </c>
      <c r="S298" s="25" t="e">
        <f t="shared" si="88"/>
        <v>#REF!</v>
      </c>
      <c r="T298" s="25" t="e">
        <f t="shared" si="89"/>
        <v>#REF!</v>
      </c>
      <c r="U298" s="25" t="e">
        <f t="shared" si="90"/>
        <v>#REF!</v>
      </c>
      <c r="V298" s="25" t="e">
        <f t="shared" si="91"/>
        <v>#REF!</v>
      </c>
    </row>
    <row r="299" spans="1:22" ht="14.25" customHeight="1" x14ac:dyDescent="0.35">
      <c r="A299" s="2" t="s">
        <v>149</v>
      </c>
      <c r="B299" s="13" t="s">
        <v>50</v>
      </c>
      <c r="C299" s="13">
        <v>45065</v>
      </c>
      <c r="D299" s="14">
        <v>8340</v>
      </c>
      <c r="E299" s="15" t="e">
        <f>#REF!+#REF!+#REF!+#REF!+#REF!+#REF!+#REF!+GreenMobility!L299+#REF!+#REF!+#REF!+Partago!L299+#REF!+#REF!+#REF!</f>
        <v>#REF!</v>
      </c>
      <c r="F299" s="16" t="e">
        <f t="shared" si="76"/>
        <v>#REF!</v>
      </c>
      <c r="G299" s="19" t="e">
        <f>#REF!+#REF!+#REF!+#REF!+#REF!+#REF!+#REF!+#REF!+#REF!+Moovee!A299+#REF!+#REF!+#REF!</f>
        <v>#REF!</v>
      </c>
      <c r="H299" s="16" t="e">
        <f t="shared" si="77"/>
        <v>#REF!</v>
      </c>
      <c r="I299" s="30">
        <f t="shared" si="78"/>
        <v>16.68</v>
      </c>
      <c r="J299" s="31" t="e">
        <f t="shared" si="79"/>
        <v>#REF!</v>
      </c>
      <c r="K299" s="25" t="e">
        <f t="shared" si="80"/>
        <v>#REF!</v>
      </c>
      <c r="L299" s="25" t="e">
        <f t="shared" si="81"/>
        <v>#REF!</v>
      </c>
      <c r="M299" s="25" t="e">
        <f t="shared" si="82"/>
        <v>#REF!</v>
      </c>
      <c r="N299" s="25" t="e">
        <f t="shared" si="83"/>
        <v>#REF!</v>
      </c>
      <c r="O299" s="25" t="e">
        <f t="shared" si="84"/>
        <v>#REF!</v>
      </c>
      <c r="P299" s="25" t="e">
        <f t="shared" si="85"/>
        <v>#REF!</v>
      </c>
      <c r="Q299" s="25" t="e">
        <f t="shared" si="86"/>
        <v>#REF!</v>
      </c>
      <c r="R299" s="25" t="e">
        <f t="shared" si="87"/>
        <v>#REF!</v>
      </c>
      <c r="S299" s="25" t="e">
        <f t="shared" si="88"/>
        <v>#REF!</v>
      </c>
      <c r="T299" s="25" t="e">
        <f t="shared" si="89"/>
        <v>#REF!</v>
      </c>
      <c r="U299" s="25" t="e">
        <f t="shared" si="90"/>
        <v>#REF!</v>
      </c>
      <c r="V299" s="25" t="e">
        <f t="shared" si="91"/>
        <v>#REF!</v>
      </c>
    </row>
    <row r="300" spans="1:22" ht="14.25" customHeight="1" x14ac:dyDescent="0.35">
      <c r="A300" s="2" t="s">
        <v>186</v>
      </c>
      <c r="B300" s="13" t="s">
        <v>55</v>
      </c>
      <c r="C300" s="13">
        <v>34042</v>
      </c>
      <c r="D300" s="14">
        <v>25785</v>
      </c>
      <c r="E300" s="15" t="e">
        <f>#REF!+#REF!+#REF!+#REF!+#REF!+#REF!+#REF!+GreenMobility!L300+#REF!+#REF!+#REF!+Partago!L300+#REF!+#REF!+#REF!</f>
        <v>#REF!</v>
      </c>
      <c r="F300" s="16" t="e">
        <f t="shared" si="76"/>
        <v>#REF!</v>
      </c>
      <c r="G300" s="19" t="e">
        <f>#REF!+#REF!+#REF!+#REF!+#REF!+#REF!+#REF!+#REF!+#REF!+Moovee!A300+#REF!+#REF!+#REF!</f>
        <v>#REF!</v>
      </c>
      <c r="H300" s="16" t="e">
        <f t="shared" si="77"/>
        <v>#REF!</v>
      </c>
      <c r="I300" s="30">
        <f t="shared" si="78"/>
        <v>51.57</v>
      </c>
      <c r="J300" s="31" t="e">
        <f t="shared" si="79"/>
        <v>#REF!</v>
      </c>
      <c r="K300" s="25" t="e">
        <f t="shared" si="80"/>
        <v>#REF!</v>
      </c>
      <c r="L300" s="25" t="e">
        <f t="shared" si="81"/>
        <v>#REF!</v>
      </c>
      <c r="M300" s="25" t="e">
        <f t="shared" si="82"/>
        <v>#REF!</v>
      </c>
      <c r="N300" s="25" t="e">
        <f t="shared" si="83"/>
        <v>#REF!</v>
      </c>
      <c r="O300" s="25" t="e">
        <f t="shared" si="84"/>
        <v>#REF!</v>
      </c>
      <c r="P300" s="25" t="e">
        <f t="shared" si="85"/>
        <v>#REF!</v>
      </c>
      <c r="Q300" s="25" t="e">
        <f t="shared" si="86"/>
        <v>#REF!</v>
      </c>
      <c r="R300" s="25" t="e">
        <f t="shared" si="87"/>
        <v>#REF!</v>
      </c>
      <c r="S300" s="25" t="e">
        <f t="shared" si="88"/>
        <v>#REF!</v>
      </c>
      <c r="T300" s="25" t="e">
        <f t="shared" si="89"/>
        <v>#REF!</v>
      </c>
      <c r="U300" s="25" t="e">
        <f t="shared" si="90"/>
        <v>#REF!</v>
      </c>
      <c r="V300" s="25" t="e">
        <f t="shared" si="91"/>
        <v>#REF!</v>
      </c>
    </row>
    <row r="301" spans="1:22" ht="14.25" customHeight="1" x14ac:dyDescent="0.35">
      <c r="A301" s="2" t="s">
        <v>358</v>
      </c>
      <c r="B301" s="13" t="s">
        <v>48</v>
      </c>
      <c r="C301" s="13">
        <v>11056</v>
      </c>
      <c r="D301" s="14">
        <v>19580</v>
      </c>
      <c r="E301" s="15" t="e">
        <f>#REF!+#REF!+#REF!+#REF!+#REF!+#REF!+#REF!+GreenMobility!L301+#REF!+#REF!+#REF!+Partago!L301+#REF!+#REF!+#REF!</f>
        <v>#REF!</v>
      </c>
      <c r="F301" s="16" t="e">
        <f t="shared" si="76"/>
        <v>#REF!</v>
      </c>
      <c r="G301" s="19" t="e">
        <f>#REF!+#REF!+#REF!+#REF!+#REF!+#REF!+#REF!+#REF!+#REF!+Moovee!A301+#REF!+#REF!+#REF!</f>
        <v>#REF!</v>
      </c>
      <c r="H301" s="16" t="e">
        <f t="shared" si="77"/>
        <v>#REF!</v>
      </c>
      <c r="I301" s="30">
        <f t="shared" si="78"/>
        <v>39.159999999999997</v>
      </c>
      <c r="J301" s="31" t="e">
        <f t="shared" si="79"/>
        <v>#REF!</v>
      </c>
      <c r="K301" s="25" t="e">
        <f t="shared" si="80"/>
        <v>#REF!</v>
      </c>
      <c r="L301" s="25" t="e">
        <f t="shared" si="81"/>
        <v>#REF!</v>
      </c>
      <c r="M301" s="25" t="e">
        <f t="shared" si="82"/>
        <v>#REF!</v>
      </c>
      <c r="N301" s="25" t="e">
        <f t="shared" si="83"/>
        <v>#REF!</v>
      </c>
      <c r="O301" s="25" t="e">
        <f t="shared" si="84"/>
        <v>#REF!</v>
      </c>
      <c r="P301" s="25" t="e">
        <f t="shared" si="85"/>
        <v>#REF!</v>
      </c>
      <c r="Q301" s="25" t="e">
        <f t="shared" si="86"/>
        <v>#REF!</v>
      </c>
      <c r="R301" s="25" t="e">
        <f t="shared" si="87"/>
        <v>#REF!</v>
      </c>
      <c r="S301" s="25" t="e">
        <f t="shared" si="88"/>
        <v>#REF!</v>
      </c>
      <c r="T301" s="25" t="e">
        <f t="shared" si="89"/>
        <v>#REF!</v>
      </c>
      <c r="U301" s="25" t="e">
        <f t="shared" si="90"/>
        <v>#REF!</v>
      </c>
      <c r="V301" s="25" t="e">
        <f t="shared" si="91"/>
        <v>#REF!</v>
      </c>
    </row>
    <row r="302" spans="1:22" ht="14.25" customHeight="1" x14ac:dyDescent="0.35">
      <c r="G302" s="19"/>
      <c r="I302" s="30"/>
      <c r="J302" s="31"/>
      <c r="K302" s="23"/>
      <c r="L302" s="23"/>
      <c r="M302" s="23"/>
      <c r="N302" s="23"/>
      <c r="O302" s="23"/>
      <c r="P302" s="23"/>
      <c r="Q302" s="23"/>
      <c r="R302" s="23"/>
      <c r="S302" s="23"/>
      <c r="T302" s="23"/>
      <c r="U302" s="23"/>
      <c r="V302" s="23"/>
    </row>
    <row r="303" spans="1:22" ht="14.25" customHeight="1" x14ac:dyDescent="0.35">
      <c r="G303" s="19"/>
      <c r="I303" s="30"/>
      <c r="J303" s="31"/>
      <c r="K303" s="23"/>
      <c r="L303" s="23"/>
      <c r="M303" s="23"/>
      <c r="N303" s="23"/>
      <c r="O303" s="23"/>
      <c r="P303" s="23"/>
      <c r="Q303" s="23"/>
      <c r="R303" s="23"/>
      <c r="S303" s="23"/>
      <c r="T303" s="23"/>
      <c r="U303" s="23"/>
      <c r="V303" s="23"/>
    </row>
    <row r="304" spans="1:22" ht="14.25" customHeight="1" x14ac:dyDescent="0.35">
      <c r="E304" s="39"/>
      <c r="G304" s="19"/>
      <c r="I304" s="30"/>
      <c r="J304" s="31"/>
      <c r="K304" s="23"/>
      <c r="L304" s="23"/>
      <c r="M304" s="23"/>
      <c r="N304" s="23"/>
      <c r="O304" s="23"/>
      <c r="P304" s="23"/>
      <c r="Q304" s="23"/>
      <c r="R304" s="23"/>
      <c r="S304" s="23"/>
      <c r="T304" s="23"/>
      <c r="U304" s="23"/>
      <c r="V304" s="23"/>
    </row>
    <row r="305" spans="5:22" ht="14.25" customHeight="1" x14ac:dyDescent="0.35">
      <c r="G305" s="19"/>
      <c r="I305" s="30"/>
      <c r="J305" s="31"/>
      <c r="K305" s="23"/>
      <c r="L305" s="23"/>
      <c r="M305" s="23"/>
      <c r="N305" s="23"/>
      <c r="O305" s="23"/>
      <c r="P305" s="23"/>
      <c r="Q305" s="23"/>
      <c r="R305" s="23"/>
      <c r="S305" s="23"/>
      <c r="T305" s="23"/>
      <c r="U305" s="23"/>
      <c r="V305" s="23"/>
    </row>
    <row r="306" spans="5:22" ht="14.25" customHeight="1" x14ac:dyDescent="0.35">
      <c r="G306" s="19"/>
      <c r="I306" s="30"/>
      <c r="J306" s="31"/>
      <c r="K306" s="23"/>
      <c r="L306" s="23"/>
      <c r="M306" s="23"/>
      <c r="N306" s="23"/>
      <c r="O306" s="23"/>
      <c r="P306" s="23"/>
      <c r="Q306" s="23"/>
      <c r="R306" s="23"/>
      <c r="S306" s="23"/>
      <c r="T306" s="23"/>
      <c r="U306" s="23"/>
      <c r="V306" s="23"/>
    </row>
    <row r="307" spans="5:22" ht="14.25" customHeight="1" x14ac:dyDescent="0.35">
      <c r="G307" s="19"/>
      <c r="I307" s="30"/>
      <c r="J307" s="31"/>
      <c r="K307" s="23"/>
      <c r="L307" s="23"/>
      <c r="M307" s="23"/>
      <c r="N307" s="23"/>
      <c r="O307" s="23"/>
      <c r="P307" s="23"/>
      <c r="Q307" s="23"/>
      <c r="R307" s="23"/>
      <c r="S307" s="23"/>
      <c r="T307" s="23"/>
      <c r="U307" s="23"/>
      <c r="V307" s="23"/>
    </row>
    <row r="308" spans="5:22" ht="14.25" customHeight="1" x14ac:dyDescent="0.35">
      <c r="G308" s="19"/>
      <c r="I308" s="30"/>
      <c r="J308" s="31"/>
      <c r="K308" s="23"/>
      <c r="L308" s="23"/>
      <c r="M308" s="23"/>
      <c r="N308" s="23"/>
      <c r="O308" s="23"/>
      <c r="P308" s="23"/>
      <c r="Q308" s="23"/>
      <c r="R308" s="23"/>
      <c r="S308" s="23"/>
      <c r="T308" s="23"/>
      <c r="U308" s="23"/>
      <c r="V308" s="23"/>
    </row>
    <row r="309" spans="5:22" ht="14.25" customHeight="1" x14ac:dyDescent="0.35">
      <c r="G309" s="19"/>
      <c r="I309" s="30"/>
      <c r="J309" s="31"/>
      <c r="K309" s="23"/>
      <c r="L309" s="23"/>
      <c r="M309" s="23"/>
      <c r="N309" s="23"/>
      <c r="O309" s="23"/>
      <c r="P309" s="23"/>
      <c r="Q309" s="23"/>
      <c r="R309" s="23"/>
      <c r="S309" s="23"/>
      <c r="T309" s="23"/>
      <c r="U309" s="23"/>
      <c r="V309" s="23"/>
    </row>
    <row r="310" spans="5:22" ht="14.25" customHeight="1" x14ac:dyDescent="0.35">
      <c r="E310" s="39"/>
      <c r="G310" s="19"/>
      <c r="I310" s="30"/>
      <c r="J310" s="31"/>
      <c r="K310" s="23"/>
      <c r="L310" s="23"/>
      <c r="M310" s="23"/>
      <c r="N310" s="23"/>
      <c r="O310" s="23"/>
      <c r="P310" s="23"/>
      <c r="Q310" s="23"/>
      <c r="R310" s="23"/>
      <c r="S310" s="23"/>
      <c r="T310" s="23"/>
      <c r="U310" s="23"/>
      <c r="V310" s="23"/>
    </row>
    <row r="311" spans="5:22" ht="14.25" customHeight="1" x14ac:dyDescent="0.35">
      <c r="G311" s="19"/>
      <c r="I311" s="30"/>
      <c r="J311" s="31"/>
      <c r="K311" s="23"/>
      <c r="L311" s="23"/>
      <c r="M311" s="23"/>
      <c r="N311" s="23"/>
      <c r="O311" s="23"/>
      <c r="P311" s="23"/>
      <c r="Q311" s="23"/>
      <c r="R311" s="23"/>
      <c r="S311" s="23"/>
      <c r="T311" s="23"/>
      <c r="U311" s="23"/>
      <c r="V311" s="23"/>
    </row>
    <row r="312" spans="5:22" ht="14.25" customHeight="1" x14ac:dyDescent="0.35">
      <c r="G312" s="19"/>
      <c r="I312" s="30"/>
      <c r="J312" s="31"/>
      <c r="K312" s="23"/>
      <c r="L312" s="23"/>
      <c r="M312" s="23"/>
      <c r="N312" s="23"/>
      <c r="O312" s="23"/>
      <c r="P312" s="23"/>
      <c r="Q312" s="23"/>
      <c r="R312" s="23"/>
      <c r="S312" s="23"/>
      <c r="T312" s="23"/>
      <c r="U312" s="23"/>
      <c r="V312" s="23"/>
    </row>
    <row r="313" spans="5:22" ht="14.25" customHeight="1" x14ac:dyDescent="0.35">
      <c r="G313" s="19"/>
      <c r="I313" s="30"/>
      <c r="J313" s="31"/>
      <c r="K313" s="23"/>
      <c r="L313" s="23"/>
      <c r="M313" s="23"/>
      <c r="N313" s="23"/>
      <c r="O313" s="23"/>
      <c r="P313" s="23"/>
      <c r="Q313" s="23"/>
      <c r="R313" s="23"/>
      <c r="S313" s="23"/>
      <c r="T313" s="23"/>
      <c r="U313" s="23"/>
      <c r="V313" s="23"/>
    </row>
    <row r="314" spans="5:22" ht="14.25" customHeight="1" x14ac:dyDescent="0.35">
      <c r="G314" s="19"/>
      <c r="I314" s="30"/>
      <c r="J314" s="31"/>
      <c r="K314" s="23"/>
      <c r="L314" s="23"/>
      <c r="M314" s="23"/>
      <c r="N314" s="23"/>
      <c r="O314" s="23"/>
      <c r="P314" s="23"/>
      <c r="Q314" s="23"/>
      <c r="R314" s="23"/>
      <c r="S314" s="23"/>
      <c r="T314" s="23"/>
      <c r="U314" s="23"/>
      <c r="V314" s="23"/>
    </row>
    <row r="315" spans="5:22" ht="14.25" customHeight="1" x14ac:dyDescent="0.35">
      <c r="G315" s="19"/>
      <c r="I315" s="30"/>
      <c r="J315" s="31"/>
      <c r="K315" s="23"/>
      <c r="L315" s="23"/>
      <c r="M315" s="23"/>
      <c r="N315" s="23"/>
      <c r="O315" s="23"/>
      <c r="P315" s="23"/>
      <c r="Q315" s="23"/>
      <c r="R315" s="23"/>
      <c r="S315" s="23"/>
      <c r="T315" s="23"/>
      <c r="U315" s="23"/>
      <c r="V315" s="23"/>
    </row>
    <row r="316" spans="5:22" ht="14.25" customHeight="1" x14ac:dyDescent="0.35">
      <c r="G316" s="19"/>
      <c r="I316" s="30"/>
      <c r="J316" s="31"/>
      <c r="K316" s="23"/>
      <c r="L316" s="23"/>
      <c r="M316" s="23"/>
      <c r="N316" s="23"/>
      <c r="O316" s="23"/>
      <c r="P316" s="23"/>
      <c r="Q316" s="23"/>
      <c r="R316" s="23"/>
      <c r="S316" s="23"/>
      <c r="T316" s="23"/>
      <c r="U316" s="23"/>
      <c r="V316" s="23"/>
    </row>
    <row r="317" spans="5:22" ht="14.25" customHeight="1" x14ac:dyDescent="0.35">
      <c r="G317" s="19"/>
      <c r="I317" s="30"/>
      <c r="J317" s="31"/>
      <c r="K317" s="23"/>
      <c r="L317" s="23"/>
      <c r="M317" s="23"/>
      <c r="N317" s="23"/>
      <c r="O317" s="23"/>
      <c r="P317" s="23"/>
      <c r="Q317" s="23"/>
      <c r="R317" s="23"/>
      <c r="S317" s="23"/>
      <c r="T317" s="23"/>
      <c r="U317" s="23"/>
      <c r="V317" s="23"/>
    </row>
    <row r="318" spans="5:22" ht="14.25" customHeight="1" x14ac:dyDescent="0.35">
      <c r="G318" s="19"/>
      <c r="I318" s="30"/>
      <c r="J318" s="31"/>
      <c r="K318" s="23"/>
      <c r="L318" s="23"/>
      <c r="M318" s="23"/>
      <c r="N318" s="23"/>
      <c r="O318" s="23"/>
      <c r="P318" s="23"/>
      <c r="Q318" s="23"/>
      <c r="R318" s="23"/>
      <c r="S318" s="23"/>
      <c r="T318" s="23"/>
      <c r="U318" s="23"/>
      <c r="V318" s="23"/>
    </row>
    <row r="319" spans="5:22" ht="14.25" customHeight="1" x14ac:dyDescent="0.35">
      <c r="G319" s="19"/>
      <c r="I319" s="30"/>
      <c r="J319" s="31"/>
      <c r="K319" s="23"/>
      <c r="L319" s="23"/>
      <c r="M319" s="23"/>
      <c r="N319" s="23"/>
      <c r="O319" s="23"/>
      <c r="P319" s="23"/>
      <c r="Q319" s="23"/>
      <c r="R319" s="23"/>
      <c r="S319" s="23"/>
      <c r="T319" s="23"/>
      <c r="U319" s="23"/>
      <c r="V319" s="23"/>
    </row>
    <row r="320" spans="5:22" ht="14.25" customHeight="1" x14ac:dyDescent="0.35">
      <c r="G320" s="19"/>
      <c r="I320" s="30"/>
      <c r="J320" s="31"/>
      <c r="K320" s="23"/>
      <c r="L320" s="23"/>
      <c r="M320" s="23"/>
      <c r="N320" s="23"/>
      <c r="O320" s="23"/>
      <c r="P320" s="23"/>
      <c r="Q320" s="23"/>
      <c r="R320" s="23"/>
      <c r="S320" s="23"/>
      <c r="T320" s="23"/>
      <c r="U320" s="23"/>
      <c r="V320" s="23"/>
    </row>
    <row r="321" spans="7:22" ht="14.25" customHeight="1" x14ac:dyDescent="0.35">
      <c r="G321" s="19"/>
      <c r="I321" s="30"/>
      <c r="J321" s="31"/>
      <c r="K321" s="23"/>
      <c r="L321" s="23"/>
      <c r="M321" s="23"/>
      <c r="N321" s="23"/>
      <c r="O321" s="23"/>
      <c r="P321" s="23"/>
      <c r="Q321" s="23"/>
      <c r="R321" s="23"/>
      <c r="S321" s="23"/>
      <c r="T321" s="23"/>
      <c r="U321" s="23"/>
      <c r="V321" s="23"/>
    </row>
    <row r="322" spans="7:22" ht="14.25" customHeight="1" x14ac:dyDescent="0.35">
      <c r="G322" s="19"/>
      <c r="I322" s="30"/>
      <c r="J322" s="31"/>
      <c r="K322" s="23"/>
      <c r="L322" s="23"/>
      <c r="M322" s="23"/>
      <c r="N322" s="23"/>
      <c r="O322" s="23"/>
      <c r="P322" s="23"/>
      <c r="Q322" s="23"/>
      <c r="R322" s="23"/>
      <c r="S322" s="23"/>
      <c r="T322" s="23"/>
      <c r="U322" s="23"/>
      <c r="V322" s="23"/>
    </row>
    <row r="323" spans="7:22" ht="14.25" customHeight="1" x14ac:dyDescent="0.35">
      <c r="G323" s="19"/>
      <c r="I323" s="30"/>
      <c r="J323" s="31"/>
      <c r="K323" s="23"/>
      <c r="L323" s="23"/>
      <c r="M323" s="23"/>
      <c r="N323" s="23"/>
      <c r="O323" s="23"/>
      <c r="P323" s="23"/>
      <c r="Q323" s="23"/>
      <c r="R323" s="23"/>
      <c r="S323" s="23"/>
      <c r="T323" s="23"/>
      <c r="U323" s="23"/>
      <c r="V323" s="23"/>
    </row>
    <row r="324" spans="7:22" ht="14.25" customHeight="1" x14ac:dyDescent="0.35">
      <c r="G324" s="19"/>
      <c r="I324" s="30"/>
      <c r="J324" s="31"/>
      <c r="K324" s="23"/>
      <c r="L324" s="23"/>
      <c r="M324" s="23"/>
      <c r="N324" s="23"/>
      <c r="O324" s="23"/>
      <c r="P324" s="23"/>
      <c r="Q324" s="23"/>
      <c r="R324" s="23"/>
      <c r="S324" s="23"/>
      <c r="T324" s="23"/>
      <c r="U324" s="23"/>
      <c r="V324" s="23"/>
    </row>
    <row r="325" spans="7:22" ht="14.25" customHeight="1" x14ac:dyDescent="0.35">
      <c r="G325" s="19"/>
      <c r="I325" s="30"/>
      <c r="J325" s="31"/>
      <c r="K325" s="23"/>
      <c r="L325" s="23"/>
      <c r="M325" s="23"/>
      <c r="N325" s="23"/>
      <c r="O325" s="23"/>
      <c r="P325" s="23"/>
      <c r="Q325" s="23"/>
      <c r="R325" s="23"/>
      <c r="S325" s="23"/>
      <c r="T325" s="23"/>
      <c r="U325" s="23"/>
      <c r="V325" s="23"/>
    </row>
    <row r="326" spans="7:22" ht="14.25" customHeight="1" x14ac:dyDescent="0.35">
      <c r="G326" s="19"/>
      <c r="I326" s="30"/>
      <c r="J326" s="31"/>
      <c r="K326" s="23"/>
      <c r="L326" s="23"/>
      <c r="M326" s="23"/>
      <c r="N326" s="23"/>
      <c r="O326" s="23"/>
      <c r="P326" s="23"/>
      <c r="Q326" s="23"/>
      <c r="R326" s="23"/>
      <c r="S326" s="23"/>
      <c r="T326" s="23"/>
      <c r="U326" s="23"/>
      <c r="V326" s="23"/>
    </row>
    <row r="327" spans="7:22" ht="14.25" customHeight="1" x14ac:dyDescent="0.35">
      <c r="G327" s="19"/>
      <c r="I327" s="30"/>
      <c r="J327" s="31"/>
      <c r="K327" s="23"/>
      <c r="L327" s="23"/>
      <c r="M327" s="23"/>
      <c r="N327" s="23"/>
      <c r="O327" s="23"/>
      <c r="P327" s="23"/>
      <c r="Q327" s="23"/>
      <c r="R327" s="23"/>
      <c r="S327" s="23"/>
      <c r="T327" s="23"/>
      <c r="U327" s="23"/>
      <c r="V327" s="23"/>
    </row>
    <row r="328" spans="7:22" ht="14.25" customHeight="1" x14ac:dyDescent="0.35">
      <c r="G328" s="19"/>
      <c r="I328" s="30"/>
      <c r="J328" s="31"/>
      <c r="K328" s="23"/>
      <c r="L328" s="23"/>
      <c r="M328" s="23"/>
      <c r="N328" s="23"/>
      <c r="O328" s="23"/>
      <c r="P328" s="23"/>
      <c r="Q328" s="23"/>
      <c r="R328" s="23"/>
      <c r="S328" s="23"/>
      <c r="T328" s="23"/>
      <c r="U328" s="23"/>
      <c r="V328" s="23"/>
    </row>
    <row r="329" spans="7:22" ht="14.25" customHeight="1" x14ac:dyDescent="0.35">
      <c r="G329" s="19"/>
      <c r="I329" s="30"/>
      <c r="J329" s="31"/>
      <c r="K329" s="23"/>
      <c r="L329" s="23"/>
      <c r="M329" s="23"/>
      <c r="N329" s="23"/>
      <c r="O329" s="23"/>
      <c r="P329" s="23"/>
      <c r="Q329" s="23"/>
      <c r="R329" s="23"/>
      <c r="S329" s="23"/>
      <c r="T329" s="23"/>
      <c r="U329" s="23"/>
      <c r="V329" s="23"/>
    </row>
    <row r="330" spans="7:22" ht="14.25" customHeight="1" x14ac:dyDescent="0.35">
      <c r="G330" s="19"/>
      <c r="I330" s="30"/>
      <c r="J330" s="31"/>
      <c r="K330" s="23"/>
      <c r="L330" s="23"/>
      <c r="M330" s="23"/>
      <c r="N330" s="23"/>
      <c r="O330" s="23"/>
      <c r="P330" s="23"/>
      <c r="Q330" s="23"/>
      <c r="R330" s="23"/>
      <c r="S330" s="23"/>
      <c r="T330" s="23"/>
      <c r="U330" s="23"/>
      <c r="V330" s="23"/>
    </row>
    <row r="331" spans="7:22" ht="14.25" customHeight="1" x14ac:dyDescent="0.35">
      <c r="G331" s="19"/>
      <c r="I331" s="30"/>
      <c r="J331" s="31"/>
      <c r="K331" s="23"/>
      <c r="L331" s="23"/>
      <c r="M331" s="23"/>
      <c r="N331" s="23"/>
      <c r="O331" s="23"/>
      <c r="P331" s="23"/>
      <c r="Q331" s="23"/>
      <c r="R331" s="23"/>
      <c r="S331" s="23"/>
      <c r="T331" s="23"/>
      <c r="U331" s="23"/>
      <c r="V331" s="23"/>
    </row>
    <row r="332" spans="7:22" ht="14.25" customHeight="1" x14ac:dyDescent="0.35">
      <c r="G332" s="19"/>
      <c r="I332" s="30"/>
      <c r="J332" s="31"/>
      <c r="K332" s="23"/>
      <c r="L332" s="23"/>
      <c r="M332" s="23"/>
      <c r="N332" s="23"/>
      <c r="O332" s="23"/>
      <c r="P332" s="23"/>
      <c r="Q332" s="23"/>
      <c r="R332" s="23"/>
      <c r="S332" s="23"/>
      <c r="T332" s="23"/>
      <c r="U332" s="23"/>
      <c r="V332" s="23"/>
    </row>
    <row r="333" spans="7:22" ht="14.25" customHeight="1" x14ac:dyDescent="0.35">
      <c r="G333" s="19"/>
      <c r="I333" s="30"/>
      <c r="J333" s="31"/>
      <c r="K333" s="23"/>
      <c r="L333" s="23"/>
      <c r="M333" s="23"/>
      <c r="N333" s="23"/>
      <c r="O333" s="23"/>
      <c r="P333" s="23"/>
      <c r="Q333" s="23"/>
      <c r="R333" s="23"/>
      <c r="S333" s="23"/>
      <c r="T333" s="23"/>
      <c r="U333" s="23"/>
      <c r="V333" s="23"/>
    </row>
    <row r="334" spans="7:22" ht="14.25" customHeight="1" x14ac:dyDescent="0.35">
      <c r="G334" s="19"/>
      <c r="I334" s="30"/>
      <c r="J334" s="31"/>
      <c r="K334" s="23"/>
      <c r="L334" s="23"/>
      <c r="M334" s="23"/>
      <c r="N334" s="23"/>
      <c r="O334" s="23"/>
      <c r="P334" s="23"/>
      <c r="Q334" s="23"/>
      <c r="R334" s="23"/>
      <c r="S334" s="23"/>
      <c r="T334" s="23"/>
      <c r="U334" s="23"/>
      <c r="V334" s="23"/>
    </row>
    <row r="335" spans="7:22" ht="14.25" customHeight="1" x14ac:dyDescent="0.35">
      <c r="G335" s="19"/>
      <c r="I335" s="30"/>
      <c r="J335" s="31"/>
      <c r="K335" s="23"/>
      <c r="L335" s="23"/>
      <c r="M335" s="23"/>
      <c r="N335" s="23"/>
      <c r="O335" s="23"/>
      <c r="P335" s="23"/>
      <c r="Q335" s="23"/>
      <c r="R335" s="23"/>
      <c r="S335" s="23"/>
      <c r="T335" s="23"/>
      <c r="U335" s="23"/>
      <c r="V335" s="23"/>
    </row>
    <row r="336" spans="7:22" ht="14.25" customHeight="1" x14ac:dyDescent="0.35">
      <c r="G336" s="19"/>
      <c r="I336" s="30"/>
      <c r="J336" s="31"/>
      <c r="K336" s="23"/>
      <c r="L336" s="23"/>
      <c r="M336" s="23"/>
      <c r="N336" s="23"/>
      <c r="O336" s="23"/>
      <c r="P336" s="23"/>
      <c r="Q336" s="23"/>
      <c r="R336" s="23"/>
      <c r="S336" s="23"/>
      <c r="T336" s="23"/>
      <c r="U336" s="23"/>
      <c r="V336" s="23"/>
    </row>
    <row r="337" spans="7:22" ht="14.25" customHeight="1" x14ac:dyDescent="0.35">
      <c r="G337" s="19"/>
      <c r="I337" s="30"/>
      <c r="J337" s="31"/>
      <c r="K337" s="23"/>
      <c r="L337" s="23"/>
      <c r="M337" s="23"/>
      <c r="N337" s="23"/>
      <c r="O337" s="23"/>
      <c r="P337" s="23"/>
      <c r="Q337" s="23"/>
      <c r="R337" s="23"/>
      <c r="S337" s="23"/>
      <c r="T337" s="23"/>
      <c r="U337" s="23"/>
      <c r="V337" s="23"/>
    </row>
    <row r="338" spans="7:22" ht="14.25" customHeight="1" x14ac:dyDescent="0.35">
      <c r="G338" s="19"/>
      <c r="I338" s="30"/>
      <c r="J338" s="31"/>
      <c r="K338" s="23"/>
      <c r="L338" s="23"/>
      <c r="M338" s="23"/>
      <c r="N338" s="23"/>
      <c r="O338" s="23"/>
      <c r="P338" s="23"/>
      <c r="Q338" s="23"/>
      <c r="R338" s="23"/>
      <c r="S338" s="23"/>
      <c r="T338" s="23"/>
      <c r="U338" s="23"/>
      <c r="V338" s="23"/>
    </row>
    <row r="339" spans="7:22" ht="14.25" customHeight="1" x14ac:dyDescent="0.35">
      <c r="G339" s="19"/>
      <c r="I339" s="30"/>
      <c r="J339" s="31"/>
      <c r="K339" s="23"/>
      <c r="L339" s="23"/>
      <c r="M339" s="23"/>
      <c r="N339" s="23"/>
      <c r="O339" s="23"/>
      <c r="P339" s="23"/>
      <c r="Q339" s="23"/>
      <c r="R339" s="23"/>
      <c r="S339" s="23"/>
      <c r="T339" s="23"/>
      <c r="U339" s="23"/>
      <c r="V339" s="23"/>
    </row>
    <row r="340" spans="7:22" ht="14.25" customHeight="1" x14ac:dyDescent="0.35">
      <c r="G340" s="19"/>
      <c r="I340" s="30"/>
      <c r="J340" s="31"/>
      <c r="K340" s="23"/>
      <c r="L340" s="23"/>
      <c r="M340" s="23"/>
      <c r="N340" s="23"/>
      <c r="O340" s="23"/>
      <c r="P340" s="23"/>
      <c r="Q340" s="23"/>
      <c r="R340" s="23"/>
      <c r="S340" s="23"/>
      <c r="T340" s="23"/>
      <c r="U340" s="23"/>
      <c r="V340" s="23"/>
    </row>
    <row r="341" spans="7:22" ht="14.25" customHeight="1" x14ac:dyDescent="0.35">
      <c r="G341" s="19"/>
      <c r="I341" s="30"/>
      <c r="J341" s="31"/>
      <c r="K341" s="23"/>
      <c r="L341" s="23"/>
      <c r="M341" s="23"/>
      <c r="N341" s="23"/>
      <c r="O341" s="23"/>
      <c r="P341" s="23"/>
      <c r="Q341" s="23"/>
      <c r="R341" s="23"/>
      <c r="S341" s="23"/>
      <c r="T341" s="23"/>
      <c r="U341" s="23"/>
      <c r="V341" s="23"/>
    </row>
    <row r="342" spans="7:22" ht="14.25" customHeight="1" x14ac:dyDescent="0.35">
      <c r="G342" s="19"/>
      <c r="I342" s="30"/>
      <c r="J342" s="31"/>
      <c r="K342" s="23"/>
      <c r="L342" s="23"/>
      <c r="M342" s="23"/>
      <c r="N342" s="23"/>
      <c r="O342" s="23"/>
      <c r="P342" s="23"/>
      <c r="Q342" s="23"/>
      <c r="R342" s="23"/>
      <c r="S342" s="23"/>
      <c r="T342" s="23"/>
      <c r="U342" s="23"/>
      <c r="V342" s="23"/>
    </row>
    <row r="343" spans="7:22" ht="14.25" customHeight="1" x14ac:dyDescent="0.35">
      <c r="G343" s="19"/>
      <c r="I343" s="30"/>
      <c r="J343" s="31"/>
      <c r="K343" s="23"/>
      <c r="L343" s="23"/>
      <c r="M343" s="23"/>
      <c r="N343" s="23"/>
      <c r="O343" s="23"/>
      <c r="P343" s="23"/>
      <c r="Q343" s="23"/>
      <c r="R343" s="23"/>
      <c r="S343" s="23"/>
      <c r="T343" s="23"/>
      <c r="U343" s="23"/>
      <c r="V343" s="23"/>
    </row>
    <row r="344" spans="7:22" ht="14.25" customHeight="1" x14ac:dyDescent="0.35">
      <c r="G344" s="19"/>
      <c r="I344" s="30"/>
      <c r="J344" s="31"/>
      <c r="K344" s="23"/>
      <c r="L344" s="23"/>
      <c r="M344" s="23"/>
      <c r="N344" s="23"/>
      <c r="O344" s="23"/>
      <c r="P344" s="23"/>
      <c r="Q344" s="23"/>
      <c r="R344" s="23"/>
      <c r="S344" s="23"/>
      <c r="T344" s="23"/>
      <c r="U344" s="23"/>
      <c r="V344" s="23"/>
    </row>
    <row r="345" spans="7:22" ht="14.25" customHeight="1" x14ac:dyDescent="0.35">
      <c r="G345" s="19"/>
      <c r="I345" s="30"/>
      <c r="J345" s="31"/>
      <c r="K345" s="23"/>
      <c r="L345" s="23"/>
      <c r="M345" s="23"/>
      <c r="N345" s="23"/>
      <c r="O345" s="23"/>
      <c r="P345" s="23"/>
      <c r="Q345" s="23"/>
      <c r="R345" s="23"/>
      <c r="S345" s="23"/>
      <c r="T345" s="23"/>
      <c r="U345" s="23"/>
      <c r="V345" s="23"/>
    </row>
    <row r="346" spans="7:22" ht="14.25" customHeight="1" x14ac:dyDescent="0.35">
      <c r="G346" s="19"/>
      <c r="I346" s="30"/>
      <c r="J346" s="31"/>
      <c r="K346" s="23"/>
      <c r="L346" s="23"/>
      <c r="M346" s="23"/>
      <c r="N346" s="23"/>
      <c r="O346" s="23"/>
      <c r="P346" s="23"/>
      <c r="Q346" s="23"/>
      <c r="R346" s="23"/>
      <c r="S346" s="23"/>
      <c r="T346" s="23"/>
      <c r="U346" s="23"/>
      <c r="V346" s="23"/>
    </row>
    <row r="347" spans="7:22" ht="14.25" customHeight="1" x14ac:dyDescent="0.35">
      <c r="G347" s="19"/>
      <c r="I347" s="30"/>
      <c r="J347" s="31"/>
      <c r="K347" s="23"/>
      <c r="L347" s="23"/>
      <c r="M347" s="23"/>
      <c r="N347" s="23"/>
      <c r="O347" s="23"/>
      <c r="P347" s="23"/>
      <c r="Q347" s="23"/>
      <c r="R347" s="23"/>
      <c r="S347" s="23"/>
      <c r="T347" s="23"/>
      <c r="U347" s="23"/>
      <c r="V347" s="23"/>
    </row>
    <row r="348" spans="7:22" ht="14.25" customHeight="1" x14ac:dyDescent="0.35">
      <c r="G348" s="19"/>
      <c r="I348" s="30"/>
      <c r="J348" s="31"/>
      <c r="K348" s="23"/>
      <c r="L348" s="23"/>
      <c r="M348" s="23"/>
      <c r="N348" s="23"/>
      <c r="O348" s="23"/>
      <c r="P348" s="23"/>
      <c r="Q348" s="23"/>
      <c r="R348" s="23"/>
      <c r="S348" s="23"/>
      <c r="T348" s="23"/>
      <c r="U348" s="23"/>
      <c r="V348" s="23"/>
    </row>
    <row r="349" spans="7:22" ht="14.25" customHeight="1" x14ac:dyDescent="0.35">
      <c r="G349" s="19"/>
      <c r="I349" s="30"/>
      <c r="J349" s="31"/>
      <c r="K349" s="23"/>
      <c r="L349" s="23"/>
      <c r="M349" s="23"/>
      <c r="N349" s="23"/>
      <c r="O349" s="23"/>
      <c r="P349" s="23"/>
      <c r="Q349" s="23"/>
      <c r="R349" s="23"/>
      <c r="S349" s="23"/>
      <c r="T349" s="23"/>
      <c r="U349" s="23"/>
      <c r="V349" s="23"/>
    </row>
    <row r="350" spans="7:22" ht="14.25" customHeight="1" x14ac:dyDescent="0.35">
      <c r="G350" s="19"/>
      <c r="I350" s="30"/>
      <c r="J350" s="31"/>
      <c r="K350" s="23"/>
      <c r="L350" s="23"/>
      <c r="M350" s="23"/>
      <c r="N350" s="23"/>
      <c r="O350" s="23"/>
      <c r="P350" s="23"/>
      <c r="Q350" s="23"/>
      <c r="R350" s="23"/>
      <c r="S350" s="23"/>
      <c r="T350" s="23"/>
      <c r="U350" s="23"/>
      <c r="V350" s="23"/>
    </row>
    <row r="351" spans="7:22" ht="14.25" customHeight="1" x14ac:dyDescent="0.35">
      <c r="G351" s="19"/>
      <c r="I351" s="30"/>
      <c r="J351" s="31"/>
      <c r="K351" s="23"/>
      <c r="L351" s="23"/>
      <c r="M351" s="23"/>
      <c r="N351" s="23"/>
      <c r="O351" s="23"/>
      <c r="P351" s="23"/>
      <c r="Q351" s="23"/>
      <c r="R351" s="23"/>
      <c r="S351" s="23"/>
      <c r="T351" s="23"/>
      <c r="U351" s="23"/>
      <c r="V351" s="23"/>
    </row>
    <row r="352" spans="7:22" ht="14.25" customHeight="1" x14ac:dyDescent="0.35">
      <c r="G352" s="19"/>
      <c r="I352" s="30"/>
      <c r="J352" s="31"/>
      <c r="K352" s="23"/>
      <c r="L352" s="23"/>
      <c r="M352" s="23"/>
      <c r="N352" s="23"/>
      <c r="O352" s="23"/>
      <c r="P352" s="23"/>
      <c r="Q352" s="23"/>
      <c r="R352" s="23"/>
      <c r="S352" s="23"/>
      <c r="T352" s="23"/>
      <c r="U352" s="23"/>
      <c r="V352" s="23"/>
    </row>
    <row r="353" spans="7:22" ht="14.25" customHeight="1" x14ac:dyDescent="0.35">
      <c r="G353" s="19"/>
      <c r="I353" s="30"/>
      <c r="J353" s="31"/>
      <c r="K353" s="23"/>
      <c r="L353" s="23"/>
      <c r="M353" s="23"/>
      <c r="N353" s="23"/>
      <c r="O353" s="23"/>
      <c r="P353" s="23"/>
      <c r="Q353" s="23"/>
      <c r="R353" s="23"/>
      <c r="S353" s="23"/>
      <c r="T353" s="23"/>
      <c r="U353" s="23"/>
      <c r="V353" s="23"/>
    </row>
    <row r="354" spans="7:22" ht="14.25" customHeight="1" x14ac:dyDescent="0.35">
      <c r="G354" s="19"/>
      <c r="I354" s="30"/>
      <c r="J354" s="31"/>
      <c r="K354" s="23"/>
      <c r="L354" s="23"/>
      <c r="M354" s="23"/>
      <c r="N354" s="23"/>
      <c r="O354" s="23"/>
      <c r="P354" s="23"/>
      <c r="Q354" s="23"/>
      <c r="R354" s="23"/>
      <c r="S354" s="23"/>
      <c r="T354" s="23"/>
      <c r="U354" s="23"/>
      <c r="V354" s="23"/>
    </row>
    <row r="355" spans="7:22" ht="14.25" customHeight="1" x14ac:dyDescent="0.35">
      <c r="G355" s="19"/>
      <c r="I355" s="30"/>
      <c r="J355" s="31"/>
      <c r="K355" s="23"/>
      <c r="L355" s="23"/>
      <c r="M355" s="23"/>
      <c r="N355" s="23"/>
      <c r="O355" s="23"/>
      <c r="P355" s="23"/>
      <c r="Q355" s="23"/>
      <c r="R355" s="23"/>
      <c r="S355" s="23"/>
      <c r="T355" s="23"/>
      <c r="U355" s="23"/>
      <c r="V355" s="23"/>
    </row>
    <row r="356" spans="7:22" ht="14.25" customHeight="1" x14ac:dyDescent="0.35">
      <c r="G356" s="19"/>
      <c r="I356" s="30"/>
      <c r="J356" s="31"/>
      <c r="K356" s="23"/>
      <c r="L356" s="23"/>
      <c r="M356" s="23"/>
      <c r="N356" s="23"/>
      <c r="O356" s="23"/>
      <c r="P356" s="23"/>
      <c r="Q356" s="23"/>
      <c r="R356" s="23"/>
      <c r="S356" s="23"/>
      <c r="T356" s="23"/>
      <c r="U356" s="23"/>
      <c r="V356" s="23"/>
    </row>
    <row r="357" spans="7:22" ht="14.25" customHeight="1" x14ac:dyDescent="0.35">
      <c r="G357" s="19"/>
      <c r="I357" s="30"/>
      <c r="J357" s="31"/>
      <c r="K357" s="23"/>
      <c r="L357" s="23"/>
      <c r="M357" s="23"/>
      <c r="N357" s="23"/>
      <c r="O357" s="23"/>
      <c r="P357" s="23"/>
      <c r="Q357" s="23"/>
      <c r="R357" s="23"/>
      <c r="S357" s="23"/>
      <c r="T357" s="23"/>
      <c r="U357" s="23"/>
      <c r="V357" s="23"/>
    </row>
    <row r="358" spans="7:22" ht="14.25" customHeight="1" x14ac:dyDescent="0.35">
      <c r="G358" s="19"/>
      <c r="I358" s="30"/>
      <c r="J358" s="31"/>
      <c r="K358" s="23"/>
      <c r="L358" s="23"/>
      <c r="M358" s="23"/>
      <c r="N358" s="23"/>
      <c r="O358" s="23"/>
      <c r="P358" s="23"/>
      <c r="Q358" s="23"/>
      <c r="R358" s="23"/>
      <c r="S358" s="23"/>
      <c r="T358" s="23"/>
      <c r="U358" s="23"/>
      <c r="V358" s="23"/>
    </row>
    <row r="359" spans="7:22" ht="14.25" customHeight="1" x14ac:dyDescent="0.35">
      <c r="G359" s="19"/>
      <c r="I359" s="30"/>
      <c r="J359" s="31"/>
      <c r="K359" s="23"/>
      <c r="L359" s="23"/>
      <c r="M359" s="23"/>
      <c r="N359" s="23"/>
      <c r="O359" s="23"/>
      <c r="P359" s="23"/>
      <c r="Q359" s="23"/>
      <c r="R359" s="23"/>
      <c r="S359" s="23"/>
      <c r="T359" s="23"/>
      <c r="U359" s="23"/>
      <c r="V359" s="23"/>
    </row>
    <row r="360" spans="7:22" ht="14.25" customHeight="1" x14ac:dyDescent="0.35">
      <c r="G360" s="19"/>
      <c r="I360" s="30"/>
      <c r="J360" s="31"/>
      <c r="K360" s="23"/>
      <c r="L360" s="23"/>
      <c r="M360" s="23"/>
      <c r="N360" s="23"/>
      <c r="O360" s="23"/>
      <c r="P360" s="23"/>
      <c r="Q360" s="23"/>
      <c r="R360" s="23"/>
      <c r="S360" s="23"/>
      <c r="T360" s="23"/>
      <c r="U360" s="23"/>
      <c r="V360" s="23"/>
    </row>
    <row r="361" spans="7:22" ht="14.25" customHeight="1" x14ac:dyDescent="0.35">
      <c r="G361" s="19"/>
      <c r="I361" s="30"/>
      <c r="J361" s="31"/>
      <c r="K361" s="23"/>
      <c r="L361" s="23"/>
      <c r="M361" s="23"/>
      <c r="N361" s="23"/>
      <c r="O361" s="23"/>
      <c r="P361" s="23"/>
      <c r="Q361" s="23"/>
      <c r="R361" s="23"/>
      <c r="S361" s="23"/>
      <c r="T361" s="23"/>
      <c r="U361" s="23"/>
      <c r="V361" s="23"/>
    </row>
    <row r="362" spans="7:22" ht="14.25" customHeight="1" x14ac:dyDescent="0.35">
      <c r="G362" s="19"/>
      <c r="I362" s="30"/>
      <c r="J362" s="31"/>
      <c r="K362" s="23"/>
      <c r="L362" s="23"/>
      <c r="M362" s="23"/>
      <c r="N362" s="23"/>
      <c r="O362" s="23"/>
      <c r="P362" s="23"/>
      <c r="Q362" s="23"/>
      <c r="R362" s="23"/>
      <c r="S362" s="23"/>
      <c r="T362" s="23"/>
      <c r="U362" s="23"/>
      <c r="V362" s="23"/>
    </row>
    <row r="363" spans="7:22" ht="14.25" customHeight="1" x14ac:dyDescent="0.35">
      <c r="G363" s="19"/>
      <c r="I363" s="30"/>
      <c r="J363" s="31"/>
      <c r="K363" s="23"/>
      <c r="L363" s="23"/>
      <c r="M363" s="23"/>
      <c r="N363" s="23"/>
      <c r="O363" s="23"/>
      <c r="P363" s="23"/>
      <c r="Q363" s="23"/>
      <c r="R363" s="23"/>
      <c r="S363" s="23"/>
      <c r="T363" s="23"/>
      <c r="U363" s="23"/>
      <c r="V363" s="23"/>
    </row>
    <row r="364" spans="7:22" ht="14.25" customHeight="1" x14ac:dyDescent="0.35">
      <c r="G364" s="19"/>
      <c r="I364" s="30"/>
      <c r="J364" s="31"/>
      <c r="K364" s="23"/>
      <c r="L364" s="23"/>
      <c r="M364" s="23"/>
      <c r="N364" s="23"/>
      <c r="O364" s="23"/>
      <c r="P364" s="23"/>
      <c r="Q364" s="23"/>
      <c r="R364" s="23"/>
      <c r="S364" s="23"/>
      <c r="T364" s="23"/>
      <c r="U364" s="23"/>
      <c r="V364" s="23"/>
    </row>
    <row r="365" spans="7:22" ht="14.25" customHeight="1" x14ac:dyDescent="0.35">
      <c r="G365" s="19"/>
      <c r="I365" s="30"/>
      <c r="J365" s="31"/>
      <c r="K365" s="23"/>
      <c r="L365" s="23"/>
      <c r="M365" s="23"/>
      <c r="N365" s="23"/>
      <c r="O365" s="23"/>
      <c r="P365" s="23"/>
      <c r="Q365" s="23"/>
      <c r="R365" s="23"/>
      <c r="S365" s="23"/>
      <c r="T365" s="23"/>
      <c r="U365" s="23"/>
      <c r="V365" s="23"/>
    </row>
    <row r="366" spans="7:22" ht="14.25" customHeight="1" x14ac:dyDescent="0.35">
      <c r="G366" s="19"/>
      <c r="I366" s="30"/>
      <c r="J366" s="31"/>
      <c r="K366" s="23"/>
      <c r="L366" s="23"/>
      <c r="M366" s="23"/>
      <c r="N366" s="23"/>
      <c r="O366" s="23"/>
      <c r="P366" s="23"/>
      <c r="Q366" s="23"/>
      <c r="R366" s="23"/>
      <c r="S366" s="23"/>
      <c r="T366" s="23"/>
      <c r="U366" s="23"/>
      <c r="V366" s="23"/>
    </row>
    <row r="367" spans="7:22" ht="14.25" customHeight="1" x14ac:dyDescent="0.35">
      <c r="G367" s="19"/>
      <c r="I367" s="30"/>
      <c r="J367" s="31"/>
      <c r="K367" s="23"/>
      <c r="L367" s="23"/>
      <c r="M367" s="23"/>
      <c r="N367" s="23"/>
      <c r="O367" s="23"/>
      <c r="P367" s="23"/>
      <c r="Q367" s="23"/>
      <c r="R367" s="23"/>
      <c r="S367" s="23"/>
      <c r="T367" s="23"/>
      <c r="U367" s="23"/>
      <c r="V367" s="23"/>
    </row>
    <row r="368" spans="7:22" ht="14.25" customHeight="1" x14ac:dyDescent="0.35">
      <c r="G368" s="19"/>
      <c r="I368" s="30"/>
      <c r="J368" s="31"/>
      <c r="K368" s="23"/>
      <c r="L368" s="23"/>
      <c r="M368" s="23"/>
      <c r="N368" s="23"/>
      <c r="O368" s="23"/>
      <c r="P368" s="23"/>
      <c r="Q368" s="23"/>
      <c r="R368" s="23"/>
      <c r="S368" s="23"/>
      <c r="T368" s="23"/>
      <c r="U368" s="23"/>
      <c r="V368" s="23"/>
    </row>
    <row r="369" spans="7:22" ht="14.25" customHeight="1" x14ac:dyDescent="0.35">
      <c r="G369" s="19"/>
      <c r="I369" s="30"/>
      <c r="J369" s="31"/>
      <c r="K369" s="23"/>
      <c r="L369" s="23"/>
      <c r="M369" s="23"/>
      <c r="N369" s="23"/>
      <c r="O369" s="23"/>
      <c r="P369" s="23"/>
      <c r="Q369" s="23"/>
      <c r="R369" s="23"/>
      <c r="S369" s="23"/>
      <c r="T369" s="23"/>
      <c r="U369" s="23"/>
      <c r="V369" s="23"/>
    </row>
    <row r="370" spans="7:22" ht="14.25" customHeight="1" x14ac:dyDescent="0.35">
      <c r="G370" s="19"/>
      <c r="I370" s="30"/>
      <c r="J370" s="31"/>
      <c r="K370" s="23"/>
      <c r="L370" s="23"/>
      <c r="M370" s="23"/>
      <c r="N370" s="23"/>
      <c r="O370" s="23"/>
      <c r="P370" s="23"/>
      <c r="Q370" s="23"/>
      <c r="R370" s="23"/>
      <c r="S370" s="23"/>
      <c r="T370" s="23"/>
      <c r="U370" s="23"/>
      <c r="V370" s="23"/>
    </row>
    <row r="371" spans="7:22" ht="14.25" customHeight="1" x14ac:dyDescent="0.35">
      <c r="G371" s="19"/>
      <c r="I371" s="30"/>
      <c r="J371" s="31"/>
      <c r="K371" s="23"/>
      <c r="L371" s="23"/>
      <c r="M371" s="23"/>
      <c r="N371" s="23"/>
      <c r="O371" s="23"/>
      <c r="P371" s="23"/>
      <c r="Q371" s="23"/>
      <c r="R371" s="23"/>
      <c r="S371" s="23"/>
      <c r="T371" s="23"/>
      <c r="U371" s="23"/>
      <c r="V371" s="23"/>
    </row>
    <row r="372" spans="7:22" ht="14.25" customHeight="1" x14ac:dyDescent="0.35">
      <c r="G372" s="19"/>
      <c r="I372" s="30"/>
      <c r="J372" s="31"/>
      <c r="K372" s="23"/>
      <c r="L372" s="23"/>
      <c r="M372" s="23"/>
      <c r="N372" s="23"/>
      <c r="O372" s="23"/>
      <c r="P372" s="23"/>
      <c r="Q372" s="23"/>
      <c r="R372" s="23"/>
      <c r="S372" s="23"/>
      <c r="T372" s="23"/>
      <c r="U372" s="23"/>
      <c r="V372" s="23"/>
    </row>
    <row r="373" spans="7:22" ht="14.25" customHeight="1" x14ac:dyDescent="0.35">
      <c r="G373" s="19"/>
      <c r="I373" s="30"/>
      <c r="J373" s="31"/>
      <c r="K373" s="23"/>
      <c r="L373" s="23"/>
      <c r="M373" s="23"/>
      <c r="N373" s="23"/>
      <c r="O373" s="23"/>
      <c r="P373" s="23"/>
      <c r="Q373" s="23"/>
      <c r="R373" s="23"/>
      <c r="S373" s="23"/>
      <c r="T373" s="23"/>
      <c r="U373" s="23"/>
      <c r="V373" s="23"/>
    </row>
    <row r="374" spans="7:22" ht="14.25" customHeight="1" x14ac:dyDescent="0.35">
      <c r="G374" s="19"/>
      <c r="I374" s="30"/>
      <c r="J374" s="31"/>
      <c r="K374" s="23"/>
      <c r="L374" s="23"/>
      <c r="M374" s="23"/>
      <c r="N374" s="23"/>
      <c r="O374" s="23"/>
      <c r="P374" s="23"/>
      <c r="Q374" s="23"/>
      <c r="R374" s="23"/>
      <c r="S374" s="23"/>
      <c r="T374" s="23"/>
      <c r="U374" s="23"/>
      <c r="V374" s="23"/>
    </row>
    <row r="375" spans="7:22" ht="14.25" customHeight="1" x14ac:dyDescent="0.35">
      <c r="G375" s="19"/>
      <c r="I375" s="30"/>
      <c r="J375" s="31"/>
      <c r="K375" s="23"/>
      <c r="L375" s="23"/>
      <c r="M375" s="23"/>
      <c r="N375" s="23"/>
      <c r="O375" s="23"/>
      <c r="P375" s="23"/>
      <c r="Q375" s="23"/>
      <c r="R375" s="23"/>
      <c r="S375" s="23"/>
      <c r="T375" s="23"/>
      <c r="U375" s="23"/>
      <c r="V375" s="23"/>
    </row>
    <row r="376" spans="7:22" ht="14.25" customHeight="1" x14ac:dyDescent="0.35">
      <c r="G376" s="19"/>
      <c r="I376" s="30"/>
      <c r="J376" s="31"/>
      <c r="K376" s="23"/>
      <c r="L376" s="23"/>
      <c r="M376" s="23"/>
      <c r="N376" s="23"/>
      <c r="O376" s="23"/>
      <c r="P376" s="23"/>
      <c r="Q376" s="23"/>
      <c r="R376" s="23"/>
      <c r="S376" s="23"/>
      <c r="T376" s="23"/>
      <c r="U376" s="23"/>
      <c r="V376" s="23"/>
    </row>
    <row r="377" spans="7:22" ht="14.25" customHeight="1" x14ac:dyDescent="0.35">
      <c r="G377" s="19"/>
      <c r="I377" s="30"/>
      <c r="J377" s="31"/>
      <c r="K377" s="23"/>
      <c r="L377" s="23"/>
      <c r="M377" s="23"/>
      <c r="N377" s="23"/>
      <c r="O377" s="23"/>
      <c r="P377" s="23"/>
      <c r="Q377" s="23"/>
      <c r="R377" s="23"/>
      <c r="S377" s="23"/>
      <c r="T377" s="23"/>
      <c r="U377" s="23"/>
      <c r="V377" s="23"/>
    </row>
    <row r="378" spans="7:22" ht="14.25" customHeight="1" x14ac:dyDescent="0.35">
      <c r="G378" s="19"/>
      <c r="I378" s="30"/>
      <c r="J378" s="31"/>
      <c r="K378" s="23"/>
      <c r="L378" s="23"/>
      <c r="M378" s="23"/>
      <c r="N378" s="23"/>
      <c r="O378" s="23"/>
      <c r="P378" s="23"/>
      <c r="Q378" s="23"/>
      <c r="R378" s="23"/>
      <c r="S378" s="23"/>
      <c r="T378" s="23"/>
      <c r="U378" s="23"/>
      <c r="V378" s="23"/>
    </row>
    <row r="379" spans="7:22" ht="14.25" customHeight="1" x14ac:dyDescent="0.35">
      <c r="G379" s="19"/>
      <c r="I379" s="30"/>
      <c r="J379" s="31"/>
      <c r="K379" s="23"/>
      <c r="L379" s="23"/>
      <c r="M379" s="23"/>
      <c r="N379" s="23"/>
      <c r="O379" s="23"/>
      <c r="P379" s="23"/>
      <c r="Q379" s="23"/>
      <c r="R379" s="23"/>
      <c r="S379" s="23"/>
      <c r="T379" s="23"/>
      <c r="U379" s="23"/>
      <c r="V379" s="23"/>
    </row>
    <row r="380" spans="7:22" ht="14.25" customHeight="1" x14ac:dyDescent="0.35">
      <c r="G380" s="19"/>
      <c r="I380" s="30"/>
      <c r="J380" s="31"/>
      <c r="K380" s="23"/>
      <c r="L380" s="23"/>
      <c r="M380" s="23"/>
      <c r="N380" s="23"/>
      <c r="O380" s="23"/>
      <c r="P380" s="23"/>
      <c r="Q380" s="23"/>
      <c r="R380" s="23"/>
      <c r="S380" s="23"/>
      <c r="T380" s="23"/>
      <c r="U380" s="23"/>
      <c r="V380" s="23"/>
    </row>
    <row r="381" spans="7:22" ht="14.25" customHeight="1" x14ac:dyDescent="0.35">
      <c r="G381" s="19"/>
      <c r="I381" s="30"/>
      <c r="J381" s="31"/>
      <c r="K381" s="23"/>
      <c r="L381" s="23"/>
      <c r="M381" s="23"/>
      <c r="N381" s="23"/>
      <c r="O381" s="23"/>
      <c r="P381" s="23"/>
      <c r="Q381" s="23"/>
      <c r="R381" s="23"/>
      <c r="S381" s="23"/>
      <c r="T381" s="23"/>
      <c r="U381" s="23"/>
      <c r="V381" s="23"/>
    </row>
    <row r="382" spans="7:22" ht="14.25" customHeight="1" x14ac:dyDescent="0.35">
      <c r="G382" s="19"/>
      <c r="I382" s="30"/>
      <c r="J382" s="31"/>
      <c r="K382" s="23"/>
      <c r="L382" s="23"/>
      <c r="M382" s="23"/>
      <c r="N382" s="23"/>
      <c r="O382" s="23"/>
      <c r="P382" s="23"/>
      <c r="Q382" s="23"/>
      <c r="R382" s="23"/>
      <c r="S382" s="23"/>
      <c r="T382" s="23"/>
      <c r="U382" s="23"/>
      <c r="V382" s="23"/>
    </row>
    <row r="383" spans="7:22" ht="14.25" customHeight="1" x14ac:dyDescent="0.35">
      <c r="G383" s="19"/>
      <c r="I383" s="30"/>
      <c r="J383" s="31"/>
      <c r="K383" s="23"/>
      <c r="L383" s="23"/>
      <c r="M383" s="23"/>
      <c r="N383" s="23"/>
      <c r="O383" s="23"/>
      <c r="P383" s="23"/>
      <c r="Q383" s="23"/>
      <c r="R383" s="23"/>
      <c r="S383" s="23"/>
      <c r="T383" s="23"/>
      <c r="U383" s="23"/>
      <c r="V383" s="23"/>
    </row>
    <row r="384" spans="7:22" ht="14.25" customHeight="1" x14ac:dyDescent="0.35">
      <c r="G384" s="19"/>
      <c r="I384" s="30"/>
      <c r="J384" s="31"/>
      <c r="K384" s="23"/>
      <c r="L384" s="23"/>
      <c r="M384" s="23"/>
      <c r="N384" s="23"/>
      <c r="O384" s="23"/>
      <c r="P384" s="23"/>
      <c r="Q384" s="23"/>
      <c r="R384" s="23"/>
      <c r="S384" s="23"/>
      <c r="T384" s="23"/>
      <c r="U384" s="23"/>
      <c r="V384" s="23"/>
    </row>
    <row r="385" spans="7:22" ht="14.25" customHeight="1" x14ac:dyDescent="0.35">
      <c r="G385" s="19"/>
      <c r="I385" s="30"/>
      <c r="J385" s="31"/>
      <c r="K385" s="23"/>
      <c r="L385" s="23"/>
      <c r="M385" s="23"/>
      <c r="N385" s="23"/>
      <c r="O385" s="23"/>
      <c r="P385" s="23"/>
      <c r="Q385" s="23"/>
      <c r="R385" s="23"/>
      <c r="S385" s="23"/>
      <c r="T385" s="23"/>
      <c r="U385" s="23"/>
      <c r="V385" s="23"/>
    </row>
    <row r="386" spans="7:22" ht="14.25" customHeight="1" x14ac:dyDescent="0.35">
      <c r="G386" s="19"/>
      <c r="I386" s="30"/>
      <c r="J386" s="31"/>
      <c r="K386" s="23"/>
      <c r="L386" s="23"/>
      <c r="M386" s="23"/>
      <c r="N386" s="23"/>
      <c r="O386" s="23"/>
      <c r="P386" s="23"/>
      <c r="Q386" s="23"/>
      <c r="R386" s="23"/>
      <c r="S386" s="23"/>
      <c r="T386" s="23"/>
      <c r="U386" s="23"/>
      <c r="V386" s="23"/>
    </row>
    <row r="387" spans="7:22" ht="14.25" customHeight="1" x14ac:dyDescent="0.35">
      <c r="G387" s="19"/>
      <c r="I387" s="30"/>
      <c r="J387" s="31"/>
      <c r="K387" s="23"/>
      <c r="L387" s="23"/>
      <c r="M387" s="23"/>
      <c r="N387" s="23"/>
      <c r="O387" s="23"/>
      <c r="P387" s="23"/>
      <c r="Q387" s="23"/>
      <c r="R387" s="23"/>
      <c r="S387" s="23"/>
      <c r="T387" s="23"/>
      <c r="U387" s="23"/>
      <c r="V387" s="23"/>
    </row>
    <row r="388" spans="7:22" ht="14.25" customHeight="1" x14ac:dyDescent="0.35">
      <c r="G388" s="19"/>
      <c r="I388" s="30"/>
      <c r="J388" s="31"/>
      <c r="K388" s="23"/>
      <c r="L388" s="23"/>
      <c r="M388" s="23"/>
      <c r="N388" s="23"/>
      <c r="O388" s="23"/>
      <c r="P388" s="23"/>
      <c r="Q388" s="23"/>
      <c r="R388" s="23"/>
      <c r="S388" s="23"/>
      <c r="T388" s="23"/>
      <c r="U388" s="23"/>
      <c r="V388" s="23"/>
    </row>
    <row r="389" spans="7:22" ht="14.25" customHeight="1" x14ac:dyDescent="0.35">
      <c r="G389" s="19"/>
      <c r="I389" s="30"/>
      <c r="J389" s="31"/>
      <c r="K389" s="23"/>
      <c r="L389" s="23"/>
      <c r="M389" s="23"/>
      <c r="N389" s="23"/>
      <c r="O389" s="23"/>
      <c r="P389" s="23"/>
      <c r="Q389" s="23"/>
      <c r="R389" s="23"/>
      <c r="S389" s="23"/>
      <c r="T389" s="23"/>
      <c r="U389" s="23"/>
      <c r="V389" s="23"/>
    </row>
    <row r="390" spans="7:22" ht="14.25" customHeight="1" x14ac:dyDescent="0.35">
      <c r="G390" s="19"/>
      <c r="I390" s="30"/>
      <c r="J390" s="31"/>
      <c r="K390" s="23"/>
      <c r="L390" s="23"/>
      <c r="M390" s="23"/>
      <c r="N390" s="23"/>
      <c r="O390" s="23"/>
      <c r="P390" s="23"/>
      <c r="Q390" s="23"/>
      <c r="R390" s="23"/>
      <c r="S390" s="23"/>
      <c r="T390" s="23"/>
      <c r="U390" s="23"/>
      <c r="V390" s="23"/>
    </row>
    <row r="391" spans="7:22" ht="14.25" customHeight="1" x14ac:dyDescent="0.35">
      <c r="G391" s="19"/>
      <c r="I391" s="30"/>
      <c r="J391" s="31"/>
      <c r="K391" s="23"/>
      <c r="L391" s="23"/>
      <c r="M391" s="23"/>
      <c r="N391" s="23"/>
      <c r="O391" s="23"/>
      <c r="P391" s="23"/>
      <c r="Q391" s="23"/>
      <c r="R391" s="23"/>
      <c r="S391" s="23"/>
      <c r="T391" s="23"/>
      <c r="U391" s="23"/>
      <c r="V391" s="23"/>
    </row>
    <row r="392" spans="7:22" ht="14.25" customHeight="1" x14ac:dyDescent="0.35">
      <c r="G392" s="19"/>
      <c r="I392" s="30"/>
      <c r="J392" s="31"/>
      <c r="K392" s="23"/>
      <c r="L392" s="23"/>
      <c r="M392" s="23"/>
      <c r="N392" s="23"/>
      <c r="O392" s="23"/>
      <c r="P392" s="23"/>
      <c r="Q392" s="23"/>
      <c r="R392" s="23"/>
      <c r="S392" s="23"/>
      <c r="T392" s="23"/>
      <c r="U392" s="23"/>
      <c r="V392" s="23"/>
    </row>
    <row r="393" spans="7:22" ht="14.25" customHeight="1" x14ac:dyDescent="0.35">
      <c r="G393" s="19"/>
      <c r="I393" s="30"/>
      <c r="J393" s="31"/>
      <c r="K393" s="23"/>
      <c r="L393" s="23"/>
      <c r="M393" s="23"/>
      <c r="N393" s="23"/>
      <c r="O393" s="23"/>
      <c r="P393" s="23"/>
      <c r="Q393" s="23"/>
      <c r="R393" s="23"/>
      <c r="S393" s="23"/>
      <c r="T393" s="23"/>
      <c r="U393" s="23"/>
      <c r="V393" s="23"/>
    </row>
    <row r="394" spans="7:22" ht="14.25" customHeight="1" x14ac:dyDescent="0.35">
      <c r="G394" s="19"/>
      <c r="I394" s="30"/>
      <c r="J394" s="31"/>
      <c r="K394" s="23"/>
      <c r="L394" s="23"/>
      <c r="M394" s="23"/>
      <c r="N394" s="23"/>
      <c r="O394" s="23"/>
      <c r="P394" s="23"/>
      <c r="Q394" s="23"/>
      <c r="R394" s="23"/>
      <c r="S394" s="23"/>
      <c r="T394" s="23"/>
      <c r="U394" s="23"/>
      <c r="V394" s="23"/>
    </row>
    <row r="395" spans="7:22" ht="14.25" customHeight="1" x14ac:dyDescent="0.35">
      <c r="G395" s="19"/>
      <c r="I395" s="30"/>
      <c r="J395" s="31"/>
      <c r="K395" s="23"/>
      <c r="L395" s="23"/>
      <c r="M395" s="23"/>
      <c r="N395" s="23"/>
      <c r="O395" s="23"/>
      <c r="P395" s="23"/>
      <c r="Q395" s="23"/>
      <c r="R395" s="23"/>
      <c r="S395" s="23"/>
      <c r="T395" s="23"/>
      <c r="U395" s="23"/>
      <c r="V395" s="23"/>
    </row>
    <row r="396" spans="7:22" ht="14.25" customHeight="1" x14ac:dyDescent="0.35">
      <c r="G396" s="19"/>
      <c r="I396" s="30"/>
      <c r="J396" s="31"/>
      <c r="K396" s="23"/>
      <c r="L396" s="23"/>
      <c r="M396" s="23"/>
      <c r="N396" s="23"/>
      <c r="O396" s="23"/>
      <c r="P396" s="23"/>
      <c r="Q396" s="23"/>
      <c r="R396" s="23"/>
      <c r="S396" s="23"/>
      <c r="T396" s="23"/>
      <c r="U396" s="23"/>
      <c r="V396" s="23"/>
    </row>
    <row r="397" spans="7:22" ht="14.25" customHeight="1" x14ac:dyDescent="0.35">
      <c r="G397" s="19"/>
      <c r="I397" s="30"/>
      <c r="J397" s="31"/>
      <c r="K397" s="23"/>
      <c r="L397" s="23"/>
      <c r="M397" s="23"/>
      <c r="N397" s="23"/>
      <c r="O397" s="23"/>
      <c r="P397" s="23"/>
      <c r="Q397" s="23"/>
      <c r="R397" s="23"/>
      <c r="S397" s="23"/>
      <c r="T397" s="23"/>
      <c r="U397" s="23"/>
      <c r="V397" s="23"/>
    </row>
    <row r="398" spans="7:22" ht="14.25" customHeight="1" x14ac:dyDescent="0.35">
      <c r="G398" s="19"/>
      <c r="I398" s="30"/>
      <c r="J398" s="31"/>
      <c r="K398" s="23"/>
      <c r="L398" s="23"/>
      <c r="M398" s="23"/>
      <c r="N398" s="23"/>
      <c r="O398" s="23"/>
      <c r="P398" s="23"/>
      <c r="Q398" s="23"/>
      <c r="R398" s="23"/>
      <c r="S398" s="23"/>
      <c r="T398" s="23"/>
      <c r="U398" s="23"/>
      <c r="V398" s="23"/>
    </row>
    <row r="399" spans="7:22" ht="14.25" customHeight="1" x14ac:dyDescent="0.35">
      <c r="G399" s="19"/>
      <c r="I399" s="30"/>
      <c r="J399" s="31"/>
      <c r="K399" s="23"/>
      <c r="L399" s="23"/>
      <c r="M399" s="23"/>
      <c r="N399" s="23"/>
      <c r="O399" s="23"/>
      <c r="P399" s="23"/>
      <c r="Q399" s="23"/>
      <c r="R399" s="23"/>
      <c r="S399" s="23"/>
      <c r="T399" s="23"/>
      <c r="U399" s="23"/>
      <c r="V399" s="23"/>
    </row>
    <row r="400" spans="7:22" ht="14.25" customHeight="1" x14ac:dyDescent="0.35">
      <c r="G400" s="19"/>
      <c r="I400" s="30"/>
      <c r="J400" s="31"/>
      <c r="K400" s="23"/>
      <c r="L400" s="23"/>
      <c r="M400" s="23"/>
      <c r="N400" s="23"/>
      <c r="O400" s="23"/>
      <c r="P400" s="23"/>
      <c r="Q400" s="23"/>
      <c r="R400" s="23"/>
      <c r="S400" s="23"/>
      <c r="T400" s="23"/>
      <c r="U400" s="23"/>
      <c r="V400" s="23"/>
    </row>
    <row r="401" spans="7:22" ht="14.25" customHeight="1" x14ac:dyDescent="0.35">
      <c r="G401" s="19"/>
      <c r="I401" s="30"/>
      <c r="J401" s="31"/>
      <c r="K401" s="23"/>
      <c r="L401" s="23"/>
      <c r="M401" s="23"/>
      <c r="N401" s="23"/>
      <c r="O401" s="23"/>
      <c r="P401" s="23"/>
      <c r="Q401" s="23"/>
      <c r="R401" s="23"/>
      <c r="S401" s="23"/>
      <c r="T401" s="23"/>
      <c r="U401" s="23"/>
      <c r="V401" s="23"/>
    </row>
    <row r="402" spans="7:22" ht="14.25" customHeight="1" x14ac:dyDescent="0.35">
      <c r="G402" s="19"/>
      <c r="I402" s="30"/>
      <c r="J402" s="31"/>
      <c r="K402" s="23"/>
      <c r="L402" s="23"/>
      <c r="M402" s="23"/>
      <c r="N402" s="23"/>
      <c r="O402" s="23"/>
      <c r="P402" s="23"/>
      <c r="Q402" s="23"/>
      <c r="R402" s="23"/>
      <c r="S402" s="23"/>
      <c r="T402" s="23"/>
      <c r="U402" s="23"/>
      <c r="V402" s="23"/>
    </row>
    <row r="403" spans="7:22" ht="14.25" customHeight="1" x14ac:dyDescent="0.35">
      <c r="G403" s="19"/>
      <c r="I403" s="30"/>
      <c r="J403" s="31"/>
      <c r="K403" s="23"/>
      <c r="L403" s="23"/>
      <c r="M403" s="23"/>
      <c r="N403" s="23"/>
      <c r="O403" s="23"/>
      <c r="P403" s="23"/>
      <c r="Q403" s="23"/>
      <c r="R403" s="23"/>
      <c r="S403" s="23"/>
      <c r="T403" s="23"/>
      <c r="U403" s="23"/>
      <c r="V403" s="23"/>
    </row>
    <row r="404" spans="7:22" ht="14.25" customHeight="1" x14ac:dyDescent="0.35">
      <c r="G404" s="19"/>
      <c r="I404" s="30"/>
      <c r="J404" s="31"/>
      <c r="K404" s="23"/>
      <c r="L404" s="23"/>
      <c r="M404" s="23"/>
      <c r="N404" s="23"/>
      <c r="O404" s="23"/>
      <c r="P404" s="23"/>
      <c r="Q404" s="23"/>
      <c r="R404" s="23"/>
      <c r="S404" s="23"/>
      <c r="T404" s="23"/>
      <c r="U404" s="23"/>
      <c r="V404" s="23"/>
    </row>
    <row r="405" spans="7:22" ht="14.25" customHeight="1" x14ac:dyDescent="0.35">
      <c r="G405" s="19"/>
      <c r="I405" s="30"/>
      <c r="J405" s="31"/>
      <c r="K405" s="23"/>
      <c r="L405" s="23"/>
      <c r="M405" s="23"/>
      <c r="N405" s="23"/>
      <c r="O405" s="23"/>
      <c r="P405" s="23"/>
      <c r="Q405" s="23"/>
      <c r="R405" s="23"/>
      <c r="S405" s="23"/>
      <c r="T405" s="23"/>
      <c r="U405" s="23"/>
      <c r="V405" s="23"/>
    </row>
    <row r="406" spans="7:22" ht="14.25" customHeight="1" x14ac:dyDescent="0.35">
      <c r="G406" s="19"/>
      <c r="I406" s="30"/>
      <c r="J406" s="31"/>
      <c r="K406" s="23"/>
      <c r="L406" s="23"/>
      <c r="M406" s="23"/>
      <c r="N406" s="23"/>
      <c r="O406" s="23"/>
      <c r="P406" s="23"/>
      <c r="Q406" s="23"/>
      <c r="R406" s="23"/>
      <c r="S406" s="23"/>
      <c r="T406" s="23"/>
      <c r="U406" s="23"/>
      <c r="V406" s="23"/>
    </row>
    <row r="407" spans="7:22" ht="14.25" customHeight="1" x14ac:dyDescent="0.35">
      <c r="G407" s="19"/>
      <c r="I407" s="30"/>
      <c r="J407" s="31"/>
      <c r="K407" s="23"/>
      <c r="L407" s="23"/>
      <c r="M407" s="23"/>
      <c r="N407" s="23"/>
      <c r="O407" s="23"/>
      <c r="P407" s="23"/>
      <c r="Q407" s="23"/>
      <c r="R407" s="23"/>
      <c r="S407" s="23"/>
      <c r="T407" s="23"/>
      <c r="U407" s="23"/>
      <c r="V407" s="23"/>
    </row>
    <row r="408" spans="7:22" ht="14.25" customHeight="1" x14ac:dyDescent="0.35">
      <c r="G408" s="19"/>
      <c r="I408" s="30"/>
      <c r="J408" s="31"/>
      <c r="K408" s="23"/>
      <c r="L408" s="23"/>
      <c r="M408" s="23"/>
      <c r="N408" s="23"/>
      <c r="O408" s="23"/>
      <c r="P408" s="23"/>
      <c r="Q408" s="23"/>
      <c r="R408" s="23"/>
      <c r="S408" s="23"/>
      <c r="T408" s="23"/>
      <c r="U408" s="23"/>
      <c r="V408" s="23"/>
    </row>
    <row r="409" spans="7:22" ht="14.25" customHeight="1" x14ac:dyDescent="0.35">
      <c r="G409" s="19"/>
      <c r="I409" s="30"/>
      <c r="J409" s="31"/>
      <c r="K409" s="23"/>
      <c r="L409" s="23"/>
      <c r="M409" s="23"/>
      <c r="N409" s="23"/>
      <c r="O409" s="23"/>
      <c r="P409" s="23"/>
      <c r="Q409" s="23"/>
      <c r="R409" s="23"/>
      <c r="S409" s="23"/>
      <c r="T409" s="23"/>
      <c r="U409" s="23"/>
      <c r="V409" s="23"/>
    </row>
    <row r="410" spans="7:22" ht="14.25" customHeight="1" x14ac:dyDescent="0.35">
      <c r="G410" s="19"/>
      <c r="I410" s="30"/>
      <c r="J410" s="31"/>
      <c r="K410" s="23"/>
      <c r="L410" s="23"/>
      <c r="M410" s="23"/>
      <c r="N410" s="23"/>
      <c r="O410" s="23"/>
      <c r="P410" s="23"/>
      <c r="Q410" s="23"/>
      <c r="R410" s="23"/>
      <c r="S410" s="23"/>
      <c r="T410" s="23"/>
      <c r="U410" s="23"/>
      <c r="V410" s="23"/>
    </row>
    <row r="411" spans="7:22" ht="14.25" customHeight="1" x14ac:dyDescent="0.35">
      <c r="G411" s="19"/>
      <c r="I411" s="30"/>
      <c r="J411" s="31"/>
      <c r="K411" s="23"/>
      <c r="L411" s="23"/>
      <c r="M411" s="23"/>
      <c r="N411" s="23"/>
      <c r="O411" s="23"/>
      <c r="P411" s="23"/>
      <c r="Q411" s="23"/>
      <c r="R411" s="23"/>
      <c r="S411" s="23"/>
      <c r="T411" s="23"/>
      <c r="U411" s="23"/>
      <c r="V411" s="23"/>
    </row>
    <row r="412" spans="7:22" ht="14.25" customHeight="1" x14ac:dyDescent="0.35">
      <c r="G412" s="19"/>
      <c r="I412" s="30"/>
      <c r="J412" s="31"/>
      <c r="K412" s="23"/>
      <c r="L412" s="23"/>
      <c r="M412" s="23"/>
      <c r="N412" s="23"/>
      <c r="O412" s="23"/>
      <c r="P412" s="23"/>
      <c r="Q412" s="23"/>
      <c r="R412" s="23"/>
      <c r="S412" s="23"/>
      <c r="T412" s="23"/>
      <c r="U412" s="23"/>
      <c r="V412" s="23"/>
    </row>
    <row r="413" spans="7:22" ht="14.25" customHeight="1" x14ac:dyDescent="0.35">
      <c r="G413" s="19"/>
      <c r="I413" s="30"/>
      <c r="J413" s="31"/>
      <c r="K413" s="23"/>
      <c r="L413" s="23"/>
      <c r="M413" s="23"/>
      <c r="N413" s="23"/>
      <c r="O413" s="23"/>
      <c r="P413" s="23"/>
      <c r="Q413" s="23"/>
      <c r="R413" s="23"/>
      <c r="S413" s="23"/>
      <c r="T413" s="23"/>
      <c r="U413" s="23"/>
      <c r="V413" s="23"/>
    </row>
    <row r="414" spans="7:22" ht="14.25" customHeight="1" x14ac:dyDescent="0.35">
      <c r="G414" s="19"/>
      <c r="I414" s="30"/>
      <c r="J414" s="31"/>
      <c r="K414" s="23"/>
      <c r="L414" s="23"/>
      <c r="M414" s="23"/>
      <c r="N414" s="23"/>
      <c r="O414" s="23"/>
      <c r="P414" s="23"/>
      <c r="Q414" s="23"/>
      <c r="R414" s="23"/>
      <c r="S414" s="23"/>
      <c r="T414" s="23"/>
      <c r="U414" s="23"/>
      <c r="V414" s="23"/>
    </row>
    <row r="415" spans="7:22" ht="14.25" customHeight="1" x14ac:dyDescent="0.35">
      <c r="G415" s="19"/>
      <c r="I415" s="30"/>
      <c r="J415" s="31"/>
      <c r="K415" s="23"/>
      <c r="L415" s="23"/>
      <c r="M415" s="23"/>
      <c r="N415" s="23"/>
      <c r="O415" s="23"/>
      <c r="P415" s="23"/>
      <c r="Q415" s="23"/>
      <c r="R415" s="23"/>
      <c r="S415" s="23"/>
      <c r="T415" s="23"/>
      <c r="U415" s="23"/>
      <c r="V415" s="23"/>
    </row>
    <row r="416" spans="7:22" ht="14.25" customHeight="1" x14ac:dyDescent="0.35">
      <c r="G416" s="19"/>
      <c r="I416" s="30"/>
      <c r="J416" s="31"/>
      <c r="K416" s="23"/>
      <c r="L416" s="23"/>
      <c r="M416" s="23"/>
      <c r="N416" s="23"/>
      <c r="O416" s="23"/>
      <c r="P416" s="23"/>
      <c r="Q416" s="23"/>
      <c r="R416" s="23"/>
      <c r="S416" s="23"/>
      <c r="T416" s="23"/>
      <c r="U416" s="23"/>
      <c r="V416" s="23"/>
    </row>
    <row r="417" spans="7:22" ht="14.25" customHeight="1" x14ac:dyDescent="0.35">
      <c r="G417" s="19"/>
      <c r="I417" s="30"/>
      <c r="J417" s="31"/>
      <c r="K417" s="23"/>
      <c r="L417" s="23"/>
      <c r="M417" s="23"/>
      <c r="N417" s="23"/>
      <c r="O417" s="23"/>
      <c r="P417" s="23"/>
      <c r="Q417" s="23"/>
      <c r="R417" s="23"/>
      <c r="S417" s="23"/>
      <c r="T417" s="23"/>
      <c r="U417" s="23"/>
      <c r="V417" s="23"/>
    </row>
    <row r="418" spans="7:22" ht="14.25" customHeight="1" x14ac:dyDescent="0.35">
      <c r="G418" s="19"/>
      <c r="I418" s="30"/>
      <c r="J418" s="31"/>
      <c r="K418" s="23"/>
      <c r="L418" s="23"/>
      <c r="M418" s="23"/>
      <c r="N418" s="23"/>
      <c r="O418" s="23"/>
      <c r="P418" s="23"/>
      <c r="Q418" s="23"/>
      <c r="R418" s="23"/>
      <c r="S418" s="23"/>
      <c r="T418" s="23"/>
      <c r="U418" s="23"/>
      <c r="V418" s="23"/>
    </row>
    <row r="419" spans="7:22" ht="14.25" customHeight="1" x14ac:dyDescent="0.35">
      <c r="G419" s="19"/>
      <c r="I419" s="30"/>
      <c r="J419" s="31"/>
      <c r="K419" s="23"/>
      <c r="L419" s="23"/>
      <c r="M419" s="23"/>
      <c r="N419" s="23"/>
      <c r="O419" s="23"/>
      <c r="P419" s="23"/>
      <c r="Q419" s="23"/>
      <c r="R419" s="23"/>
      <c r="S419" s="23"/>
      <c r="T419" s="23"/>
      <c r="U419" s="23"/>
      <c r="V419" s="23"/>
    </row>
    <row r="420" spans="7:22" ht="14.25" customHeight="1" x14ac:dyDescent="0.35">
      <c r="G420" s="19"/>
      <c r="I420" s="30"/>
      <c r="J420" s="31"/>
      <c r="K420" s="23"/>
      <c r="L420" s="23"/>
      <c r="M420" s="23"/>
      <c r="N420" s="23"/>
      <c r="O420" s="23"/>
      <c r="P420" s="23"/>
      <c r="Q420" s="23"/>
      <c r="R420" s="23"/>
      <c r="S420" s="23"/>
      <c r="T420" s="23"/>
      <c r="U420" s="23"/>
      <c r="V420" s="23"/>
    </row>
    <row r="421" spans="7:22" ht="14.25" customHeight="1" x14ac:dyDescent="0.35">
      <c r="G421" s="19"/>
      <c r="I421" s="30"/>
      <c r="J421" s="31"/>
      <c r="K421" s="23"/>
      <c r="L421" s="23"/>
      <c r="M421" s="23"/>
      <c r="N421" s="23"/>
      <c r="O421" s="23"/>
      <c r="P421" s="23"/>
      <c r="Q421" s="23"/>
      <c r="R421" s="23"/>
      <c r="S421" s="23"/>
      <c r="T421" s="23"/>
      <c r="U421" s="23"/>
      <c r="V421" s="23"/>
    </row>
    <row r="422" spans="7:22" ht="14.25" customHeight="1" x14ac:dyDescent="0.35">
      <c r="G422" s="19"/>
      <c r="I422" s="30"/>
      <c r="J422" s="31"/>
      <c r="K422" s="23"/>
      <c r="L422" s="23"/>
      <c r="M422" s="23"/>
      <c r="N422" s="23"/>
      <c r="O422" s="23"/>
      <c r="P422" s="23"/>
      <c r="Q422" s="23"/>
      <c r="R422" s="23"/>
      <c r="S422" s="23"/>
      <c r="T422" s="23"/>
      <c r="U422" s="23"/>
      <c r="V422" s="23"/>
    </row>
    <row r="423" spans="7:22" ht="14.25" customHeight="1" x14ac:dyDescent="0.35">
      <c r="G423" s="19"/>
      <c r="I423" s="30"/>
      <c r="J423" s="31"/>
      <c r="K423" s="23"/>
      <c r="L423" s="23"/>
      <c r="M423" s="23"/>
      <c r="N423" s="23"/>
      <c r="O423" s="23"/>
      <c r="P423" s="23"/>
      <c r="Q423" s="23"/>
      <c r="R423" s="23"/>
      <c r="S423" s="23"/>
      <c r="T423" s="23"/>
      <c r="U423" s="23"/>
      <c r="V423" s="23"/>
    </row>
    <row r="424" spans="7:22" ht="14.25" customHeight="1" x14ac:dyDescent="0.35">
      <c r="G424" s="19"/>
      <c r="I424" s="30"/>
      <c r="J424" s="31"/>
      <c r="K424" s="23"/>
      <c r="L424" s="23"/>
      <c r="M424" s="23"/>
      <c r="N424" s="23"/>
      <c r="O424" s="23"/>
      <c r="P424" s="23"/>
      <c r="Q424" s="23"/>
      <c r="R424" s="23"/>
      <c r="S424" s="23"/>
      <c r="T424" s="23"/>
      <c r="U424" s="23"/>
      <c r="V424" s="23"/>
    </row>
    <row r="425" spans="7:22" ht="14.25" customHeight="1" x14ac:dyDescent="0.35">
      <c r="G425" s="19"/>
      <c r="I425" s="30"/>
      <c r="J425" s="31"/>
      <c r="K425" s="23"/>
      <c r="L425" s="23"/>
      <c r="M425" s="23"/>
      <c r="N425" s="23"/>
      <c r="O425" s="23"/>
      <c r="P425" s="23"/>
      <c r="Q425" s="23"/>
      <c r="R425" s="23"/>
      <c r="S425" s="23"/>
      <c r="T425" s="23"/>
      <c r="U425" s="23"/>
      <c r="V425" s="23"/>
    </row>
    <row r="426" spans="7:22" ht="14.25" customHeight="1" x14ac:dyDescent="0.35">
      <c r="G426" s="19"/>
      <c r="I426" s="30"/>
      <c r="J426" s="31"/>
      <c r="K426" s="23"/>
      <c r="L426" s="23"/>
      <c r="M426" s="23"/>
      <c r="N426" s="23"/>
      <c r="O426" s="23"/>
      <c r="P426" s="23"/>
      <c r="Q426" s="23"/>
      <c r="R426" s="23"/>
      <c r="S426" s="23"/>
      <c r="T426" s="23"/>
      <c r="U426" s="23"/>
      <c r="V426" s="23"/>
    </row>
    <row r="427" spans="7:22" ht="14.25" customHeight="1" x14ac:dyDescent="0.35">
      <c r="G427" s="19"/>
      <c r="I427" s="30"/>
      <c r="J427" s="31"/>
      <c r="K427" s="23"/>
      <c r="L427" s="23"/>
      <c r="M427" s="23"/>
      <c r="N427" s="23"/>
      <c r="O427" s="23"/>
      <c r="P427" s="23"/>
      <c r="Q427" s="23"/>
      <c r="R427" s="23"/>
      <c r="S427" s="23"/>
      <c r="T427" s="23"/>
      <c r="U427" s="23"/>
      <c r="V427" s="23"/>
    </row>
    <row r="428" spans="7:22" ht="14.25" customHeight="1" x14ac:dyDescent="0.35">
      <c r="G428" s="19"/>
      <c r="I428" s="30"/>
      <c r="J428" s="31"/>
      <c r="K428" s="23"/>
      <c r="L428" s="23"/>
      <c r="M428" s="23"/>
      <c r="N428" s="23"/>
      <c r="O428" s="23"/>
      <c r="P428" s="23"/>
      <c r="Q428" s="23"/>
      <c r="R428" s="23"/>
      <c r="S428" s="23"/>
      <c r="T428" s="23"/>
      <c r="U428" s="23"/>
      <c r="V428" s="23"/>
    </row>
    <row r="429" spans="7:22" ht="14.25" customHeight="1" x14ac:dyDescent="0.35">
      <c r="G429" s="19"/>
      <c r="I429" s="30"/>
      <c r="J429" s="31"/>
      <c r="K429" s="23"/>
      <c r="L429" s="23"/>
      <c r="M429" s="23"/>
      <c r="N429" s="23"/>
      <c r="O429" s="23"/>
      <c r="P429" s="23"/>
      <c r="Q429" s="23"/>
      <c r="R429" s="23"/>
      <c r="S429" s="23"/>
      <c r="T429" s="23"/>
      <c r="U429" s="23"/>
      <c r="V429" s="23"/>
    </row>
    <row r="430" spans="7:22" ht="14.25" customHeight="1" x14ac:dyDescent="0.35">
      <c r="G430" s="19"/>
      <c r="I430" s="30"/>
      <c r="J430" s="31"/>
      <c r="K430" s="23"/>
      <c r="L430" s="23"/>
      <c r="M430" s="23"/>
      <c r="N430" s="23"/>
      <c r="O430" s="23"/>
      <c r="P430" s="23"/>
      <c r="Q430" s="23"/>
      <c r="R430" s="23"/>
      <c r="S430" s="23"/>
      <c r="T430" s="23"/>
      <c r="U430" s="23"/>
      <c r="V430" s="23"/>
    </row>
    <row r="431" spans="7:22" ht="14.25" customHeight="1" x14ac:dyDescent="0.35">
      <c r="G431" s="19"/>
      <c r="I431" s="30"/>
      <c r="J431" s="31"/>
      <c r="K431" s="23"/>
      <c r="L431" s="23"/>
      <c r="M431" s="23"/>
      <c r="N431" s="23"/>
      <c r="O431" s="23"/>
      <c r="P431" s="23"/>
      <c r="Q431" s="23"/>
      <c r="R431" s="23"/>
      <c r="S431" s="23"/>
      <c r="T431" s="23"/>
      <c r="U431" s="23"/>
      <c r="V431" s="23"/>
    </row>
    <row r="432" spans="7:22" ht="14.25" customHeight="1" x14ac:dyDescent="0.35">
      <c r="G432" s="19"/>
      <c r="I432" s="30"/>
      <c r="J432" s="31"/>
      <c r="K432" s="23"/>
      <c r="L432" s="23"/>
      <c r="M432" s="23"/>
      <c r="N432" s="23"/>
      <c r="O432" s="23"/>
      <c r="P432" s="23"/>
      <c r="Q432" s="23"/>
      <c r="R432" s="23"/>
      <c r="S432" s="23"/>
      <c r="T432" s="23"/>
      <c r="U432" s="23"/>
      <c r="V432" s="23"/>
    </row>
    <row r="433" spans="7:22" ht="14.25" customHeight="1" x14ac:dyDescent="0.35">
      <c r="G433" s="19"/>
      <c r="I433" s="30"/>
      <c r="J433" s="31"/>
      <c r="K433" s="23"/>
      <c r="L433" s="23"/>
      <c r="M433" s="23"/>
      <c r="N433" s="23"/>
      <c r="O433" s="23"/>
      <c r="P433" s="23"/>
      <c r="Q433" s="23"/>
      <c r="R433" s="23"/>
      <c r="S433" s="23"/>
      <c r="T433" s="23"/>
      <c r="U433" s="23"/>
      <c r="V433" s="23"/>
    </row>
    <row r="434" spans="7:22" ht="14.25" customHeight="1" x14ac:dyDescent="0.35">
      <c r="G434" s="19"/>
      <c r="I434" s="30"/>
      <c r="J434" s="31"/>
      <c r="K434" s="23"/>
      <c r="L434" s="23"/>
      <c r="M434" s="23"/>
      <c r="N434" s="23"/>
      <c r="O434" s="23"/>
      <c r="P434" s="23"/>
      <c r="Q434" s="23"/>
      <c r="R434" s="23"/>
      <c r="S434" s="23"/>
      <c r="T434" s="23"/>
      <c r="U434" s="23"/>
      <c r="V434" s="23"/>
    </row>
    <row r="435" spans="7:22" ht="14.25" customHeight="1" x14ac:dyDescent="0.35">
      <c r="G435" s="19"/>
      <c r="I435" s="30"/>
      <c r="J435" s="31"/>
      <c r="K435" s="23"/>
      <c r="L435" s="23"/>
      <c r="M435" s="23"/>
      <c r="N435" s="23"/>
      <c r="O435" s="23"/>
      <c r="P435" s="23"/>
      <c r="Q435" s="23"/>
      <c r="R435" s="23"/>
      <c r="S435" s="23"/>
      <c r="T435" s="23"/>
      <c r="U435" s="23"/>
      <c r="V435" s="23"/>
    </row>
    <row r="436" spans="7:22" ht="14.25" customHeight="1" x14ac:dyDescent="0.35">
      <c r="G436" s="19"/>
      <c r="I436" s="30"/>
      <c r="J436" s="31"/>
      <c r="K436" s="23"/>
      <c r="L436" s="23"/>
      <c r="M436" s="23"/>
      <c r="N436" s="23"/>
      <c r="O436" s="23"/>
      <c r="P436" s="23"/>
      <c r="Q436" s="23"/>
      <c r="R436" s="23"/>
      <c r="S436" s="23"/>
      <c r="T436" s="23"/>
      <c r="U436" s="23"/>
      <c r="V436" s="23"/>
    </row>
    <row r="437" spans="7:22" ht="14.25" customHeight="1" x14ac:dyDescent="0.35">
      <c r="G437" s="19"/>
      <c r="I437" s="30"/>
      <c r="J437" s="31"/>
      <c r="K437" s="23"/>
      <c r="L437" s="23"/>
      <c r="M437" s="23"/>
      <c r="N437" s="23"/>
      <c r="O437" s="23"/>
      <c r="P437" s="23"/>
      <c r="Q437" s="23"/>
      <c r="R437" s="23"/>
      <c r="S437" s="23"/>
      <c r="T437" s="23"/>
      <c r="U437" s="23"/>
      <c r="V437" s="23"/>
    </row>
    <row r="438" spans="7:22" ht="14.25" customHeight="1" x14ac:dyDescent="0.35">
      <c r="G438" s="19"/>
      <c r="I438" s="30"/>
      <c r="J438" s="31"/>
      <c r="K438" s="23"/>
      <c r="L438" s="23"/>
      <c r="M438" s="23"/>
      <c r="N438" s="23"/>
      <c r="O438" s="23"/>
      <c r="P438" s="23"/>
      <c r="Q438" s="23"/>
      <c r="R438" s="23"/>
      <c r="S438" s="23"/>
      <c r="T438" s="23"/>
      <c r="U438" s="23"/>
      <c r="V438" s="23"/>
    </row>
    <row r="439" spans="7:22" ht="14.25" customHeight="1" x14ac:dyDescent="0.35">
      <c r="G439" s="19"/>
      <c r="I439" s="30"/>
      <c r="J439" s="31"/>
      <c r="K439" s="23"/>
      <c r="L439" s="23"/>
      <c r="M439" s="23"/>
      <c r="N439" s="23"/>
      <c r="O439" s="23"/>
      <c r="P439" s="23"/>
      <c r="Q439" s="23"/>
      <c r="R439" s="23"/>
      <c r="S439" s="23"/>
      <c r="T439" s="23"/>
      <c r="U439" s="23"/>
      <c r="V439" s="23"/>
    </row>
    <row r="440" spans="7:22" ht="14.25" customHeight="1" x14ac:dyDescent="0.35">
      <c r="G440" s="19"/>
      <c r="I440" s="30"/>
      <c r="J440" s="31"/>
      <c r="K440" s="23"/>
      <c r="L440" s="23"/>
      <c r="M440" s="23"/>
      <c r="N440" s="23"/>
      <c r="O440" s="23"/>
      <c r="P440" s="23"/>
      <c r="Q440" s="23"/>
      <c r="R440" s="23"/>
      <c r="S440" s="23"/>
      <c r="T440" s="23"/>
      <c r="U440" s="23"/>
      <c r="V440" s="23"/>
    </row>
    <row r="441" spans="7:22" ht="14.25" customHeight="1" x14ac:dyDescent="0.35">
      <c r="G441" s="19"/>
      <c r="I441" s="30"/>
      <c r="J441" s="31"/>
      <c r="K441" s="23"/>
      <c r="L441" s="23"/>
      <c r="M441" s="23"/>
      <c r="N441" s="23"/>
      <c r="O441" s="23"/>
      <c r="P441" s="23"/>
      <c r="Q441" s="23"/>
      <c r="R441" s="23"/>
      <c r="S441" s="23"/>
      <c r="T441" s="23"/>
      <c r="U441" s="23"/>
      <c r="V441" s="23"/>
    </row>
    <row r="442" spans="7:22" ht="14.25" customHeight="1" x14ac:dyDescent="0.35">
      <c r="G442" s="19"/>
      <c r="I442" s="30"/>
      <c r="J442" s="31"/>
      <c r="K442" s="23"/>
      <c r="L442" s="23"/>
      <c r="M442" s="23"/>
      <c r="N442" s="23"/>
      <c r="O442" s="23"/>
      <c r="P442" s="23"/>
      <c r="Q442" s="23"/>
      <c r="R442" s="23"/>
      <c r="S442" s="23"/>
      <c r="T442" s="23"/>
      <c r="U442" s="23"/>
      <c r="V442" s="23"/>
    </row>
    <row r="443" spans="7:22" ht="14.25" customHeight="1" x14ac:dyDescent="0.35">
      <c r="G443" s="19"/>
      <c r="I443" s="30"/>
      <c r="J443" s="31"/>
      <c r="K443" s="23"/>
      <c r="L443" s="23"/>
      <c r="M443" s="23"/>
      <c r="N443" s="23"/>
      <c r="O443" s="23"/>
      <c r="P443" s="23"/>
      <c r="Q443" s="23"/>
      <c r="R443" s="23"/>
      <c r="S443" s="23"/>
      <c r="T443" s="23"/>
      <c r="U443" s="23"/>
      <c r="V443" s="23"/>
    </row>
    <row r="444" spans="7:22" ht="14.25" customHeight="1" x14ac:dyDescent="0.35">
      <c r="G444" s="19"/>
      <c r="I444" s="30"/>
      <c r="J444" s="31"/>
      <c r="K444" s="23"/>
      <c r="L444" s="23"/>
      <c r="M444" s="23"/>
      <c r="N444" s="23"/>
      <c r="O444" s="23"/>
      <c r="P444" s="23"/>
      <c r="Q444" s="23"/>
      <c r="R444" s="23"/>
      <c r="S444" s="23"/>
      <c r="T444" s="23"/>
      <c r="U444" s="23"/>
      <c r="V444" s="23"/>
    </row>
    <row r="445" spans="7:22" ht="14.25" customHeight="1" x14ac:dyDescent="0.35">
      <c r="G445" s="19"/>
      <c r="I445" s="30"/>
      <c r="J445" s="31"/>
      <c r="K445" s="23"/>
      <c r="L445" s="23"/>
      <c r="M445" s="23"/>
      <c r="N445" s="23"/>
      <c r="O445" s="23"/>
      <c r="P445" s="23"/>
      <c r="Q445" s="23"/>
      <c r="R445" s="23"/>
      <c r="S445" s="23"/>
      <c r="T445" s="23"/>
      <c r="U445" s="23"/>
      <c r="V445" s="23"/>
    </row>
    <row r="446" spans="7:22" ht="14.25" customHeight="1" x14ac:dyDescent="0.35">
      <c r="G446" s="19"/>
      <c r="I446" s="30"/>
      <c r="J446" s="31"/>
      <c r="K446" s="23"/>
      <c r="L446" s="23"/>
      <c r="M446" s="23"/>
      <c r="N446" s="23"/>
      <c r="O446" s="23"/>
      <c r="P446" s="23"/>
      <c r="Q446" s="23"/>
      <c r="R446" s="23"/>
      <c r="S446" s="23"/>
      <c r="T446" s="23"/>
      <c r="U446" s="23"/>
      <c r="V446" s="23"/>
    </row>
    <row r="447" spans="7:22" ht="14.25" customHeight="1" x14ac:dyDescent="0.35">
      <c r="G447" s="19"/>
      <c r="I447" s="30"/>
      <c r="J447" s="31"/>
      <c r="K447" s="23"/>
      <c r="L447" s="23"/>
      <c r="M447" s="23"/>
      <c r="N447" s="23"/>
      <c r="O447" s="23"/>
      <c r="P447" s="23"/>
      <c r="Q447" s="23"/>
      <c r="R447" s="23"/>
      <c r="S447" s="23"/>
      <c r="T447" s="23"/>
      <c r="U447" s="23"/>
      <c r="V447" s="23"/>
    </row>
    <row r="448" spans="7:22" ht="14.25" customHeight="1" x14ac:dyDescent="0.35">
      <c r="G448" s="19"/>
      <c r="I448" s="30"/>
      <c r="J448" s="31"/>
      <c r="K448" s="23"/>
      <c r="L448" s="23"/>
      <c r="M448" s="23"/>
      <c r="N448" s="23"/>
      <c r="O448" s="23"/>
      <c r="P448" s="23"/>
      <c r="Q448" s="23"/>
      <c r="R448" s="23"/>
      <c r="S448" s="23"/>
      <c r="T448" s="23"/>
      <c r="U448" s="23"/>
      <c r="V448" s="23"/>
    </row>
    <row r="449" spans="7:22" ht="14.25" customHeight="1" x14ac:dyDescent="0.35">
      <c r="G449" s="19"/>
      <c r="I449" s="30"/>
      <c r="J449" s="31"/>
      <c r="K449" s="23"/>
      <c r="L449" s="23"/>
      <c r="M449" s="23"/>
      <c r="N449" s="23"/>
      <c r="O449" s="23"/>
      <c r="P449" s="23"/>
      <c r="Q449" s="23"/>
      <c r="R449" s="23"/>
      <c r="S449" s="23"/>
      <c r="T449" s="23"/>
      <c r="U449" s="23"/>
      <c r="V449" s="23"/>
    </row>
    <row r="450" spans="7:22" ht="14.25" customHeight="1" x14ac:dyDescent="0.35">
      <c r="G450" s="19"/>
      <c r="I450" s="30"/>
      <c r="J450" s="31"/>
      <c r="K450" s="23"/>
      <c r="L450" s="23"/>
      <c r="M450" s="23"/>
      <c r="N450" s="23"/>
      <c r="O450" s="23"/>
      <c r="P450" s="23"/>
      <c r="Q450" s="23"/>
      <c r="R450" s="23"/>
      <c r="S450" s="23"/>
      <c r="T450" s="23"/>
      <c r="U450" s="23"/>
      <c r="V450" s="23"/>
    </row>
    <row r="451" spans="7:22" ht="14.25" customHeight="1" x14ac:dyDescent="0.35">
      <c r="G451" s="19"/>
      <c r="I451" s="30"/>
      <c r="J451" s="31"/>
      <c r="K451" s="23"/>
      <c r="L451" s="23"/>
      <c r="M451" s="23"/>
      <c r="N451" s="23"/>
      <c r="O451" s="23"/>
      <c r="P451" s="23"/>
      <c r="Q451" s="23"/>
      <c r="R451" s="23"/>
      <c r="S451" s="23"/>
      <c r="T451" s="23"/>
      <c r="U451" s="23"/>
      <c r="V451" s="23"/>
    </row>
    <row r="452" spans="7:22" ht="14.25" customHeight="1" x14ac:dyDescent="0.35">
      <c r="G452" s="19"/>
      <c r="I452" s="30"/>
      <c r="J452" s="31"/>
      <c r="K452" s="23"/>
      <c r="L452" s="23"/>
      <c r="M452" s="23"/>
      <c r="N452" s="23"/>
      <c r="O452" s="23"/>
      <c r="P452" s="23"/>
      <c r="Q452" s="23"/>
      <c r="R452" s="23"/>
      <c r="S452" s="23"/>
      <c r="T452" s="23"/>
      <c r="U452" s="23"/>
      <c r="V452" s="23"/>
    </row>
    <row r="453" spans="7:22" ht="14.25" customHeight="1" x14ac:dyDescent="0.35">
      <c r="G453" s="19"/>
      <c r="I453" s="30"/>
      <c r="J453" s="31"/>
      <c r="K453" s="23"/>
      <c r="L453" s="23"/>
      <c r="M453" s="23"/>
      <c r="N453" s="23"/>
      <c r="O453" s="23"/>
      <c r="P453" s="23"/>
      <c r="Q453" s="23"/>
      <c r="R453" s="23"/>
      <c r="S453" s="23"/>
      <c r="T453" s="23"/>
      <c r="U453" s="23"/>
      <c r="V453" s="23"/>
    </row>
    <row r="454" spans="7:22" ht="14.25" customHeight="1" x14ac:dyDescent="0.35">
      <c r="G454" s="19"/>
      <c r="I454" s="30"/>
      <c r="J454" s="31"/>
      <c r="K454" s="23"/>
      <c r="L454" s="23"/>
      <c r="M454" s="23"/>
      <c r="N454" s="23"/>
      <c r="O454" s="23"/>
      <c r="P454" s="23"/>
      <c r="Q454" s="23"/>
      <c r="R454" s="23"/>
      <c r="S454" s="23"/>
      <c r="T454" s="23"/>
      <c r="U454" s="23"/>
      <c r="V454" s="23"/>
    </row>
    <row r="455" spans="7:22" ht="14.25" customHeight="1" x14ac:dyDescent="0.35">
      <c r="G455" s="19"/>
      <c r="I455" s="30"/>
      <c r="J455" s="31"/>
      <c r="K455" s="23"/>
      <c r="L455" s="23"/>
      <c r="M455" s="23"/>
      <c r="N455" s="23"/>
      <c r="O455" s="23"/>
      <c r="P455" s="23"/>
      <c r="Q455" s="23"/>
      <c r="R455" s="23"/>
      <c r="S455" s="23"/>
      <c r="T455" s="23"/>
      <c r="U455" s="23"/>
      <c r="V455" s="23"/>
    </row>
    <row r="456" spans="7:22" ht="14.25" customHeight="1" x14ac:dyDescent="0.35">
      <c r="G456" s="19"/>
      <c r="I456" s="30"/>
      <c r="J456" s="31"/>
      <c r="K456" s="23"/>
      <c r="L456" s="23"/>
      <c r="M456" s="23"/>
      <c r="N456" s="23"/>
      <c r="O456" s="23"/>
      <c r="P456" s="23"/>
      <c r="Q456" s="23"/>
      <c r="R456" s="23"/>
      <c r="S456" s="23"/>
      <c r="T456" s="23"/>
      <c r="U456" s="23"/>
      <c r="V456" s="23"/>
    </row>
    <row r="457" spans="7:22" ht="14.25" customHeight="1" x14ac:dyDescent="0.35">
      <c r="G457" s="19"/>
      <c r="I457" s="30"/>
      <c r="J457" s="31"/>
      <c r="K457" s="23"/>
      <c r="L457" s="23"/>
      <c r="M457" s="23"/>
      <c r="N457" s="23"/>
      <c r="O457" s="23"/>
      <c r="P457" s="23"/>
      <c r="Q457" s="23"/>
      <c r="R457" s="23"/>
      <c r="S457" s="23"/>
      <c r="T457" s="23"/>
      <c r="U457" s="23"/>
      <c r="V457" s="23"/>
    </row>
    <row r="458" spans="7:22" ht="14.25" customHeight="1" x14ac:dyDescent="0.35">
      <c r="G458" s="19"/>
      <c r="I458" s="30"/>
      <c r="J458" s="31"/>
      <c r="K458" s="23"/>
      <c r="L458" s="23"/>
      <c r="M458" s="23"/>
      <c r="N458" s="23"/>
      <c r="O458" s="23"/>
      <c r="P458" s="23"/>
      <c r="Q458" s="23"/>
      <c r="R458" s="23"/>
      <c r="S458" s="23"/>
      <c r="T458" s="23"/>
      <c r="U458" s="23"/>
      <c r="V458" s="23"/>
    </row>
    <row r="459" spans="7:22" ht="14.25" customHeight="1" x14ac:dyDescent="0.35">
      <c r="G459" s="19"/>
      <c r="I459" s="30"/>
      <c r="J459" s="31"/>
      <c r="K459" s="23"/>
      <c r="L459" s="23"/>
      <c r="M459" s="23"/>
      <c r="N459" s="23"/>
      <c r="O459" s="23"/>
      <c r="P459" s="23"/>
      <c r="Q459" s="23"/>
      <c r="R459" s="23"/>
      <c r="S459" s="23"/>
      <c r="T459" s="23"/>
      <c r="U459" s="23"/>
      <c r="V459" s="23"/>
    </row>
    <row r="460" spans="7:22" ht="14.25" customHeight="1" x14ac:dyDescent="0.35">
      <c r="G460" s="19"/>
      <c r="I460" s="30"/>
      <c r="J460" s="31"/>
      <c r="K460" s="23"/>
      <c r="L460" s="23"/>
      <c r="M460" s="23"/>
      <c r="N460" s="23"/>
      <c r="O460" s="23"/>
      <c r="P460" s="23"/>
      <c r="Q460" s="23"/>
      <c r="R460" s="23"/>
      <c r="S460" s="23"/>
      <c r="T460" s="23"/>
      <c r="U460" s="23"/>
      <c r="V460" s="23"/>
    </row>
    <row r="461" spans="7:22" ht="14.25" customHeight="1" x14ac:dyDescent="0.35">
      <c r="G461" s="19"/>
      <c r="I461" s="30"/>
      <c r="J461" s="31"/>
      <c r="K461" s="23"/>
      <c r="L461" s="23"/>
      <c r="M461" s="23"/>
      <c r="N461" s="23"/>
      <c r="O461" s="23"/>
      <c r="P461" s="23"/>
      <c r="Q461" s="23"/>
      <c r="R461" s="23"/>
      <c r="S461" s="23"/>
      <c r="T461" s="23"/>
      <c r="U461" s="23"/>
      <c r="V461" s="23"/>
    </row>
    <row r="462" spans="7:22" ht="14.25" customHeight="1" x14ac:dyDescent="0.35">
      <c r="G462" s="19"/>
      <c r="I462" s="30"/>
      <c r="J462" s="31"/>
      <c r="K462" s="23"/>
      <c r="L462" s="23"/>
      <c r="M462" s="23"/>
      <c r="N462" s="23"/>
      <c r="O462" s="23"/>
      <c r="P462" s="23"/>
      <c r="Q462" s="23"/>
      <c r="R462" s="23"/>
      <c r="S462" s="23"/>
      <c r="T462" s="23"/>
      <c r="U462" s="23"/>
      <c r="V462" s="23"/>
    </row>
    <row r="463" spans="7:22" ht="14.25" customHeight="1" x14ac:dyDescent="0.35">
      <c r="G463" s="19"/>
      <c r="I463" s="30"/>
      <c r="J463" s="31"/>
      <c r="K463" s="23"/>
      <c r="L463" s="23"/>
      <c r="M463" s="23"/>
      <c r="N463" s="23"/>
      <c r="O463" s="23"/>
      <c r="P463" s="23"/>
      <c r="Q463" s="23"/>
      <c r="R463" s="23"/>
      <c r="S463" s="23"/>
      <c r="T463" s="23"/>
      <c r="U463" s="23"/>
      <c r="V463" s="23"/>
    </row>
    <row r="464" spans="7:22" ht="14.25" customHeight="1" x14ac:dyDescent="0.35">
      <c r="G464" s="19"/>
      <c r="I464" s="30"/>
      <c r="J464" s="31"/>
      <c r="K464" s="23"/>
      <c r="L464" s="23"/>
      <c r="M464" s="23"/>
      <c r="N464" s="23"/>
      <c r="O464" s="23"/>
      <c r="P464" s="23"/>
      <c r="Q464" s="23"/>
      <c r="R464" s="23"/>
      <c r="S464" s="23"/>
      <c r="T464" s="23"/>
      <c r="U464" s="23"/>
      <c r="V464" s="23"/>
    </row>
    <row r="465" spans="7:22" ht="14.25" customHeight="1" x14ac:dyDescent="0.35">
      <c r="G465" s="19"/>
      <c r="I465" s="30"/>
      <c r="J465" s="31"/>
      <c r="K465" s="23"/>
      <c r="L465" s="23"/>
      <c r="M465" s="23"/>
      <c r="N465" s="23"/>
      <c r="O465" s="23"/>
      <c r="P465" s="23"/>
      <c r="Q465" s="23"/>
      <c r="R465" s="23"/>
      <c r="S465" s="23"/>
      <c r="T465" s="23"/>
      <c r="U465" s="23"/>
      <c r="V465" s="23"/>
    </row>
    <row r="466" spans="7:22" ht="14.25" customHeight="1" x14ac:dyDescent="0.35">
      <c r="G466" s="19"/>
      <c r="I466" s="30"/>
      <c r="J466" s="31"/>
      <c r="K466" s="23"/>
      <c r="L466" s="23"/>
      <c r="M466" s="23"/>
      <c r="N466" s="23"/>
      <c r="O466" s="23"/>
      <c r="P466" s="23"/>
      <c r="Q466" s="23"/>
      <c r="R466" s="23"/>
      <c r="S466" s="23"/>
      <c r="T466" s="23"/>
      <c r="U466" s="23"/>
      <c r="V466" s="23"/>
    </row>
    <row r="467" spans="7:22" ht="14.25" customHeight="1" x14ac:dyDescent="0.35">
      <c r="G467" s="19"/>
      <c r="I467" s="30"/>
      <c r="J467" s="31"/>
      <c r="K467" s="23"/>
      <c r="L467" s="23"/>
      <c r="M467" s="23"/>
      <c r="N467" s="23"/>
      <c r="O467" s="23"/>
      <c r="P467" s="23"/>
      <c r="Q467" s="23"/>
      <c r="R467" s="23"/>
      <c r="S467" s="23"/>
      <c r="T467" s="23"/>
      <c r="U467" s="23"/>
      <c r="V467" s="23"/>
    </row>
    <row r="468" spans="7:22" ht="14.25" customHeight="1" x14ac:dyDescent="0.35">
      <c r="G468" s="19"/>
      <c r="I468" s="30"/>
      <c r="J468" s="31"/>
      <c r="K468" s="23"/>
      <c r="L468" s="23"/>
      <c r="M468" s="23"/>
      <c r="N468" s="23"/>
      <c r="O468" s="23"/>
      <c r="P468" s="23"/>
      <c r="Q468" s="23"/>
      <c r="R468" s="23"/>
      <c r="S468" s="23"/>
      <c r="T468" s="23"/>
      <c r="U468" s="23"/>
      <c r="V468" s="23"/>
    </row>
    <row r="469" spans="7:22" ht="14.25" customHeight="1" x14ac:dyDescent="0.35">
      <c r="G469" s="19"/>
      <c r="I469" s="30"/>
      <c r="J469" s="31"/>
      <c r="K469" s="23"/>
      <c r="L469" s="23"/>
      <c r="M469" s="23"/>
      <c r="N469" s="23"/>
      <c r="O469" s="23"/>
      <c r="P469" s="23"/>
      <c r="Q469" s="23"/>
      <c r="R469" s="23"/>
      <c r="S469" s="23"/>
      <c r="T469" s="23"/>
      <c r="U469" s="23"/>
      <c r="V469" s="23"/>
    </row>
    <row r="470" spans="7:22" ht="14.25" customHeight="1" x14ac:dyDescent="0.35">
      <c r="G470" s="19"/>
      <c r="I470" s="30"/>
      <c r="J470" s="31"/>
      <c r="K470" s="23"/>
      <c r="L470" s="23"/>
      <c r="M470" s="23"/>
      <c r="N470" s="23"/>
      <c r="O470" s="23"/>
      <c r="P470" s="23"/>
      <c r="Q470" s="23"/>
      <c r="R470" s="23"/>
      <c r="S470" s="23"/>
      <c r="T470" s="23"/>
      <c r="U470" s="23"/>
      <c r="V470" s="23"/>
    </row>
    <row r="471" spans="7:22" ht="14.25" customHeight="1" x14ac:dyDescent="0.35">
      <c r="G471" s="19"/>
      <c r="I471" s="30"/>
      <c r="J471" s="31"/>
      <c r="K471" s="23"/>
      <c r="L471" s="23"/>
      <c r="M471" s="23"/>
      <c r="N471" s="23"/>
      <c r="O471" s="23"/>
      <c r="P471" s="23"/>
      <c r="Q471" s="23"/>
      <c r="R471" s="23"/>
      <c r="S471" s="23"/>
      <c r="T471" s="23"/>
      <c r="U471" s="23"/>
      <c r="V471" s="23"/>
    </row>
    <row r="472" spans="7:22" ht="14.25" customHeight="1" x14ac:dyDescent="0.35">
      <c r="G472" s="19"/>
      <c r="I472" s="30"/>
      <c r="J472" s="31"/>
      <c r="K472" s="23"/>
      <c r="L472" s="23"/>
      <c r="M472" s="23"/>
      <c r="N472" s="23"/>
      <c r="O472" s="23"/>
      <c r="P472" s="23"/>
      <c r="Q472" s="23"/>
      <c r="R472" s="23"/>
      <c r="S472" s="23"/>
      <c r="T472" s="23"/>
      <c r="U472" s="23"/>
      <c r="V472" s="23"/>
    </row>
    <row r="473" spans="7:22" ht="14.25" customHeight="1" x14ac:dyDescent="0.35">
      <c r="G473" s="19"/>
      <c r="I473" s="30"/>
      <c r="J473" s="31"/>
      <c r="K473" s="23"/>
      <c r="L473" s="23"/>
      <c r="M473" s="23"/>
      <c r="N473" s="23"/>
      <c r="O473" s="23"/>
      <c r="P473" s="23"/>
      <c r="Q473" s="23"/>
      <c r="R473" s="23"/>
      <c r="S473" s="23"/>
      <c r="T473" s="23"/>
      <c r="U473" s="23"/>
      <c r="V473" s="23"/>
    </row>
    <row r="474" spans="7:22" ht="14.25" customHeight="1" x14ac:dyDescent="0.35">
      <c r="G474" s="19"/>
      <c r="I474" s="30"/>
      <c r="J474" s="31"/>
      <c r="K474" s="23"/>
      <c r="L474" s="23"/>
      <c r="M474" s="23"/>
      <c r="N474" s="23"/>
      <c r="O474" s="23"/>
      <c r="P474" s="23"/>
      <c r="Q474" s="23"/>
      <c r="R474" s="23"/>
      <c r="S474" s="23"/>
      <c r="T474" s="23"/>
      <c r="U474" s="23"/>
      <c r="V474" s="23"/>
    </row>
    <row r="475" spans="7:22" ht="14.25" customHeight="1" x14ac:dyDescent="0.35">
      <c r="G475" s="19"/>
      <c r="I475" s="30"/>
      <c r="J475" s="31"/>
      <c r="K475" s="23"/>
      <c r="L475" s="23"/>
      <c r="M475" s="23"/>
      <c r="N475" s="23"/>
      <c r="O475" s="23"/>
      <c r="P475" s="23"/>
      <c r="Q475" s="23"/>
      <c r="R475" s="23"/>
      <c r="S475" s="23"/>
      <c r="T475" s="23"/>
      <c r="U475" s="23"/>
      <c r="V475" s="23"/>
    </row>
    <row r="476" spans="7:22" ht="14.25" customHeight="1" x14ac:dyDescent="0.35">
      <c r="G476" s="19"/>
      <c r="I476" s="30"/>
      <c r="J476" s="31"/>
      <c r="K476" s="23"/>
      <c r="L476" s="23"/>
      <c r="M476" s="23"/>
      <c r="N476" s="23"/>
      <c r="O476" s="23"/>
      <c r="P476" s="23"/>
      <c r="Q476" s="23"/>
      <c r="R476" s="23"/>
      <c r="S476" s="23"/>
      <c r="T476" s="23"/>
      <c r="U476" s="23"/>
      <c r="V476" s="23"/>
    </row>
    <row r="477" spans="7:22" ht="14.25" customHeight="1" x14ac:dyDescent="0.35">
      <c r="G477" s="19"/>
      <c r="I477" s="30"/>
      <c r="J477" s="31"/>
      <c r="K477" s="23"/>
      <c r="L477" s="23"/>
      <c r="M477" s="23"/>
      <c r="N477" s="23"/>
      <c r="O477" s="23"/>
      <c r="P477" s="23"/>
      <c r="Q477" s="23"/>
      <c r="R477" s="23"/>
      <c r="S477" s="23"/>
      <c r="T477" s="23"/>
      <c r="U477" s="23"/>
      <c r="V477" s="23"/>
    </row>
    <row r="478" spans="7:22" ht="14.25" customHeight="1" x14ac:dyDescent="0.35">
      <c r="G478" s="19"/>
      <c r="I478" s="30"/>
      <c r="J478" s="31"/>
      <c r="K478" s="23"/>
      <c r="L478" s="23"/>
      <c r="M478" s="23"/>
      <c r="N478" s="23"/>
      <c r="O478" s="23"/>
      <c r="P478" s="23"/>
      <c r="Q478" s="23"/>
      <c r="R478" s="23"/>
      <c r="S478" s="23"/>
      <c r="T478" s="23"/>
      <c r="U478" s="23"/>
      <c r="V478" s="23"/>
    </row>
    <row r="479" spans="7:22" ht="14.25" customHeight="1" x14ac:dyDescent="0.35">
      <c r="G479" s="19"/>
      <c r="I479" s="30"/>
      <c r="J479" s="31"/>
      <c r="K479" s="23"/>
      <c r="L479" s="23"/>
      <c r="M479" s="23"/>
      <c r="N479" s="23"/>
      <c r="O479" s="23"/>
      <c r="P479" s="23"/>
      <c r="Q479" s="23"/>
      <c r="R479" s="23"/>
      <c r="S479" s="23"/>
      <c r="T479" s="23"/>
      <c r="U479" s="23"/>
      <c r="V479" s="23"/>
    </row>
    <row r="480" spans="7:22" ht="14.25" customHeight="1" x14ac:dyDescent="0.35">
      <c r="G480" s="19"/>
      <c r="I480" s="30"/>
      <c r="J480" s="31"/>
      <c r="K480" s="23"/>
      <c r="L480" s="23"/>
      <c r="M480" s="23"/>
      <c r="N480" s="23"/>
      <c r="O480" s="23"/>
      <c r="P480" s="23"/>
      <c r="Q480" s="23"/>
      <c r="R480" s="23"/>
      <c r="S480" s="23"/>
      <c r="T480" s="23"/>
      <c r="U480" s="23"/>
      <c r="V480" s="23"/>
    </row>
    <row r="481" spans="7:22" ht="14.25" customHeight="1" x14ac:dyDescent="0.35">
      <c r="G481" s="19"/>
      <c r="I481" s="30"/>
      <c r="J481" s="31"/>
      <c r="K481" s="23"/>
      <c r="L481" s="23"/>
      <c r="M481" s="23"/>
      <c r="N481" s="23"/>
      <c r="O481" s="23"/>
      <c r="P481" s="23"/>
      <c r="Q481" s="23"/>
      <c r="R481" s="23"/>
      <c r="S481" s="23"/>
      <c r="T481" s="23"/>
      <c r="U481" s="23"/>
      <c r="V481" s="23"/>
    </row>
    <row r="482" spans="7:22" ht="14.25" customHeight="1" x14ac:dyDescent="0.35">
      <c r="G482" s="19"/>
      <c r="I482" s="30"/>
      <c r="J482" s="31"/>
      <c r="K482" s="23"/>
      <c r="L482" s="23"/>
      <c r="M482" s="23"/>
      <c r="N482" s="23"/>
      <c r="O482" s="23"/>
      <c r="P482" s="23"/>
      <c r="Q482" s="23"/>
      <c r="R482" s="23"/>
      <c r="S482" s="23"/>
      <c r="T482" s="23"/>
      <c r="U482" s="23"/>
      <c r="V482" s="23"/>
    </row>
    <row r="483" spans="7:22" ht="14.25" customHeight="1" x14ac:dyDescent="0.35">
      <c r="G483" s="19"/>
      <c r="I483" s="30"/>
      <c r="J483" s="31"/>
      <c r="K483" s="23"/>
      <c r="L483" s="23"/>
      <c r="M483" s="23"/>
      <c r="N483" s="23"/>
      <c r="O483" s="23"/>
      <c r="P483" s="23"/>
      <c r="Q483" s="23"/>
      <c r="R483" s="23"/>
      <c r="S483" s="23"/>
      <c r="T483" s="23"/>
      <c r="U483" s="23"/>
      <c r="V483" s="23"/>
    </row>
    <row r="484" spans="7:22" ht="14.25" customHeight="1" x14ac:dyDescent="0.35">
      <c r="G484" s="19"/>
      <c r="I484" s="30"/>
      <c r="J484" s="31"/>
      <c r="K484" s="23"/>
      <c r="L484" s="23"/>
      <c r="M484" s="23"/>
      <c r="N484" s="23"/>
      <c r="O484" s="23"/>
      <c r="P484" s="23"/>
      <c r="Q484" s="23"/>
      <c r="R484" s="23"/>
      <c r="S484" s="23"/>
      <c r="T484" s="23"/>
      <c r="U484" s="23"/>
      <c r="V484" s="23"/>
    </row>
    <row r="485" spans="7:22" ht="14.25" customHeight="1" x14ac:dyDescent="0.35">
      <c r="G485" s="19"/>
      <c r="I485" s="30"/>
      <c r="J485" s="31"/>
      <c r="K485" s="23"/>
      <c r="L485" s="23"/>
      <c r="M485" s="23"/>
      <c r="N485" s="23"/>
      <c r="O485" s="23"/>
      <c r="P485" s="23"/>
      <c r="Q485" s="23"/>
      <c r="R485" s="23"/>
      <c r="S485" s="23"/>
      <c r="T485" s="23"/>
      <c r="U485" s="23"/>
      <c r="V485" s="23"/>
    </row>
    <row r="486" spans="7:22" ht="14.25" customHeight="1" x14ac:dyDescent="0.35">
      <c r="G486" s="19"/>
      <c r="I486" s="30"/>
      <c r="J486" s="31"/>
      <c r="K486" s="23"/>
      <c r="L486" s="23"/>
      <c r="M486" s="23"/>
      <c r="N486" s="23"/>
      <c r="O486" s="23"/>
      <c r="P486" s="23"/>
      <c r="Q486" s="23"/>
      <c r="R486" s="23"/>
      <c r="S486" s="23"/>
      <c r="T486" s="23"/>
      <c r="U486" s="23"/>
      <c r="V486" s="23"/>
    </row>
    <row r="487" spans="7:22" ht="14.25" customHeight="1" x14ac:dyDescent="0.35">
      <c r="G487" s="19"/>
      <c r="I487" s="30"/>
      <c r="J487" s="31"/>
      <c r="K487" s="23"/>
      <c r="L487" s="23"/>
      <c r="M487" s="23"/>
      <c r="N487" s="23"/>
      <c r="O487" s="23"/>
      <c r="P487" s="23"/>
      <c r="Q487" s="23"/>
      <c r="R487" s="23"/>
      <c r="S487" s="23"/>
      <c r="T487" s="23"/>
      <c r="U487" s="23"/>
      <c r="V487" s="23"/>
    </row>
    <row r="488" spans="7:22" ht="14.25" customHeight="1" x14ac:dyDescent="0.35">
      <c r="G488" s="19"/>
      <c r="I488" s="30"/>
      <c r="J488" s="31"/>
      <c r="K488" s="23"/>
      <c r="L488" s="23"/>
      <c r="M488" s="23"/>
      <c r="N488" s="23"/>
      <c r="O488" s="23"/>
      <c r="P488" s="23"/>
      <c r="Q488" s="23"/>
      <c r="R488" s="23"/>
      <c r="S488" s="23"/>
      <c r="T488" s="23"/>
      <c r="U488" s="23"/>
      <c r="V488" s="23"/>
    </row>
    <row r="489" spans="7:22" ht="14.25" customHeight="1" x14ac:dyDescent="0.35">
      <c r="G489" s="19"/>
      <c r="I489" s="30"/>
      <c r="J489" s="31"/>
      <c r="K489" s="23"/>
      <c r="L489" s="23"/>
      <c r="M489" s="23"/>
      <c r="N489" s="23"/>
      <c r="O489" s="23"/>
      <c r="P489" s="23"/>
      <c r="Q489" s="23"/>
      <c r="R489" s="23"/>
      <c r="S489" s="23"/>
      <c r="T489" s="23"/>
      <c r="U489" s="23"/>
      <c r="V489" s="23"/>
    </row>
    <row r="490" spans="7:22" ht="14.25" customHeight="1" x14ac:dyDescent="0.35">
      <c r="G490" s="19"/>
      <c r="I490" s="30"/>
      <c r="J490" s="31"/>
      <c r="K490" s="23"/>
      <c r="L490" s="23"/>
      <c r="M490" s="23"/>
      <c r="N490" s="23"/>
      <c r="O490" s="23"/>
      <c r="P490" s="23"/>
      <c r="Q490" s="23"/>
      <c r="R490" s="23"/>
      <c r="S490" s="23"/>
      <c r="T490" s="23"/>
      <c r="U490" s="23"/>
      <c r="V490" s="23"/>
    </row>
    <row r="491" spans="7:22" ht="14.25" customHeight="1" x14ac:dyDescent="0.35">
      <c r="G491" s="19"/>
      <c r="I491" s="30"/>
      <c r="J491" s="31"/>
      <c r="K491" s="23"/>
      <c r="L491" s="23"/>
      <c r="M491" s="23"/>
      <c r="N491" s="23"/>
      <c r="O491" s="23"/>
      <c r="P491" s="23"/>
      <c r="Q491" s="23"/>
      <c r="R491" s="23"/>
      <c r="S491" s="23"/>
      <c r="T491" s="23"/>
      <c r="U491" s="23"/>
      <c r="V491" s="23"/>
    </row>
    <row r="492" spans="7:22" ht="14.25" customHeight="1" x14ac:dyDescent="0.35">
      <c r="G492" s="19"/>
      <c r="I492" s="30"/>
      <c r="J492" s="31"/>
      <c r="K492" s="23"/>
      <c r="L492" s="23"/>
      <c r="M492" s="23"/>
      <c r="N492" s="23"/>
      <c r="O492" s="23"/>
      <c r="P492" s="23"/>
      <c r="Q492" s="23"/>
      <c r="R492" s="23"/>
      <c r="S492" s="23"/>
      <c r="T492" s="23"/>
      <c r="U492" s="23"/>
      <c r="V492" s="23"/>
    </row>
    <row r="493" spans="7:22" ht="14.25" customHeight="1" x14ac:dyDescent="0.35">
      <c r="G493" s="19"/>
      <c r="I493" s="30"/>
      <c r="J493" s="31"/>
      <c r="K493" s="23"/>
      <c r="L493" s="23"/>
      <c r="M493" s="23"/>
      <c r="N493" s="23"/>
      <c r="O493" s="23"/>
      <c r="P493" s="23"/>
      <c r="Q493" s="23"/>
      <c r="R493" s="23"/>
      <c r="S493" s="23"/>
      <c r="T493" s="23"/>
      <c r="U493" s="23"/>
      <c r="V493" s="23"/>
    </row>
    <row r="494" spans="7:22" ht="14.25" customHeight="1" x14ac:dyDescent="0.35">
      <c r="G494" s="19"/>
      <c r="I494" s="30"/>
      <c r="J494" s="31"/>
      <c r="K494" s="23"/>
      <c r="L494" s="23"/>
      <c r="M494" s="23"/>
      <c r="N494" s="23"/>
      <c r="O494" s="23"/>
      <c r="P494" s="23"/>
      <c r="Q494" s="23"/>
      <c r="R494" s="23"/>
      <c r="S494" s="23"/>
      <c r="T494" s="23"/>
      <c r="U494" s="23"/>
      <c r="V494" s="23"/>
    </row>
    <row r="495" spans="7:22" ht="14.25" customHeight="1" x14ac:dyDescent="0.35">
      <c r="G495" s="19"/>
      <c r="I495" s="30"/>
      <c r="J495" s="31"/>
      <c r="K495" s="23"/>
      <c r="L495" s="23"/>
      <c r="M495" s="23"/>
      <c r="N495" s="23"/>
      <c r="O495" s="23"/>
      <c r="P495" s="23"/>
      <c r="Q495" s="23"/>
      <c r="R495" s="23"/>
      <c r="S495" s="23"/>
      <c r="T495" s="23"/>
      <c r="U495" s="23"/>
      <c r="V495" s="23"/>
    </row>
    <row r="496" spans="7:22" ht="14.25" customHeight="1" x14ac:dyDescent="0.35">
      <c r="G496" s="19"/>
      <c r="I496" s="30"/>
      <c r="J496" s="31"/>
      <c r="K496" s="23"/>
      <c r="L496" s="23"/>
      <c r="M496" s="23"/>
      <c r="N496" s="23"/>
      <c r="O496" s="23"/>
      <c r="P496" s="23"/>
      <c r="Q496" s="23"/>
      <c r="R496" s="23"/>
      <c r="S496" s="23"/>
      <c r="T496" s="23"/>
      <c r="U496" s="23"/>
      <c r="V496" s="23"/>
    </row>
    <row r="497" spans="7:22" ht="14.25" customHeight="1" x14ac:dyDescent="0.35">
      <c r="G497" s="19"/>
      <c r="I497" s="30"/>
      <c r="J497" s="31"/>
      <c r="K497" s="23"/>
      <c r="L497" s="23"/>
      <c r="M497" s="23"/>
      <c r="N497" s="23"/>
      <c r="O497" s="23"/>
      <c r="P497" s="23"/>
      <c r="Q497" s="23"/>
      <c r="R497" s="23"/>
      <c r="S497" s="23"/>
      <c r="T497" s="23"/>
      <c r="U497" s="23"/>
      <c r="V497" s="23"/>
    </row>
    <row r="498" spans="7:22" ht="14.25" customHeight="1" x14ac:dyDescent="0.35">
      <c r="G498" s="19"/>
      <c r="I498" s="30"/>
      <c r="J498" s="31"/>
      <c r="K498" s="23"/>
      <c r="L498" s="23"/>
      <c r="M498" s="23"/>
      <c r="N498" s="23"/>
      <c r="O498" s="23"/>
      <c r="P498" s="23"/>
      <c r="Q498" s="23"/>
      <c r="R498" s="23"/>
      <c r="S498" s="23"/>
      <c r="T498" s="23"/>
      <c r="U498" s="23"/>
      <c r="V498" s="23"/>
    </row>
    <row r="499" spans="7:22" ht="14.25" customHeight="1" x14ac:dyDescent="0.35">
      <c r="G499" s="19"/>
      <c r="I499" s="30"/>
      <c r="J499" s="31"/>
      <c r="K499" s="23"/>
      <c r="L499" s="23"/>
      <c r="M499" s="23"/>
      <c r="N499" s="23"/>
      <c r="O499" s="23"/>
      <c r="P499" s="23"/>
      <c r="Q499" s="23"/>
      <c r="R499" s="23"/>
      <c r="S499" s="23"/>
      <c r="T499" s="23"/>
      <c r="U499" s="23"/>
      <c r="V499" s="23"/>
    </row>
    <row r="500" spans="7:22" ht="14.25" customHeight="1" x14ac:dyDescent="0.35">
      <c r="G500" s="19"/>
      <c r="I500" s="30"/>
      <c r="J500" s="31"/>
      <c r="K500" s="23"/>
      <c r="L500" s="23"/>
      <c r="M500" s="23"/>
      <c r="N500" s="23"/>
      <c r="O500" s="23"/>
      <c r="P500" s="23"/>
      <c r="Q500" s="23"/>
      <c r="R500" s="23"/>
      <c r="S500" s="23"/>
      <c r="T500" s="23"/>
      <c r="U500" s="23"/>
      <c r="V500" s="23"/>
    </row>
    <row r="501" spans="7:22" ht="14.25" customHeight="1" x14ac:dyDescent="0.35">
      <c r="G501" s="19"/>
      <c r="I501" s="30"/>
      <c r="J501" s="31"/>
      <c r="K501" s="23"/>
      <c r="L501" s="23"/>
      <c r="M501" s="23"/>
      <c r="N501" s="23"/>
      <c r="O501" s="23"/>
      <c r="P501" s="23"/>
      <c r="Q501" s="23"/>
      <c r="R501" s="23"/>
      <c r="S501" s="23"/>
      <c r="T501" s="23"/>
      <c r="U501" s="23"/>
      <c r="V501" s="23"/>
    </row>
    <row r="502" spans="7:22" ht="14.25" customHeight="1" x14ac:dyDescent="0.35">
      <c r="G502" s="19"/>
      <c r="I502" s="30"/>
      <c r="J502" s="31"/>
      <c r="K502" s="23"/>
      <c r="L502" s="23"/>
      <c r="M502" s="23"/>
      <c r="N502" s="23"/>
      <c r="O502" s="23"/>
      <c r="P502" s="23"/>
      <c r="Q502" s="23"/>
      <c r="R502" s="23"/>
      <c r="S502" s="23"/>
      <c r="T502" s="23"/>
      <c r="U502" s="23"/>
      <c r="V502" s="23"/>
    </row>
    <row r="503" spans="7:22" ht="14.25" customHeight="1" x14ac:dyDescent="0.35">
      <c r="G503" s="19"/>
      <c r="I503" s="30"/>
      <c r="J503" s="31"/>
      <c r="K503" s="23"/>
      <c r="L503" s="23"/>
      <c r="M503" s="23"/>
      <c r="N503" s="23"/>
      <c r="O503" s="23"/>
      <c r="P503" s="23"/>
      <c r="Q503" s="23"/>
      <c r="R503" s="23"/>
      <c r="S503" s="23"/>
      <c r="T503" s="23"/>
      <c r="U503" s="23"/>
      <c r="V503" s="23"/>
    </row>
    <row r="504" spans="7:22" ht="14.25" customHeight="1" x14ac:dyDescent="0.35">
      <c r="G504" s="19"/>
      <c r="I504" s="30"/>
      <c r="J504" s="31"/>
      <c r="K504" s="23"/>
      <c r="L504" s="23"/>
      <c r="M504" s="23"/>
      <c r="N504" s="23"/>
      <c r="O504" s="23"/>
      <c r="P504" s="23"/>
      <c r="Q504" s="23"/>
      <c r="R504" s="23"/>
      <c r="S504" s="23"/>
      <c r="T504" s="23"/>
      <c r="U504" s="23"/>
      <c r="V504" s="23"/>
    </row>
    <row r="505" spans="7:22" ht="14.25" customHeight="1" x14ac:dyDescent="0.35">
      <c r="G505" s="19"/>
      <c r="I505" s="30"/>
      <c r="J505" s="31"/>
      <c r="K505" s="23"/>
      <c r="L505" s="23"/>
      <c r="M505" s="23"/>
      <c r="N505" s="23"/>
      <c r="O505" s="23"/>
      <c r="P505" s="23"/>
      <c r="Q505" s="23"/>
      <c r="R505" s="23"/>
      <c r="S505" s="23"/>
      <c r="T505" s="23"/>
      <c r="U505" s="23"/>
      <c r="V505" s="23"/>
    </row>
    <row r="506" spans="7:22" ht="14.25" customHeight="1" x14ac:dyDescent="0.35">
      <c r="G506" s="19"/>
      <c r="I506" s="30"/>
      <c r="J506" s="31"/>
      <c r="K506" s="23"/>
      <c r="L506" s="23"/>
      <c r="M506" s="23"/>
      <c r="N506" s="23"/>
      <c r="O506" s="23"/>
      <c r="P506" s="23"/>
      <c r="Q506" s="23"/>
      <c r="R506" s="23"/>
      <c r="S506" s="23"/>
      <c r="T506" s="23"/>
      <c r="U506" s="23"/>
      <c r="V506" s="23"/>
    </row>
    <row r="507" spans="7:22" ht="14.25" customHeight="1" x14ac:dyDescent="0.35">
      <c r="G507" s="19"/>
      <c r="I507" s="30"/>
      <c r="J507" s="31"/>
      <c r="K507" s="23"/>
      <c r="L507" s="23"/>
      <c r="M507" s="23"/>
      <c r="N507" s="23"/>
      <c r="O507" s="23"/>
      <c r="P507" s="23"/>
      <c r="Q507" s="23"/>
      <c r="R507" s="23"/>
      <c r="S507" s="23"/>
      <c r="T507" s="23"/>
      <c r="U507" s="23"/>
      <c r="V507" s="23"/>
    </row>
    <row r="508" spans="7:22" ht="14.25" customHeight="1" x14ac:dyDescent="0.35">
      <c r="G508" s="19"/>
      <c r="I508" s="30"/>
      <c r="J508" s="31"/>
      <c r="K508" s="23"/>
      <c r="L508" s="23"/>
      <c r="M508" s="23"/>
      <c r="N508" s="23"/>
      <c r="O508" s="23"/>
      <c r="P508" s="23"/>
      <c r="Q508" s="23"/>
      <c r="R508" s="23"/>
      <c r="S508" s="23"/>
      <c r="T508" s="23"/>
      <c r="U508" s="23"/>
      <c r="V508" s="23"/>
    </row>
    <row r="509" spans="7:22" ht="14.25" customHeight="1" x14ac:dyDescent="0.35">
      <c r="G509" s="19"/>
      <c r="I509" s="30"/>
      <c r="J509" s="31"/>
      <c r="K509" s="23"/>
      <c r="L509" s="23"/>
      <c r="M509" s="23"/>
      <c r="N509" s="23"/>
      <c r="O509" s="23"/>
      <c r="P509" s="23"/>
      <c r="Q509" s="23"/>
      <c r="R509" s="23"/>
      <c r="S509" s="23"/>
      <c r="T509" s="23"/>
      <c r="U509" s="23"/>
      <c r="V509" s="23"/>
    </row>
    <row r="510" spans="7:22" ht="14.25" customHeight="1" x14ac:dyDescent="0.35">
      <c r="G510" s="19"/>
      <c r="I510" s="30"/>
      <c r="J510" s="31"/>
      <c r="K510" s="23"/>
      <c r="L510" s="23"/>
      <c r="M510" s="23"/>
      <c r="N510" s="23"/>
      <c r="O510" s="23"/>
      <c r="P510" s="23"/>
      <c r="Q510" s="23"/>
      <c r="R510" s="23"/>
      <c r="S510" s="23"/>
      <c r="T510" s="23"/>
      <c r="U510" s="23"/>
      <c r="V510" s="23"/>
    </row>
    <row r="511" spans="7:22" ht="14.25" customHeight="1" x14ac:dyDescent="0.35">
      <c r="G511" s="19"/>
      <c r="I511" s="30"/>
      <c r="J511" s="31"/>
      <c r="K511" s="23"/>
      <c r="L511" s="23"/>
      <c r="M511" s="23"/>
      <c r="N511" s="23"/>
      <c r="O511" s="23"/>
      <c r="P511" s="23"/>
      <c r="Q511" s="23"/>
      <c r="R511" s="23"/>
      <c r="S511" s="23"/>
      <c r="T511" s="23"/>
      <c r="U511" s="23"/>
      <c r="V511" s="23"/>
    </row>
    <row r="512" spans="7:22" ht="14.25" customHeight="1" x14ac:dyDescent="0.35">
      <c r="G512" s="19"/>
      <c r="I512" s="30"/>
      <c r="J512" s="31"/>
      <c r="K512" s="23"/>
      <c r="L512" s="23"/>
      <c r="M512" s="23"/>
      <c r="N512" s="23"/>
      <c r="O512" s="23"/>
      <c r="P512" s="23"/>
      <c r="Q512" s="23"/>
      <c r="R512" s="23"/>
      <c r="S512" s="23"/>
      <c r="T512" s="23"/>
      <c r="U512" s="23"/>
      <c r="V512" s="23"/>
    </row>
    <row r="513" spans="7:22" ht="14.25" customHeight="1" x14ac:dyDescent="0.35">
      <c r="G513" s="19"/>
      <c r="I513" s="30"/>
      <c r="J513" s="31"/>
      <c r="K513" s="23"/>
      <c r="L513" s="23"/>
      <c r="M513" s="23"/>
      <c r="N513" s="23"/>
      <c r="O513" s="23"/>
      <c r="P513" s="23"/>
      <c r="Q513" s="23"/>
      <c r="R513" s="23"/>
      <c r="S513" s="23"/>
      <c r="T513" s="23"/>
      <c r="U513" s="23"/>
      <c r="V513" s="23"/>
    </row>
    <row r="514" spans="7:22" ht="14.25" customHeight="1" x14ac:dyDescent="0.35">
      <c r="G514" s="19"/>
      <c r="I514" s="30"/>
      <c r="J514" s="31"/>
      <c r="K514" s="23"/>
      <c r="L514" s="23"/>
      <c r="M514" s="23"/>
      <c r="N514" s="23"/>
      <c r="O514" s="23"/>
      <c r="P514" s="23"/>
      <c r="Q514" s="23"/>
      <c r="R514" s="23"/>
      <c r="S514" s="23"/>
      <c r="T514" s="23"/>
      <c r="U514" s="23"/>
      <c r="V514" s="23"/>
    </row>
    <row r="515" spans="7:22" ht="14.25" customHeight="1" x14ac:dyDescent="0.35">
      <c r="G515" s="19"/>
      <c r="I515" s="30"/>
      <c r="J515" s="31"/>
      <c r="K515" s="23"/>
      <c r="L515" s="23"/>
      <c r="M515" s="23"/>
      <c r="N515" s="23"/>
      <c r="O515" s="23"/>
      <c r="P515" s="23"/>
      <c r="Q515" s="23"/>
      <c r="R515" s="23"/>
      <c r="S515" s="23"/>
      <c r="T515" s="23"/>
      <c r="U515" s="23"/>
      <c r="V515" s="23"/>
    </row>
    <row r="516" spans="7:22" ht="14.25" customHeight="1" x14ac:dyDescent="0.35">
      <c r="G516" s="19"/>
      <c r="I516" s="30"/>
      <c r="J516" s="31"/>
      <c r="K516" s="23"/>
      <c r="L516" s="23"/>
      <c r="M516" s="23"/>
      <c r="N516" s="23"/>
      <c r="O516" s="23"/>
      <c r="P516" s="23"/>
      <c r="Q516" s="23"/>
      <c r="R516" s="23"/>
      <c r="S516" s="23"/>
      <c r="T516" s="23"/>
      <c r="U516" s="23"/>
      <c r="V516" s="23"/>
    </row>
    <row r="517" spans="7:22" ht="14.25" customHeight="1" x14ac:dyDescent="0.35">
      <c r="G517" s="19"/>
      <c r="I517" s="30"/>
      <c r="J517" s="31"/>
      <c r="K517" s="23"/>
      <c r="L517" s="23"/>
      <c r="M517" s="23"/>
      <c r="N517" s="23"/>
      <c r="O517" s="23"/>
      <c r="P517" s="23"/>
      <c r="Q517" s="23"/>
      <c r="R517" s="23"/>
      <c r="S517" s="23"/>
      <c r="T517" s="23"/>
      <c r="U517" s="23"/>
      <c r="V517" s="23"/>
    </row>
    <row r="518" spans="7:22" ht="14.25" customHeight="1" x14ac:dyDescent="0.35">
      <c r="G518" s="19"/>
      <c r="I518" s="30"/>
      <c r="J518" s="31"/>
      <c r="K518" s="23"/>
      <c r="L518" s="23"/>
      <c r="M518" s="23"/>
      <c r="N518" s="23"/>
      <c r="O518" s="23"/>
      <c r="P518" s="23"/>
      <c r="Q518" s="23"/>
      <c r="R518" s="23"/>
      <c r="S518" s="23"/>
      <c r="T518" s="23"/>
      <c r="U518" s="23"/>
      <c r="V518" s="23"/>
    </row>
    <row r="519" spans="7:22" ht="14.25" customHeight="1" x14ac:dyDescent="0.35">
      <c r="G519" s="19"/>
      <c r="I519" s="30"/>
      <c r="J519" s="31"/>
      <c r="K519" s="23"/>
      <c r="L519" s="23"/>
      <c r="M519" s="23"/>
      <c r="N519" s="23"/>
      <c r="O519" s="23"/>
      <c r="P519" s="23"/>
      <c r="Q519" s="23"/>
      <c r="R519" s="23"/>
      <c r="S519" s="23"/>
      <c r="T519" s="23"/>
      <c r="U519" s="23"/>
      <c r="V519" s="23"/>
    </row>
    <row r="520" spans="7:22" ht="14.25" customHeight="1" x14ac:dyDescent="0.35">
      <c r="G520" s="19"/>
      <c r="I520" s="30"/>
      <c r="J520" s="31"/>
      <c r="K520" s="23"/>
      <c r="L520" s="23"/>
      <c r="M520" s="23"/>
      <c r="N520" s="23"/>
      <c r="O520" s="23"/>
      <c r="P520" s="23"/>
      <c r="Q520" s="23"/>
      <c r="R520" s="23"/>
      <c r="S520" s="23"/>
      <c r="T520" s="23"/>
      <c r="U520" s="23"/>
      <c r="V520" s="23"/>
    </row>
    <row r="521" spans="7:22" ht="14.25" customHeight="1" x14ac:dyDescent="0.35">
      <c r="G521" s="19"/>
      <c r="I521" s="30"/>
      <c r="J521" s="31"/>
      <c r="K521" s="23"/>
      <c r="L521" s="23"/>
      <c r="M521" s="23"/>
      <c r="N521" s="23"/>
      <c r="O521" s="23"/>
      <c r="P521" s="23"/>
      <c r="Q521" s="23"/>
      <c r="R521" s="23"/>
      <c r="S521" s="23"/>
      <c r="T521" s="23"/>
      <c r="U521" s="23"/>
      <c r="V521" s="23"/>
    </row>
    <row r="522" spans="7:22" ht="14.25" customHeight="1" x14ac:dyDescent="0.35">
      <c r="G522" s="19"/>
      <c r="I522" s="30"/>
      <c r="J522" s="31"/>
      <c r="K522" s="23"/>
      <c r="L522" s="23"/>
      <c r="M522" s="23"/>
      <c r="N522" s="23"/>
      <c r="O522" s="23"/>
      <c r="P522" s="23"/>
      <c r="Q522" s="23"/>
      <c r="R522" s="23"/>
      <c r="S522" s="23"/>
      <c r="T522" s="23"/>
      <c r="U522" s="23"/>
      <c r="V522" s="23"/>
    </row>
    <row r="523" spans="7:22" ht="14.25" customHeight="1" x14ac:dyDescent="0.35">
      <c r="G523" s="19"/>
      <c r="I523" s="30"/>
      <c r="J523" s="31"/>
      <c r="K523" s="23"/>
      <c r="L523" s="23"/>
      <c r="M523" s="23"/>
      <c r="N523" s="23"/>
      <c r="O523" s="23"/>
      <c r="P523" s="23"/>
      <c r="Q523" s="23"/>
      <c r="R523" s="23"/>
      <c r="S523" s="23"/>
      <c r="T523" s="23"/>
      <c r="U523" s="23"/>
      <c r="V523" s="23"/>
    </row>
    <row r="524" spans="7:22" ht="14.25" customHeight="1" x14ac:dyDescent="0.35">
      <c r="G524" s="19"/>
      <c r="I524" s="30"/>
      <c r="J524" s="31"/>
      <c r="K524" s="23"/>
      <c r="L524" s="23"/>
      <c r="M524" s="23"/>
      <c r="N524" s="23"/>
      <c r="O524" s="23"/>
      <c r="P524" s="23"/>
      <c r="Q524" s="23"/>
      <c r="R524" s="23"/>
      <c r="S524" s="23"/>
      <c r="T524" s="23"/>
      <c r="U524" s="23"/>
      <c r="V524" s="23"/>
    </row>
    <row r="525" spans="7:22" ht="14.25" customHeight="1" x14ac:dyDescent="0.35">
      <c r="G525" s="19"/>
      <c r="I525" s="30"/>
      <c r="J525" s="31"/>
      <c r="K525" s="23"/>
      <c r="L525" s="23"/>
      <c r="M525" s="23"/>
      <c r="N525" s="23"/>
      <c r="O525" s="23"/>
      <c r="P525" s="23"/>
      <c r="Q525" s="23"/>
      <c r="R525" s="23"/>
      <c r="S525" s="23"/>
      <c r="T525" s="23"/>
      <c r="U525" s="23"/>
      <c r="V525" s="23"/>
    </row>
    <row r="526" spans="7:22" ht="14.25" customHeight="1" x14ac:dyDescent="0.35">
      <c r="G526" s="19"/>
      <c r="I526" s="30"/>
      <c r="J526" s="31"/>
      <c r="K526" s="23"/>
      <c r="L526" s="23"/>
      <c r="M526" s="23"/>
      <c r="N526" s="23"/>
      <c r="O526" s="23"/>
      <c r="P526" s="23"/>
      <c r="Q526" s="23"/>
      <c r="R526" s="23"/>
      <c r="S526" s="23"/>
      <c r="T526" s="23"/>
      <c r="U526" s="23"/>
      <c r="V526" s="23"/>
    </row>
    <row r="527" spans="7:22" ht="14.25" customHeight="1" x14ac:dyDescent="0.35">
      <c r="G527" s="19"/>
      <c r="I527" s="30"/>
      <c r="J527" s="31"/>
      <c r="K527" s="23"/>
      <c r="L527" s="23"/>
      <c r="M527" s="23"/>
      <c r="N527" s="23"/>
      <c r="O527" s="23"/>
      <c r="P527" s="23"/>
      <c r="Q527" s="23"/>
      <c r="R527" s="23"/>
      <c r="S527" s="23"/>
      <c r="T527" s="23"/>
      <c r="U527" s="23"/>
      <c r="V527" s="23"/>
    </row>
    <row r="528" spans="7:22" ht="14.25" customHeight="1" x14ac:dyDescent="0.35">
      <c r="G528" s="19"/>
      <c r="I528" s="30"/>
      <c r="J528" s="31"/>
      <c r="K528" s="23"/>
      <c r="L528" s="23"/>
      <c r="M528" s="23"/>
      <c r="N528" s="23"/>
      <c r="O528" s="23"/>
      <c r="P528" s="23"/>
      <c r="Q528" s="23"/>
      <c r="R528" s="23"/>
      <c r="S528" s="23"/>
      <c r="T528" s="23"/>
      <c r="U528" s="23"/>
      <c r="V528" s="23"/>
    </row>
    <row r="529" spans="7:22" ht="14.25" customHeight="1" x14ac:dyDescent="0.35">
      <c r="G529" s="19"/>
      <c r="I529" s="30"/>
      <c r="J529" s="31"/>
      <c r="K529" s="23"/>
      <c r="L529" s="23"/>
      <c r="M529" s="23"/>
      <c r="N529" s="23"/>
      <c r="O529" s="23"/>
      <c r="P529" s="23"/>
      <c r="Q529" s="23"/>
      <c r="R529" s="23"/>
      <c r="S529" s="23"/>
      <c r="T529" s="23"/>
      <c r="U529" s="23"/>
      <c r="V529" s="23"/>
    </row>
    <row r="530" spans="7:22" ht="14.25" customHeight="1" x14ac:dyDescent="0.35">
      <c r="G530" s="19"/>
      <c r="I530" s="30"/>
      <c r="J530" s="31"/>
      <c r="K530" s="23"/>
      <c r="L530" s="23"/>
      <c r="M530" s="23"/>
      <c r="N530" s="23"/>
      <c r="O530" s="23"/>
      <c r="P530" s="23"/>
      <c r="Q530" s="23"/>
      <c r="R530" s="23"/>
      <c r="S530" s="23"/>
      <c r="T530" s="23"/>
      <c r="U530" s="23"/>
      <c r="V530" s="23"/>
    </row>
    <row r="531" spans="7:22" ht="14.25" customHeight="1" x14ac:dyDescent="0.35">
      <c r="G531" s="19"/>
      <c r="I531" s="30"/>
      <c r="J531" s="31"/>
      <c r="K531" s="23"/>
      <c r="L531" s="23"/>
      <c r="M531" s="23"/>
      <c r="N531" s="23"/>
      <c r="O531" s="23"/>
      <c r="P531" s="23"/>
      <c r="Q531" s="23"/>
      <c r="R531" s="23"/>
      <c r="S531" s="23"/>
      <c r="T531" s="23"/>
      <c r="U531" s="23"/>
      <c r="V531" s="23"/>
    </row>
    <row r="532" spans="7:22" ht="14.25" customHeight="1" x14ac:dyDescent="0.35">
      <c r="G532" s="19"/>
      <c r="I532" s="30"/>
      <c r="J532" s="31"/>
      <c r="K532" s="23"/>
      <c r="L532" s="23"/>
      <c r="M532" s="23"/>
      <c r="N532" s="23"/>
      <c r="O532" s="23"/>
      <c r="P532" s="23"/>
      <c r="Q532" s="23"/>
      <c r="R532" s="23"/>
      <c r="S532" s="23"/>
      <c r="T532" s="23"/>
      <c r="U532" s="23"/>
      <c r="V532" s="23"/>
    </row>
    <row r="533" spans="7:22" ht="14.25" customHeight="1" x14ac:dyDescent="0.35">
      <c r="G533" s="19"/>
      <c r="I533" s="30"/>
      <c r="J533" s="31"/>
      <c r="K533" s="23"/>
      <c r="L533" s="23"/>
      <c r="M533" s="23"/>
      <c r="N533" s="23"/>
      <c r="O533" s="23"/>
      <c r="P533" s="23"/>
      <c r="Q533" s="23"/>
      <c r="R533" s="23"/>
      <c r="S533" s="23"/>
      <c r="T533" s="23"/>
      <c r="U533" s="23"/>
      <c r="V533" s="23"/>
    </row>
    <row r="534" spans="7:22" ht="14.25" customHeight="1" x14ac:dyDescent="0.35">
      <c r="G534" s="19"/>
      <c r="I534" s="30"/>
      <c r="J534" s="31"/>
      <c r="K534" s="23"/>
      <c r="L534" s="23"/>
      <c r="M534" s="23"/>
      <c r="N534" s="23"/>
      <c r="O534" s="23"/>
      <c r="P534" s="23"/>
      <c r="Q534" s="23"/>
      <c r="R534" s="23"/>
      <c r="S534" s="23"/>
      <c r="T534" s="23"/>
      <c r="U534" s="23"/>
      <c r="V534" s="23"/>
    </row>
    <row r="535" spans="7:22" ht="14.25" customHeight="1" x14ac:dyDescent="0.35">
      <c r="G535" s="19"/>
      <c r="I535" s="30"/>
      <c r="J535" s="31"/>
      <c r="K535" s="23"/>
      <c r="L535" s="23"/>
      <c r="M535" s="23"/>
      <c r="N535" s="23"/>
      <c r="O535" s="23"/>
      <c r="P535" s="23"/>
      <c r="Q535" s="23"/>
      <c r="R535" s="23"/>
      <c r="S535" s="23"/>
      <c r="T535" s="23"/>
      <c r="U535" s="23"/>
      <c r="V535" s="23"/>
    </row>
    <row r="536" spans="7:22" ht="14.25" customHeight="1" x14ac:dyDescent="0.35">
      <c r="G536" s="19"/>
      <c r="I536" s="30"/>
      <c r="J536" s="31"/>
      <c r="K536" s="23"/>
      <c r="L536" s="23"/>
      <c r="M536" s="23"/>
      <c r="N536" s="23"/>
      <c r="O536" s="23"/>
      <c r="P536" s="23"/>
      <c r="Q536" s="23"/>
      <c r="R536" s="23"/>
      <c r="S536" s="23"/>
      <c r="T536" s="23"/>
      <c r="U536" s="23"/>
      <c r="V536" s="23"/>
    </row>
    <row r="537" spans="7:22" ht="14.25" customHeight="1" x14ac:dyDescent="0.35">
      <c r="G537" s="19"/>
      <c r="I537" s="30"/>
      <c r="J537" s="31"/>
      <c r="K537" s="23"/>
      <c r="L537" s="23"/>
      <c r="M537" s="23"/>
      <c r="N537" s="23"/>
      <c r="O537" s="23"/>
      <c r="P537" s="23"/>
      <c r="Q537" s="23"/>
      <c r="R537" s="23"/>
      <c r="S537" s="23"/>
      <c r="T537" s="23"/>
      <c r="U537" s="23"/>
      <c r="V537" s="23"/>
    </row>
    <row r="538" spans="7:22" ht="14.25" customHeight="1" x14ac:dyDescent="0.35">
      <c r="G538" s="19"/>
      <c r="I538" s="30"/>
      <c r="J538" s="31"/>
      <c r="K538" s="23"/>
      <c r="L538" s="23"/>
      <c r="M538" s="23"/>
      <c r="N538" s="23"/>
      <c r="O538" s="23"/>
      <c r="P538" s="23"/>
      <c r="Q538" s="23"/>
      <c r="R538" s="23"/>
      <c r="S538" s="23"/>
      <c r="T538" s="23"/>
      <c r="U538" s="23"/>
      <c r="V538" s="23"/>
    </row>
    <row r="539" spans="7:22" ht="14.25" customHeight="1" x14ac:dyDescent="0.35">
      <c r="G539" s="19"/>
      <c r="I539" s="30"/>
      <c r="J539" s="31"/>
      <c r="K539" s="23"/>
      <c r="L539" s="23"/>
      <c r="M539" s="23"/>
      <c r="N539" s="23"/>
      <c r="O539" s="23"/>
      <c r="P539" s="23"/>
      <c r="Q539" s="23"/>
      <c r="R539" s="23"/>
      <c r="S539" s="23"/>
      <c r="T539" s="23"/>
      <c r="U539" s="23"/>
      <c r="V539" s="23"/>
    </row>
    <row r="540" spans="7:22" ht="14.25" customHeight="1" x14ac:dyDescent="0.35">
      <c r="G540" s="19"/>
      <c r="I540" s="30"/>
      <c r="J540" s="31"/>
      <c r="K540" s="23"/>
      <c r="L540" s="23"/>
      <c r="M540" s="23"/>
      <c r="N540" s="23"/>
      <c r="O540" s="23"/>
      <c r="P540" s="23"/>
      <c r="Q540" s="23"/>
      <c r="R540" s="23"/>
      <c r="S540" s="23"/>
      <c r="T540" s="23"/>
      <c r="U540" s="23"/>
      <c r="V540" s="23"/>
    </row>
    <row r="541" spans="7:22" ht="14.25" customHeight="1" x14ac:dyDescent="0.35">
      <c r="G541" s="19"/>
      <c r="I541" s="30"/>
      <c r="J541" s="31"/>
      <c r="K541" s="23"/>
      <c r="L541" s="23"/>
      <c r="M541" s="23"/>
      <c r="N541" s="23"/>
      <c r="O541" s="23"/>
      <c r="P541" s="23"/>
      <c r="Q541" s="23"/>
      <c r="R541" s="23"/>
      <c r="S541" s="23"/>
      <c r="T541" s="23"/>
      <c r="U541" s="23"/>
      <c r="V541" s="23"/>
    </row>
    <row r="542" spans="7:22" ht="14.25" customHeight="1" x14ac:dyDescent="0.35">
      <c r="G542" s="19"/>
      <c r="I542" s="30"/>
      <c r="J542" s="31"/>
      <c r="K542" s="23"/>
      <c r="L542" s="23"/>
      <c r="M542" s="23"/>
      <c r="N542" s="23"/>
      <c r="O542" s="23"/>
      <c r="P542" s="23"/>
      <c r="Q542" s="23"/>
      <c r="R542" s="23"/>
      <c r="S542" s="23"/>
      <c r="T542" s="23"/>
      <c r="U542" s="23"/>
      <c r="V542" s="23"/>
    </row>
    <row r="543" spans="7:22" ht="14.25" customHeight="1" x14ac:dyDescent="0.35">
      <c r="G543" s="19"/>
      <c r="I543" s="30"/>
      <c r="J543" s="31"/>
      <c r="K543" s="23"/>
      <c r="L543" s="23"/>
      <c r="M543" s="23"/>
      <c r="N543" s="23"/>
      <c r="O543" s="23"/>
      <c r="P543" s="23"/>
      <c r="Q543" s="23"/>
      <c r="R543" s="23"/>
      <c r="S543" s="23"/>
      <c r="T543" s="23"/>
      <c r="U543" s="23"/>
      <c r="V543" s="23"/>
    </row>
    <row r="544" spans="7:22" ht="14.25" customHeight="1" x14ac:dyDescent="0.35">
      <c r="G544" s="19"/>
      <c r="I544" s="30"/>
      <c r="J544" s="31"/>
      <c r="K544" s="23"/>
      <c r="L544" s="23"/>
      <c r="M544" s="23"/>
      <c r="N544" s="23"/>
      <c r="O544" s="23"/>
      <c r="P544" s="23"/>
      <c r="Q544" s="23"/>
      <c r="R544" s="23"/>
      <c r="S544" s="23"/>
      <c r="T544" s="23"/>
      <c r="U544" s="23"/>
      <c r="V544" s="23"/>
    </row>
    <row r="545" spans="7:22" ht="14.25" customHeight="1" x14ac:dyDescent="0.35">
      <c r="G545" s="19"/>
      <c r="I545" s="30"/>
      <c r="J545" s="31"/>
      <c r="K545" s="23"/>
      <c r="L545" s="23"/>
      <c r="M545" s="23"/>
      <c r="N545" s="23"/>
      <c r="O545" s="23"/>
      <c r="P545" s="23"/>
      <c r="Q545" s="23"/>
      <c r="R545" s="23"/>
      <c r="S545" s="23"/>
      <c r="T545" s="23"/>
      <c r="U545" s="23"/>
      <c r="V545" s="23"/>
    </row>
    <row r="546" spans="7:22" ht="14.25" customHeight="1" x14ac:dyDescent="0.35">
      <c r="G546" s="19"/>
      <c r="I546" s="30"/>
      <c r="J546" s="31"/>
      <c r="K546" s="23"/>
      <c r="L546" s="23"/>
      <c r="M546" s="23"/>
      <c r="N546" s="23"/>
      <c r="O546" s="23"/>
      <c r="P546" s="23"/>
      <c r="Q546" s="23"/>
      <c r="R546" s="23"/>
      <c r="S546" s="23"/>
      <c r="T546" s="23"/>
      <c r="U546" s="23"/>
      <c r="V546" s="23"/>
    </row>
    <row r="547" spans="7:22" ht="14.25" customHeight="1" x14ac:dyDescent="0.35">
      <c r="G547" s="19"/>
      <c r="I547" s="30"/>
      <c r="J547" s="31"/>
      <c r="K547" s="23"/>
      <c r="L547" s="23"/>
      <c r="M547" s="23"/>
      <c r="N547" s="23"/>
      <c r="O547" s="23"/>
      <c r="P547" s="23"/>
      <c r="Q547" s="23"/>
      <c r="R547" s="23"/>
      <c r="S547" s="23"/>
      <c r="T547" s="23"/>
      <c r="U547" s="23"/>
      <c r="V547" s="23"/>
    </row>
    <row r="548" spans="7:22" ht="14.25" customHeight="1" x14ac:dyDescent="0.35">
      <c r="G548" s="19"/>
      <c r="I548" s="30"/>
      <c r="J548" s="31"/>
      <c r="K548" s="23"/>
      <c r="L548" s="23"/>
      <c r="M548" s="23"/>
      <c r="N548" s="23"/>
      <c r="O548" s="23"/>
      <c r="P548" s="23"/>
      <c r="Q548" s="23"/>
      <c r="R548" s="23"/>
      <c r="S548" s="23"/>
      <c r="T548" s="23"/>
      <c r="U548" s="23"/>
      <c r="V548" s="23"/>
    </row>
    <row r="549" spans="7:22" ht="14.25" customHeight="1" x14ac:dyDescent="0.35">
      <c r="G549" s="19"/>
      <c r="I549" s="30"/>
      <c r="J549" s="31"/>
      <c r="K549" s="23"/>
      <c r="L549" s="23"/>
      <c r="M549" s="23"/>
      <c r="N549" s="23"/>
      <c r="O549" s="23"/>
      <c r="P549" s="23"/>
      <c r="Q549" s="23"/>
      <c r="R549" s="23"/>
      <c r="S549" s="23"/>
      <c r="T549" s="23"/>
      <c r="U549" s="23"/>
      <c r="V549" s="23"/>
    </row>
    <row r="550" spans="7:22" ht="14.25" customHeight="1" x14ac:dyDescent="0.35">
      <c r="G550" s="19"/>
      <c r="I550" s="30"/>
      <c r="J550" s="31"/>
      <c r="K550" s="23"/>
      <c r="L550" s="23"/>
      <c r="M550" s="23"/>
      <c r="N550" s="23"/>
      <c r="O550" s="23"/>
      <c r="P550" s="23"/>
      <c r="Q550" s="23"/>
      <c r="R550" s="23"/>
      <c r="S550" s="23"/>
      <c r="T550" s="23"/>
      <c r="U550" s="23"/>
      <c r="V550" s="23"/>
    </row>
    <row r="551" spans="7:22" ht="14.25" customHeight="1" x14ac:dyDescent="0.35">
      <c r="G551" s="19"/>
      <c r="I551" s="30"/>
      <c r="J551" s="31"/>
      <c r="K551" s="23"/>
      <c r="L551" s="23"/>
      <c r="M551" s="23"/>
      <c r="N551" s="23"/>
      <c r="O551" s="23"/>
      <c r="P551" s="23"/>
      <c r="Q551" s="23"/>
      <c r="R551" s="23"/>
      <c r="S551" s="23"/>
      <c r="T551" s="23"/>
      <c r="U551" s="23"/>
      <c r="V551" s="23"/>
    </row>
    <row r="552" spans="7:22" ht="14.25" customHeight="1" x14ac:dyDescent="0.35">
      <c r="G552" s="19"/>
      <c r="I552" s="30"/>
      <c r="J552" s="31"/>
      <c r="K552" s="23"/>
      <c r="L552" s="23"/>
      <c r="M552" s="23"/>
      <c r="N552" s="23"/>
      <c r="O552" s="23"/>
      <c r="P552" s="23"/>
      <c r="Q552" s="23"/>
      <c r="R552" s="23"/>
      <c r="S552" s="23"/>
      <c r="T552" s="23"/>
      <c r="U552" s="23"/>
      <c r="V552" s="23"/>
    </row>
    <row r="553" spans="7:22" ht="14.25" customHeight="1" x14ac:dyDescent="0.35">
      <c r="G553" s="19"/>
      <c r="I553" s="30"/>
      <c r="J553" s="31"/>
      <c r="K553" s="23"/>
      <c r="L553" s="23"/>
      <c r="M553" s="23"/>
      <c r="N553" s="23"/>
      <c r="O553" s="23"/>
      <c r="P553" s="23"/>
      <c r="Q553" s="23"/>
      <c r="R553" s="23"/>
      <c r="S553" s="23"/>
      <c r="T553" s="23"/>
      <c r="U553" s="23"/>
      <c r="V553" s="23"/>
    </row>
    <row r="554" spans="7:22" ht="14.25" customHeight="1" x14ac:dyDescent="0.35">
      <c r="G554" s="19"/>
      <c r="I554" s="30"/>
      <c r="J554" s="31"/>
      <c r="K554" s="23"/>
      <c r="L554" s="23"/>
      <c r="M554" s="23"/>
      <c r="N554" s="23"/>
      <c r="O554" s="23"/>
      <c r="P554" s="23"/>
      <c r="Q554" s="23"/>
      <c r="R554" s="23"/>
      <c r="S554" s="23"/>
      <c r="T554" s="23"/>
      <c r="U554" s="23"/>
      <c r="V554" s="23"/>
    </row>
    <row r="555" spans="7:22" ht="14.25" customHeight="1" x14ac:dyDescent="0.35">
      <c r="G555" s="19"/>
      <c r="I555" s="30"/>
      <c r="J555" s="31"/>
      <c r="K555" s="23"/>
      <c r="L555" s="23"/>
      <c r="M555" s="23"/>
      <c r="N555" s="23"/>
      <c r="O555" s="23"/>
      <c r="P555" s="23"/>
      <c r="Q555" s="23"/>
      <c r="R555" s="23"/>
      <c r="S555" s="23"/>
      <c r="T555" s="23"/>
      <c r="U555" s="23"/>
      <c r="V555" s="23"/>
    </row>
    <row r="556" spans="7:22" ht="14.25" customHeight="1" x14ac:dyDescent="0.35">
      <c r="G556" s="19"/>
      <c r="I556" s="30"/>
      <c r="J556" s="31"/>
      <c r="K556" s="23"/>
      <c r="L556" s="23"/>
      <c r="M556" s="23"/>
      <c r="N556" s="23"/>
      <c r="O556" s="23"/>
      <c r="P556" s="23"/>
      <c r="Q556" s="23"/>
      <c r="R556" s="23"/>
      <c r="S556" s="23"/>
      <c r="T556" s="23"/>
      <c r="U556" s="23"/>
      <c r="V556" s="23"/>
    </row>
    <row r="557" spans="7:22" ht="14.25" customHeight="1" x14ac:dyDescent="0.35">
      <c r="G557" s="19"/>
      <c r="I557" s="30"/>
      <c r="J557" s="31"/>
      <c r="K557" s="23"/>
      <c r="L557" s="23"/>
      <c r="M557" s="23"/>
      <c r="N557" s="23"/>
      <c r="O557" s="23"/>
      <c r="P557" s="23"/>
      <c r="Q557" s="23"/>
      <c r="R557" s="23"/>
      <c r="S557" s="23"/>
      <c r="T557" s="23"/>
      <c r="U557" s="23"/>
      <c r="V557" s="23"/>
    </row>
    <row r="558" spans="7:22" ht="14.25" customHeight="1" x14ac:dyDescent="0.35">
      <c r="G558" s="19"/>
      <c r="I558" s="30"/>
      <c r="J558" s="31"/>
      <c r="K558" s="23"/>
      <c r="L558" s="23"/>
      <c r="M558" s="23"/>
      <c r="N558" s="23"/>
      <c r="O558" s="23"/>
      <c r="P558" s="23"/>
      <c r="Q558" s="23"/>
      <c r="R558" s="23"/>
      <c r="S558" s="23"/>
      <c r="T558" s="23"/>
      <c r="U558" s="23"/>
      <c r="V558" s="23"/>
    </row>
    <row r="559" spans="7:22" ht="14.25" customHeight="1" x14ac:dyDescent="0.35">
      <c r="G559" s="19"/>
      <c r="I559" s="30"/>
      <c r="J559" s="31"/>
      <c r="K559" s="23"/>
      <c r="L559" s="23"/>
      <c r="M559" s="23"/>
      <c r="N559" s="23"/>
      <c r="O559" s="23"/>
      <c r="P559" s="23"/>
      <c r="Q559" s="23"/>
      <c r="R559" s="23"/>
      <c r="S559" s="23"/>
      <c r="T559" s="23"/>
      <c r="U559" s="23"/>
      <c r="V559" s="23"/>
    </row>
    <row r="560" spans="7:22" ht="14.25" customHeight="1" x14ac:dyDescent="0.35">
      <c r="G560" s="19"/>
      <c r="I560" s="30"/>
      <c r="J560" s="31"/>
      <c r="K560" s="23"/>
      <c r="L560" s="23"/>
      <c r="M560" s="23"/>
      <c r="N560" s="23"/>
      <c r="O560" s="23"/>
      <c r="P560" s="23"/>
      <c r="Q560" s="23"/>
      <c r="R560" s="23"/>
      <c r="S560" s="23"/>
      <c r="T560" s="23"/>
      <c r="U560" s="23"/>
      <c r="V560" s="23"/>
    </row>
    <row r="561" spans="7:22" ht="14.25" customHeight="1" x14ac:dyDescent="0.35">
      <c r="G561" s="19"/>
      <c r="I561" s="30"/>
      <c r="J561" s="31"/>
      <c r="K561" s="23"/>
      <c r="L561" s="23"/>
      <c r="M561" s="23"/>
      <c r="N561" s="23"/>
      <c r="O561" s="23"/>
      <c r="P561" s="23"/>
      <c r="Q561" s="23"/>
      <c r="R561" s="23"/>
      <c r="S561" s="23"/>
      <c r="T561" s="23"/>
      <c r="U561" s="23"/>
      <c r="V561" s="23"/>
    </row>
    <row r="562" spans="7:22" ht="14.25" customHeight="1" x14ac:dyDescent="0.35">
      <c r="G562" s="19"/>
      <c r="I562" s="30"/>
      <c r="J562" s="31"/>
      <c r="K562" s="23"/>
      <c r="L562" s="23"/>
      <c r="M562" s="23"/>
      <c r="N562" s="23"/>
      <c r="O562" s="23"/>
      <c r="P562" s="23"/>
      <c r="Q562" s="23"/>
      <c r="R562" s="23"/>
      <c r="S562" s="23"/>
      <c r="T562" s="23"/>
      <c r="U562" s="23"/>
      <c r="V562" s="23"/>
    </row>
    <row r="563" spans="7:22" ht="14.25" customHeight="1" x14ac:dyDescent="0.35">
      <c r="G563" s="19"/>
      <c r="I563" s="30"/>
      <c r="J563" s="31"/>
      <c r="K563" s="23"/>
      <c r="L563" s="23"/>
      <c r="M563" s="23"/>
      <c r="N563" s="23"/>
      <c r="O563" s="23"/>
      <c r="P563" s="23"/>
      <c r="Q563" s="23"/>
      <c r="R563" s="23"/>
      <c r="S563" s="23"/>
      <c r="T563" s="23"/>
      <c r="U563" s="23"/>
      <c r="V563" s="23"/>
    </row>
    <row r="564" spans="7:22" ht="14.25" customHeight="1" x14ac:dyDescent="0.35">
      <c r="G564" s="19"/>
      <c r="I564" s="30"/>
      <c r="J564" s="31"/>
      <c r="K564" s="23"/>
      <c r="L564" s="23"/>
      <c r="M564" s="23"/>
      <c r="N564" s="23"/>
      <c r="O564" s="23"/>
      <c r="P564" s="23"/>
      <c r="Q564" s="23"/>
      <c r="R564" s="23"/>
      <c r="S564" s="23"/>
      <c r="T564" s="23"/>
      <c r="U564" s="23"/>
      <c r="V564" s="23"/>
    </row>
    <row r="565" spans="7:22" ht="14.25" customHeight="1" x14ac:dyDescent="0.35">
      <c r="G565" s="19"/>
      <c r="I565" s="30"/>
      <c r="J565" s="31"/>
      <c r="K565" s="23"/>
      <c r="L565" s="23"/>
      <c r="M565" s="23"/>
      <c r="N565" s="23"/>
      <c r="O565" s="23"/>
      <c r="P565" s="23"/>
      <c r="Q565" s="23"/>
      <c r="R565" s="23"/>
      <c r="S565" s="23"/>
      <c r="T565" s="23"/>
      <c r="U565" s="23"/>
      <c r="V565" s="23"/>
    </row>
    <row r="566" spans="7:22" ht="14.25" customHeight="1" x14ac:dyDescent="0.35">
      <c r="G566" s="19"/>
      <c r="I566" s="30"/>
      <c r="J566" s="31"/>
      <c r="K566" s="23"/>
      <c r="L566" s="23"/>
      <c r="M566" s="23"/>
      <c r="N566" s="23"/>
      <c r="O566" s="23"/>
      <c r="P566" s="23"/>
      <c r="Q566" s="23"/>
      <c r="R566" s="23"/>
      <c r="S566" s="23"/>
      <c r="T566" s="23"/>
      <c r="U566" s="23"/>
      <c r="V566" s="23"/>
    </row>
    <row r="567" spans="7:22" ht="14.25" customHeight="1" x14ac:dyDescent="0.35">
      <c r="G567" s="19"/>
      <c r="I567" s="30"/>
      <c r="J567" s="31"/>
      <c r="K567" s="23"/>
      <c r="L567" s="23"/>
      <c r="M567" s="23"/>
      <c r="N567" s="23"/>
      <c r="O567" s="23"/>
      <c r="P567" s="23"/>
      <c r="Q567" s="23"/>
      <c r="R567" s="23"/>
      <c r="S567" s="23"/>
      <c r="T567" s="23"/>
      <c r="U567" s="23"/>
      <c r="V567" s="23"/>
    </row>
    <row r="568" spans="7:22" ht="14.25" customHeight="1" x14ac:dyDescent="0.35">
      <c r="G568" s="19"/>
      <c r="I568" s="30"/>
      <c r="J568" s="31"/>
      <c r="K568" s="23"/>
      <c r="L568" s="23"/>
      <c r="M568" s="23"/>
      <c r="N568" s="23"/>
      <c r="O568" s="23"/>
      <c r="P568" s="23"/>
      <c r="Q568" s="23"/>
      <c r="R568" s="23"/>
      <c r="S568" s="23"/>
      <c r="T568" s="23"/>
      <c r="U568" s="23"/>
      <c r="V568" s="23"/>
    </row>
    <row r="569" spans="7:22" ht="14.25" customHeight="1" x14ac:dyDescent="0.35">
      <c r="G569" s="19"/>
      <c r="I569" s="30"/>
      <c r="J569" s="31"/>
      <c r="K569" s="23"/>
      <c r="L569" s="23"/>
      <c r="M569" s="23"/>
      <c r="N569" s="23"/>
      <c r="O569" s="23"/>
      <c r="P569" s="23"/>
      <c r="Q569" s="23"/>
      <c r="R569" s="23"/>
      <c r="S569" s="23"/>
      <c r="T569" s="23"/>
      <c r="U569" s="23"/>
      <c r="V569" s="23"/>
    </row>
    <row r="570" spans="7:22" ht="14.25" customHeight="1" x14ac:dyDescent="0.35">
      <c r="G570" s="19"/>
      <c r="I570" s="30"/>
      <c r="J570" s="31"/>
      <c r="K570" s="23"/>
      <c r="L570" s="23"/>
      <c r="M570" s="23"/>
      <c r="N570" s="23"/>
      <c r="O570" s="23"/>
      <c r="P570" s="23"/>
      <c r="Q570" s="23"/>
      <c r="R570" s="23"/>
      <c r="S570" s="23"/>
      <c r="T570" s="23"/>
      <c r="U570" s="23"/>
      <c r="V570" s="23"/>
    </row>
    <row r="571" spans="7:22" ht="14.25" customHeight="1" x14ac:dyDescent="0.35">
      <c r="G571" s="19"/>
      <c r="I571" s="30"/>
      <c r="J571" s="31"/>
      <c r="K571" s="23"/>
      <c r="L571" s="23"/>
      <c r="M571" s="23"/>
      <c r="N571" s="23"/>
      <c r="O571" s="23"/>
      <c r="P571" s="23"/>
      <c r="Q571" s="23"/>
      <c r="R571" s="23"/>
      <c r="S571" s="23"/>
      <c r="T571" s="23"/>
      <c r="U571" s="23"/>
      <c r="V571" s="23"/>
    </row>
    <row r="572" spans="7:22" ht="14.25" customHeight="1" x14ac:dyDescent="0.35">
      <c r="G572" s="19"/>
      <c r="I572" s="30"/>
      <c r="J572" s="31"/>
      <c r="K572" s="23"/>
      <c r="L572" s="23"/>
      <c r="M572" s="23"/>
      <c r="N572" s="23"/>
      <c r="O572" s="23"/>
      <c r="P572" s="23"/>
      <c r="Q572" s="23"/>
      <c r="R572" s="23"/>
      <c r="S572" s="23"/>
      <c r="T572" s="23"/>
      <c r="U572" s="23"/>
      <c r="V572" s="23"/>
    </row>
    <row r="573" spans="7:22" ht="14.25" customHeight="1" x14ac:dyDescent="0.35">
      <c r="G573" s="19"/>
      <c r="I573" s="30"/>
      <c r="J573" s="31"/>
      <c r="K573" s="23"/>
      <c r="L573" s="23"/>
      <c r="M573" s="23"/>
      <c r="N573" s="23"/>
      <c r="O573" s="23"/>
      <c r="P573" s="23"/>
      <c r="Q573" s="23"/>
      <c r="R573" s="23"/>
      <c r="S573" s="23"/>
      <c r="T573" s="23"/>
      <c r="U573" s="23"/>
      <c r="V573" s="23"/>
    </row>
    <row r="574" spans="7:22" ht="14.25" customHeight="1" x14ac:dyDescent="0.35">
      <c r="G574" s="19"/>
      <c r="I574" s="30"/>
      <c r="J574" s="31"/>
      <c r="K574" s="23"/>
      <c r="L574" s="23"/>
      <c r="M574" s="23"/>
      <c r="N574" s="23"/>
      <c r="O574" s="23"/>
      <c r="P574" s="23"/>
      <c r="Q574" s="23"/>
      <c r="R574" s="23"/>
      <c r="S574" s="23"/>
      <c r="T574" s="23"/>
      <c r="U574" s="23"/>
      <c r="V574" s="23"/>
    </row>
    <row r="575" spans="7:22" ht="14.25" customHeight="1" x14ac:dyDescent="0.35">
      <c r="G575" s="19"/>
      <c r="I575" s="30"/>
      <c r="J575" s="31"/>
      <c r="K575" s="23"/>
      <c r="L575" s="23"/>
      <c r="M575" s="23"/>
      <c r="N575" s="23"/>
      <c r="O575" s="23"/>
      <c r="P575" s="23"/>
      <c r="Q575" s="23"/>
      <c r="R575" s="23"/>
      <c r="S575" s="23"/>
      <c r="T575" s="23"/>
      <c r="U575" s="23"/>
      <c r="V575" s="23"/>
    </row>
    <row r="576" spans="7:22" ht="14.25" customHeight="1" x14ac:dyDescent="0.35">
      <c r="G576" s="19"/>
      <c r="I576" s="30"/>
      <c r="J576" s="31"/>
      <c r="K576" s="23"/>
      <c r="L576" s="23"/>
      <c r="M576" s="23"/>
      <c r="N576" s="23"/>
      <c r="O576" s="23"/>
      <c r="P576" s="23"/>
      <c r="Q576" s="23"/>
      <c r="R576" s="23"/>
      <c r="S576" s="23"/>
      <c r="T576" s="23"/>
      <c r="U576" s="23"/>
      <c r="V576" s="23"/>
    </row>
    <row r="577" spans="7:22" ht="14.25" customHeight="1" x14ac:dyDescent="0.35">
      <c r="G577" s="19"/>
      <c r="I577" s="30"/>
      <c r="J577" s="31"/>
      <c r="K577" s="23"/>
      <c r="L577" s="23"/>
      <c r="M577" s="23"/>
      <c r="N577" s="23"/>
      <c r="O577" s="23"/>
      <c r="P577" s="23"/>
      <c r="Q577" s="23"/>
      <c r="R577" s="23"/>
      <c r="S577" s="23"/>
      <c r="T577" s="23"/>
      <c r="U577" s="23"/>
      <c r="V577" s="23"/>
    </row>
    <row r="578" spans="7:22" ht="14.25" customHeight="1" x14ac:dyDescent="0.35">
      <c r="G578" s="19"/>
      <c r="I578" s="30"/>
      <c r="J578" s="31"/>
      <c r="K578" s="23"/>
      <c r="L578" s="23"/>
      <c r="M578" s="23"/>
      <c r="N578" s="23"/>
      <c r="O578" s="23"/>
      <c r="P578" s="23"/>
      <c r="Q578" s="23"/>
      <c r="R578" s="23"/>
      <c r="S578" s="23"/>
      <c r="T578" s="23"/>
      <c r="U578" s="23"/>
      <c r="V578" s="23"/>
    </row>
    <row r="579" spans="7:22" ht="14.25" customHeight="1" x14ac:dyDescent="0.35">
      <c r="G579" s="19"/>
      <c r="I579" s="30"/>
      <c r="J579" s="31"/>
      <c r="K579" s="23"/>
      <c r="L579" s="23"/>
      <c r="M579" s="23"/>
      <c r="N579" s="23"/>
      <c r="O579" s="23"/>
      <c r="P579" s="23"/>
      <c r="Q579" s="23"/>
      <c r="R579" s="23"/>
      <c r="S579" s="23"/>
      <c r="T579" s="23"/>
      <c r="U579" s="23"/>
      <c r="V579" s="23"/>
    </row>
    <row r="580" spans="7:22" ht="14.25" customHeight="1" x14ac:dyDescent="0.35">
      <c r="G580" s="19"/>
      <c r="I580" s="30"/>
      <c r="J580" s="31"/>
      <c r="K580" s="23"/>
      <c r="L580" s="23"/>
      <c r="M580" s="23"/>
      <c r="N580" s="23"/>
      <c r="O580" s="23"/>
      <c r="P580" s="23"/>
      <c r="Q580" s="23"/>
      <c r="R580" s="23"/>
      <c r="S580" s="23"/>
      <c r="T580" s="23"/>
      <c r="U580" s="23"/>
      <c r="V580" s="23"/>
    </row>
    <row r="581" spans="7:22" ht="14.25" customHeight="1" x14ac:dyDescent="0.35">
      <c r="G581" s="19"/>
      <c r="I581" s="30"/>
      <c r="J581" s="31"/>
      <c r="K581" s="23"/>
      <c r="L581" s="23"/>
      <c r="M581" s="23"/>
      <c r="N581" s="23"/>
      <c r="O581" s="23"/>
      <c r="P581" s="23"/>
      <c r="Q581" s="23"/>
      <c r="R581" s="23"/>
      <c r="S581" s="23"/>
      <c r="T581" s="23"/>
      <c r="U581" s="23"/>
      <c r="V581" s="23"/>
    </row>
    <row r="582" spans="7:22" ht="14.25" customHeight="1" x14ac:dyDescent="0.35">
      <c r="G582" s="19"/>
      <c r="I582" s="30"/>
      <c r="J582" s="31"/>
      <c r="K582" s="23"/>
      <c r="L582" s="23"/>
      <c r="M582" s="23"/>
      <c r="N582" s="23"/>
      <c r="O582" s="23"/>
      <c r="P582" s="23"/>
      <c r="Q582" s="23"/>
      <c r="R582" s="23"/>
      <c r="S582" s="23"/>
      <c r="T582" s="23"/>
      <c r="U582" s="23"/>
      <c r="V582" s="23"/>
    </row>
    <row r="583" spans="7:22" ht="14.25" customHeight="1" x14ac:dyDescent="0.35">
      <c r="G583" s="19"/>
      <c r="I583" s="30"/>
      <c r="J583" s="31"/>
      <c r="K583" s="23"/>
      <c r="L583" s="23"/>
      <c r="M583" s="23"/>
      <c r="N583" s="23"/>
      <c r="O583" s="23"/>
      <c r="P583" s="23"/>
      <c r="Q583" s="23"/>
      <c r="R583" s="23"/>
      <c r="S583" s="23"/>
      <c r="T583" s="23"/>
      <c r="U583" s="23"/>
      <c r="V583" s="23"/>
    </row>
    <row r="584" spans="7:22" ht="14.25" customHeight="1" x14ac:dyDescent="0.35">
      <c r="G584" s="19"/>
      <c r="I584" s="30"/>
      <c r="J584" s="31"/>
      <c r="K584" s="23"/>
      <c r="L584" s="23"/>
      <c r="M584" s="23"/>
      <c r="N584" s="23"/>
      <c r="O584" s="23"/>
      <c r="P584" s="23"/>
      <c r="Q584" s="23"/>
      <c r="R584" s="23"/>
      <c r="S584" s="23"/>
      <c r="T584" s="23"/>
      <c r="U584" s="23"/>
      <c r="V584" s="23"/>
    </row>
    <row r="585" spans="7:22" ht="14.25" customHeight="1" x14ac:dyDescent="0.35">
      <c r="G585" s="19"/>
      <c r="I585" s="30"/>
      <c r="J585" s="31"/>
      <c r="K585" s="23"/>
      <c r="L585" s="23"/>
      <c r="M585" s="23"/>
      <c r="N585" s="23"/>
      <c r="O585" s="23"/>
      <c r="P585" s="23"/>
      <c r="Q585" s="23"/>
      <c r="R585" s="23"/>
      <c r="S585" s="23"/>
      <c r="T585" s="23"/>
      <c r="U585" s="23"/>
      <c r="V585" s="23"/>
    </row>
    <row r="586" spans="7:22" ht="14.25" customHeight="1" x14ac:dyDescent="0.35">
      <c r="G586" s="19"/>
      <c r="I586" s="30"/>
      <c r="J586" s="31"/>
      <c r="K586" s="23"/>
      <c r="L586" s="23"/>
      <c r="M586" s="23"/>
      <c r="N586" s="23"/>
      <c r="O586" s="23"/>
      <c r="P586" s="23"/>
      <c r="Q586" s="23"/>
      <c r="R586" s="23"/>
      <c r="S586" s="23"/>
      <c r="T586" s="23"/>
      <c r="U586" s="23"/>
      <c r="V586" s="23"/>
    </row>
    <row r="587" spans="7:22" ht="14.25" customHeight="1" x14ac:dyDescent="0.35">
      <c r="G587" s="19"/>
      <c r="I587" s="30"/>
      <c r="J587" s="31"/>
      <c r="K587" s="23"/>
      <c r="L587" s="23"/>
      <c r="M587" s="23"/>
      <c r="N587" s="23"/>
      <c r="O587" s="23"/>
      <c r="P587" s="23"/>
      <c r="Q587" s="23"/>
      <c r="R587" s="23"/>
      <c r="S587" s="23"/>
      <c r="T587" s="23"/>
      <c r="U587" s="23"/>
      <c r="V587" s="23"/>
    </row>
    <row r="588" spans="7:22" ht="14.25" customHeight="1" x14ac:dyDescent="0.35">
      <c r="G588" s="19"/>
      <c r="I588" s="30"/>
      <c r="J588" s="31"/>
      <c r="K588" s="23"/>
      <c r="L588" s="23"/>
      <c r="M588" s="23"/>
      <c r="N588" s="23"/>
      <c r="O588" s="23"/>
      <c r="P588" s="23"/>
      <c r="Q588" s="23"/>
      <c r="R588" s="23"/>
      <c r="S588" s="23"/>
      <c r="T588" s="23"/>
      <c r="U588" s="23"/>
      <c r="V588" s="23"/>
    </row>
    <row r="589" spans="7:22" ht="14.25" customHeight="1" x14ac:dyDescent="0.35">
      <c r="G589" s="19"/>
      <c r="I589" s="30"/>
      <c r="J589" s="31"/>
      <c r="K589" s="23"/>
      <c r="L589" s="23"/>
      <c r="M589" s="23"/>
      <c r="N589" s="23"/>
      <c r="O589" s="23"/>
      <c r="P589" s="23"/>
      <c r="Q589" s="23"/>
      <c r="R589" s="23"/>
      <c r="S589" s="23"/>
      <c r="T589" s="23"/>
      <c r="U589" s="23"/>
      <c r="V589" s="23"/>
    </row>
    <row r="590" spans="7:22" ht="14.25" customHeight="1" x14ac:dyDescent="0.35">
      <c r="G590" s="19"/>
      <c r="I590" s="30"/>
      <c r="J590" s="31"/>
      <c r="K590" s="23"/>
      <c r="L590" s="23"/>
      <c r="M590" s="23"/>
      <c r="N590" s="23"/>
      <c r="O590" s="23"/>
      <c r="P590" s="23"/>
      <c r="Q590" s="23"/>
      <c r="R590" s="23"/>
      <c r="S590" s="23"/>
      <c r="T590" s="23"/>
      <c r="U590" s="23"/>
      <c r="V590" s="23"/>
    </row>
    <row r="591" spans="7:22" ht="14.25" customHeight="1" x14ac:dyDescent="0.35">
      <c r="G591" s="19"/>
      <c r="I591" s="30"/>
      <c r="J591" s="31"/>
      <c r="K591" s="23"/>
      <c r="L591" s="23"/>
      <c r="M591" s="23"/>
      <c r="N591" s="23"/>
      <c r="O591" s="23"/>
      <c r="P591" s="23"/>
      <c r="Q591" s="23"/>
      <c r="R591" s="23"/>
      <c r="S591" s="23"/>
      <c r="T591" s="23"/>
      <c r="U591" s="23"/>
      <c r="V591" s="23"/>
    </row>
    <row r="592" spans="7:22" ht="14.25" customHeight="1" x14ac:dyDescent="0.35">
      <c r="G592" s="19"/>
      <c r="I592" s="30"/>
      <c r="J592" s="31"/>
      <c r="K592" s="23"/>
      <c r="L592" s="23"/>
      <c r="M592" s="23"/>
      <c r="N592" s="23"/>
      <c r="O592" s="23"/>
      <c r="P592" s="23"/>
      <c r="Q592" s="23"/>
      <c r="R592" s="23"/>
      <c r="S592" s="23"/>
      <c r="T592" s="23"/>
      <c r="U592" s="23"/>
      <c r="V592" s="23"/>
    </row>
    <row r="593" spans="7:22" ht="14.25" customHeight="1" x14ac:dyDescent="0.35">
      <c r="G593" s="19"/>
      <c r="I593" s="30"/>
      <c r="J593" s="31"/>
      <c r="K593" s="23"/>
      <c r="L593" s="23"/>
      <c r="M593" s="23"/>
      <c r="N593" s="23"/>
      <c r="O593" s="23"/>
      <c r="P593" s="23"/>
      <c r="Q593" s="23"/>
      <c r="R593" s="23"/>
      <c r="S593" s="23"/>
      <c r="T593" s="23"/>
      <c r="U593" s="23"/>
      <c r="V593" s="23"/>
    </row>
    <row r="594" spans="7:22" ht="14.25" customHeight="1" x14ac:dyDescent="0.35">
      <c r="G594" s="19"/>
      <c r="I594" s="30"/>
      <c r="J594" s="31"/>
      <c r="K594" s="23"/>
      <c r="L594" s="23"/>
      <c r="M594" s="23"/>
      <c r="N594" s="23"/>
      <c r="O594" s="23"/>
      <c r="P594" s="23"/>
      <c r="Q594" s="23"/>
      <c r="R594" s="23"/>
      <c r="S594" s="23"/>
      <c r="T594" s="23"/>
      <c r="U594" s="23"/>
      <c r="V594" s="23"/>
    </row>
    <row r="595" spans="7:22" ht="14.25" customHeight="1" x14ac:dyDescent="0.35">
      <c r="G595" s="19"/>
      <c r="I595" s="30"/>
      <c r="J595" s="31"/>
      <c r="K595" s="23"/>
      <c r="L595" s="23"/>
      <c r="M595" s="23"/>
      <c r="N595" s="23"/>
      <c r="O595" s="23"/>
      <c r="P595" s="23"/>
      <c r="Q595" s="23"/>
      <c r="R595" s="23"/>
      <c r="S595" s="23"/>
      <c r="T595" s="23"/>
      <c r="U595" s="23"/>
      <c r="V595" s="23"/>
    </row>
    <row r="596" spans="7:22" ht="14.25" customHeight="1" x14ac:dyDescent="0.35">
      <c r="G596" s="19"/>
      <c r="I596" s="30"/>
      <c r="J596" s="31"/>
      <c r="K596" s="23"/>
      <c r="L596" s="23"/>
      <c r="M596" s="23"/>
      <c r="N596" s="23"/>
      <c r="O596" s="23"/>
      <c r="P596" s="23"/>
      <c r="Q596" s="23"/>
      <c r="R596" s="23"/>
      <c r="S596" s="23"/>
      <c r="T596" s="23"/>
      <c r="U596" s="23"/>
      <c r="V596" s="23"/>
    </row>
    <row r="597" spans="7:22" ht="14.25" customHeight="1" x14ac:dyDescent="0.35">
      <c r="G597" s="19"/>
      <c r="I597" s="30"/>
      <c r="J597" s="31"/>
      <c r="K597" s="23"/>
      <c r="L597" s="23"/>
      <c r="M597" s="23"/>
      <c r="N597" s="23"/>
      <c r="O597" s="23"/>
      <c r="P597" s="23"/>
      <c r="Q597" s="23"/>
      <c r="R597" s="23"/>
      <c r="S597" s="23"/>
      <c r="T597" s="23"/>
      <c r="U597" s="23"/>
      <c r="V597" s="23"/>
    </row>
    <row r="598" spans="7:22" ht="14.25" customHeight="1" x14ac:dyDescent="0.35">
      <c r="G598" s="19"/>
      <c r="I598" s="30"/>
      <c r="J598" s="31"/>
      <c r="K598" s="23"/>
      <c r="L598" s="23"/>
      <c r="M598" s="23"/>
      <c r="N598" s="23"/>
      <c r="O598" s="23"/>
      <c r="P598" s="23"/>
      <c r="Q598" s="23"/>
      <c r="R598" s="23"/>
      <c r="S598" s="23"/>
      <c r="T598" s="23"/>
      <c r="U598" s="23"/>
      <c r="V598" s="23"/>
    </row>
    <row r="599" spans="7:22" ht="14.25" customHeight="1" x14ac:dyDescent="0.35">
      <c r="G599" s="19"/>
      <c r="I599" s="30"/>
      <c r="J599" s="31"/>
      <c r="K599" s="23"/>
      <c r="L599" s="23"/>
      <c r="M599" s="23"/>
      <c r="N599" s="23"/>
      <c r="O599" s="23"/>
      <c r="P599" s="23"/>
      <c r="Q599" s="23"/>
      <c r="R599" s="23"/>
      <c r="S599" s="23"/>
      <c r="T599" s="23"/>
      <c r="U599" s="23"/>
      <c r="V599" s="23"/>
    </row>
    <row r="600" spans="7:22" ht="14.25" customHeight="1" x14ac:dyDescent="0.35">
      <c r="G600" s="19"/>
      <c r="I600" s="30"/>
      <c r="J600" s="31"/>
      <c r="K600" s="23"/>
      <c r="L600" s="23"/>
      <c r="M600" s="23"/>
      <c r="N600" s="23"/>
      <c r="O600" s="23"/>
      <c r="P600" s="23"/>
      <c r="Q600" s="23"/>
      <c r="R600" s="23"/>
      <c r="S600" s="23"/>
      <c r="T600" s="23"/>
      <c r="U600" s="23"/>
      <c r="V600" s="23"/>
    </row>
    <row r="601" spans="7:22" ht="14.25" customHeight="1" x14ac:dyDescent="0.35">
      <c r="G601" s="19"/>
      <c r="I601" s="30"/>
      <c r="J601" s="31"/>
      <c r="K601" s="23"/>
      <c r="L601" s="23"/>
      <c r="M601" s="23"/>
      <c r="N601" s="23"/>
      <c r="O601" s="23"/>
      <c r="P601" s="23"/>
      <c r="Q601" s="23"/>
      <c r="R601" s="23"/>
      <c r="S601" s="23"/>
      <c r="T601" s="23"/>
      <c r="U601" s="23"/>
      <c r="V601" s="23"/>
    </row>
    <row r="602" spans="7:22" ht="14.25" customHeight="1" x14ac:dyDescent="0.35">
      <c r="G602" s="19"/>
      <c r="I602" s="30"/>
      <c r="J602" s="31"/>
      <c r="K602" s="23"/>
      <c r="L602" s="23"/>
      <c r="M602" s="23"/>
      <c r="N602" s="23"/>
      <c r="O602" s="23"/>
      <c r="P602" s="23"/>
      <c r="Q602" s="23"/>
      <c r="R602" s="23"/>
      <c r="S602" s="23"/>
      <c r="T602" s="23"/>
      <c r="U602" s="23"/>
      <c r="V602" s="23"/>
    </row>
    <row r="603" spans="7:22" ht="14.25" customHeight="1" x14ac:dyDescent="0.35">
      <c r="G603" s="19"/>
      <c r="I603" s="30"/>
      <c r="J603" s="31"/>
      <c r="K603" s="23"/>
      <c r="L603" s="23"/>
      <c r="M603" s="23"/>
      <c r="N603" s="23"/>
      <c r="O603" s="23"/>
      <c r="P603" s="23"/>
      <c r="Q603" s="23"/>
      <c r="R603" s="23"/>
      <c r="S603" s="23"/>
      <c r="T603" s="23"/>
      <c r="U603" s="23"/>
      <c r="V603" s="23"/>
    </row>
    <row r="604" spans="7:22" ht="14.25" customHeight="1" x14ac:dyDescent="0.35">
      <c r="G604" s="19"/>
      <c r="I604" s="30"/>
      <c r="J604" s="31"/>
      <c r="K604" s="23"/>
      <c r="L604" s="23"/>
      <c r="M604" s="23"/>
      <c r="N604" s="23"/>
      <c r="O604" s="23"/>
      <c r="P604" s="23"/>
      <c r="Q604" s="23"/>
      <c r="R604" s="23"/>
      <c r="S604" s="23"/>
      <c r="T604" s="23"/>
      <c r="U604" s="23"/>
      <c r="V604" s="23"/>
    </row>
    <row r="605" spans="7:22" ht="14.25" customHeight="1" x14ac:dyDescent="0.35">
      <c r="G605" s="19"/>
      <c r="I605" s="30"/>
      <c r="J605" s="31"/>
      <c r="K605" s="23"/>
      <c r="L605" s="23"/>
      <c r="M605" s="23"/>
      <c r="N605" s="23"/>
      <c r="O605" s="23"/>
      <c r="P605" s="23"/>
      <c r="Q605" s="23"/>
      <c r="R605" s="23"/>
      <c r="S605" s="23"/>
      <c r="T605" s="23"/>
      <c r="U605" s="23"/>
      <c r="V605" s="23"/>
    </row>
    <row r="606" spans="7:22" ht="14.25" customHeight="1" x14ac:dyDescent="0.35">
      <c r="G606" s="19"/>
      <c r="I606" s="30"/>
      <c r="J606" s="31"/>
      <c r="K606" s="23"/>
      <c r="L606" s="23"/>
      <c r="M606" s="23"/>
      <c r="N606" s="23"/>
      <c r="O606" s="23"/>
      <c r="P606" s="23"/>
      <c r="Q606" s="23"/>
      <c r="R606" s="23"/>
      <c r="S606" s="23"/>
      <c r="T606" s="23"/>
      <c r="U606" s="23"/>
      <c r="V606" s="23"/>
    </row>
    <row r="607" spans="7:22" ht="14.25" customHeight="1" x14ac:dyDescent="0.35">
      <c r="G607" s="19"/>
      <c r="I607" s="30"/>
      <c r="J607" s="31"/>
      <c r="K607" s="23"/>
      <c r="L607" s="23"/>
      <c r="M607" s="23"/>
      <c r="N607" s="23"/>
      <c r="O607" s="23"/>
      <c r="P607" s="23"/>
      <c r="Q607" s="23"/>
      <c r="R607" s="23"/>
      <c r="S607" s="23"/>
      <c r="T607" s="23"/>
      <c r="U607" s="23"/>
      <c r="V607" s="23"/>
    </row>
    <row r="608" spans="7:22" ht="14.25" customHeight="1" x14ac:dyDescent="0.35">
      <c r="G608" s="19"/>
      <c r="I608" s="30"/>
      <c r="J608" s="31"/>
      <c r="K608" s="23"/>
      <c r="L608" s="23"/>
      <c r="M608" s="23"/>
      <c r="N608" s="23"/>
      <c r="O608" s="23"/>
      <c r="P608" s="23"/>
      <c r="Q608" s="23"/>
      <c r="R608" s="23"/>
      <c r="S608" s="23"/>
      <c r="T608" s="23"/>
      <c r="U608" s="23"/>
      <c r="V608" s="23"/>
    </row>
    <row r="609" spans="7:22" ht="14.25" customHeight="1" x14ac:dyDescent="0.35">
      <c r="G609" s="19"/>
      <c r="I609" s="30"/>
      <c r="J609" s="31"/>
      <c r="K609" s="23"/>
      <c r="L609" s="23"/>
      <c r="M609" s="23"/>
      <c r="N609" s="23"/>
      <c r="O609" s="23"/>
      <c r="P609" s="23"/>
      <c r="Q609" s="23"/>
      <c r="R609" s="23"/>
      <c r="S609" s="23"/>
      <c r="T609" s="23"/>
      <c r="U609" s="23"/>
      <c r="V609" s="23"/>
    </row>
    <row r="610" spans="7:22" ht="14.25" customHeight="1" x14ac:dyDescent="0.35">
      <c r="G610" s="19"/>
      <c r="I610" s="30"/>
      <c r="J610" s="31"/>
      <c r="K610" s="23"/>
      <c r="L610" s="23"/>
      <c r="M610" s="23"/>
      <c r="N610" s="23"/>
      <c r="O610" s="23"/>
      <c r="P610" s="23"/>
      <c r="Q610" s="23"/>
      <c r="R610" s="23"/>
      <c r="S610" s="23"/>
      <c r="T610" s="23"/>
      <c r="U610" s="23"/>
      <c r="V610" s="23"/>
    </row>
    <row r="611" spans="7:22" ht="14.25" customHeight="1" x14ac:dyDescent="0.35">
      <c r="G611" s="19"/>
      <c r="I611" s="30"/>
      <c r="J611" s="31"/>
      <c r="K611" s="23"/>
      <c r="L611" s="23"/>
      <c r="M611" s="23"/>
      <c r="N611" s="23"/>
      <c r="O611" s="23"/>
      <c r="P611" s="23"/>
      <c r="Q611" s="23"/>
      <c r="R611" s="23"/>
      <c r="S611" s="23"/>
      <c r="T611" s="23"/>
      <c r="U611" s="23"/>
      <c r="V611" s="23"/>
    </row>
    <row r="612" spans="7:22" ht="14.25" customHeight="1" x14ac:dyDescent="0.35">
      <c r="G612" s="19"/>
      <c r="I612" s="30"/>
      <c r="J612" s="31"/>
      <c r="K612" s="23"/>
      <c r="L612" s="23"/>
      <c r="M612" s="23"/>
      <c r="N612" s="23"/>
      <c r="O612" s="23"/>
      <c r="P612" s="23"/>
      <c r="Q612" s="23"/>
      <c r="R612" s="23"/>
      <c r="S612" s="23"/>
      <c r="T612" s="23"/>
      <c r="U612" s="23"/>
      <c r="V612" s="23"/>
    </row>
    <row r="613" spans="7:22" ht="14.25" customHeight="1" x14ac:dyDescent="0.35">
      <c r="G613" s="19"/>
      <c r="I613" s="30"/>
      <c r="J613" s="31"/>
      <c r="K613" s="23"/>
      <c r="L613" s="23"/>
      <c r="M613" s="23"/>
      <c r="N613" s="23"/>
      <c r="O613" s="23"/>
      <c r="P613" s="23"/>
      <c r="Q613" s="23"/>
      <c r="R613" s="23"/>
      <c r="S613" s="23"/>
      <c r="T613" s="23"/>
      <c r="U613" s="23"/>
      <c r="V613" s="23"/>
    </row>
    <row r="614" spans="7:22" ht="14.25" customHeight="1" x14ac:dyDescent="0.35">
      <c r="G614" s="19"/>
      <c r="I614" s="30"/>
      <c r="J614" s="31"/>
      <c r="K614" s="23"/>
      <c r="L614" s="23"/>
      <c r="M614" s="23"/>
      <c r="N614" s="23"/>
      <c r="O614" s="23"/>
      <c r="P614" s="23"/>
      <c r="Q614" s="23"/>
      <c r="R614" s="23"/>
      <c r="S614" s="23"/>
      <c r="T614" s="23"/>
      <c r="U614" s="23"/>
      <c r="V614" s="23"/>
    </row>
    <row r="615" spans="7:22" ht="14.25" customHeight="1" x14ac:dyDescent="0.35">
      <c r="G615" s="19"/>
      <c r="I615" s="30"/>
      <c r="J615" s="31"/>
      <c r="K615" s="23"/>
      <c r="L615" s="23"/>
      <c r="M615" s="23"/>
      <c r="N615" s="23"/>
      <c r="O615" s="23"/>
      <c r="P615" s="23"/>
      <c r="Q615" s="23"/>
      <c r="R615" s="23"/>
      <c r="S615" s="23"/>
      <c r="T615" s="23"/>
      <c r="U615" s="23"/>
      <c r="V615" s="23"/>
    </row>
    <row r="616" spans="7:22" ht="14.25" customHeight="1" x14ac:dyDescent="0.35">
      <c r="G616" s="19"/>
      <c r="I616" s="30"/>
      <c r="J616" s="31"/>
      <c r="K616" s="23"/>
      <c r="L616" s="23"/>
      <c r="M616" s="23"/>
      <c r="N616" s="23"/>
      <c r="O616" s="23"/>
      <c r="P616" s="23"/>
      <c r="Q616" s="23"/>
      <c r="R616" s="23"/>
      <c r="S616" s="23"/>
      <c r="T616" s="23"/>
      <c r="U616" s="23"/>
      <c r="V616" s="23"/>
    </row>
    <row r="617" spans="7:22" ht="14.25" customHeight="1" x14ac:dyDescent="0.35">
      <c r="G617" s="19"/>
      <c r="I617" s="30"/>
      <c r="J617" s="31"/>
      <c r="K617" s="23"/>
      <c r="L617" s="23"/>
      <c r="M617" s="23"/>
      <c r="N617" s="23"/>
      <c r="O617" s="23"/>
      <c r="P617" s="23"/>
      <c r="Q617" s="23"/>
      <c r="R617" s="23"/>
      <c r="S617" s="23"/>
      <c r="T617" s="23"/>
      <c r="U617" s="23"/>
      <c r="V617" s="23"/>
    </row>
    <row r="618" spans="7:22" ht="14.25" customHeight="1" x14ac:dyDescent="0.35">
      <c r="G618" s="19"/>
      <c r="I618" s="30"/>
      <c r="J618" s="31"/>
      <c r="K618" s="23"/>
      <c r="L618" s="23"/>
      <c r="M618" s="23"/>
      <c r="N618" s="23"/>
      <c r="O618" s="23"/>
      <c r="P618" s="23"/>
      <c r="Q618" s="23"/>
      <c r="R618" s="23"/>
      <c r="S618" s="23"/>
      <c r="T618" s="23"/>
      <c r="U618" s="23"/>
      <c r="V618" s="23"/>
    </row>
    <row r="619" spans="7:22" ht="14.25" customHeight="1" x14ac:dyDescent="0.35">
      <c r="G619" s="19"/>
      <c r="I619" s="30"/>
      <c r="J619" s="31"/>
      <c r="K619" s="23"/>
      <c r="L619" s="23"/>
      <c r="M619" s="23"/>
      <c r="N619" s="23"/>
      <c r="O619" s="23"/>
      <c r="P619" s="23"/>
      <c r="Q619" s="23"/>
      <c r="R619" s="23"/>
      <c r="S619" s="23"/>
      <c r="T619" s="23"/>
      <c r="U619" s="23"/>
      <c r="V619" s="23"/>
    </row>
    <row r="620" spans="7:22" ht="14.25" customHeight="1" x14ac:dyDescent="0.35">
      <c r="G620" s="19"/>
      <c r="I620" s="30"/>
      <c r="J620" s="31"/>
      <c r="K620" s="23"/>
      <c r="L620" s="23"/>
      <c r="M620" s="23"/>
      <c r="N620" s="23"/>
      <c r="O620" s="23"/>
      <c r="P620" s="23"/>
      <c r="Q620" s="23"/>
      <c r="R620" s="23"/>
      <c r="S620" s="23"/>
      <c r="T620" s="23"/>
      <c r="U620" s="23"/>
      <c r="V620" s="23"/>
    </row>
    <row r="621" spans="7:22" ht="14.25" customHeight="1" x14ac:dyDescent="0.35">
      <c r="G621" s="19"/>
      <c r="I621" s="30"/>
      <c r="J621" s="31"/>
      <c r="K621" s="23"/>
      <c r="L621" s="23"/>
      <c r="M621" s="23"/>
      <c r="N621" s="23"/>
      <c r="O621" s="23"/>
      <c r="P621" s="23"/>
      <c r="Q621" s="23"/>
      <c r="R621" s="23"/>
      <c r="S621" s="23"/>
      <c r="T621" s="23"/>
      <c r="U621" s="23"/>
      <c r="V621" s="23"/>
    </row>
    <row r="622" spans="7:22" ht="14.25" customHeight="1" x14ac:dyDescent="0.35">
      <c r="G622" s="19"/>
      <c r="I622" s="30"/>
      <c r="J622" s="31"/>
      <c r="K622" s="23"/>
      <c r="L622" s="23"/>
      <c r="M622" s="23"/>
      <c r="N622" s="23"/>
      <c r="O622" s="23"/>
      <c r="P622" s="23"/>
      <c r="Q622" s="23"/>
      <c r="R622" s="23"/>
      <c r="S622" s="23"/>
      <c r="T622" s="23"/>
      <c r="U622" s="23"/>
      <c r="V622" s="23"/>
    </row>
    <row r="623" spans="7:22" ht="14.25" customHeight="1" x14ac:dyDescent="0.35">
      <c r="G623" s="19"/>
      <c r="I623" s="30"/>
      <c r="J623" s="31"/>
      <c r="K623" s="23"/>
      <c r="L623" s="23"/>
      <c r="M623" s="23"/>
      <c r="N623" s="23"/>
      <c r="O623" s="23"/>
      <c r="P623" s="23"/>
      <c r="Q623" s="23"/>
      <c r="R623" s="23"/>
      <c r="S623" s="23"/>
      <c r="T623" s="23"/>
      <c r="U623" s="23"/>
      <c r="V623" s="23"/>
    </row>
    <row r="624" spans="7:22" ht="14.25" customHeight="1" x14ac:dyDescent="0.35">
      <c r="G624" s="19"/>
      <c r="I624" s="30"/>
      <c r="J624" s="31"/>
      <c r="K624" s="23"/>
      <c r="L624" s="23"/>
      <c r="M624" s="23"/>
      <c r="N624" s="23"/>
      <c r="O624" s="23"/>
      <c r="P624" s="23"/>
      <c r="Q624" s="23"/>
      <c r="R624" s="23"/>
      <c r="S624" s="23"/>
      <c r="T624" s="23"/>
      <c r="U624" s="23"/>
      <c r="V624" s="23"/>
    </row>
    <row r="625" spans="7:22" ht="14.25" customHeight="1" x14ac:dyDescent="0.35">
      <c r="G625" s="19"/>
      <c r="I625" s="30"/>
      <c r="J625" s="31"/>
      <c r="K625" s="23"/>
      <c r="L625" s="23"/>
      <c r="M625" s="23"/>
      <c r="N625" s="23"/>
      <c r="O625" s="23"/>
      <c r="P625" s="23"/>
      <c r="Q625" s="23"/>
      <c r="R625" s="23"/>
      <c r="S625" s="23"/>
      <c r="T625" s="23"/>
      <c r="U625" s="23"/>
      <c r="V625" s="23"/>
    </row>
    <row r="626" spans="7:22" ht="14.25" customHeight="1" x14ac:dyDescent="0.35">
      <c r="G626" s="19"/>
      <c r="I626" s="30"/>
      <c r="J626" s="31"/>
      <c r="K626" s="23"/>
      <c r="L626" s="23"/>
      <c r="M626" s="23"/>
      <c r="N626" s="23"/>
      <c r="O626" s="23"/>
      <c r="P626" s="23"/>
      <c r="Q626" s="23"/>
      <c r="R626" s="23"/>
      <c r="S626" s="23"/>
      <c r="T626" s="23"/>
      <c r="U626" s="23"/>
      <c r="V626" s="23"/>
    </row>
    <row r="627" spans="7:22" ht="14.25" customHeight="1" x14ac:dyDescent="0.35">
      <c r="G627" s="19"/>
      <c r="I627" s="30"/>
      <c r="J627" s="31"/>
      <c r="K627" s="23"/>
      <c r="L627" s="23"/>
      <c r="M627" s="23"/>
      <c r="N627" s="23"/>
      <c r="O627" s="23"/>
      <c r="P627" s="23"/>
      <c r="Q627" s="23"/>
      <c r="R627" s="23"/>
      <c r="S627" s="23"/>
      <c r="T627" s="23"/>
      <c r="U627" s="23"/>
      <c r="V627" s="23"/>
    </row>
    <row r="628" spans="7:22" ht="14.25" customHeight="1" x14ac:dyDescent="0.35">
      <c r="G628" s="19"/>
      <c r="I628" s="30"/>
      <c r="J628" s="31"/>
      <c r="K628" s="23"/>
      <c r="L628" s="23"/>
      <c r="M628" s="23"/>
      <c r="N628" s="23"/>
      <c r="O628" s="23"/>
      <c r="P628" s="23"/>
      <c r="Q628" s="23"/>
      <c r="R628" s="23"/>
      <c r="S628" s="23"/>
      <c r="T628" s="23"/>
      <c r="U628" s="23"/>
      <c r="V628" s="23"/>
    </row>
    <row r="629" spans="7:22" ht="14.25" customHeight="1" x14ac:dyDescent="0.35">
      <c r="G629" s="19"/>
      <c r="I629" s="30"/>
      <c r="J629" s="31"/>
      <c r="K629" s="23"/>
      <c r="L629" s="23"/>
      <c r="M629" s="23"/>
      <c r="N629" s="23"/>
      <c r="O629" s="23"/>
      <c r="P629" s="23"/>
      <c r="Q629" s="23"/>
      <c r="R629" s="23"/>
      <c r="S629" s="23"/>
      <c r="T629" s="23"/>
      <c r="U629" s="23"/>
      <c r="V629" s="23"/>
    </row>
    <row r="630" spans="7:22" ht="14.25" customHeight="1" x14ac:dyDescent="0.35">
      <c r="G630" s="19"/>
      <c r="I630" s="30"/>
      <c r="J630" s="31"/>
      <c r="K630" s="23"/>
      <c r="L630" s="23"/>
      <c r="M630" s="23"/>
      <c r="N630" s="23"/>
      <c r="O630" s="23"/>
      <c r="P630" s="23"/>
      <c r="Q630" s="23"/>
      <c r="R630" s="23"/>
      <c r="S630" s="23"/>
      <c r="T630" s="23"/>
      <c r="U630" s="23"/>
      <c r="V630" s="23"/>
    </row>
    <row r="631" spans="7:22" ht="14.25" customHeight="1" x14ac:dyDescent="0.35">
      <c r="G631" s="19"/>
      <c r="I631" s="30"/>
      <c r="J631" s="31"/>
      <c r="K631" s="23"/>
      <c r="L631" s="23"/>
      <c r="M631" s="23"/>
      <c r="N631" s="23"/>
      <c r="O631" s="23"/>
      <c r="P631" s="23"/>
      <c r="Q631" s="23"/>
      <c r="R631" s="23"/>
      <c r="S631" s="23"/>
      <c r="T631" s="23"/>
      <c r="U631" s="23"/>
      <c r="V631" s="23"/>
    </row>
    <row r="632" spans="7:22" ht="14.25" customHeight="1" x14ac:dyDescent="0.35">
      <c r="G632" s="19"/>
      <c r="I632" s="30"/>
      <c r="J632" s="31"/>
      <c r="K632" s="23"/>
      <c r="L632" s="23"/>
      <c r="M632" s="23"/>
      <c r="N632" s="23"/>
      <c r="O632" s="23"/>
      <c r="P632" s="23"/>
      <c r="Q632" s="23"/>
      <c r="R632" s="23"/>
      <c r="S632" s="23"/>
      <c r="T632" s="23"/>
      <c r="U632" s="23"/>
      <c r="V632" s="23"/>
    </row>
    <row r="633" spans="7:22" ht="14.25" customHeight="1" x14ac:dyDescent="0.35">
      <c r="G633" s="19"/>
      <c r="I633" s="30"/>
      <c r="J633" s="31"/>
      <c r="K633" s="23"/>
      <c r="L633" s="23"/>
      <c r="M633" s="23"/>
      <c r="N633" s="23"/>
      <c r="O633" s="23"/>
      <c r="P633" s="23"/>
      <c r="Q633" s="23"/>
      <c r="R633" s="23"/>
      <c r="S633" s="23"/>
      <c r="T633" s="23"/>
      <c r="U633" s="23"/>
      <c r="V633" s="23"/>
    </row>
    <row r="634" spans="7:22" ht="14.25" customHeight="1" x14ac:dyDescent="0.35">
      <c r="G634" s="19"/>
      <c r="I634" s="30"/>
      <c r="J634" s="31"/>
      <c r="K634" s="23"/>
      <c r="L634" s="23"/>
      <c r="M634" s="23"/>
      <c r="N634" s="23"/>
      <c r="O634" s="23"/>
      <c r="P634" s="23"/>
      <c r="Q634" s="23"/>
      <c r="R634" s="23"/>
      <c r="S634" s="23"/>
      <c r="T634" s="23"/>
      <c r="U634" s="23"/>
      <c r="V634" s="23"/>
    </row>
    <row r="635" spans="7:22" ht="14.25" customHeight="1" x14ac:dyDescent="0.35">
      <c r="G635" s="19"/>
      <c r="I635" s="30"/>
      <c r="J635" s="31"/>
      <c r="K635" s="23"/>
      <c r="L635" s="23"/>
      <c r="M635" s="23"/>
      <c r="N635" s="23"/>
      <c r="O635" s="23"/>
      <c r="P635" s="23"/>
      <c r="Q635" s="23"/>
      <c r="R635" s="23"/>
      <c r="S635" s="23"/>
      <c r="T635" s="23"/>
      <c r="U635" s="23"/>
      <c r="V635" s="23"/>
    </row>
    <row r="636" spans="7:22" ht="14.25" customHeight="1" x14ac:dyDescent="0.35">
      <c r="G636" s="19"/>
      <c r="I636" s="30"/>
      <c r="J636" s="31"/>
      <c r="K636" s="23"/>
      <c r="L636" s="23"/>
      <c r="M636" s="23"/>
      <c r="N636" s="23"/>
      <c r="O636" s="23"/>
      <c r="P636" s="23"/>
      <c r="Q636" s="23"/>
      <c r="R636" s="23"/>
      <c r="S636" s="23"/>
      <c r="T636" s="23"/>
      <c r="U636" s="23"/>
      <c r="V636" s="23"/>
    </row>
    <row r="637" spans="7:22" ht="14.25" customHeight="1" x14ac:dyDescent="0.35">
      <c r="G637" s="19"/>
      <c r="I637" s="30"/>
      <c r="J637" s="31"/>
      <c r="K637" s="23"/>
      <c r="L637" s="23"/>
      <c r="M637" s="23"/>
      <c r="N637" s="23"/>
      <c r="O637" s="23"/>
      <c r="P637" s="23"/>
      <c r="Q637" s="23"/>
      <c r="R637" s="23"/>
      <c r="S637" s="23"/>
      <c r="T637" s="23"/>
      <c r="U637" s="23"/>
      <c r="V637" s="23"/>
    </row>
    <row r="638" spans="7:22" ht="14.25" customHeight="1" x14ac:dyDescent="0.35">
      <c r="G638" s="19"/>
      <c r="I638" s="30"/>
      <c r="J638" s="31"/>
      <c r="K638" s="23"/>
      <c r="L638" s="23"/>
      <c r="M638" s="23"/>
      <c r="N638" s="23"/>
      <c r="O638" s="23"/>
      <c r="P638" s="23"/>
      <c r="Q638" s="23"/>
      <c r="R638" s="23"/>
      <c r="S638" s="23"/>
      <c r="T638" s="23"/>
      <c r="U638" s="23"/>
      <c r="V638" s="23"/>
    </row>
    <row r="639" spans="7:22" ht="14.25" customHeight="1" x14ac:dyDescent="0.35">
      <c r="G639" s="19"/>
      <c r="I639" s="30"/>
      <c r="J639" s="31"/>
      <c r="K639" s="23"/>
      <c r="L639" s="23"/>
      <c r="M639" s="23"/>
      <c r="N639" s="23"/>
      <c r="O639" s="23"/>
      <c r="P639" s="23"/>
      <c r="Q639" s="23"/>
      <c r="R639" s="23"/>
      <c r="S639" s="23"/>
      <c r="T639" s="23"/>
      <c r="U639" s="23"/>
      <c r="V639" s="23"/>
    </row>
    <row r="640" spans="7:22" ht="14.25" customHeight="1" x14ac:dyDescent="0.35">
      <c r="G640" s="19"/>
      <c r="I640" s="30"/>
      <c r="J640" s="31"/>
      <c r="K640" s="23"/>
      <c r="L640" s="23"/>
      <c r="M640" s="23"/>
      <c r="N640" s="23"/>
      <c r="O640" s="23"/>
      <c r="P640" s="23"/>
      <c r="Q640" s="23"/>
      <c r="R640" s="23"/>
      <c r="S640" s="23"/>
      <c r="T640" s="23"/>
      <c r="U640" s="23"/>
      <c r="V640" s="23"/>
    </row>
    <row r="641" spans="7:22" ht="14.25" customHeight="1" x14ac:dyDescent="0.35">
      <c r="G641" s="19"/>
      <c r="I641" s="30"/>
      <c r="J641" s="31"/>
      <c r="K641" s="23"/>
      <c r="L641" s="23"/>
      <c r="M641" s="23"/>
      <c r="N641" s="23"/>
      <c r="O641" s="23"/>
      <c r="P641" s="23"/>
      <c r="Q641" s="23"/>
      <c r="R641" s="23"/>
      <c r="S641" s="23"/>
      <c r="T641" s="23"/>
      <c r="U641" s="23"/>
      <c r="V641" s="23"/>
    </row>
    <row r="642" spans="7:22" ht="14.25" customHeight="1" x14ac:dyDescent="0.35">
      <c r="G642" s="19"/>
      <c r="I642" s="30"/>
      <c r="J642" s="31"/>
      <c r="K642" s="23"/>
      <c r="L642" s="23"/>
      <c r="M642" s="23"/>
      <c r="N642" s="23"/>
      <c r="O642" s="23"/>
      <c r="P642" s="23"/>
      <c r="Q642" s="23"/>
      <c r="R642" s="23"/>
      <c r="S642" s="23"/>
      <c r="T642" s="23"/>
      <c r="U642" s="23"/>
      <c r="V642" s="23"/>
    </row>
    <row r="643" spans="7:22" ht="14.25" customHeight="1" x14ac:dyDescent="0.35">
      <c r="G643" s="19"/>
      <c r="I643" s="30"/>
      <c r="J643" s="31"/>
      <c r="K643" s="23"/>
      <c r="L643" s="23"/>
      <c r="M643" s="23"/>
      <c r="N643" s="23"/>
      <c r="O643" s="23"/>
      <c r="P643" s="23"/>
      <c r="Q643" s="23"/>
      <c r="R643" s="23"/>
      <c r="S643" s="23"/>
      <c r="T643" s="23"/>
      <c r="U643" s="23"/>
      <c r="V643" s="23"/>
    </row>
    <row r="644" spans="7:22" ht="14.25" customHeight="1" x14ac:dyDescent="0.35">
      <c r="G644" s="19"/>
      <c r="I644" s="30"/>
      <c r="J644" s="31"/>
      <c r="K644" s="23"/>
      <c r="L644" s="23"/>
      <c r="M644" s="23"/>
      <c r="N644" s="23"/>
      <c r="O644" s="23"/>
      <c r="P644" s="23"/>
      <c r="Q644" s="23"/>
      <c r="R644" s="23"/>
      <c r="S644" s="23"/>
      <c r="T644" s="23"/>
      <c r="U644" s="23"/>
      <c r="V644" s="23"/>
    </row>
    <row r="645" spans="7:22" ht="14.25" customHeight="1" x14ac:dyDescent="0.35">
      <c r="G645" s="19"/>
      <c r="I645" s="30"/>
      <c r="J645" s="31"/>
      <c r="K645" s="23"/>
      <c r="L645" s="23"/>
      <c r="M645" s="23"/>
      <c r="N645" s="23"/>
      <c r="O645" s="23"/>
      <c r="P645" s="23"/>
      <c r="Q645" s="23"/>
      <c r="R645" s="23"/>
      <c r="S645" s="23"/>
      <c r="T645" s="23"/>
      <c r="U645" s="23"/>
      <c r="V645" s="23"/>
    </row>
    <row r="646" spans="7:22" ht="14.25" customHeight="1" x14ac:dyDescent="0.35">
      <c r="G646" s="19"/>
      <c r="I646" s="30"/>
      <c r="J646" s="31"/>
      <c r="K646" s="23"/>
      <c r="L646" s="23"/>
      <c r="M646" s="23"/>
      <c r="N646" s="23"/>
      <c r="O646" s="23"/>
      <c r="P646" s="23"/>
      <c r="Q646" s="23"/>
      <c r="R646" s="23"/>
      <c r="S646" s="23"/>
      <c r="T646" s="23"/>
      <c r="U646" s="23"/>
      <c r="V646" s="23"/>
    </row>
    <row r="647" spans="7:22" ht="14.25" customHeight="1" x14ac:dyDescent="0.35">
      <c r="G647" s="19"/>
      <c r="I647" s="30"/>
      <c r="J647" s="31"/>
      <c r="K647" s="23"/>
      <c r="L647" s="23"/>
      <c r="M647" s="23"/>
      <c r="N647" s="23"/>
      <c r="O647" s="23"/>
      <c r="P647" s="23"/>
      <c r="Q647" s="23"/>
      <c r="R647" s="23"/>
      <c r="S647" s="23"/>
      <c r="T647" s="23"/>
      <c r="U647" s="23"/>
      <c r="V647" s="23"/>
    </row>
    <row r="648" spans="7:22" ht="14.25" customHeight="1" x14ac:dyDescent="0.35">
      <c r="G648" s="19"/>
      <c r="I648" s="30"/>
      <c r="J648" s="31"/>
      <c r="K648" s="23"/>
      <c r="L648" s="23"/>
      <c r="M648" s="23"/>
      <c r="N648" s="23"/>
      <c r="O648" s="23"/>
      <c r="P648" s="23"/>
      <c r="Q648" s="23"/>
      <c r="R648" s="23"/>
      <c r="S648" s="23"/>
      <c r="T648" s="23"/>
      <c r="U648" s="23"/>
      <c r="V648" s="23"/>
    </row>
    <row r="649" spans="7:22" ht="14.25" customHeight="1" x14ac:dyDescent="0.35">
      <c r="G649" s="19"/>
      <c r="I649" s="30"/>
      <c r="J649" s="31"/>
      <c r="K649" s="23"/>
      <c r="L649" s="23"/>
      <c r="M649" s="23"/>
      <c r="N649" s="23"/>
      <c r="O649" s="23"/>
      <c r="P649" s="23"/>
      <c r="Q649" s="23"/>
      <c r="R649" s="23"/>
      <c r="S649" s="23"/>
      <c r="T649" s="23"/>
      <c r="U649" s="23"/>
      <c r="V649" s="23"/>
    </row>
    <row r="650" spans="7:22" ht="14.25" customHeight="1" x14ac:dyDescent="0.35">
      <c r="G650" s="19"/>
      <c r="I650" s="30"/>
      <c r="J650" s="31"/>
      <c r="K650" s="23"/>
      <c r="L650" s="23"/>
      <c r="M650" s="23"/>
      <c r="N650" s="23"/>
      <c r="O650" s="23"/>
      <c r="P650" s="23"/>
      <c r="Q650" s="23"/>
      <c r="R650" s="23"/>
      <c r="S650" s="23"/>
      <c r="T650" s="23"/>
      <c r="U650" s="23"/>
      <c r="V650" s="23"/>
    </row>
    <row r="651" spans="7:22" ht="14.25" customHeight="1" x14ac:dyDescent="0.35">
      <c r="G651" s="19"/>
      <c r="I651" s="30"/>
      <c r="J651" s="31"/>
      <c r="K651" s="23"/>
      <c r="L651" s="23"/>
      <c r="M651" s="23"/>
      <c r="N651" s="23"/>
      <c r="O651" s="23"/>
      <c r="P651" s="23"/>
      <c r="Q651" s="23"/>
      <c r="R651" s="23"/>
      <c r="S651" s="23"/>
      <c r="T651" s="23"/>
      <c r="U651" s="23"/>
      <c r="V651" s="23"/>
    </row>
    <row r="652" spans="7:22" ht="14.25" customHeight="1" x14ac:dyDescent="0.35">
      <c r="G652" s="19"/>
      <c r="I652" s="30"/>
      <c r="J652" s="31"/>
      <c r="K652" s="23"/>
      <c r="L652" s="23"/>
      <c r="M652" s="23"/>
      <c r="N652" s="23"/>
      <c r="O652" s="23"/>
      <c r="P652" s="23"/>
      <c r="Q652" s="23"/>
      <c r="R652" s="23"/>
      <c r="S652" s="23"/>
      <c r="T652" s="23"/>
      <c r="U652" s="23"/>
      <c r="V652" s="23"/>
    </row>
    <row r="653" spans="7:22" ht="14.25" customHeight="1" x14ac:dyDescent="0.35">
      <c r="G653" s="19"/>
      <c r="I653" s="30"/>
      <c r="J653" s="31"/>
      <c r="K653" s="23"/>
      <c r="L653" s="23"/>
      <c r="M653" s="23"/>
      <c r="N653" s="23"/>
      <c r="O653" s="23"/>
      <c r="P653" s="23"/>
      <c r="Q653" s="23"/>
      <c r="R653" s="23"/>
      <c r="S653" s="23"/>
      <c r="T653" s="23"/>
      <c r="U653" s="23"/>
      <c r="V653" s="23"/>
    </row>
    <row r="654" spans="7:22" ht="14.25" customHeight="1" x14ac:dyDescent="0.35">
      <c r="G654" s="19"/>
      <c r="I654" s="30"/>
      <c r="J654" s="31"/>
      <c r="K654" s="23"/>
      <c r="L654" s="23"/>
      <c r="M654" s="23"/>
      <c r="N654" s="23"/>
      <c r="O654" s="23"/>
      <c r="P654" s="23"/>
      <c r="Q654" s="23"/>
      <c r="R654" s="23"/>
      <c r="S654" s="23"/>
      <c r="T654" s="23"/>
      <c r="U654" s="23"/>
      <c r="V654" s="23"/>
    </row>
    <row r="655" spans="7:22" ht="14.25" customHeight="1" x14ac:dyDescent="0.35">
      <c r="G655" s="19"/>
      <c r="I655" s="30"/>
      <c r="J655" s="31"/>
      <c r="K655" s="23"/>
      <c r="L655" s="23"/>
      <c r="M655" s="23"/>
      <c r="N655" s="23"/>
      <c r="O655" s="23"/>
      <c r="P655" s="23"/>
      <c r="Q655" s="23"/>
      <c r="R655" s="23"/>
      <c r="S655" s="23"/>
      <c r="T655" s="23"/>
      <c r="U655" s="23"/>
      <c r="V655" s="23"/>
    </row>
    <row r="656" spans="7:22" ht="14.25" customHeight="1" x14ac:dyDescent="0.35">
      <c r="G656" s="19"/>
      <c r="I656" s="30"/>
      <c r="J656" s="31"/>
      <c r="K656" s="23"/>
      <c r="L656" s="23"/>
      <c r="M656" s="23"/>
      <c r="N656" s="23"/>
      <c r="O656" s="23"/>
      <c r="P656" s="23"/>
      <c r="Q656" s="23"/>
      <c r="R656" s="23"/>
      <c r="S656" s="23"/>
      <c r="T656" s="23"/>
      <c r="U656" s="23"/>
      <c r="V656" s="23"/>
    </row>
    <row r="657" spans="7:22" ht="14.25" customHeight="1" x14ac:dyDescent="0.35">
      <c r="G657" s="19"/>
      <c r="I657" s="30"/>
      <c r="J657" s="31"/>
      <c r="K657" s="23"/>
      <c r="L657" s="23"/>
      <c r="M657" s="23"/>
      <c r="N657" s="23"/>
      <c r="O657" s="23"/>
      <c r="P657" s="23"/>
      <c r="Q657" s="23"/>
      <c r="R657" s="23"/>
      <c r="S657" s="23"/>
      <c r="T657" s="23"/>
      <c r="U657" s="23"/>
      <c r="V657" s="23"/>
    </row>
    <row r="658" spans="7:22" ht="14.25" customHeight="1" x14ac:dyDescent="0.35">
      <c r="G658" s="19"/>
      <c r="I658" s="30"/>
      <c r="J658" s="31"/>
      <c r="K658" s="23"/>
      <c r="L658" s="23"/>
      <c r="M658" s="23"/>
      <c r="N658" s="23"/>
      <c r="O658" s="23"/>
      <c r="P658" s="23"/>
      <c r="Q658" s="23"/>
      <c r="R658" s="23"/>
      <c r="S658" s="23"/>
      <c r="T658" s="23"/>
      <c r="U658" s="23"/>
      <c r="V658" s="23"/>
    </row>
    <row r="659" spans="7:22" ht="14.25" customHeight="1" x14ac:dyDescent="0.35">
      <c r="G659" s="19"/>
      <c r="I659" s="30"/>
      <c r="J659" s="31"/>
      <c r="K659" s="23"/>
      <c r="L659" s="23"/>
      <c r="M659" s="23"/>
      <c r="N659" s="23"/>
      <c r="O659" s="23"/>
      <c r="P659" s="23"/>
      <c r="Q659" s="23"/>
      <c r="R659" s="23"/>
      <c r="S659" s="23"/>
      <c r="T659" s="23"/>
      <c r="U659" s="23"/>
      <c r="V659" s="23"/>
    </row>
    <row r="660" spans="7:22" ht="14.25" customHeight="1" x14ac:dyDescent="0.35">
      <c r="G660" s="19"/>
      <c r="I660" s="30"/>
      <c r="J660" s="31"/>
      <c r="K660" s="23"/>
      <c r="L660" s="23"/>
      <c r="M660" s="23"/>
      <c r="N660" s="23"/>
      <c r="O660" s="23"/>
      <c r="P660" s="23"/>
      <c r="Q660" s="23"/>
      <c r="R660" s="23"/>
      <c r="S660" s="23"/>
      <c r="T660" s="23"/>
      <c r="U660" s="23"/>
      <c r="V660" s="23"/>
    </row>
    <row r="661" spans="7:22" ht="14.25" customHeight="1" x14ac:dyDescent="0.35">
      <c r="G661" s="19"/>
      <c r="I661" s="30"/>
      <c r="J661" s="31"/>
      <c r="K661" s="23"/>
      <c r="L661" s="23"/>
      <c r="M661" s="23"/>
      <c r="N661" s="23"/>
      <c r="O661" s="23"/>
      <c r="P661" s="23"/>
      <c r="Q661" s="23"/>
      <c r="R661" s="23"/>
      <c r="S661" s="23"/>
      <c r="T661" s="23"/>
      <c r="U661" s="23"/>
      <c r="V661" s="23"/>
    </row>
    <row r="662" spans="7:22" ht="14.25" customHeight="1" x14ac:dyDescent="0.35">
      <c r="G662" s="19"/>
      <c r="I662" s="30"/>
      <c r="J662" s="31"/>
      <c r="K662" s="23"/>
      <c r="L662" s="23"/>
      <c r="M662" s="23"/>
      <c r="N662" s="23"/>
      <c r="O662" s="23"/>
      <c r="P662" s="23"/>
      <c r="Q662" s="23"/>
      <c r="R662" s="23"/>
      <c r="S662" s="23"/>
      <c r="T662" s="23"/>
      <c r="U662" s="23"/>
      <c r="V662" s="23"/>
    </row>
    <row r="663" spans="7:22" ht="14.25" customHeight="1" x14ac:dyDescent="0.35">
      <c r="G663" s="19"/>
      <c r="I663" s="30"/>
      <c r="J663" s="31"/>
      <c r="K663" s="23"/>
      <c r="L663" s="23"/>
      <c r="M663" s="23"/>
      <c r="N663" s="23"/>
      <c r="O663" s="23"/>
      <c r="P663" s="23"/>
      <c r="Q663" s="23"/>
      <c r="R663" s="23"/>
      <c r="S663" s="23"/>
      <c r="T663" s="23"/>
      <c r="U663" s="23"/>
      <c r="V663" s="23"/>
    </row>
    <row r="664" spans="7:22" ht="14.25" customHeight="1" x14ac:dyDescent="0.35">
      <c r="G664" s="19"/>
      <c r="I664" s="30"/>
      <c r="J664" s="31"/>
      <c r="K664" s="23"/>
      <c r="L664" s="23"/>
      <c r="M664" s="23"/>
      <c r="N664" s="23"/>
      <c r="O664" s="23"/>
      <c r="P664" s="23"/>
      <c r="Q664" s="23"/>
      <c r="R664" s="23"/>
      <c r="S664" s="23"/>
      <c r="T664" s="23"/>
      <c r="U664" s="23"/>
      <c r="V664" s="23"/>
    </row>
    <row r="665" spans="7:22" ht="14.25" customHeight="1" x14ac:dyDescent="0.35">
      <c r="G665" s="19"/>
      <c r="I665" s="30"/>
      <c r="J665" s="31"/>
      <c r="K665" s="23"/>
      <c r="L665" s="23"/>
      <c r="M665" s="23"/>
      <c r="N665" s="23"/>
      <c r="O665" s="23"/>
      <c r="P665" s="23"/>
      <c r="Q665" s="23"/>
      <c r="R665" s="23"/>
      <c r="S665" s="23"/>
      <c r="T665" s="23"/>
      <c r="U665" s="23"/>
      <c r="V665" s="23"/>
    </row>
    <row r="666" spans="7:22" ht="14.25" customHeight="1" x14ac:dyDescent="0.35">
      <c r="G666" s="19"/>
      <c r="I666" s="30"/>
      <c r="J666" s="31"/>
      <c r="K666" s="23"/>
      <c r="L666" s="23"/>
      <c r="M666" s="23"/>
      <c r="N666" s="23"/>
      <c r="O666" s="23"/>
      <c r="P666" s="23"/>
      <c r="Q666" s="23"/>
      <c r="R666" s="23"/>
      <c r="S666" s="23"/>
      <c r="T666" s="23"/>
      <c r="U666" s="23"/>
      <c r="V666" s="23"/>
    </row>
    <row r="667" spans="7:22" ht="14.25" customHeight="1" x14ac:dyDescent="0.35">
      <c r="G667" s="19"/>
      <c r="I667" s="30"/>
      <c r="J667" s="31"/>
      <c r="K667" s="23"/>
      <c r="L667" s="23"/>
      <c r="M667" s="23"/>
      <c r="N667" s="23"/>
      <c r="O667" s="23"/>
      <c r="P667" s="23"/>
      <c r="Q667" s="23"/>
      <c r="R667" s="23"/>
      <c r="S667" s="23"/>
      <c r="T667" s="23"/>
      <c r="U667" s="23"/>
      <c r="V667" s="23"/>
    </row>
    <row r="668" spans="7:22" ht="14.25" customHeight="1" x14ac:dyDescent="0.35">
      <c r="G668" s="19"/>
      <c r="I668" s="30"/>
      <c r="J668" s="31"/>
      <c r="K668" s="23"/>
      <c r="L668" s="23"/>
      <c r="M668" s="23"/>
      <c r="N668" s="23"/>
      <c r="O668" s="23"/>
      <c r="P668" s="23"/>
      <c r="Q668" s="23"/>
      <c r="R668" s="23"/>
      <c r="S668" s="23"/>
      <c r="T668" s="23"/>
      <c r="U668" s="23"/>
      <c r="V668" s="23"/>
    </row>
    <row r="669" spans="7:22" ht="14.25" customHeight="1" x14ac:dyDescent="0.35">
      <c r="G669" s="19"/>
      <c r="I669" s="30"/>
      <c r="J669" s="31"/>
      <c r="K669" s="23"/>
      <c r="L669" s="23"/>
      <c r="M669" s="23"/>
      <c r="N669" s="23"/>
      <c r="O669" s="23"/>
      <c r="P669" s="23"/>
      <c r="Q669" s="23"/>
      <c r="R669" s="23"/>
      <c r="S669" s="23"/>
      <c r="T669" s="23"/>
      <c r="U669" s="23"/>
      <c r="V669" s="23"/>
    </row>
    <row r="670" spans="7:22" ht="14.25" customHeight="1" x14ac:dyDescent="0.35">
      <c r="G670" s="19"/>
      <c r="I670" s="30"/>
      <c r="J670" s="31"/>
      <c r="K670" s="23"/>
      <c r="L670" s="23"/>
      <c r="M670" s="23"/>
      <c r="N670" s="23"/>
      <c r="O670" s="23"/>
      <c r="P670" s="23"/>
      <c r="Q670" s="23"/>
      <c r="R670" s="23"/>
      <c r="S670" s="23"/>
      <c r="T670" s="23"/>
      <c r="U670" s="23"/>
      <c r="V670" s="23"/>
    </row>
    <row r="671" spans="7:22" ht="14.25" customHeight="1" x14ac:dyDescent="0.35">
      <c r="G671" s="19"/>
      <c r="I671" s="30"/>
      <c r="J671" s="31"/>
      <c r="K671" s="23"/>
      <c r="L671" s="23"/>
      <c r="M671" s="23"/>
      <c r="N671" s="23"/>
      <c r="O671" s="23"/>
      <c r="P671" s="23"/>
      <c r="Q671" s="23"/>
      <c r="R671" s="23"/>
      <c r="S671" s="23"/>
      <c r="T671" s="23"/>
      <c r="U671" s="23"/>
      <c r="V671" s="23"/>
    </row>
    <row r="672" spans="7:22" ht="14.25" customHeight="1" x14ac:dyDescent="0.35">
      <c r="G672" s="19"/>
      <c r="I672" s="30"/>
      <c r="J672" s="31"/>
      <c r="K672" s="23"/>
      <c r="L672" s="23"/>
      <c r="M672" s="23"/>
      <c r="N672" s="23"/>
      <c r="O672" s="23"/>
      <c r="P672" s="23"/>
      <c r="Q672" s="23"/>
      <c r="R672" s="23"/>
      <c r="S672" s="23"/>
      <c r="T672" s="23"/>
      <c r="U672" s="23"/>
      <c r="V672" s="23"/>
    </row>
    <row r="673" spans="7:22" ht="14.25" customHeight="1" x14ac:dyDescent="0.35">
      <c r="G673" s="19"/>
      <c r="I673" s="30"/>
      <c r="J673" s="31"/>
      <c r="K673" s="23"/>
      <c r="L673" s="23"/>
      <c r="M673" s="23"/>
      <c r="N673" s="23"/>
      <c r="O673" s="23"/>
      <c r="P673" s="23"/>
      <c r="Q673" s="23"/>
      <c r="R673" s="23"/>
      <c r="S673" s="23"/>
      <c r="T673" s="23"/>
      <c r="U673" s="23"/>
      <c r="V673" s="23"/>
    </row>
    <row r="674" spans="7:22" ht="14.25" customHeight="1" x14ac:dyDescent="0.35">
      <c r="G674" s="19"/>
      <c r="I674" s="30"/>
      <c r="J674" s="31"/>
      <c r="K674" s="23"/>
      <c r="L674" s="23"/>
      <c r="M674" s="23"/>
      <c r="N674" s="23"/>
      <c r="O674" s="23"/>
      <c r="P674" s="23"/>
      <c r="Q674" s="23"/>
      <c r="R674" s="23"/>
      <c r="S674" s="23"/>
      <c r="T674" s="23"/>
      <c r="U674" s="23"/>
      <c r="V674" s="23"/>
    </row>
    <row r="675" spans="7:22" ht="14.25" customHeight="1" x14ac:dyDescent="0.35">
      <c r="G675" s="19"/>
      <c r="I675" s="30"/>
      <c r="J675" s="31"/>
      <c r="K675" s="23"/>
      <c r="L675" s="23"/>
      <c r="M675" s="23"/>
      <c r="N675" s="23"/>
      <c r="O675" s="23"/>
      <c r="P675" s="23"/>
      <c r="Q675" s="23"/>
      <c r="R675" s="23"/>
      <c r="S675" s="23"/>
      <c r="T675" s="23"/>
      <c r="U675" s="23"/>
      <c r="V675" s="23"/>
    </row>
    <row r="676" spans="7:22" ht="14.25" customHeight="1" x14ac:dyDescent="0.35">
      <c r="G676" s="19"/>
      <c r="I676" s="30"/>
      <c r="J676" s="31"/>
      <c r="K676" s="23"/>
      <c r="L676" s="23"/>
      <c r="M676" s="23"/>
      <c r="N676" s="23"/>
      <c r="O676" s="23"/>
      <c r="P676" s="23"/>
      <c r="Q676" s="23"/>
      <c r="R676" s="23"/>
      <c r="S676" s="23"/>
      <c r="T676" s="23"/>
      <c r="U676" s="23"/>
      <c r="V676" s="23"/>
    </row>
    <row r="677" spans="7:22" ht="14.25" customHeight="1" x14ac:dyDescent="0.35">
      <c r="G677" s="19"/>
      <c r="I677" s="30"/>
      <c r="J677" s="31"/>
      <c r="K677" s="23"/>
      <c r="L677" s="23"/>
      <c r="M677" s="23"/>
      <c r="N677" s="23"/>
      <c r="O677" s="23"/>
      <c r="P677" s="23"/>
      <c r="Q677" s="23"/>
      <c r="R677" s="23"/>
      <c r="S677" s="23"/>
      <c r="T677" s="23"/>
      <c r="U677" s="23"/>
      <c r="V677" s="23"/>
    </row>
    <row r="678" spans="7:22" ht="14.25" customHeight="1" x14ac:dyDescent="0.35">
      <c r="G678" s="19"/>
      <c r="I678" s="30"/>
      <c r="J678" s="31"/>
      <c r="K678" s="23"/>
      <c r="L678" s="23"/>
      <c r="M678" s="23"/>
      <c r="N678" s="23"/>
      <c r="O678" s="23"/>
      <c r="P678" s="23"/>
      <c r="Q678" s="23"/>
      <c r="R678" s="23"/>
      <c r="S678" s="23"/>
      <c r="T678" s="23"/>
      <c r="U678" s="23"/>
      <c r="V678" s="23"/>
    </row>
    <row r="679" spans="7:22" ht="14.25" customHeight="1" x14ac:dyDescent="0.35">
      <c r="G679" s="19"/>
      <c r="I679" s="30"/>
      <c r="J679" s="31"/>
      <c r="K679" s="23"/>
      <c r="L679" s="23"/>
      <c r="M679" s="23"/>
      <c r="N679" s="23"/>
      <c r="O679" s="23"/>
      <c r="P679" s="23"/>
      <c r="Q679" s="23"/>
      <c r="R679" s="23"/>
      <c r="S679" s="23"/>
      <c r="T679" s="23"/>
      <c r="U679" s="23"/>
      <c r="V679" s="23"/>
    </row>
    <row r="680" spans="7:22" ht="14.25" customHeight="1" x14ac:dyDescent="0.35">
      <c r="G680" s="19"/>
      <c r="I680" s="30"/>
      <c r="J680" s="31"/>
      <c r="K680" s="23"/>
      <c r="L680" s="23"/>
      <c r="M680" s="23"/>
      <c r="N680" s="23"/>
      <c r="O680" s="23"/>
      <c r="P680" s="23"/>
      <c r="Q680" s="23"/>
      <c r="R680" s="23"/>
      <c r="S680" s="23"/>
      <c r="T680" s="23"/>
      <c r="U680" s="23"/>
      <c r="V680" s="23"/>
    </row>
    <row r="681" spans="7:22" ht="14.25" customHeight="1" x14ac:dyDescent="0.35">
      <c r="G681" s="19"/>
      <c r="I681" s="30"/>
      <c r="J681" s="31"/>
      <c r="K681" s="23"/>
      <c r="L681" s="23"/>
      <c r="M681" s="23"/>
      <c r="N681" s="23"/>
      <c r="O681" s="23"/>
      <c r="P681" s="23"/>
      <c r="Q681" s="23"/>
      <c r="R681" s="23"/>
      <c r="S681" s="23"/>
      <c r="T681" s="23"/>
      <c r="U681" s="23"/>
      <c r="V681" s="23"/>
    </row>
    <row r="682" spans="7:22" ht="14.25" customHeight="1" x14ac:dyDescent="0.35">
      <c r="G682" s="19"/>
      <c r="I682" s="30"/>
      <c r="J682" s="31"/>
      <c r="K682" s="23"/>
      <c r="L682" s="23"/>
      <c r="M682" s="23"/>
      <c r="N682" s="23"/>
      <c r="O682" s="23"/>
      <c r="P682" s="23"/>
      <c r="Q682" s="23"/>
      <c r="R682" s="23"/>
      <c r="S682" s="23"/>
      <c r="T682" s="23"/>
      <c r="U682" s="23"/>
      <c r="V682" s="23"/>
    </row>
    <row r="683" spans="7:22" ht="14.25" customHeight="1" x14ac:dyDescent="0.35">
      <c r="G683" s="19"/>
      <c r="I683" s="30"/>
      <c r="J683" s="31"/>
      <c r="K683" s="23"/>
      <c r="L683" s="23"/>
      <c r="M683" s="23"/>
      <c r="N683" s="23"/>
      <c r="O683" s="23"/>
      <c r="P683" s="23"/>
      <c r="Q683" s="23"/>
      <c r="R683" s="23"/>
      <c r="S683" s="23"/>
      <c r="T683" s="23"/>
      <c r="U683" s="23"/>
      <c r="V683" s="23"/>
    </row>
    <row r="684" spans="7:22" ht="14.25" customHeight="1" x14ac:dyDescent="0.35">
      <c r="G684" s="19"/>
      <c r="I684" s="30"/>
      <c r="J684" s="31"/>
      <c r="K684" s="23"/>
      <c r="L684" s="23"/>
      <c r="M684" s="23"/>
      <c r="N684" s="23"/>
      <c r="O684" s="23"/>
      <c r="P684" s="23"/>
      <c r="Q684" s="23"/>
      <c r="R684" s="23"/>
      <c r="S684" s="23"/>
      <c r="T684" s="23"/>
      <c r="U684" s="23"/>
      <c r="V684" s="23"/>
    </row>
    <row r="685" spans="7:22" ht="14.25" customHeight="1" x14ac:dyDescent="0.35">
      <c r="G685" s="19"/>
      <c r="I685" s="30"/>
      <c r="J685" s="31"/>
      <c r="K685" s="23"/>
      <c r="L685" s="23"/>
      <c r="M685" s="23"/>
      <c r="N685" s="23"/>
      <c r="O685" s="23"/>
      <c r="P685" s="23"/>
      <c r="Q685" s="23"/>
      <c r="R685" s="23"/>
      <c r="S685" s="23"/>
      <c r="T685" s="23"/>
      <c r="U685" s="23"/>
      <c r="V685" s="23"/>
    </row>
    <row r="686" spans="7:22" ht="14.25" customHeight="1" x14ac:dyDescent="0.35">
      <c r="G686" s="19"/>
      <c r="I686" s="30"/>
      <c r="J686" s="31"/>
      <c r="K686" s="23"/>
      <c r="L686" s="23"/>
      <c r="M686" s="23"/>
      <c r="N686" s="23"/>
      <c r="O686" s="23"/>
      <c r="P686" s="23"/>
      <c r="Q686" s="23"/>
      <c r="R686" s="23"/>
      <c r="S686" s="23"/>
      <c r="T686" s="23"/>
      <c r="U686" s="23"/>
      <c r="V686" s="23"/>
    </row>
    <row r="687" spans="7:22" ht="14.25" customHeight="1" x14ac:dyDescent="0.35">
      <c r="G687" s="19"/>
      <c r="I687" s="30"/>
      <c r="J687" s="31"/>
      <c r="K687" s="23"/>
      <c r="L687" s="23"/>
      <c r="M687" s="23"/>
      <c r="N687" s="23"/>
      <c r="O687" s="23"/>
      <c r="P687" s="23"/>
      <c r="Q687" s="23"/>
      <c r="R687" s="23"/>
      <c r="S687" s="23"/>
      <c r="T687" s="23"/>
      <c r="U687" s="23"/>
      <c r="V687" s="23"/>
    </row>
    <row r="688" spans="7:22" ht="14.25" customHeight="1" x14ac:dyDescent="0.35">
      <c r="G688" s="19"/>
      <c r="I688" s="30"/>
      <c r="J688" s="31"/>
      <c r="K688" s="23"/>
      <c r="L688" s="23"/>
      <c r="M688" s="23"/>
      <c r="N688" s="23"/>
      <c r="O688" s="23"/>
      <c r="P688" s="23"/>
      <c r="Q688" s="23"/>
      <c r="R688" s="23"/>
      <c r="S688" s="23"/>
      <c r="T688" s="23"/>
      <c r="U688" s="23"/>
      <c r="V688" s="23"/>
    </row>
    <row r="689" spans="7:22" ht="14.25" customHeight="1" x14ac:dyDescent="0.35">
      <c r="G689" s="19"/>
      <c r="I689" s="30"/>
      <c r="J689" s="31"/>
      <c r="K689" s="23"/>
      <c r="L689" s="23"/>
      <c r="M689" s="23"/>
      <c r="N689" s="23"/>
      <c r="O689" s="23"/>
      <c r="P689" s="23"/>
      <c r="Q689" s="23"/>
      <c r="R689" s="23"/>
      <c r="S689" s="23"/>
      <c r="T689" s="23"/>
      <c r="U689" s="23"/>
      <c r="V689" s="23"/>
    </row>
    <row r="690" spans="7:22" ht="14.25" customHeight="1" x14ac:dyDescent="0.35">
      <c r="G690" s="19"/>
      <c r="I690" s="30"/>
      <c r="J690" s="31"/>
      <c r="K690" s="23"/>
      <c r="L690" s="23"/>
      <c r="M690" s="23"/>
      <c r="N690" s="23"/>
      <c r="O690" s="23"/>
      <c r="P690" s="23"/>
      <c r="Q690" s="23"/>
      <c r="R690" s="23"/>
      <c r="S690" s="23"/>
      <c r="T690" s="23"/>
      <c r="U690" s="23"/>
      <c r="V690" s="23"/>
    </row>
    <row r="691" spans="7:22" ht="14.25" customHeight="1" x14ac:dyDescent="0.35">
      <c r="G691" s="19"/>
      <c r="I691" s="30"/>
      <c r="J691" s="31"/>
      <c r="K691" s="23"/>
      <c r="L691" s="23"/>
      <c r="M691" s="23"/>
      <c r="N691" s="23"/>
      <c r="O691" s="23"/>
      <c r="P691" s="23"/>
      <c r="Q691" s="23"/>
      <c r="R691" s="23"/>
      <c r="S691" s="23"/>
      <c r="T691" s="23"/>
      <c r="U691" s="23"/>
      <c r="V691" s="23"/>
    </row>
    <row r="692" spans="7:22" ht="14.25" customHeight="1" x14ac:dyDescent="0.35">
      <c r="G692" s="19"/>
      <c r="I692" s="30"/>
      <c r="J692" s="31"/>
      <c r="K692" s="23"/>
      <c r="L692" s="23"/>
      <c r="M692" s="23"/>
      <c r="N692" s="23"/>
      <c r="O692" s="23"/>
      <c r="P692" s="23"/>
      <c r="Q692" s="23"/>
      <c r="R692" s="23"/>
      <c r="S692" s="23"/>
      <c r="T692" s="23"/>
      <c r="U692" s="23"/>
      <c r="V692" s="23"/>
    </row>
    <row r="693" spans="7:22" ht="14.25" customHeight="1" x14ac:dyDescent="0.35">
      <c r="G693" s="19"/>
      <c r="I693" s="30"/>
      <c r="J693" s="31"/>
      <c r="K693" s="23"/>
      <c r="L693" s="23"/>
      <c r="M693" s="23"/>
      <c r="N693" s="23"/>
      <c r="O693" s="23"/>
      <c r="P693" s="23"/>
      <c r="Q693" s="23"/>
      <c r="R693" s="23"/>
      <c r="S693" s="23"/>
      <c r="T693" s="23"/>
      <c r="U693" s="23"/>
      <c r="V693" s="23"/>
    </row>
    <row r="694" spans="7:22" ht="14.25" customHeight="1" x14ac:dyDescent="0.35">
      <c r="G694" s="19"/>
      <c r="I694" s="30"/>
      <c r="J694" s="31"/>
      <c r="K694" s="23"/>
      <c r="L694" s="23"/>
      <c r="M694" s="23"/>
      <c r="N694" s="23"/>
      <c r="O694" s="23"/>
      <c r="P694" s="23"/>
      <c r="Q694" s="23"/>
      <c r="R694" s="23"/>
      <c r="S694" s="23"/>
      <c r="T694" s="23"/>
      <c r="U694" s="23"/>
      <c r="V694" s="23"/>
    </row>
    <row r="695" spans="7:22" ht="14.25" customHeight="1" x14ac:dyDescent="0.35">
      <c r="G695" s="19"/>
      <c r="I695" s="30"/>
      <c r="J695" s="31"/>
      <c r="K695" s="23"/>
      <c r="L695" s="23"/>
      <c r="M695" s="23"/>
      <c r="N695" s="23"/>
      <c r="O695" s="23"/>
      <c r="P695" s="23"/>
      <c r="Q695" s="23"/>
      <c r="R695" s="23"/>
      <c r="S695" s="23"/>
      <c r="T695" s="23"/>
      <c r="U695" s="23"/>
      <c r="V695" s="23"/>
    </row>
    <row r="696" spans="7:22" ht="14.25" customHeight="1" x14ac:dyDescent="0.35">
      <c r="G696" s="19"/>
      <c r="I696" s="30"/>
      <c r="J696" s="31"/>
      <c r="K696" s="23"/>
      <c r="L696" s="23"/>
      <c r="M696" s="23"/>
      <c r="N696" s="23"/>
      <c r="O696" s="23"/>
      <c r="P696" s="23"/>
      <c r="Q696" s="23"/>
      <c r="R696" s="23"/>
      <c r="S696" s="23"/>
      <c r="T696" s="23"/>
      <c r="U696" s="23"/>
      <c r="V696" s="23"/>
    </row>
    <row r="697" spans="7:22" ht="14.25" customHeight="1" x14ac:dyDescent="0.35">
      <c r="G697" s="19"/>
      <c r="I697" s="30"/>
      <c r="J697" s="31"/>
      <c r="K697" s="23"/>
      <c r="L697" s="23"/>
      <c r="M697" s="23"/>
      <c r="N697" s="23"/>
      <c r="O697" s="23"/>
      <c r="P697" s="23"/>
      <c r="Q697" s="23"/>
      <c r="R697" s="23"/>
      <c r="S697" s="23"/>
      <c r="T697" s="23"/>
      <c r="U697" s="23"/>
      <c r="V697" s="23"/>
    </row>
    <row r="698" spans="7:22" ht="14.25" customHeight="1" x14ac:dyDescent="0.35">
      <c r="G698" s="19"/>
      <c r="I698" s="30"/>
      <c r="J698" s="31"/>
      <c r="K698" s="23"/>
      <c r="L698" s="23"/>
      <c r="M698" s="23"/>
      <c r="N698" s="23"/>
      <c r="O698" s="23"/>
      <c r="P698" s="23"/>
      <c r="Q698" s="23"/>
      <c r="R698" s="23"/>
      <c r="S698" s="23"/>
      <c r="T698" s="23"/>
      <c r="U698" s="23"/>
      <c r="V698" s="23"/>
    </row>
    <row r="699" spans="7:22" ht="14.25" customHeight="1" x14ac:dyDescent="0.35">
      <c r="G699" s="19"/>
      <c r="I699" s="30"/>
      <c r="J699" s="31"/>
      <c r="K699" s="23"/>
      <c r="L699" s="23"/>
      <c r="M699" s="23"/>
      <c r="N699" s="23"/>
      <c r="O699" s="23"/>
      <c r="P699" s="23"/>
      <c r="Q699" s="23"/>
      <c r="R699" s="23"/>
      <c r="S699" s="23"/>
      <c r="T699" s="23"/>
      <c r="U699" s="23"/>
      <c r="V699" s="23"/>
    </row>
    <row r="700" spans="7:22" ht="14.25" customHeight="1" x14ac:dyDescent="0.35">
      <c r="G700" s="19"/>
      <c r="I700" s="30"/>
      <c r="J700" s="31"/>
      <c r="K700" s="23"/>
      <c r="L700" s="23"/>
      <c r="M700" s="23"/>
      <c r="N700" s="23"/>
      <c r="O700" s="23"/>
      <c r="P700" s="23"/>
      <c r="Q700" s="23"/>
      <c r="R700" s="23"/>
      <c r="S700" s="23"/>
      <c r="T700" s="23"/>
      <c r="U700" s="23"/>
      <c r="V700" s="23"/>
    </row>
    <row r="701" spans="7:22" ht="14.25" customHeight="1" x14ac:dyDescent="0.35">
      <c r="G701" s="19"/>
      <c r="I701" s="30"/>
      <c r="J701" s="31"/>
      <c r="K701" s="23"/>
      <c r="L701" s="23"/>
      <c r="M701" s="23"/>
      <c r="N701" s="23"/>
      <c r="O701" s="23"/>
      <c r="P701" s="23"/>
      <c r="Q701" s="23"/>
      <c r="R701" s="23"/>
      <c r="S701" s="23"/>
      <c r="T701" s="23"/>
      <c r="U701" s="23"/>
      <c r="V701" s="23"/>
    </row>
    <row r="702" spans="7:22" ht="14.25" customHeight="1" x14ac:dyDescent="0.35">
      <c r="G702" s="19"/>
      <c r="I702" s="30"/>
      <c r="J702" s="31"/>
      <c r="K702" s="23"/>
      <c r="L702" s="23"/>
      <c r="M702" s="23"/>
      <c r="N702" s="23"/>
      <c r="O702" s="23"/>
      <c r="P702" s="23"/>
      <c r="Q702" s="23"/>
      <c r="R702" s="23"/>
      <c r="S702" s="23"/>
      <c r="T702" s="23"/>
      <c r="U702" s="23"/>
      <c r="V702" s="23"/>
    </row>
    <row r="703" spans="7:22" ht="14.25" customHeight="1" x14ac:dyDescent="0.35">
      <c r="G703" s="19"/>
      <c r="I703" s="30"/>
      <c r="J703" s="31"/>
      <c r="K703" s="23"/>
      <c r="L703" s="23"/>
      <c r="M703" s="23"/>
      <c r="N703" s="23"/>
      <c r="O703" s="23"/>
      <c r="P703" s="23"/>
      <c r="Q703" s="23"/>
      <c r="R703" s="23"/>
      <c r="S703" s="23"/>
      <c r="T703" s="23"/>
      <c r="U703" s="23"/>
      <c r="V703" s="23"/>
    </row>
    <row r="704" spans="7:22" ht="14.25" customHeight="1" x14ac:dyDescent="0.35">
      <c r="G704" s="19"/>
      <c r="I704" s="30"/>
      <c r="J704" s="31"/>
      <c r="K704" s="23"/>
      <c r="L704" s="23"/>
      <c r="M704" s="23"/>
      <c r="N704" s="23"/>
      <c r="O704" s="23"/>
      <c r="P704" s="23"/>
      <c r="Q704" s="23"/>
      <c r="R704" s="23"/>
      <c r="S704" s="23"/>
      <c r="T704" s="23"/>
      <c r="U704" s="23"/>
      <c r="V704" s="23"/>
    </row>
    <row r="705" spans="7:22" ht="14.25" customHeight="1" x14ac:dyDescent="0.35">
      <c r="G705" s="19"/>
      <c r="I705" s="30"/>
      <c r="J705" s="31"/>
      <c r="K705" s="23"/>
      <c r="L705" s="23"/>
      <c r="M705" s="23"/>
      <c r="N705" s="23"/>
      <c r="O705" s="23"/>
      <c r="P705" s="23"/>
      <c r="Q705" s="23"/>
      <c r="R705" s="23"/>
      <c r="S705" s="23"/>
      <c r="T705" s="23"/>
      <c r="U705" s="23"/>
      <c r="V705" s="23"/>
    </row>
    <row r="706" spans="7:22" ht="14.25" customHeight="1" x14ac:dyDescent="0.35">
      <c r="G706" s="19"/>
      <c r="I706" s="30"/>
      <c r="J706" s="31"/>
      <c r="K706" s="23"/>
      <c r="L706" s="23"/>
      <c r="M706" s="23"/>
      <c r="N706" s="23"/>
      <c r="O706" s="23"/>
      <c r="P706" s="23"/>
      <c r="Q706" s="23"/>
      <c r="R706" s="23"/>
      <c r="S706" s="23"/>
      <c r="T706" s="23"/>
      <c r="U706" s="23"/>
      <c r="V706" s="23"/>
    </row>
    <row r="707" spans="7:22" ht="14.25" customHeight="1" x14ac:dyDescent="0.35">
      <c r="G707" s="19"/>
      <c r="I707" s="30"/>
      <c r="J707" s="31"/>
      <c r="K707" s="23"/>
      <c r="L707" s="23"/>
      <c r="M707" s="23"/>
      <c r="N707" s="23"/>
      <c r="O707" s="23"/>
      <c r="P707" s="23"/>
      <c r="Q707" s="23"/>
      <c r="R707" s="23"/>
      <c r="S707" s="23"/>
      <c r="T707" s="23"/>
      <c r="U707" s="23"/>
      <c r="V707" s="23"/>
    </row>
    <row r="708" spans="7:22" ht="14.25" customHeight="1" x14ac:dyDescent="0.35">
      <c r="G708" s="19"/>
      <c r="I708" s="30"/>
      <c r="J708" s="31"/>
      <c r="K708" s="23"/>
      <c r="L708" s="23"/>
      <c r="M708" s="23"/>
      <c r="N708" s="23"/>
      <c r="O708" s="23"/>
      <c r="P708" s="23"/>
      <c r="Q708" s="23"/>
      <c r="R708" s="23"/>
      <c r="S708" s="23"/>
      <c r="T708" s="23"/>
      <c r="U708" s="23"/>
      <c r="V708" s="23"/>
    </row>
    <row r="709" spans="7:22" ht="14.25" customHeight="1" x14ac:dyDescent="0.35">
      <c r="G709" s="19"/>
      <c r="I709" s="30"/>
      <c r="J709" s="31"/>
      <c r="K709" s="23"/>
      <c r="L709" s="23"/>
      <c r="M709" s="23"/>
      <c r="N709" s="23"/>
      <c r="O709" s="23"/>
      <c r="P709" s="23"/>
      <c r="Q709" s="23"/>
      <c r="R709" s="23"/>
      <c r="S709" s="23"/>
      <c r="T709" s="23"/>
      <c r="U709" s="23"/>
      <c r="V709" s="23"/>
    </row>
    <row r="710" spans="7:22" ht="14.25" customHeight="1" x14ac:dyDescent="0.35">
      <c r="G710" s="19"/>
      <c r="I710" s="30"/>
      <c r="J710" s="31"/>
      <c r="K710" s="23"/>
      <c r="L710" s="23"/>
      <c r="M710" s="23"/>
      <c r="N710" s="23"/>
      <c r="O710" s="23"/>
      <c r="P710" s="23"/>
      <c r="Q710" s="23"/>
      <c r="R710" s="23"/>
      <c r="S710" s="23"/>
      <c r="T710" s="23"/>
      <c r="U710" s="23"/>
      <c r="V710" s="23"/>
    </row>
    <row r="711" spans="7:22" ht="14.25" customHeight="1" x14ac:dyDescent="0.35">
      <c r="G711" s="19"/>
      <c r="I711" s="30"/>
      <c r="J711" s="31"/>
      <c r="K711" s="23"/>
      <c r="L711" s="23"/>
      <c r="M711" s="23"/>
      <c r="N711" s="23"/>
      <c r="O711" s="23"/>
      <c r="P711" s="23"/>
      <c r="Q711" s="23"/>
      <c r="R711" s="23"/>
      <c r="S711" s="23"/>
      <c r="T711" s="23"/>
      <c r="U711" s="23"/>
      <c r="V711" s="23"/>
    </row>
    <row r="712" spans="7:22" ht="14.25" customHeight="1" x14ac:dyDescent="0.35">
      <c r="G712" s="19"/>
      <c r="I712" s="30"/>
      <c r="J712" s="31"/>
      <c r="K712" s="23"/>
      <c r="L712" s="23"/>
      <c r="M712" s="23"/>
      <c r="N712" s="23"/>
      <c r="O712" s="23"/>
      <c r="P712" s="23"/>
      <c r="Q712" s="23"/>
      <c r="R712" s="23"/>
      <c r="S712" s="23"/>
      <c r="T712" s="23"/>
      <c r="U712" s="23"/>
      <c r="V712" s="23"/>
    </row>
    <row r="713" spans="7:22" ht="14.25" customHeight="1" x14ac:dyDescent="0.35">
      <c r="G713" s="19"/>
      <c r="I713" s="30"/>
      <c r="J713" s="31"/>
      <c r="K713" s="23"/>
      <c r="L713" s="23"/>
      <c r="M713" s="23"/>
      <c r="N713" s="23"/>
      <c r="O713" s="23"/>
      <c r="P713" s="23"/>
      <c r="Q713" s="23"/>
      <c r="R713" s="23"/>
      <c r="S713" s="23"/>
      <c r="T713" s="23"/>
      <c r="U713" s="23"/>
      <c r="V713" s="23"/>
    </row>
    <row r="714" spans="7:22" ht="14.25" customHeight="1" x14ac:dyDescent="0.35">
      <c r="G714" s="19"/>
      <c r="I714" s="30"/>
      <c r="J714" s="31"/>
      <c r="K714" s="23"/>
      <c r="L714" s="23"/>
      <c r="M714" s="23"/>
      <c r="N714" s="23"/>
      <c r="O714" s="23"/>
      <c r="P714" s="23"/>
      <c r="Q714" s="23"/>
      <c r="R714" s="23"/>
      <c r="S714" s="23"/>
      <c r="T714" s="23"/>
      <c r="U714" s="23"/>
      <c r="V714" s="23"/>
    </row>
    <row r="715" spans="7:22" ht="14.25" customHeight="1" x14ac:dyDescent="0.35">
      <c r="G715" s="19"/>
      <c r="I715" s="30"/>
      <c r="J715" s="31"/>
      <c r="K715" s="23"/>
      <c r="L715" s="23"/>
      <c r="M715" s="23"/>
      <c r="N715" s="23"/>
      <c r="O715" s="23"/>
      <c r="P715" s="23"/>
      <c r="Q715" s="23"/>
      <c r="R715" s="23"/>
      <c r="S715" s="23"/>
      <c r="T715" s="23"/>
      <c r="U715" s="23"/>
      <c r="V715" s="23"/>
    </row>
    <row r="716" spans="7:22" ht="14.25" customHeight="1" x14ac:dyDescent="0.35">
      <c r="G716" s="19"/>
      <c r="I716" s="30"/>
      <c r="J716" s="31"/>
      <c r="K716" s="23"/>
      <c r="L716" s="23"/>
      <c r="M716" s="23"/>
      <c r="N716" s="23"/>
      <c r="O716" s="23"/>
      <c r="P716" s="23"/>
      <c r="Q716" s="23"/>
      <c r="R716" s="23"/>
      <c r="S716" s="23"/>
      <c r="T716" s="23"/>
      <c r="U716" s="23"/>
      <c r="V716" s="23"/>
    </row>
    <row r="717" spans="7:22" ht="14.25" customHeight="1" x14ac:dyDescent="0.35">
      <c r="G717" s="19"/>
      <c r="I717" s="30"/>
      <c r="J717" s="31"/>
      <c r="K717" s="23"/>
      <c r="L717" s="23"/>
      <c r="M717" s="23"/>
      <c r="N717" s="23"/>
      <c r="O717" s="23"/>
      <c r="P717" s="23"/>
      <c r="Q717" s="23"/>
      <c r="R717" s="23"/>
      <c r="S717" s="23"/>
      <c r="T717" s="23"/>
      <c r="U717" s="23"/>
      <c r="V717" s="23"/>
    </row>
    <row r="718" spans="7:22" ht="14.25" customHeight="1" x14ac:dyDescent="0.35">
      <c r="G718" s="19"/>
      <c r="I718" s="30"/>
      <c r="J718" s="31"/>
      <c r="K718" s="23"/>
      <c r="L718" s="23"/>
      <c r="M718" s="23"/>
      <c r="N718" s="23"/>
      <c r="O718" s="23"/>
      <c r="P718" s="23"/>
      <c r="Q718" s="23"/>
      <c r="R718" s="23"/>
      <c r="S718" s="23"/>
      <c r="T718" s="23"/>
      <c r="U718" s="23"/>
      <c r="V718" s="23"/>
    </row>
    <row r="719" spans="7:22" ht="14.25" customHeight="1" x14ac:dyDescent="0.35">
      <c r="G719" s="19"/>
      <c r="I719" s="30"/>
      <c r="J719" s="31"/>
      <c r="K719" s="23"/>
      <c r="L719" s="23"/>
      <c r="M719" s="23"/>
      <c r="N719" s="23"/>
      <c r="O719" s="23"/>
      <c r="P719" s="23"/>
      <c r="Q719" s="23"/>
      <c r="R719" s="23"/>
      <c r="S719" s="23"/>
      <c r="T719" s="23"/>
      <c r="U719" s="23"/>
      <c r="V719" s="23"/>
    </row>
    <row r="720" spans="7:22" ht="14.25" customHeight="1" x14ac:dyDescent="0.35">
      <c r="G720" s="19"/>
      <c r="I720" s="30"/>
      <c r="J720" s="31"/>
      <c r="K720" s="23"/>
      <c r="L720" s="23"/>
      <c r="M720" s="23"/>
      <c r="N720" s="23"/>
      <c r="O720" s="23"/>
      <c r="P720" s="23"/>
      <c r="Q720" s="23"/>
      <c r="R720" s="23"/>
      <c r="S720" s="23"/>
      <c r="T720" s="23"/>
      <c r="U720" s="23"/>
      <c r="V720" s="23"/>
    </row>
    <row r="721" spans="7:22" ht="14.25" customHeight="1" x14ac:dyDescent="0.35">
      <c r="G721" s="19"/>
      <c r="I721" s="30"/>
      <c r="J721" s="31"/>
      <c r="K721" s="23"/>
      <c r="L721" s="23"/>
      <c r="M721" s="23"/>
      <c r="N721" s="23"/>
      <c r="O721" s="23"/>
      <c r="P721" s="23"/>
      <c r="Q721" s="23"/>
      <c r="R721" s="23"/>
      <c r="S721" s="23"/>
      <c r="T721" s="23"/>
      <c r="U721" s="23"/>
      <c r="V721" s="23"/>
    </row>
    <row r="722" spans="7:22" ht="14.25" customHeight="1" x14ac:dyDescent="0.35">
      <c r="G722" s="19"/>
      <c r="I722" s="30"/>
      <c r="J722" s="31"/>
      <c r="K722" s="23"/>
      <c r="L722" s="23"/>
      <c r="M722" s="23"/>
      <c r="N722" s="23"/>
      <c r="O722" s="23"/>
      <c r="P722" s="23"/>
      <c r="Q722" s="23"/>
      <c r="R722" s="23"/>
      <c r="S722" s="23"/>
      <c r="T722" s="23"/>
      <c r="U722" s="23"/>
      <c r="V722" s="23"/>
    </row>
    <row r="723" spans="7:22" ht="14.25" customHeight="1" x14ac:dyDescent="0.35">
      <c r="G723" s="19"/>
      <c r="I723" s="30"/>
      <c r="J723" s="31"/>
      <c r="K723" s="23"/>
      <c r="L723" s="23"/>
      <c r="M723" s="23"/>
      <c r="N723" s="23"/>
      <c r="O723" s="23"/>
      <c r="P723" s="23"/>
      <c r="Q723" s="23"/>
      <c r="R723" s="23"/>
      <c r="S723" s="23"/>
      <c r="T723" s="23"/>
      <c r="U723" s="23"/>
      <c r="V723" s="23"/>
    </row>
    <row r="724" spans="7:22" ht="14.25" customHeight="1" x14ac:dyDescent="0.35">
      <c r="G724" s="19"/>
      <c r="I724" s="30"/>
      <c r="J724" s="31"/>
      <c r="K724" s="23"/>
      <c r="L724" s="23"/>
      <c r="M724" s="23"/>
      <c r="N724" s="23"/>
      <c r="O724" s="23"/>
      <c r="P724" s="23"/>
      <c r="Q724" s="23"/>
      <c r="R724" s="23"/>
      <c r="S724" s="23"/>
      <c r="T724" s="23"/>
      <c r="U724" s="23"/>
      <c r="V724" s="23"/>
    </row>
    <row r="725" spans="7:22" ht="14.25" customHeight="1" x14ac:dyDescent="0.35">
      <c r="G725" s="19"/>
      <c r="I725" s="30"/>
      <c r="J725" s="31"/>
      <c r="K725" s="23"/>
      <c r="L725" s="23"/>
      <c r="M725" s="23"/>
      <c r="N725" s="23"/>
      <c r="O725" s="23"/>
      <c r="P725" s="23"/>
      <c r="Q725" s="23"/>
      <c r="R725" s="23"/>
      <c r="S725" s="23"/>
      <c r="T725" s="23"/>
      <c r="U725" s="23"/>
      <c r="V725" s="23"/>
    </row>
    <row r="726" spans="7:22" ht="14.25" customHeight="1" x14ac:dyDescent="0.35">
      <c r="G726" s="19"/>
      <c r="I726" s="30"/>
      <c r="J726" s="31"/>
      <c r="K726" s="23"/>
      <c r="L726" s="23"/>
      <c r="M726" s="23"/>
      <c r="N726" s="23"/>
      <c r="O726" s="23"/>
      <c r="P726" s="23"/>
      <c r="Q726" s="23"/>
      <c r="R726" s="23"/>
      <c r="S726" s="23"/>
      <c r="T726" s="23"/>
      <c r="U726" s="23"/>
      <c r="V726" s="23"/>
    </row>
    <row r="727" spans="7:22" ht="14.25" customHeight="1" x14ac:dyDescent="0.35">
      <c r="G727" s="19"/>
      <c r="I727" s="30"/>
      <c r="J727" s="31"/>
      <c r="K727" s="23"/>
      <c r="L727" s="23"/>
      <c r="M727" s="23"/>
      <c r="N727" s="23"/>
      <c r="O727" s="23"/>
      <c r="P727" s="23"/>
      <c r="Q727" s="23"/>
      <c r="R727" s="23"/>
      <c r="S727" s="23"/>
      <c r="T727" s="23"/>
      <c r="U727" s="23"/>
      <c r="V727" s="23"/>
    </row>
    <row r="728" spans="7:22" ht="14.25" customHeight="1" x14ac:dyDescent="0.35">
      <c r="G728" s="19"/>
      <c r="I728" s="30"/>
      <c r="J728" s="31"/>
      <c r="K728" s="23"/>
      <c r="L728" s="23"/>
      <c r="M728" s="23"/>
      <c r="N728" s="23"/>
      <c r="O728" s="23"/>
      <c r="P728" s="23"/>
      <c r="Q728" s="23"/>
      <c r="R728" s="23"/>
      <c r="S728" s="23"/>
      <c r="T728" s="23"/>
      <c r="U728" s="23"/>
      <c r="V728" s="23"/>
    </row>
    <row r="729" spans="7:22" ht="14.25" customHeight="1" x14ac:dyDescent="0.35">
      <c r="G729" s="19"/>
      <c r="I729" s="30"/>
      <c r="J729" s="31"/>
      <c r="K729" s="23"/>
      <c r="L729" s="23"/>
      <c r="M729" s="23"/>
      <c r="N729" s="23"/>
      <c r="O729" s="23"/>
      <c r="P729" s="23"/>
      <c r="Q729" s="23"/>
      <c r="R729" s="23"/>
      <c r="S729" s="23"/>
      <c r="T729" s="23"/>
      <c r="U729" s="23"/>
      <c r="V729" s="23"/>
    </row>
    <row r="730" spans="7:22" ht="14.25" customHeight="1" x14ac:dyDescent="0.35">
      <c r="G730" s="19"/>
      <c r="I730" s="30"/>
      <c r="J730" s="31"/>
      <c r="K730" s="23"/>
      <c r="L730" s="23"/>
      <c r="M730" s="23"/>
      <c r="N730" s="23"/>
      <c r="O730" s="23"/>
      <c r="P730" s="23"/>
      <c r="Q730" s="23"/>
      <c r="R730" s="23"/>
      <c r="S730" s="23"/>
      <c r="T730" s="23"/>
      <c r="U730" s="23"/>
      <c r="V730" s="23"/>
    </row>
    <row r="731" spans="7:22" ht="14.25" customHeight="1" x14ac:dyDescent="0.35">
      <c r="G731" s="19"/>
      <c r="I731" s="30"/>
      <c r="J731" s="31"/>
      <c r="K731" s="23"/>
      <c r="L731" s="23"/>
      <c r="M731" s="23"/>
      <c r="N731" s="23"/>
      <c r="O731" s="23"/>
      <c r="P731" s="23"/>
      <c r="Q731" s="23"/>
      <c r="R731" s="23"/>
      <c r="S731" s="23"/>
      <c r="T731" s="23"/>
      <c r="U731" s="23"/>
      <c r="V731" s="23"/>
    </row>
    <row r="732" spans="7:22" ht="14.25" customHeight="1" x14ac:dyDescent="0.35">
      <c r="G732" s="19"/>
      <c r="I732" s="30"/>
      <c r="J732" s="31"/>
      <c r="K732" s="23"/>
      <c r="L732" s="23"/>
      <c r="M732" s="23"/>
      <c r="N732" s="23"/>
      <c r="O732" s="23"/>
      <c r="P732" s="23"/>
      <c r="Q732" s="23"/>
      <c r="R732" s="23"/>
      <c r="S732" s="23"/>
      <c r="T732" s="23"/>
      <c r="U732" s="23"/>
      <c r="V732" s="23"/>
    </row>
    <row r="733" spans="7:22" ht="14.25" customHeight="1" x14ac:dyDescent="0.35">
      <c r="G733" s="19"/>
      <c r="I733" s="30"/>
      <c r="J733" s="31"/>
      <c r="K733" s="23"/>
      <c r="L733" s="23"/>
      <c r="M733" s="23"/>
      <c r="N733" s="23"/>
      <c r="O733" s="23"/>
      <c r="P733" s="23"/>
      <c r="Q733" s="23"/>
      <c r="R733" s="23"/>
      <c r="S733" s="23"/>
      <c r="T733" s="23"/>
      <c r="U733" s="23"/>
      <c r="V733" s="23"/>
    </row>
    <row r="734" spans="7:22" ht="14.25" customHeight="1" x14ac:dyDescent="0.35">
      <c r="G734" s="19"/>
      <c r="I734" s="30"/>
      <c r="J734" s="31"/>
      <c r="K734" s="23"/>
      <c r="L734" s="23"/>
      <c r="M734" s="23"/>
      <c r="N734" s="23"/>
      <c r="O734" s="23"/>
      <c r="P734" s="23"/>
      <c r="Q734" s="23"/>
      <c r="R734" s="23"/>
      <c r="S734" s="23"/>
      <c r="T734" s="23"/>
      <c r="U734" s="23"/>
      <c r="V734" s="23"/>
    </row>
    <row r="735" spans="7:22" ht="14.25" customHeight="1" x14ac:dyDescent="0.35">
      <c r="G735" s="19"/>
      <c r="I735" s="30"/>
      <c r="J735" s="31"/>
      <c r="K735" s="23"/>
      <c r="L735" s="23"/>
      <c r="M735" s="23"/>
      <c r="N735" s="23"/>
      <c r="O735" s="23"/>
      <c r="P735" s="23"/>
      <c r="Q735" s="23"/>
      <c r="R735" s="23"/>
      <c r="S735" s="23"/>
      <c r="T735" s="23"/>
      <c r="U735" s="23"/>
      <c r="V735" s="23"/>
    </row>
    <row r="736" spans="7:22" ht="14.25" customHeight="1" x14ac:dyDescent="0.35">
      <c r="G736" s="19"/>
      <c r="I736" s="30"/>
      <c r="J736" s="31"/>
      <c r="K736" s="23"/>
      <c r="L736" s="23"/>
      <c r="M736" s="23"/>
      <c r="N736" s="23"/>
      <c r="O736" s="23"/>
      <c r="P736" s="23"/>
      <c r="Q736" s="23"/>
      <c r="R736" s="23"/>
      <c r="S736" s="23"/>
      <c r="T736" s="23"/>
      <c r="U736" s="23"/>
      <c r="V736" s="23"/>
    </row>
    <row r="737" spans="7:22" ht="14.25" customHeight="1" x14ac:dyDescent="0.35">
      <c r="G737" s="19"/>
      <c r="I737" s="30"/>
      <c r="J737" s="31"/>
      <c r="K737" s="23"/>
      <c r="L737" s="23"/>
      <c r="M737" s="23"/>
      <c r="N737" s="23"/>
      <c r="O737" s="23"/>
      <c r="P737" s="23"/>
      <c r="Q737" s="23"/>
      <c r="R737" s="23"/>
      <c r="S737" s="23"/>
      <c r="T737" s="23"/>
      <c r="U737" s="23"/>
      <c r="V737" s="23"/>
    </row>
    <row r="738" spans="7:22" ht="14.25" customHeight="1" x14ac:dyDescent="0.35">
      <c r="G738" s="19"/>
      <c r="I738" s="30"/>
      <c r="J738" s="31"/>
      <c r="K738" s="23"/>
      <c r="L738" s="23"/>
      <c r="M738" s="23"/>
      <c r="N738" s="23"/>
      <c r="O738" s="23"/>
      <c r="P738" s="23"/>
      <c r="Q738" s="23"/>
      <c r="R738" s="23"/>
      <c r="S738" s="23"/>
      <c r="T738" s="23"/>
      <c r="U738" s="23"/>
      <c r="V738" s="23"/>
    </row>
    <row r="739" spans="7:22" ht="14.25" customHeight="1" x14ac:dyDescent="0.35">
      <c r="G739" s="19"/>
      <c r="I739" s="30"/>
      <c r="J739" s="31"/>
      <c r="K739" s="23"/>
      <c r="L739" s="23"/>
      <c r="M739" s="23"/>
      <c r="N739" s="23"/>
      <c r="O739" s="23"/>
      <c r="P739" s="23"/>
      <c r="Q739" s="23"/>
      <c r="R739" s="23"/>
      <c r="S739" s="23"/>
      <c r="T739" s="23"/>
      <c r="U739" s="23"/>
      <c r="V739" s="23"/>
    </row>
    <row r="740" spans="7:22" ht="14.25" customHeight="1" x14ac:dyDescent="0.35">
      <c r="G740" s="19"/>
      <c r="I740" s="30"/>
      <c r="J740" s="31"/>
      <c r="K740" s="23"/>
      <c r="L740" s="23"/>
      <c r="M740" s="23"/>
      <c r="N740" s="23"/>
      <c r="O740" s="23"/>
      <c r="P740" s="23"/>
      <c r="Q740" s="23"/>
      <c r="R740" s="23"/>
      <c r="S740" s="23"/>
      <c r="T740" s="23"/>
      <c r="U740" s="23"/>
      <c r="V740" s="23"/>
    </row>
    <row r="741" spans="7:22" ht="14.25" customHeight="1" x14ac:dyDescent="0.35">
      <c r="G741" s="19"/>
      <c r="I741" s="30"/>
      <c r="J741" s="31"/>
      <c r="K741" s="23"/>
      <c r="L741" s="23"/>
      <c r="M741" s="23"/>
      <c r="N741" s="23"/>
      <c r="O741" s="23"/>
      <c r="P741" s="23"/>
      <c r="Q741" s="23"/>
      <c r="R741" s="23"/>
      <c r="S741" s="23"/>
      <c r="T741" s="23"/>
      <c r="U741" s="23"/>
      <c r="V741" s="23"/>
    </row>
    <row r="742" spans="7:22" ht="14.25" customHeight="1" x14ac:dyDescent="0.35">
      <c r="G742" s="19"/>
      <c r="I742" s="30"/>
      <c r="J742" s="31"/>
      <c r="K742" s="23"/>
      <c r="L742" s="23"/>
      <c r="M742" s="23"/>
      <c r="N742" s="23"/>
      <c r="O742" s="23"/>
      <c r="P742" s="23"/>
      <c r="Q742" s="23"/>
      <c r="R742" s="23"/>
      <c r="S742" s="23"/>
      <c r="T742" s="23"/>
      <c r="U742" s="23"/>
      <c r="V742" s="23"/>
    </row>
    <row r="743" spans="7:22" ht="14.25" customHeight="1" x14ac:dyDescent="0.35">
      <c r="G743" s="19"/>
      <c r="I743" s="30"/>
      <c r="J743" s="31"/>
      <c r="K743" s="23"/>
      <c r="L743" s="23"/>
      <c r="M743" s="23"/>
      <c r="N743" s="23"/>
      <c r="O743" s="23"/>
      <c r="P743" s="23"/>
      <c r="Q743" s="23"/>
      <c r="R743" s="23"/>
      <c r="S743" s="23"/>
      <c r="T743" s="23"/>
      <c r="U743" s="23"/>
      <c r="V743" s="23"/>
    </row>
    <row r="744" spans="7:22" ht="14.25" customHeight="1" x14ac:dyDescent="0.35">
      <c r="G744" s="19"/>
      <c r="I744" s="30"/>
      <c r="J744" s="31"/>
      <c r="K744" s="23"/>
      <c r="L744" s="23"/>
      <c r="M744" s="23"/>
      <c r="N744" s="23"/>
      <c r="O744" s="23"/>
      <c r="P744" s="23"/>
      <c r="Q744" s="23"/>
      <c r="R744" s="23"/>
      <c r="S744" s="23"/>
      <c r="T744" s="23"/>
      <c r="U744" s="23"/>
      <c r="V744" s="23"/>
    </row>
    <row r="745" spans="7:22" ht="14.25" customHeight="1" x14ac:dyDescent="0.35">
      <c r="G745" s="19"/>
      <c r="I745" s="30"/>
      <c r="J745" s="31"/>
      <c r="K745" s="23"/>
      <c r="L745" s="23"/>
      <c r="M745" s="23"/>
      <c r="N745" s="23"/>
      <c r="O745" s="23"/>
      <c r="P745" s="23"/>
      <c r="Q745" s="23"/>
      <c r="R745" s="23"/>
      <c r="S745" s="23"/>
      <c r="T745" s="23"/>
      <c r="U745" s="23"/>
      <c r="V745" s="23"/>
    </row>
    <row r="746" spans="7:22" ht="14.25" customHeight="1" x14ac:dyDescent="0.35">
      <c r="G746" s="19"/>
      <c r="I746" s="30"/>
      <c r="J746" s="31"/>
      <c r="K746" s="23"/>
      <c r="L746" s="23"/>
      <c r="M746" s="23"/>
      <c r="N746" s="23"/>
      <c r="O746" s="23"/>
      <c r="P746" s="23"/>
      <c r="Q746" s="23"/>
      <c r="R746" s="23"/>
      <c r="S746" s="23"/>
      <c r="T746" s="23"/>
      <c r="U746" s="23"/>
      <c r="V746" s="23"/>
    </row>
    <row r="747" spans="7:22" ht="14.25" customHeight="1" x14ac:dyDescent="0.35">
      <c r="G747" s="19"/>
      <c r="I747" s="30"/>
      <c r="J747" s="31"/>
      <c r="K747" s="23"/>
      <c r="L747" s="23"/>
      <c r="M747" s="23"/>
      <c r="N747" s="23"/>
      <c r="O747" s="23"/>
      <c r="P747" s="23"/>
      <c r="Q747" s="23"/>
      <c r="R747" s="23"/>
      <c r="S747" s="23"/>
      <c r="T747" s="23"/>
      <c r="U747" s="23"/>
      <c r="V747" s="23"/>
    </row>
    <row r="748" spans="7:22" ht="14.25" customHeight="1" x14ac:dyDescent="0.35">
      <c r="G748" s="19"/>
      <c r="I748" s="30"/>
      <c r="J748" s="31"/>
      <c r="K748" s="23"/>
      <c r="L748" s="23"/>
      <c r="M748" s="23"/>
      <c r="N748" s="23"/>
      <c r="O748" s="23"/>
      <c r="P748" s="23"/>
      <c r="Q748" s="23"/>
      <c r="R748" s="23"/>
      <c r="S748" s="23"/>
      <c r="T748" s="23"/>
      <c r="U748" s="23"/>
      <c r="V748" s="23"/>
    </row>
    <row r="749" spans="7:22" ht="14.25" customHeight="1" x14ac:dyDescent="0.35">
      <c r="G749" s="19"/>
      <c r="I749" s="30"/>
      <c r="J749" s="31"/>
      <c r="K749" s="23"/>
      <c r="L749" s="23"/>
      <c r="M749" s="23"/>
      <c r="N749" s="23"/>
      <c r="O749" s="23"/>
      <c r="P749" s="23"/>
      <c r="Q749" s="23"/>
      <c r="R749" s="23"/>
      <c r="S749" s="23"/>
      <c r="T749" s="23"/>
      <c r="U749" s="23"/>
      <c r="V749" s="23"/>
    </row>
    <row r="750" spans="7:22" ht="14.25" customHeight="1" x14ac:dyDescent="0.35">
      <c r="G750" s="19"/>
      <c r="I750" s="30"/>
      <c r="J750" s="31"/>
      <c r="K750" s="23"/>
      <c r="L750" s="23"/>
      <c r="M750" s="23"/>
      <c r="N750" s="23"/>
      <c r="O750" s="23"/>
      <c r="P750" s="23"/>
      <c r="Q750" s="23"/>
      <c r="R750" s="23"/>
      <c r="S750" s="23"/>
      <c r="T750" s="23"/>
      <c r="U750" s="23"/>
      <c r="V750" s="23"/>
    </row>
    <row r="751" spans="7:22" ht="14.25" customHeight="1" x14ac:dyDescent="0.35">
      <c r="G751" s="19"/>
      <c r="I751" s="30"/>
      <c r="J751" s="31"/>
      <c r="K751" s="23"/>
      <c r="L751" s="23"/>
      <c r="M751" s="23"/>
      <c r="N751" s="23"/>
      <c r="O751" s="23"/>
      <c r="P751" s="23"/>
      <c r="Q751" s="23"/>
      <c r="R751" s="23"/>
      <c r="S751" s="23"/>
      <c r="T751" s="23"/>
      <c r="U751" s="23"/>
      <c r="V751" s="23"/>
    </row>
    <row r="752" spans="7:22" ht="14.25" customHeight="1" x14ac:dyDescent="0.35">
      <c r="G752" s="19"/>
      <c r="I752" s="30"/>
      <c r="J752" s="31"/>
      <c r="K752" s="23"/>
      <c r="L752" s="23"/>
      <c r="M752" s="23"/>
      <c r="N752" s="23"/>
      <c r="O752" s="23"/>
      <c r="P752" s="23"/>
      <c r="Q752" s="23"/>
      <c r="R752" s="23"/>
      <c r="S752" s="23"/>
      <c r="T752" s="23"/>
      <c r="U752" s="23"/>
      <c r="V752" s="23"/>
    </row>
    <row r="753" spans="7:22" ht="14.25" customHeight="1" x14ac:dyDescent="0.35">
      <c r="G753" s="19"/>
      <c r="I753" s="30"/>
      <c r="J753" s="31"/>
      <c r="K753" s="23"/>
      <c r="L753" s="23"/>
      <c r="M753" s="23"/>
      <c r="N753" s="23"/>
      <c r="O753" s="23"/>
      <c r="P753" s="23"/>
      <c r="Q753" s="23"/>
      <c r="R753" s="23"/>
      <c r="S753" s="23"/>
      <c r="T753" s="23"/>
      <c r="U753" s="23"/>
      <c r="V753" s="23"/>
    </row>
    <row r="754" spans="7:22" ht="14.25" customHeight="1" x14ac:dyDescent="0.35">
      <c r="G754" s="19"/>
      <c r="I754" s="30"/>
      <c r="J754" s="31"/>
      <c r="K754" s="23"/>
      <c r="L754" s="23"/>
      <c r="M754" s="23"/>
      <c r="N754" s="23"/>
      <c r="O754" s="23"/>
      <c r="P754" s="23"/>
      <c r="Q754" s="23"/>
      <c r="R754" s="23"/>
      <c r="S754" s="23"/>
      <c r="T754" s="23"/>
      <c r="U754" s="23"/>
      <c r="V754" s="23"/>
    </row>
    <row r="755" spans="7:22" ht="14.25" customHeight="1" x14ac:dyDescent="0.35">
      <c r="G755" s="19"/>
      <c r="I755" s="30"/>
      <c r="J755" s="31"/>
      <c r="K755" s="23"/>
      <c r="L755" s="23"/>
      <c r="M755" s="23"/>
      <c r="N755" s="23"/>
      <c r="O755" s="23"/>
      <c r="P755" s="23"/>
      <c r="Q755" s="23"/>
      <c r="R755" s="23"/>
      <c r="S755" s="23"/>
      <c r="T755" s="23"/>
      <c r="U755" s="23"/>
      <c r="V755" s="23"/>
    </row>
    <row r="756" spans="7:22" ht="14.25" customHeight="1" x14ac:dyDescent="0.35">
      <c r="G756" s="19"/>
      <c r="I756" s="30"/>
      <c r="J756" s="31"/>
      <c r="K756" s="23"/>
      <c r="L756" s="23"/>
      <c r="M756" s="23"/>
      <c r="N756" s="23"/>
      <c r="O756" s="23"/>
      <c r="P756" s="23"/>
      <c r="Q756" s="23"/>
      <c r="R756" s="23"/>
      <c r="S756" s="23"/>
      <c r="T756" s="23"/>
      <c r="U756" s="23"/>
      <c r="V756" s="23"/>
    </row>
    <row r="757" spans="7:22" ht="14.25" customHeight="1" x14ac:dyDescent="0.35">
      <c r="G757" s="19"/>
      <c r="I757" s="30"/>
      <c r="J757" s="31"/>
      <c r="K757" s="23"/>
      <c r="L757" s="23"/>
      <c r="M757" s="23"/>
      <c r="N757" s="23"/>
      <c r="O757" s="23"/>
      <c r="P757" s="23"/>
      <c r="Q757" s="23"/>
      <c r="R757" s="23"/>
      <c r="S757" s="23"/>
      <c r="T757" s="23"/>
      <c r="U757" s="23"/>
      <c r="V757" s="23"/>
    </row>
    <row r="758" spans="7:22" ht="14.25" customHeight="1" x14ac:dyDescent="0.35">
      <c r="G758" s="19"/>
      <c r="I758" s="30"/>
      <c r="J758" s="31"/>
      <c r="K758" s="23"/>
      <c r="L758" s="23"/>
      <c r="M758" s="23"/>
      <c r="N758" s="23"/>
      <c r="O758" s="23"/>
      <c r="P758" s="23"/>
      <c r="Q758" s="23"/>
      <c r="R758" s="23"/>
      <c r="S758" s="23"/>
      <c r="T758" s="23"/>
      <c r="U758" s="23"/>
      <c r="V758" s="23"/>
    </row>
    <row r="759" spans="7:22" ht="14.25" customHeight="1" x14ac:dyDescent="0.35">
      <c r="G759" s="19"/>
      <c r="I759" s="30"/>
      <c r="J759" s="31"/>
      <c r="K759" s="23"/>
      <c r="L759" s="23"/>
      <c r="M759" s="23"/>
      <c r="N759" s="23"/>
      <c r="O759" s="23"/>
      <c r="P759" s="23"/>
      <c r="Q759" s="23"/>
      <c r="R759" s="23"/>
      <c r="S759" s="23"/>
      <c r="T759" s="23"/>
      <c r="U759" s="23"/>
      <c r="V759" s="23"/>
    </row>
    <row r="760" spans="7:22" ht="14.25" customHeight="1" x14ac:dyDescent="0.35">
      <c r="G760" s="19"/>
      <c r="I760" s="30"/>
      <c r="J760" s="31"/>
      <c r="K760" s="23"/>
      <c r="L760" s="23"/>
      <c r="M760" s="23"/>
      <c r="N760" s="23"/>
      <c r="O760" s="23"/>
      <c r="P760" s="23"/>
      <c r="Q760" s="23"/>
      <c r="R760" s="23"/>
      <c r="S760" s="23"/>
      <c r="T760" s="23"/>
      <c r="U760" s="23"/>
      <c r="V760" s="23"/>
    </row>
    <row r="761" spans="7:22" ht="14.25" customHeight="1" x14ac:dyDescent="0.35">
      <c r="G761" s="19"/>
      <c r="I761" s="30"/>
      <c r="J761" s="31"/>
      <c r="K761" s="23"/>
      <c r="L761" s="23"/>
      <c r="M761" s="23"/>
      <c r="N761" s="23"/>
      <c r="O761" s="23"/>
      <c r="P761" s="23"/>
      <c r="Q761" s="23"/>
      <c r="R761" s="23"/>
      <c r="S761" s="23"/>
      <c r="T761" s="23"/>
      <c r="U761" s="23"/>
      <c r="V761" s="23"/>
    </row>
    <row r="762" spans="7:22" ht="14.25" customHeight="1" x14ac:dyDescent="0.35">
      <c r="G762" s="19"/>
      <c r="I762" s="30"/>
      <c r="J762" s="31"/>
      <c r="K762" s="23"/>
      <c r="L762" s="23"/>
      <c r="M762" s="23"/>
      <c r="N762" s="23"/>
      <c r="O762" s="23"/>
      <c r="P762" s="23"/>
      <c r="Q762" s="23"/>
      <c r="R762" s="23"/>
      <c r="S762" s="23"/>
      <c r="T762" s="23"/>
      <c r="U762" s="23"/>
      <c r="V762" s="23"/>
    </row>
    <row r="763" spans="7:22" ht="14.25" customHeight="1" x14ac:dyDescent="0.35">
      <c r="G763" s="19"/>
      <c r="I763" s="30"/>
      <c r="J763" s="31"/>
      <c r="K763" s="23"/>
      <c r="L763" s="23"/>
      <c r="M763" s="23"/>
      <c r="N763" s="23"/>
      <c r="O763" s="23"/>
      <c r="P763" s="23"/>
      <c r="Q763" s="23"/>
      <c r="R763" s="23"/>
      <c r="S763" s="23"/>
      <c r="T763" s="23"/>
      <c r="U763" s="23"/>
      <c r="V763" s="23"/>
    </row>
    <row r="764" spans="7:22" ht="14.25" customHeight="1" x14ac:dyDescent="0.35">
      <c r="G764" s="19"/>
      <c r="I764" s="30"/>
      <c r="J764" s="31"/>
      <c r="K764" s="23"/>
      <c r="L764" s="23"/>
      <c r="M764" s="23"/>
      <c r="N764" s="23"/>
      <c r="O764" s="23"/>
      <c r="P764" s="23"/>
      <c r="Q764" s="23"/>
      <c r="R764" s="23"/>
      <c r="S764" s="23"/>
      <c r="T764" s="23"/>
      <c r="U764" s="23"/>
      <c r="V764" s="23"/>
    </row>
    <row r="765" spans="7:22" ht="14.25" customHeight="1" x14ac:dyDescent="0.35">
      <c r="G765" s="19"/>
      <c r="I765" s="30"/>
      <c r="J765" s="31"/>
      <c r="K765" s="23"/>
      <c r="L765" s="23"/>
      <c r="M765" s="23"/>
      <c r="N765" s="23"/>
      <c r="O765" s="23"/>
      <c r="P765" s="23"/>
      <c r="Q765" s="23"/>
      <c r="R765" s="23"/>
      <c r="S765" s="23"/>
      <c r="T765" s="23"/>
      <c r="U765" s="23"/>
      <c r="V765" s="23"/>
    </row>
    <row r="766" spans="7:22" ht="14.25" customHeight="1" x14ac:dyDescent="0.35">
      <c r="G766" s="19"/>
      <c r="I766" s="30"/>
      <c r="J766" s="31"/>
      <c r="K766" s="23"/>
      <c r="L766" s="23"/>
      <c r="M766" s="23"/>
      <c r="N766" s="23"/>
      <c r="O766" s="23"/>
      <c r="P766" s="23"/>
      <c r="Q766" s="23"/>
      <c r="R766" s="23"/>
      <c r="S766" s="23"/>
      <c r="T766" s="23"/>
      <c r="U766" s="23"/>
      <c r="V766" s="23"/>
    </row>
    <row r="767" spans="7:22" ht="14.25" customHeight="1" x14ac:dyDescent="0.35">
      <c r="G767" s="19"/>
      <c r="I767" s="30"/>
      <c r="J767" s="31"/>
      <c r="K767" s="23"/>
      <c r="L767" s="23"/>
      <c r="M767" s="23"/>
      <c r="N767" s="23"/>
      <c r="O767" s="23"/>
      <c r="P767" s="23"/>
      <c r="Q767" s="23"/>
      <c r="R767" s="23"/>
      <c r="S767" s="23"/>
      <c r="T767" s="23"/>
      <c r="U767" s="23"/>
      <c r="V767" s="23"/>
    </row>
    <row r="768" spans="7:22" ht="14.25" customHeight="1" x14ac:dyDescent="0.35">
      <c r="G768" s="19"/>
      <c r="I768" s="30"/>
      <c r="J768" s="31"/>
      <c r="K768" s="23"/>
      <c r="L768" s="23"/>
      <c r="M768" s="23"/>
      <c r="N768" s="23"/>
      <c r="O768" s="23"/>
      <c r="P768" s="23"/>
      <c r="Q768" s="23"/>
      <c r="R768" s="23"/>
      <c r="S768" s="23"/>
      <c r="T768" s="23"/>
      <c r="U768" s="23"/>
      <c r="V768" s="23"/>
    </row>
    <row r="769" spans="7:22" ht="14.25" customHeight="1" x14ac:dyDescent="0.35">
      <c r="G769" s="19"/>
      <c r="I769" s="30"/>
      <c r="J769" s="31"/>
      <c r="K769" s="23"/>
      <c r="L769" s="23"/>
      <c r="M769" s="23"/>
      <c r="N769" s="23"/>
      <c r="O769" s="23"/>
      <c r="P769" s="23"/>
      <c r="Q769" s="23"/>
      <c r="R769" s="23"/>
      <c r="S769" s="23"/>
      <c r="T769" s="23"/>
      <c r="U769" s="23"/>
      <c r="V769" s="23"/>
    </row>
    <row r="770" spans="7:22" ht="14.25" customHeight="1" x14ac:dyDescent="0.35">
      <c r="G770" s="19"/>
      <c r="I770" s="30"/>
      <c r="J770" s="31"/>
      <c r="K770" s="23"/>
      <c r="L770" s="23"/>
      <c r="M770" s="23"/>
      <c r="N770" s="23"/>
      <c r="O770" s="23"/>
      <c r="P770" s="23"/>
      <c r="Q770" s="23"/>
      <c r="R770" s="23"/>
      <c r="S770" s="23"/>
      <c r="T770" s="23"/>
      <c r="U770" s="23"/>
      <c r="V770" s="23"/>
    </row>
    <row r="771" spans="7:22" ht="14.25" customHeight="1" x14ac:dyDescent="0.35">
      <c r="G771" s="19"/>
      <c r="I771" s="30"/>
      <c r="J771" s="31"/>
      <c r="K771" s="23"/>
      <c r="L771" s="23"/>
      <c r="M771" s="23"/>
      <c r="N771" s="23"/>
      <c r="O771" s="23"/>
      <c r="P771" s="23"/>
      <c r="Q771" s="23"/>
      <c r="R771" s="23"/>
      <c r="S771" s="23"/>
      <c r="T771" s="23"/>
      <c r="U771" s="23"/>
      <c r="V771" s="23"/>
    </row>
    <row r="772" spans="7:22" ht="14.25" customHeight="1" x14ac:dyDescent="0.35">
      <c r="G772" s="19"/>
      <c r="I772" s="30"/>
      <c r="J772" s="31"/>
      <c r="K772" s="23"/>
      <c r="L772" s="23"/>
      <c r="M772" s="23"/>
      <c r="N772" s="23"/>
      <c r="O772" s="23"/>
      <c r="P772" s="23"/>
      <c r="Q772" s="23"/>
      <c r="R772" s="23"/>
      <c r="S772" s="23"/>
      <c r="T772" s="23"/>
      <c r="U772" s="23"/>
      <c r="V772" s="23"/>
    </row>
    <row r="773" spans="7:22" ht="14.25" customHeight="1" x14ac:dyDescent="0.35">
      <c r="G773" s="19"/>
      <c r="I773" s="30"/>
      <c r="J773" s="31"/>
      <c r="K773" s="23"/>
      <c r="L773" s="23"/>
      <c r="M773" s="23"/>
      <c r="N773" s="23"/>
      <c r="O773" s="23"/>
      <c r="P773" s="23"/>
      <c r="Q773" s="23"/>
      <c r="R773" s="23"/>
      <c r="S773" s="23"/>
      <c r="T773" s="23"/>
      <c r="U773" s="23"/>
      <c r="V773" s="23"/>
    </row>
    <row r="774" spans="7:22" ht="14.25" customHeight="1" x14ac:dyDescent="0.35">
      <c r="G774" s="19"/>
      <c r="I774" s="30"/>
      <c r="J774" s="31"/>
      <c r="K774" s="23"/>
      <c r="L774" s="23"/>
      <c r="M774" s="23"/>
      <c r="N774" s="23"/>
      <c r="O774" s="23"/>
      <c r="P774" s="23"/>
      <c r="Q774" s="23"/>
      <c r="R774" s="23"/>
      <c r="S774" s="23"/>
      <c r="T774" s="23"/>
      <c r="U774" s="23"/>
      <c r="V774" s="23"/>
    </row>
    <row r="775" spans="7:22" ht="14.25" customHeight="1" x14ac:dyDescent="0.35">
      <c r="G775" s="19"/>
      <c r="I775" s="30"/>
      <c r="J775" s="31"/>
      <c r="K775" s="23"/>
      <c r="L775" s="23"/>
      <c r="M775" s="23"/>
      <c r="N775" s="23"/>
      <c r="O775" s="23"/>
      <c r="P775" s="23"/>
      <c r="Q775" s="23"/>
      <c r="R775" s="23"/>
      <c r="S775" s="23"/>
      <c r="T775" s="23"/>
      <c r="U775" s="23"/>
      <c r="V775" s="23"/>
    </row>
    <row r="776" spans="7:22" ht="14.25" customHeight="1" x14ac:dyDescent="0.35">
      <c r="G776" s="19"/>
      <c r="I776" s="30"/>
      <c r="J776" s="31"/>
      <c r="K776" s="23"/>
      <c r="L776" s="23"/>
      <c r="M776" s="23"/>
      <c r="N776" s="23"/>
      <c r="O776" s="23"/>
      <c r="P776" s="23"/>
      <c r="Q776" s="23"/>
      <c r="R776" s="23"/>
      <c r="S776" s="23"/>
      <c r="T776" s="23"/>
      <c r="U776" s="23"/>
      <c r="V776" s="23"/>
    </row>
    <row r="777" spans="7:22" ht="14.25" customHeight="1" x14ac:dyDescent="0.35">
      <c r="G777" s="19"/>
      <c r="I777" s="30"/>
      <c r="J777" s="31"/>
      <c r="K777" s="23"/>
      <c r="L777" s="23"/>
      <c r="M777" s="23"/>
      <c r="N777" s="23"/>
      <c r="O777" s="23"/>
      <c r="P777" s="23"/>
      <c r="Q777" s="23"/>
      <c r="R777" s="23"/>
      <c r="S777" s="23"/>
      <c r="T777" s="23"/>
      <c r="U777" s="23"/>
      <c r="V777" s="23"/>
    </row>
    <row r="778" spans="7:22" ht="14.25" customHeight="1" x14ac:dyDescent="0.35">
      <c r="G778" s="19"/>
      <c r="I778" s="30"/>
      <c r="J778" s="31"/>
      <c r="K778" s="23"/>
      <c r="L778" s="23"/>
      <c r="M778" s="23"/>
      <c r="N778" s="23"/>
      <c r="O778" s="23"/>
      <c r="P778" s="23"/>
      <c r="Q778" s="23"/>
      <c r="R778" s="23"/>
      <c r="S778" s="23"/>
      <c r="T778" s="23"/>
      <c r="U778" s="23"/>
      <c r="V778" s="23"/>
    </row>
    <row r="779" spans="7:22" ht="14.25" customHeight="1" x14ac:dyDescent="0.35">
      <c r="G779" s="19"/>
      <c r="I779" s="30"/>
      <c r="J779" s="31"/>
      <c r="K779" s="23"/>
      <c r="L779" s="23"/>
      <c r="M779" s="23"/>
      <c r="N779" s="23"/>
      <c r="O779" s="23"/>
      <c r="P779" s="23"/>
      <c r="Q779" s="23"/>
      <c r="R779" s="23"/>
      <c r="S779" s="23"/>
      <c r="T779" s="23"/>
      <c r="U779" s="23"/>
      <c r="V779" s="23"/>
    </row>
    <row r="780" spans="7:22" ht="14.25" customHeight="1" x14ac:dyDescent="0.35">
      <c r="G780" s="19"/>
      <c r="I780" s="30"/>
      <c r="J780" s="31"/>
      <c r="K780" s="23"/>
      <c r="L780" s="23"/>
      <c r="M780" s="23"/>
      <c r="N780" s="23"/>
      <c r="O780" s="23"/>
      <c r="P780" s="23"/>
      <c r="Q780" s="23"/>
      <c r="R780" s="23"/>
      <c r="S780" s="23"/>
      <c r="T780" s="23"/>
      <c r="U780" s="23"/>
      <c r="V780" s="23"/>
    </row>
    <row r="781" spans="7:22" ht="14.25" customHeight="1" x14ac:dyDescent="0.35">
      <c r="G781" s="19"/>
      <c r="I781" s="30"/>
      <c r="J781" s="31"/>
      <c r="K781" s="23"/>
      <c r="L781" s="23"/>
      <c r="M781" s="23"/>
      <c r="N781" s="23"/>
      <c r="O781" s="23"/>
      <c r="P781" s="23"/>
      <c r="Q781" s="23"/>
      <c r="R781" s="23"/>
      <c r="S781" s="23"/>
      <c r="T781" s="23"/>
      <c r="U781" s="23"/>
      <c r="V781" s="23"/>
    </row>
    <row r="782" spans="7:22" ht="14.25" customHeight="1" x14ac:dyDescent="0.35">
      <c r="G782" s="19"/>
      <c r="I782" s="30"/>
      <c r="J782" s="31"/>
      <c r="K782" s="23"/>
      <c r="L782" s="23"/>
      <c r="M782" s="23"/>
      <c r="N782" s="23"/>
      <c r="O782" s="23"/>
      <c r="P782" s="23"/>
      <c r="Q782" s="23"/>
      <c r="R782" s="23"/>
      <c r="S782" s="23"/>
      <c r="T782" s="23"/>
      <c r="U782" s="23"/>
      <c r="V782" s="23"/>
    </row>
    <row r="783" spans="7:22" ht="14.25" customHeight="1" x14ac:dyDescent="0.35">
      <c r="G783" s="19"/>
      <c r="I783" s="30"/>
      <c r="J783" s="31"/>
      <c r="K783" s="23"/>
      <c r="L783" s="23"/>
      <c r="M783" s="23"/>
      <c r="N783" s="23"/>
      <c r="O783" s="23"/>
      <c r="P783" s="23"/>
      <c r="Q783" s="23"/>
      <c r="R783" s="23"/>
      <c r="S783" s="23"/>
      <c r="T783" s="23"/>
      <c r="U783" s="23"/>
      <c r="V783" s="23"/>
    </row>
    <row r="784" spans="7:22" ht="14.25" customHeight="1" x14ac:dyDescent="0.35">
      <c r="G784" s="19"/>
      <c r="I784" s="30"/>
      <c r="J784" s="31"/>
      <c r="K784" s="23"/>
      <c r="L784" s="23"/>
      <c r="M784" s="23"/>
      <c r="N784" s="23"/>
      <c r="O784" s="23"/>
      <c r="P784" s="23"/>
      <c r="Q784" s="23"/>
      <c r="R784" s="23"/>
      <c r="S784" s="23"/>
      <c r="T784" s="23"/>
      <c r="U784" s="23"/>
      <c r="V784" s="23"/>
    </row>
    <row r="785" spans="7:22" ht="14.25" customHeight="1" x14ac:dyDescent="0.35">
      <c r="G785" s="19"/>
      <c r="I785" s="30"/>
      <c r="J785" s="31"/>
      <c r="K785" s="23"/>
      <c r="L785" s="23"/>
      <c r="M785" s="23"/>
      <c r="N785" s="23"/>
      <c r="O785" s="23"/>
      <c r="P785" s="23"/>
      <c r="Q785" s="23"/>
      <c r="R785" s="23"/>
      <c r="S785" s="23"/>
      <c r="T785" s="23"/>
      <c r="U785" s="23"/>
      <c r="V785" s="23"/>
    </row>
    <row r="786" spans="7:22" ht="14.25" customHeight="1" x14ac:dyDescent="0.35">
      <c r="G786" s="19"/>
      <c r="I786" s="30"/>
      <c r="J786" s="31"/>
      <c r="K786" s="23"/>
      <c r="L786" s="23"/>
      <c r="M786" s="23"/>
      <c r="N786" s="23"/>
      <c r="O786" s="23"/>
      <c r="P786" s="23"/>
      <c r="Q786" s="23"/>
      <c r="R786" s="23"/>
      <c r="S786" s="23"/>
      <c r="T786" s="23"/>
      <c r="U786" s="23"/>
      <c r="V786" s="23"/>
    </row>
    <row r="787" spans="7:22" ht="14.25" customHeight="1" x14ac:dyDescent="0.35">
      <c r="G787" s="19"/>
      <c r="I787" s="30"/>
      <c r="J787" s="31"/>
      <c r="K787" s="23"/>
      <c r="L787" s="23"/>
      <c r="M787" s="23"/>
      <c r="N787" s="23"/>
      <c r="O787" s="23"/>
      <c r="P787" s="23"/>
      <c r="Q787" s="23"/>
      <c r="R787" s="23"/>
      <c r="S787" s="23"/>
      <c r="T787" s="23"/>
      <c r="U787" s="23"/>
      <c r="V787" s="23"/>
    </row>
    <row r="788" spans="7:22" ht="14.25" customHeight="1" x14ac:dyDescent="0.35">
      <c r="G788" s="19"/>
      <c r="I788" s="30"/>
      <c r="J788" s="31"/>
      <c r="K788" s="23"/>
      <c r="L788" s="23"/>
      <c r="M788" s="23"/>
      <c r="N788" s="23"/>
      <c r="O788" s="23"/>
      <c r="P788" s="23"/>
      <c r="Q788" s="23"/>
      <c r="R788" s="23"/>
      <c r="S788" s="23"/>
      <c r="T788" s="23"/>
      <c r="U788" s="23"/>
      <c r="V788" s="23"/>
    </row>
    <row r="789" spans="7:22" ht="14.25" customHeight="1" x14ac:dyDescent="0.35">
      <c r="G789" s="19"/>
      <c r="I789" s="30"/>
      <c r="J789" s="31"/>
      <c r="K789" s="23"/>
      <c r="L789" s="23"/>
      <c r="M789" s="23"/>
      <c r="N789" s="23"/>
      <c r="O789" s="23"/>
      <c r="P789" s="23"/>
      <c r="Q789" s="23"/>
      <c r="R789" s="23"/>
      <c r="S789" s="23"/>
      <c r="T789" s="23"/>
      <c r="U789" s="23"/>
      <c r="V789" s="23"/>
    </row>
    <row r="790" spans="7:22" ht="14.25" customHeight="1" x14ac:dyDescent="0.35">
      <c r="G790" s="19"/>
      <c r="I790" s="30"/>
      <c r="J790" s="31"/>
      <c r="K790" s="23"/>
      <c r="L790" s="23"/>
      <c r="M790" s="23"/>
      <c r="N790" s="23"/>
      <c r="O790" s="23"/>
      <c r="P790" s="23"/>
      <c r="Q790" s="23"/>
      <c r="R790" s="23"/>
      <c r="S790" s="23"/>
      <c r="T790" s="23"/>
      <c r="U790" s="23"/>
      <c r="V790" s="23"/>
    </row>
    <row r="791" spans="7:22" ht="14.25" customHeight="1" x14ac:dyDescent="0.35">
      <c r="G791" s="19"/>
      <c r="I791" s="30"/>
      <c r="J791" s="31"/>
      <c r="K791" s="23"/>
      <c r="L791" s="23"/>
      <c r="M791" s="23"/>
      <c r="N791" s="23"/>
      <c r="O791" s="23"/>
      <c r="P791" s="23"/>
      <c r="Q791" s="23"/>
      <c r="R791" s="23"/>
      <c r="S791" s="23"/>
      <c r="T791" s="23"/>
      <c r="U791" s="23"/>
      <c r="V791" s="23"/>
    </row>
    <row r="792" spans="7:22" ht="14.25" customHeight="1" x14ac:dyDescent="0.35">
      <c r="G792" s="19"/>
      <c r="I792" s="30"/>
      <c r="J792" s="31"/>
      <c r="K792" s="23"/>
      <c r="L792" s="23"/>
      <c r="M792" s="23"/>
      <c r="N792" s="23"/>
      <c r="O792" s="23"/>
      <c r="P792" s="23"/>
      <c r="Q792" s="23"/>
      <c r="R792" s="23"/>
      <c r="S792" s="23"/>
      <c r="T792" s="23"/>
      <c r="U792" s="23"/>
      <c r="V792" s="23"/>
    </row>
    <row r="793" spans="7:22" ht="14.25" customHeight="1" x14ac:dyDescent="0.35">
      <c r="G793" s="19"/>
      <c r="I793" s="30"/>
      <c r="J793" s="31"/>
      <c r="K793" s="23"/>
      <c r="L793" s="23"/>
      <c r="M793" s="23"/>
      <c r="N793" s="23"/>
      <c r="O793" s="23"/>
      <c r="P793" s="23"/>
      <c r="Q793" s="23"/>
      <c r="R793" s="23"/>
      <c r="S793" s="23"/>
      <c r="T793" s="23"/>
      <c r="U793" s="23"/>
      <c r="V793" s="23"/>
    </row>
    <row r="794" spans="7:22" ht="14.25" customHeight="1" x14ac:dyDescent="0.35">
      <c r="G794" s="19"/>
      <c r="I794" s="30"/>
      <c r="J794" s="31"/>
      <c r="K794" s="23"/>
      <c r="L794" s="23"/>
      <c r="M794" s="23"/>
      <c r="N794" s="23"/>
      <c r="O794" s="23"/>
      <c r="P794" s="23"/>
      <c r="Q794" s="23"/>
      <c r="R794" s="23"/>
      <c r="S794" s="23"/>
      <c r="T794" s="23"/>
      <c r="U794" s="23"/>
      <c r="V794" s="23"/>
    </row>
    <row r="795" spans="7:22" ht="14.25" customHeight="1" x14ac:dyDescent="0.35">
      <c r="G795" s="19"/>
      <c r="I795" s="30"/>
      <c r="J795" s="31"/>
      <c r="K795" s="23"/>
      <c r="L795" s="23"/>
      <c r="M795" s="23"/>
      <c r="N795" s="23"/>
      <c r="O795" s="23"/>
      <c r="P795" s="23"/>
      <c r="Q795" s="23"/>
      <c r="R795" s="23"/>
      <c r="S795" s="23"/>
      <c r="T795" s="23"/>
      <c r="U795" s="23"/>
      <c r="V795" s="23"/>
    </row>
    <row r="796" spans="7:22" ht="14.25" customHeight="1" x14ac:dyDescent="0.35">
      <c r="G796" s="19"/>
      <c r="I796" s="30"/>
      <c r="J796" s="31"/>
      <c r="K796" s="23"/>
      <c r="L796" s="23"/>
      <c r="M796" s="23"/>
      <c r="N796" s="23"/>
      <c r="O796" s="23"/>
      <c r="P796" s="23"/>
      <c r="Q796" s="23"/>
      <c r="R796" s="23"/>
      <c r="S796" s="23"/>
      <c r="T796" s="23"/>
      <c r="U796" s="23"/>
      <c r="V796" s="23"/>
    </row>
    <row r="797" spans="7:22" ht="14.25" customHeight="1" x14ac:dyDescent="0.35">
      <c r="G797" s="19"/>
      <c r="I797" s="30"/>
      <c r="J797" s="31"/>
      <c r="K797" s="23"/>
      <c r="L797" s="23"/>
      <c r="M797" s="23"/>
      <c r="N797" s="23"/>
      <c r="O797" s="23"/>
      <c r="P797" s="23"/>
      <c r="Q797" s="23"/>
      <c r="R797" s="23"/>
      <c r="S797" s="23"/>
      <c r="T797" s="23"/>
      <c r="U797" s="23"/>
      <c r="V797" s="23"/>
    </row>
    <row r="798" spans="7:22" ht="14.25" customHeight="1" x14ac:dyDescent="0.35">
      <c r="G798" s="19"/>
      <c r="I798" s="30"/>
      <c r="J798" s="31"/>
      <c r="K798" s="23"/>
      <c r="L798" s="23"/>
      <c r="M798" s="23"/>
      <c r="N798" s="23"/>
      <c r="O798" s="23"/>
      <c r="P798" s="23"/>
      <c r="Q798" s="23"/>
      <c r="R798" s="23"/>
      <c r="S798" s="23"/>
      <c r="T798" s="23"/>
      <c r="U798" s="23"/>
      <c r="V798" s="23"/>
    </row>
    <row r="799" spans="7:22" ht="14.25" customHeight="1" x14ac:dyDescent="0.35">
      <c r="G799" s="19"/>
      <c r="I799" s="30"/>
      <c r="J799" s="31"/>
      <c r="K799" s="23"/>
      <c r="L799" s="23"/>
      <c r="M799" s="23"/>
      <c r="N799" s="23"/>
      <c r="O799" s="23"/>
      <c r="P799" s="23"/>
      <c r="Q799" s="23"/>
      <c r="R799" s="23"/>
      <c r="S799" s="23"/>
      <c r="T799" s="23"/>
      <c r="U799" s="23"/>
      <c r="V799" s="23"/>
    </row>
    <row r="800" spans="7:22" ht="14.25" customHeight="1" x14ac:dyDescent="0.35">
      <c r="G800" s="19"/>
      <c r="I800" s="30"/>
      <c r="J800" s="31"/>
      <c r="K800" s="23"/>
      <c r="L800" s="23"/>
      <c r="M800" s="23"/>
      <c r="N800" s="23"/>
      <c r="O800" s="23"/>
      <c r="P800" s="23"/>
      <c r="Q800" s="23"/>
      <c r="R800" s="23"/>
      <c r="S800" s="23"/>
      <c r="T800" s="23"/>
      <c r="U800" s="23"/>
      <c r="V800" s="23"/>
    </row>
    <row r="801" spans="7:22" ht="14.25" customHeight="1" x14ac:dyDescent="0.35">
      <c r="G801" s="19"/>
      <c r="I801" s="30"/>
      <c r="J801" s="31"/>
      <c r="K801" s="23"/>
      <c r="L801" s="23"/>
      <c r="M801" s="23"/>
      <c r="N801" s="23"/>
      <c r="O801" s="23"/>
      <c r="P801" s="23"/>
      <c r="Q801" s="23"/>
      <c r="R801" s="23"/>
      <c r="S801" s="23"/>
      <c r="T801" s="23"/>
      <c r="U801" s="23"/>
      <c r="V801" s="23"/>
    </row>
    <row r="802" spans="7:22" ht="14.25" customHeight="1" x14ac:dyDescent="0.35">
      <c r="G802" s="19"/>
      <c r="I802" s="30"/>
      <c r="J802" s="31"/>
      <c r="K802" s="23"/>
      <c r="L802" s="23"/>
      <c r="M802" s="23"/>
      <c r="N802" s="23"/>
      <c r="O802" s="23"/>
      <c r="P802" s="23"/>
      <c r="Q802" s="23"/>
      <c r="R802" s="23"/>
      <c r="S802" s="23"/>
      <c r="T802" s="23"/>
      <c r="U802" s="23"/>
      <c r="V802" s="23"/>
    </row>
    <row r="803" spans="7:22" ht="14.25" customHeight="1" x14ac:dyDescent="0.35">
      <c r="G803" s="19"/>
      <c r="I803" s="30"/>
      <c r="J803" s="31"/>
      <c r="K803" s="23"/>
      <c r="L803" s="23"/>
      <c r="M803" s="23"/>
      <c r="N803" s="23"/>
      <c r="O803" s="23"/>
      <c r="P803" s="23"/>
      <c r="Q803" s="23"/>
      <c r="R803" s="23"/>
      <c r="S803" s="23"/>
      <c r="T803" s="23"/>
      <c r="U803" s="23"/>
      <c r="V803" s="23"/>
    </row>
    <row r="804" spans="7:22" ht="14.25" customHeight="1" x14ac:dyDescent="0.35">
      <c r="G804" s="19"/>
      <c r="I804" s="30"/>
      <c r="J804" s="31"/>
      <c r="K804" s="23"/>
      <c r="L804" s="23"/>
      <c r="M804" s="23"/>
      <c r="N804" s="23"/>
      <c r="O804" s="23"/>
      <c r="P804" s="23"/>
      <c r="Q804" s="23"/>
      <c r="R804" s="23"/>
      <c r="S804" s="23"/>
      <c r="T804" s="23"/>
      <c r="U804" s="23"/>
      <c r="V804" s="23"/>
    </row>
    <row r="805" spans="7:22" ht="14.25" customHeight="1" x14ac:dyDescent="0.35">
      <c r="G805" s="19"/>
      <c r="I805" s="30"/>
      <c r="J805" s="31"/>
      <c r="K805" s="23"/>
      <c r="L805" s="23"/>
      <c r="M805" s="23"/>
      <c r="N805" s="23"/>
      <c r="O805" s="23"/>
      <c r="P805" s="23"/>
      <c r="Q805" s="23"/>
      <c r="R805" s="23"/>
      <c r="S805" s="23"/>
      <c r="T805" s="23"/>
      <c r="U805" s="23"/>
      <c r="V805" s="23"/>
    </row>
    <row r="806" spans="7:22" ht="14.25" customHeight="1" x14ac:dyDescent="0.35">
      <c r="G806" s="19"/>
      <c r="I806" s="30"/>
      <c r="J806" s="31"/>
      <c r="K806" s="23"/>
      <c r="L806" s="23"/>
      <c r="M806" s="23"/>
      <c r="N806" s="23"/>
      <c r="O806" s="23"/>
      <c r="P806" s="23"/>
      <c r="Q806" s="23"/>
      <c r="R806" s="23"/>
      <c r="S806" s="23"/>
      <c r="T806" s="23"/>
      <c r="U806" s="23"/>
      <c r="V806" s="23"/>
    </row>
    <row r="807" spans="7:22" ht="14.25" customHeight="1" x14ac:dyDescent="0.35">
      <c r="G807" s="19"/>
      <c r="I807" s="30"/>
      <c r="J807" s="31"/>
      <c r="K807" s="23"/>
      <c r="L807" s="23"/>
      <c r="M807" s="23"/>
      <c r="N807" s="23"/>
      <c r="O807" s="23"/>
      <c r="P807" s="23"/>
      <c r="Q807" s="23"/>
      <c r="R807" s="23"/>
      <c r="S807" s="23"/>
      <c r="T807" s="23"/>
      <c r="U807" s="23"/>
      <c r="V807" s="23"/>
    </row>
    <row r="808" spans="7:22" ht="14.25" customHeight="1" x14ac:dyDescent="0.35">
      <c r="G808" s="19"/>
      <c r="I808" s="30"/>
      <c r="J808" s="31"/>
      <c r="K808" s="23"/>
      <c r="L808" s="23"/>
      <c r="M808" s="23"/>
      <c r="N808" s="23"/>
      <c r="O808" s="23"/>
      <c r="P808" s="23"/>
      <c r="Q808" s="23"/>
      <c r="R808" s="23"/>
      <c r="S808" s="23"/>
      <c r="T808" s="23"/>
      <c r="U808" s="23"/>
      <c r="V808" s="23"/>
    </row>
    <row r="809" spans="7:22" ht="14.25" customHeight="1" x14ac:dyDescent="0.35">
      <c r="G809" s="19"/>
      <c r="I809" s="30"/>
      <c r="J809" s="31"/>
      <c r="K809" s="23"/>
      <c r="L809" s="23"/>
      <c r="M809" s="23"/>
      <c r="N809" s="23"/>
      <c r="O809" s="23"/>
      <c r="P809" s="23"/>
      <c r="Q809" s="23"/>
      <c r="R809" s="23"/>
      <c r="S809" s="23"/>
      <c r="T809" s="23"/>
      <c r="U809" s="23"/>
      <c r="V809" s="23"/>
    </row>
    <row r="810" spans="7:22" ht="14.25" customHeight="1" x14ac:dyDescent="0.35">
      <c r="G810" s="19"/>
      <c r="I810" s="30"/>
      <c r="J810" s="31"/>
      <c r="K810" s="23"/>
      <c r="L810" s="23"/>
      <c r="M810" s="23"/>
      <c r="N810" s="23"/>
      <c r="O810" s="23"/>
      <c r="P810" s="23"/>
      <c r="Q810" s="23"/>
      <c r="R810" s="23"/>
      <c r="S810" s="23"/>
      <c r="T810" s="23"/>
      <c r="U810" s="23"/>
      <c r="V810" s="23"/>
    </row>
    <row r="811" spans="7:22" ht="14.25" customHeight="1" x14ac:dyDescent="0.35">
      <c r="G811" s="19"/>
      <c r="I811" s="30"/>
      <c r="J811" s="31"/>
      <c r="K811" s="23"/>
      <c r="L811" s="23"/>
      <c r="M811" s="23"/>
      <c r="N811" s="23"/>
      <c r="O811" s="23"/>
      <c r="P811" s="23"/>
      <c r="Q811" s="23"/>
      <c r="R811" s="23"/>
      <c r="S811" s="23"/>
      <c r="T811" s="23"/>
      <c r="U811" s="23"/>
      <c r="V811" s="23"/>
    </row>
    <row r="812" spans="7:22" ht="14.25" customHeight="1" x14ac:dyDescent="0.35">
      <c r="G812" s="19"/>
      <c r="I812" s="30"/>
      <c r="J812" s="31"/>
      <c r="K812" s="23"/>
      <c r="L812" s="23"/>
      <c r="M812" s="23"/>
      <c r="N812" s="23"/>
      <c r="O812" s="23"/>
      <c r="P812" s="23"/>
      <c r="Q812" s="23"/>
      <c r="R812" s="23"/>
      <c r="S812" s="23"/>
      <c r="T812" s="23"/>
      <c r="U812" s="23"/>
      <c r="V812" s="23"/>
    </row>
    <row r="813" spans="7:22" ht="14.25" customHeight="1" x14ac:dyDescent="0.35">
      <c r="G813" s="19"/>
      <c r="I813" s="30"/>
      <c r="J813" s="31"/>
      <c r="K813" s="23"/>
      <c r="L813" s="23"/>
      <c r="M813" s="23"/>
      <c r="N813" s="23"/>
      <c r="O813" s="23"/>
      <c r="P813" s="23"/>
      <c r="Q813" s="23"/>
      <c r="R813" s="23"/>
      <c r="S813" s="23"/>
      <c r="T813" s="23"/>
      <c r="U813" s="23"/>
      <c r="V813" s="23"/>
    </row>
    <row r="814" spans="7:22" ht="14.25" customHeight="1" x14ac:dyDescent="0.35">
      <c r="G814" s="19"/>
      <c r="I814" s="30"/>
      <c r="J814" s="31"/>
      <c r="K814" s="23"/>
      <c r="L814" s="23"/>
      <c r="M814" s="23"/>
      <c r="N814" s="23"/>
      <c r="O814" s="23"/>
      <c r="P814" s="23"/>
      <c r="Q814" s="23"/>
      <c r="R814" s="23"/>
      <c r="S814" s="23"/>
      <c r="T814" s="23"/>
      <c r="U814" s="23"/>
      <c r="V814" s="23"/>
    </row>
    <row r="815" spans="7:22" ht="14.25" customHeight="1" x14ac:dyDescent="0.35">
      <c r="G815" s="19"/>
      <c r="I815" s="30"/>
      <c r="J815" s="31"/>
      <c r="K815" s="23"/>
      <c r="L815" s="23"/>
      <c r="M815" s="23"/>
      <c r="N815" s="23"/>
      <c r="O815" s="23"/>
      <c r="P815" s="23"/>
      <c r="Q815" s="23"/>
      <c r="R815" s="23"/>
      <c r="S815" s="23"/>
      <c r="T815" s="23"/>
      <c r="U815" s="23"/>
      <c r="V815" s="23"/>
    </row>
    <row r="816" spans="7:22" ht="14.25" customHeight="1" x14ac:dyDescent="0.35">
      <c r="G816" s="19"/>
      <c r="I816" s="30"/>
      <c r="J816" s="31"/>
      <c r="K816" s="23"/>
      <c r="L816" s="23"/>
      <c r="M816" s="23"/>
      <c r="N816" s="23"/>
      <c r="O816" s="23"/>
      <c r="P816" s="23"/>
      <c r="Q816" s="23"/>
      <c r="R816" s="23"/>
      <c r="S816" s="23"/>
      <c r="T816" s="23"/>
      <c r="U816" s="23"/>
      <c r="V816" s="23"/>
    </row>
    <row r="817" spans="7:22" ht="14.25" customHeight="1" x14ac:dyDescent="0.35">
      <c r="G817" s="19"/>
      <c r="I817" s="30"/>
      <c r="J817" s="31"/>
      <c r="K817" s="23"/>
      <c r="L817" s="23"/>
      <c r="M817" s="23"/>
      <c r="N817" s="23"/>
      <c r="O817" s="23"/>
      <c r="P817" s="23"/>
      <c r="Q817" s="23"/>
      <c r="R817" s="23"/>
      <c r="S817" s="23"/>
      <c r="T817" s="23"/>
      <c r="U817" s="23"/>
      <c r="V817" s="23"/>
    </row>
    <row r="818" spans="7:22" ht="14.25" customHeight="1" x14ac:dyDescent="0.35">
      <c r="G818" s="19"/>
      <c r="I818" s="30"/>
      <c r="J818" s="31"/>
      <c r="K818" s="23"/>
      <c r="L818" s="23"/>
      <c r="M818" s="23"/>
      <c r="N818" s="23"/>
      <c r="O818" s="23"/>
      <c r="P818" s="23"/>
      <c r="Q818" s="23"/>
      <c r="R818" s="23"/>
      <c r="S818" s="23"/>
      <c r="T818" s="23"/>
      <c r="U818" s="23"/>
      <c r="V818" s="23"/>
    </row>
    <row r="819" spans="7:22" ht="14.25" customHeight="1" x14ac:dyDescent="0.35">
      <c r="G819" s="19"/>
      <c r="I819" s="30"/>
      <c r="J819" s="31"/>
      <c r="K819" s="23"/>
      <c r="L819" s="23"/>
      <c r="M819" s="23"/>
      <c r="N819" s="23"/>
      <c r="O819" s="23"/>
      <c r="P819" s="23"/>
      <c r="Q819" s="23"/>
      <c r="R819" s="23"/>
      <c r="S819" s="23"/>
      <c r="T819" s="23"/>
      <c r="U819" s="23"/>
      <c r="V819" s="23"/>
    </row>
    <row r="820" spans="7:22" ht="14.25" customHeight="1" x14ac:dyDescent="0.35">
      <c r="G820" s="19"/>
      <c r="I820" s="30"/>
      <c r="J820" s="31"/>
      <c r="K820" s="23"/>
      <c r="L820" s="23"/>
      <c r="M820" s="23"/>
      <c r="N820" s="23"/>
      <c r="O820" s="23"/>
      <c r="P820" s="23"/>
      <c r="Q820" s="23"/>
      <c r="R820" s="23"/>
      <c r="S820" s="23"/>
      <c r="T820" s="23"/>
      <c r="U820" s="23"/>
      <c r="V820" s="23"/>
    </row>
    <row r="821" spans="7:22" ht="14.25" customHeight="1" x14ac:dyDescent="0.35">
      <c r="G821" s="19"/>
      <c r="I821" s="30"/>
      <c r="J821" s="31"/>
      <c r="K821" s="23"/>
      <c r="L821" s="23"/>
      <c r="M821" s="23"/>
      <c r="N821" s="23"/>
      <c r="O821" s="23"/>
      <c r="P821" s="23"/>
      <c r="Q821" s="23"/>
      <c r="R821" s="23"/>
      <c r="S821" s="23"/>
      <c r="T821" s="23"/>
      <c r="U821" s="23"/>
      <c r="V821" s="23"/>
    </row>
    <row r="822" spans="7:22" ht="14.25" customHeight="1" x14ac:dyDescent="0.35">
      <c r="G822" s="19"/>
      <c r="I822" s="30"/>
      <c r="J822" s="31"/>
      <c r="K822" s="23"/>
      <c r="L822" s="23"/>
      <c r="M822" s="23"/>
      <c r="N822" s="23"/>
      <c r="O822" s="23"/>
      <c r="P822" s="23"/>
      <c r="Q822" s="23"/>
      <c r="R822" s="23"/>
      <c r="S822" s="23"/>
      <c r="T822" s="23"/>
      <c r="U822" s="23"/>
      <c r="V822" s="23"/>
    </row>
    <row r="823" spans="7:22" ht="14.25" customHeight="1" x14ac:dyDescent="0.35">
      <c r="G823" s="19"/>
      <c r="I823" s="30"/>
      <c r="J823" s="31"/>
      <c r="K823" s="23"/>
      <c r="L823" s="23"/>
      <c r="M823" s="23"/>
      <c r="N823" s="23"/>
      <c r="O823" s="23"/>
      <c r="P823" s="23"/>
      <c r="Q823" s="23"/>
      <c r="R823" s="23"/>
      <c r="S823" s="23"/>
      <c r="T823" s="23"/>
      <c r="U823" s="23"/>
      <c r="V823" s="23"/>
    </row>
    <row r="824" spans="7:22" ht="14.25" customHeight="1" x14ac:dyDescent="0.35">
      <c r="G824" s="19"/>
      <c r="I824" s="30"/>
      <c r="J824" s="31"/>
      <c r="K824" s="23"/>
      <c r="L824" s="23"/>
      <c r="M824" s="23"/>
      <c r="N824" s="23"/>
      <c r="O824" s="23"/>
      <c r="P824" s="23"/>
      <c r="Q824" s="23"/>
      <c r="R824" s="23"/>
      <c r="S824" s="23"/>
      <c r="T824" s="23"/>
      <c r="U824" s="23"/>
      <c r="V824" s="23"/>
    </row>
    <row r="825" spans="7:22" ht="14.25" customHeight="1" x14ac:dyDescent="0.35">
      <c r="G825" s="19"/>
      <c r="I825" s="30"/>
      <c r="J825" s="31"/>
      <c r="K825" s="23"/>
      <c r="L825" s="23"/>
      <c r="M825" s="23"/>
      <c r="N825" s="23"/>
      <c r="O825" s="23"/>
      <c r="P825" s="23"/>
      <c r="Q825" s="23"/>
      <c r="R825" s="23"/>
      <c r="S825" s="23"/>
      <c r="T825" s="23"/>
      <c r="U825" s="23"/>
      <c r="V825" s="23"/>
    </row>
    <row r="826" spans="7:22" ht="14.25" customHeight="1" x14ac:dyDescent="0.35">
      <c r="G826" s="19"/>
      <c r="I826" s="30"/>
      <c r="J826" s="31"/>
      <c r="K826" s="23"/>
      <c r="L826" s="23"/>
      <c r="M826" s="23"/>
      <c r="N826" s="23"/>
      <c r="O826" s="23"/>
      <c r="P826" s="23"/>
      <c r="Q826" s="23"/>
      <c r="R826" s="23"/>
      <c r="S826" s="23"/>
      <c r="T826" s="23"/>
      <c r="U826" s="23"/>
      <c r="V826" s="23"/>
    </row>
    <row r="827" spans="7:22" ht="14.25" customHeight="1" x14ac:dyDescent="0.35">
      <c r="G827" s="19"/>
      <c r="I827" s="30"/>
      <c r="J827" s="31"/>
      <c r="K827" s="23"/>
      <c r="L827" s="23"/>
      <c r="M827" s="23"/>
      <c r="N827" s="23"/>
      <c r="O827" s="23"/>
      <c r="P827" s="23"/>
      <c r="Q827" s="23"/>
      <c r="R827" s="23"/>
      <c r="S827" s="23"/>
      <c r="T827" s="23"/>
      <c r="U827" s="23"/>
      <c r="V827" s="23"/>
    </row>
    <row r="828" spans="7:22" ht="14.25" customHeight="1" x14ac:dyDescent="0.35">
      <c r="G828" s="19"/>
      <c r="I828" s="30"/>
      <c r="J828" s="31"/>
      <c r="K828" s="23"/>
      <c r="L828" s="23"/>
      <c r="M828" s="23"/>
      <c r="N828" s="23"/>
      <c r="O828" s="23"/>
      <c r="P828" s="23"/>
      <c r="Q828" s="23"/>
      <c r="R828" s="23"/>
      <c r="S828" s="23"/>
      <c r="T828" s="23"/>
      <c r="U828" s="23"/>
      <c r="V828" s="23"/>
    </row>
    <row r="829" spans="7:22" ht="14.25" customHeight="1" x14ac:dyDescent="0.35">
      <c r="G829" s="19"/>
      <c r="I829" s="30"/>
      <c r="J829" s="31"/>
      <c r="K829" s="23"/>
      <c r="L829" s="23"/>
      <c r="M829" s="23"/>
      <c r="N829" s="23"/>
      <c r="O829" s="23"/>
      <c r="P829" s="23"/>
      <c r="Q829" s="23"/>
      <c r="R829" s="23"/>
      <c r="S829" s="23"/>
      <c r="T829" s="23"/>
      <c r="U829" s="23"/>
      <c r="V829" s="23"/>
    </row>
    <row r="830" spans="7:22" ht="14.25" customHeight="1" x14ac:dyDescent="0.35">
      <c r="G830" s="19"/>
      <c r="I830" s="30"/>
      <c r="J830" s="31"/>
      <c r="K830" s="23"/>
      <c r="L830" s="23"/>
      <c r="M830" s="23"/>
      <c r="N830" s="23"/>
      <c r="O830" s="23"/>
      <c r="P830" s="23"/>
      <c r="Q830" s="23"/>
      <c r="R830" s="23"/>
      <c r="S830" s="23"/>
      <c r="T830" s="23"/>
      <c r="U830" s="23"/>
      <c r="V830" s="23"/>
    </row>
    <row r="831" spans="7:22" ht="14.25" customHeight="1" x14ac:dyDescent="0.35">
      <c r="G831" s="19"/>
      <c r="I831" s="30"/>
      <c r="J831" s="31"/>
      <c r="K831" s="23"/>
      <c r="L831" s="23"/>
      <c r="M831" s="23"/>
      <c r="N831" s="23"/>
      <c r="O831" s="23"/>
      <c r="P831" s="23"/>
      <c r="Q831" s="23"/>
      <c r="R831" s="23"/>
      <c r="S831" s="23"/>
      <c r="T831" s="23"/>
      <c r="U831" s="23"/>
      <c r="V831" s="23"/>
    </row>
    <row r="832" spans="7:22" ht="14.25" customHeight="1" x14ac:dyDescent="0.35">
      <c r="G832" s="19"/>
      <c r="I832" s="30"/>
      <c r="J832" s="31"/>
      <c r="K832" s="23"/>
      <c r="L832" s="23"/>
      <c r="M832" s="23"/>
      <c r="N832" s="23"/>
      <c r="O832" s="23"/>
      <c r="P832" s="23"/>
      <c r="Q832" s="23"/>
      <c r="R832" s="23"/>
      <c r="S832" s="23"/>
      <c r="T832" s="23"/>
      <c r="U832" s="23"/>
      <c r="V832" s="23"/>
    </row>
    <row r="833" spans="7:22" ht="14.25" customHeight="1" x14ac:dyDescent="0.35">
      <c r="G833" s="19"/>
      <c r="I833" s="30"/>
      <c r="J833" s="31"/>
      <c r="K833" s="23"/>
      <c r="L833" s="23"/>
      <c r="M833" s="23"/>
      <c r="N833" s="23"/>
      <c r="O833" s="23"/>
      <c r="P833" s="23"/>
      <c r="Q833" s="23"/>
      <c r="R833" s="23"/>
      <c r="S833" s="23"/>
      <c r="T833" s="23"/>
      <c r="U833" s="23"/>
      <c r="V833" s="23"/>
    </row>
    <row r="834" spans="7:22" ht="14.25" customHeight="1" x14ac:dyDescent="0.35">
      <c r="G834" s="19"/>
      <c r="I834" s="30"/>
      <c r="J834" s="31"/>
      <c r="K834" s="23"/>
      <c r="L834" s="23"/>
      <c r="M834" s="23"/>
      <c r="N834" s="23"/>
      <c r="O834" s="23"/>
      <c r="P834" s="23"/>
      <c r="Q834" s="23"/>
      <c r="R834" s="23"/>
      <c r="S834" s="23"/>
      <c r="T834" s="23"/>
      <c r="U834" s="23"/>
      <c r="V834" s="23"/>
    </row>
    <row r="835" spans="7:22" ht="14.25" customHeight="1" x14ac:dyDescent="0.35">
      <c r="G835" s="19"/>
      <c r="I835" s="30"/>
      <c r="J835" s="31"/>
      <c r="K835" s="23"/>
      <c r="L835" s="23"/>
      <c r="M835" s="23"/>
      <c r="N835" s="23"/>
      <c r="O835" s="23"/>
      <c r="P835" s="23"/>
      <c r="Q835" s="23"/>
      <c r="R835" s="23"/>
      <c r="S835" s="23"/>
      <c r="T835" s="23"/>
      <c r="U835" s="23"/>
      <c r="V835" s="23"/>
    </row>
    <row r="836" spans="7:22" ht="14.25" customHeight="1" x14ac:dyDescent="0.35">
      <c r="G836" s="19"/>
      <c r="I836" s="30"/>
      <c r="J836" s="31"/>
      <c r="K836" s="23"/>
      <c r="L836" s="23"/>
      <c r="M836" s="23"/>
      <c r="N836" s="23"/>
      <c r="O836" s="23"/>
      <c r="P836" s="23"/>
      <c r="Q836" s="23"/>
      <c r="R836" s="23"/>
      <c r="S836" s="23"/>
      <c r="T836" s="23"/>
      <c r="U836" s="23"/>
      <c r="V836" s="23"/>
    </row>
    <row r="837" spans="7:22" ht="14.25" customHeight="1" x14ac:dyDescent="0.35">
      <c r="G837" s="19"/>
      <c r="I837" s="30"/>
      <c r="J837" s="31"/>
      <c r="K837" s="23"/>
      <c r="L837" s="23"/>
      <c r="M837" s="23"/>
      <c r="N837" s="23"/>
      <c r="O837" s="23"/>
      <c r="P837" s="23"/>
      <c r="Q837" s="23"/>
      <c r="R837" s="23"/>
      <c r="S837" s="23"/>
      <c r="T837" s="23"/>
      <c r="U837" s="23"/>
      <c r="V837" s="23"/>
    </row>
    <row r="838" spans="7:22" ht="14.25" customHeight="1" x14ac:dyDescent="0.35">
      <c r="G838" s="19"/>
      <c r="I838" s="30"/>
      <c r="J838" s="31"/>
      <c r="K838" s="23"/>
      <c r="L838" s="23"/>
      <c r="M838" s="23"/>
      <c r="N838" s="23"/>
      <c r="O838" s="23"/>
      <c r="P838" s="23"/>
      <c r="Q838" s="23"/>
      <c r="R838" s="23"/>
      <c r="S838" s="23"/>
      <c r="T838" s="23"/>
      <c r="U838" s="23"/>
      <c r="V838" s="23"/>
    </row>
    <row r="839" spans="7:22" ht="14.25" customHeight="1" x14ac:dyDescent="0.35">
      <c r="G839" s="19"/>
      <c r="I839" s="30"/>
      <c r="J839" s="31"/>
      <c r="K839" s="23"/>
      <c r="L839" s="23"/>
      <c r="M839" s="23"/>
      <c r="N839" s="23"/>
      <c r="O839" s="23"/>
      <c r="P839" s="23"/>
      <c r="Q839" s="23"/>
      <c r="R839" s="23"/>
      <c r="S839" s="23"/>
      <c r="T839" s="23"/>
      <c r="U839" s="23"/>
      <c r="V839" s="23"/>
    </row>
    <row r="840" spans="7:22" ht="14.25" customHeight="1" x14ac:dyDescent="0.35">
      <c r="G840" s="19"/>
      <c r="I840" s="30"/>
      <c r="J840" s="31"/>
      <c r="K840" s="23"/>
      <c r="L840" s="23"/>
      <c r="M840" s="23"/>
      <c r="N840" s="23"/>
      <c r="O840" s="23"/>
      <c r="P840" s="23"/>
      <c r="Q840" s="23"/>
      <c r="R840" s="23"/>
      <c r="S840" s="23"/>
      <c r="T840" s="23"/>
      <c r="U840" s="23"/>
      <c r="V840" s="23"/>
    </row>
    <row r="841" spans="7:22" ht="14.25" customHeight="1" x14ac:dyDescent="0.35">
      <c r="G841" s="19"/>
      <c r="I841" s="30"/>
      <c r="J841" s="31"/>
      <c r="K841" s="23"/>
      <c r="L841" s="23"/>
      <c r="M841" s="23"/>
      <c r="N841" s="23"/>
      <c r="O841" s="23"/>
      <c r="P841" s="23"/>
      <c r="Q841" s="23"/>
      <c r="R841" s="23"/>
      <c r="S841" s="23"/>
      <c r="T841" s="23"/>
      <c r="U841" s="23"/>
      <c r="V841" s="23"/>
    </row>
    <row r="842" spans="7:22" ht="14.25" customHeight="1" x14ac:dyDescent="0.35">
      <c r="G842" s="19"/>
      <c r="I842" s="30"/>
      <c r="J842" s="31"/>
      <c r="K842" s="23"/>
      <c r="L842" s="23"/>
      <c r="M842" s="23"/>
      <c r="N842" s="23"/>
      <c r="O842" s="23"/>
      <c r="P842" s="23"/>
      <c r="Q842" s="23"/>
      <c r="R842" s="23"/>
      <c r="S842" s="23"/>
      <c r="T842" s="23"/>
      <c r="U842" s="23"/>
      <c r="V842" s="23"/>
    </row>
    <row r="843" spans="7:22" ht="14.25" customHeight="1" x14ac:dyDescent="0.35">
      <c r="G843" s="19"/>
      <c r="I843" s="30"/>
      <c r="J843" s="31"/>
      <c r="K843" s="23"/>
      <c r="L843" s="23"/>
      <c r="M843" s="23"/>
      <c r="N843" s="23"/>
      <c r="O843" s="23"/>
      <c r="P843" s="23"/>
      <c r="Q843" s="23"/>
      <c r="R843" s="23"/>
      <c r="S843" s="23"/>
      <c r="T843" s="23"/>
      <c r="U843" s="23"/>
      <c r="V843" s="23"/>
    </row>
    <row r="844" spans="7:22" ht="14.25" customHeight="1" x14ac:dyDescent="0.35">
      <c r="G844" s="19"/>
      <c r="I844" s="30"/>
      <c r="J844" s="31"/>
      <c r="K844" s="23"/>
      <c r="L844" s="23"/>
      <c r="M844" s="23"/>
      <c r="N844" s="23"/>
      <c r="O844" s="23"/>
      <c r="P844" s="23"/>
      <c r="Q844" s="23"/>
      <c r="R844" s="23"/>
      <c r="S844" s="23"/>
      <c r="T844" s="23"/>
      <c r="U844" s="23"/>
      <c r="V844" s="23"/>
    </row>
    <row r="845" spans="7:22" ht="14.25" customHeight="1" x14ac:dyDescent="0.35">
      <c r="G845" s="19"/>
      <c r="I845" s="30"/>
      <c r="J845" s="31"/>
      <c r="K845" s="23"/>
      <c r="L845" s="23"/>
      <c r="M845" s="23"/>
      <c r="N845" s="23"/>
      <c r="O845" s="23"/>
      <c r="P845" s="23"/>
      <c r="Q845" s="23"/>
      <c r="R845" s="23"/>
      <c r="S845" s="23"/>
      <c r="T845" s="23"/>
      <c r="U845" s="23"/>
      <c r="V845" s="23"/>
    </row>
    <row r="846" spans="7:22" ht="14.25" customHeight="1" x14ac:dyDescent="0.35">
      <c r="G846" s="19"/>
      <c r="I846" s="30"/>
      <c r="J846" s="31"/>
      <c r="K846" s="23"/>
      <c r="L846" s="23"/>
      <c r="M846" s="23"/>
      <c r="N846" s="23"/>
      <c r="O846" s="23"/>
      <c r="P846" s="23"/>
      <c r="Q846" s="23"/>
      <c r="R846" s="23"/>
      <c r="S846" s="23"/>
      <c r="T846" s="23"/>
      <c r="U846" s="23"/>
      <c r="V846" s="23"/>
    </row>
    <row r="847" spans="7:22" ht="14.25" customHeight="1" x14ac:dyDescent="0.35">
      <c r="G847" s="19"/>
      <c r="I847" s="30"/>
      <c r="J847" s="31"/>
      <c r="K847" s="23"/>
      <c r="L847" s="23"/>
      <c r="M847" s="23"/>
      <c r="N847" s="23"/>
      <c r="O847" s="23"/>
      <c r="P847" s="23"/>
      <c r="Q847" s="23"/>
      <c r="R847" s="23"/>
      <c r="S847" s="23"/>
      <c r="T847" s="23"/>
      <c r="U847" s="23"/>
      <c r="V847" s="23"/>
    </row>
    <row r="848" spans="7:22" ht="14.25" customHeight="1" x14ac:dyDescent="0.35">
      <c r="G848" s="19"/>
      <c r="I848" s="30"/>
      <c r="J848" s="31"/>
      <c r="K848" s="23"/>
      <c r="L848" s="23"/>
      <c r="M848" s="23"/>
      <c r="N848" s="23"/>
      <c r="O848" s="23"/>
      <c r="P848" s="23"/>
      <c r="Q848" s="23"/>
      <c r="R848" s="23"/>
      <c r="S848" s="23"/>
      <c r="T848" s="23"/>
      <c r="U848" s="23"/>
      <c r="V848" s="23"/>
    </row>
    <row r="849" spans="7:22" ht="14.25" customHeight="1" x14ac:dyDescent="0.35">
      <c r="G849" s="19"/>
      <c r="I849" s="30"/>
      <c r="J849" s="31"/>
      <c r="K849" s="23"/>
      <c r="L849" s="23"/>
      <c r="M849" s="23"/>
      <c r="N849" s="23"/>
      <c r="O849" s="23"/>
      <c r="P849" s="23"/>
      <c r="Q849" s="23"/>
      <c r="R849" s="23"/>
      <c r="S849" s="23"/>
      <c r="T849" s="23"/>
      <c r="U849" s="23"/>
      <c r="V849" s="23"/>
    </row>
    <row r="850" spans="7:22" ht="14.25" customHeight="1" x14ac:dyDescent="0.35">
      <c r="G850" s="19"/>
      <c r="I850" s="30"/>
      <c r="J850" s="31"/>
      <c r="K850" s="23"/>
      <c r="L850" s="23"/>
      <c r="M850" s="23"/>
      <c r="N850" s="23"/>
      <c r="O850" s="23"/>
      <c r="P850" s="23"/>
      <c r="Q850" s="23"/>
      <c r="R850" s="23"/>
      <c r="S850" s="23"/>
      <c r="T850" s="23"/>
      <c r="U850" s="23"/>
      <c r="V850" s="23"/>
    </row>
    <row r="851" spans="7:22" ht="14.25" customHeight="1" x14ac:dyDescent="0.35">
      <c r="G851" s="19"/>
      <c r="I851" s="30"/>
      <c r="J851" s="31"/>
      <c r="K851" s="23"/>
      <c r="L851" s="23"/>
      <c r="M851" s="23"/>
      <c r="N851" s="23"/>
      <c r="O851" s="23"/>
      <c r="P851" s="23"/>
      <c r="Q851" s="23"/>
      <c r="R851" s="23"/>
      <c r="S851" s="23"/>
      <c r="T851" s="23"/>
      <c r="U851" s="23"/>
      <c r="V851" s="23"/>
    </row>
    <row r="852" spans="7:22" ht="14.25" customHeight="1" x14ac:dyDescent="0.35">
      <c r="G852" s="19"/>
      <c r="I852" s="30"/>
      <c r="J852" s="31"/>
      <c r="K852" s="23"/>
      <c r="L852" s="23"/>
      <c r="M852" s="23"/>
      <c r="N852" s="23"/>
      <c r="O852" s="23"/>
      <c r="P852" s="23"/>
      <c r="Q852" s="23"/>
      <c r="R852" s="23"/>
      <c r="S852" s="23"/>
      <c r="T852" s="23"/>
      <c r="U852" s="23"/>
      <c r="V852" s="23"/>
    </row>
    <row r="853" spans="7:22" ht="14.25" customHeight="1" x14ac:dyDescent="0.35">
      <c r="G853" s="19"/>
      <c r="I853" s="30"/>
      <c r="J853" s="31"/>
      <c r="K853" s="23"/>
      <c r="L853" s="23"/>
      <c r="M853" s="23"/>
      <c r="N853" s="23"/>
      <c r="O853" s="23"/>
      <c r="P853" s="23"/>
      <c r="Q853" s="23"/>
      <c r="R853" s="23"/>
      <c r="S853" s="23"/>
      <c r="T853" s="23"/>
      <c r="U853" s="23"/>
      <c r="V853" s="23"/>
    </row>
    <row r="854" spans="7:22" ht="14.25" customHeight="1" x14ac:dyDescent="0.35">
      <c r="G854" s="19"/>
      <c r="I854" s="30"/>
      <c r="J854" s="31"/>
      <c r="K854" s="23"/>
      <c r="L854" s="23"/>
      <c r="M854" s="23"/>
      <c r="N854" s="23"/>
      <c r="O854" s="23"/>
      <c r="P854" s="23"/>
      <c r="Q854" s="23"/>
      <c r="R854" s="23"/>
      <c r="S854" s="23"/>
      <c r="T854" s="23"/>
      <c r="U854" s="23"/>
      <c r="V854" s="23"/>
    </row>
    <row r="855" spans="7:22" ht="14.25" customHeight="1" x14ac:dyDescent="0.35">
      <c r="G855" s="19"/>
      <c r="I855" s="30"/>
      <c r="J855" s="31"/>
      <c r="K855" s="23"/>
      <c r="L855" s="23"/>
      <c r="M855" s="23"/>
      <c r="N855" s="23"/>
      <c r="O855" s="23"/>
      <c r="P855" s="23"/>
      <c r="Q855" s="23"/>
      <c r="R855" s="23"/>
      <c r="S855" s="23"/>
      <c r="T855" s="23"/>
      <c r="U855" s="23"/>
      <c r="V855" s="23"/>
    </row>
    <row r="856" spans="7:22" ht="14.25" customHeight="1" x14ac:dyDescent="0.35">
      <c r="G856" s="19"/>
      <c r="I856" s="30"/>
      <c r="J856" s="31"/>
      <c r="K856" s="23"/>
      <c r="L856" s="23"/>
      <c r="M856" s="23"/>
      <c r="N856" s="23"/>
      <c r="O856" s="23"/>
      <c r="P856" s="23"/>
      <c r="Q856" s="23"/>
      <c r="R856" s="23"/>
      <c r="S856" s="23"/>
      <c r="T856" s="23"/>
      <c r="U856" s="23"/>
      <c r="V856" s="23"/>
    </row>
    <row r="857" spans="7:22" ht="14.25" customHeight="1" x14ac:dyDescent="0.35">
      <c r="G857" s="19"/>
      <c r="I857" s="30"/>
      <c r="J857" s="31"/>
      <c r="K857" s="23"/>
      <c r="L857" s="23"/>
      <c r="M857" s="23"/>
      <c r="N857" s="23"/>
      <c r="O857" s="23"/>
      <c r="P857" s="23"/>
      <c r="Q857" s="23"/>
      <c r="R857" s="23"/>
      <c r="S857" s="23"/>
      <c r="T857" s="23"/>
      <c r="U857" s="23"/>
      <c r="V857" s="23"/>
    </row>
    <row r="858" spans="7:22" ht="14.25" customHeight="1" x14ac:dyDescent="0.35">
      <c r="G858" s="19"/>
      <c r="I858" s="30"/>
      <c r="J858" s="31"/>
      <c r="K858" s="23"/>
      <c r="L858" s="23"/>
      <c r="M858" s="23"/>
      <c r="N858" s="23"/>
      <c r="O858" s="23"/>
      <c r="P858" s="23"/>
      <c r="Q858" s="23"/>
      <c r="R858" s="23"/>
      <c r="S858" s="23"/>
      <c r="T858" s="23"/>
      <c r="U858" s="23"/>
      <c r="V858" s="23"/>
    </row>
    <row r="859" spans="7:22" ht="14.25" customHeight="1" x14ac:dyDescent="0.35">
      <c r="G859" s="19"/>
      <c r="I859" s="30"/>
      <c r="J859" s="31"/>
      <c r="K859" s="23"/>
      <c r="L859" s="23"/>
      <c r="M859" s="23"/>
      <c r="N859" s="23"/>
      <c r="O859" s="23"/>
      <c r="P859" s="23"/>
      <c r="Q859" s="23"/>
      <c r="R859" s="23"/>
      <c r="S859" s="23"/>
      <c r="T859" s="23"/>
      <c r="U859" s="23"/>
      <c r="V859" s="23"/>
    </row>
    <row r="860" spans="7:22" ht="14.25" customHeight="1" x14ac:dyDescent="0.35">
      <c r="G860" s="19"/>
      <c r="I860" s="30"/>
      <c r="J860" s="31"/>
      <c r="K860" s="23"/>
      <c r="L860" s="23"/>
      <c r="M860" s="23"/>
      <c r="N860" s="23"/>
      <c r="O860" s="23"/>
      <c r="P860" s="23"/>
      <c r="Q860" s="23"/>
      <c r="R860" s="23"/>
      <c r="S860" s="23"/>
      <c r="T860" s="23"/>
      <c r="U860" s="23"/>
      <c r="V860" s="23"/>
    </row>
    <row r="861" spans="7:22" ht="14.25" customHeight="1" x14ac:dyDescent="0.35">
      <c r="G861" s="19"/>
      <c r="I861" s="30"/>
      <c r="J861" s="31"/>
      <c r="K861" s="23"/>
      <c r="L861" s="23"/>
      <c r="M861" s="23"/>
      <c r="N861" s="23"/>
      <c r="O861" s="23"/>
      <c r="P861" s="23"/>
      <c r="Q861" s="23"/>
      <c r="R861" s="23"/>
      <c r="S861" s="23"/>
      <c r="T861" s="23"/>
      <c r="U861" s="23"/>
      <c r="V861" s="23"/>
    </row>
    <row r="862" spans="7:22" ht="14.25" customHeight="1" x14ac:dyDescent="0.35">
      <c r="G862" s="19"/>
      <c r="I862" s="30"/>
      <c r="J862" s="31"/>
      <c r="K862" s="23"/>
      <c r="L862" s="23"/>
      <c r="M862" s="23"/>
      <c r="N862" s="23"/>
      <c r="O862" s="23"/>
      <c r="P862" s="23"/>
      <c r="Q862" s="23"/>
      <c r="R862" s="23"/>
      <c r="S862" s="23"/>
      <c r="T862" s="23"/>
      <c r="U862" s="23"/>
      <c r="V862" s="23"/>
    </row>
    <row r="863" spans="7:22" ht="14.25" customHeight="1" x14ac:dyDescent="0.35">
      <c r="G863" s="19"/>
      <c r="I863" s="30"/>
      <c r="J863" s="31"/>
      <c r="K863" s="23"/>
      <c r="L863" s="23"/>
      <c r="M863" s="23"/>
      <c r="N863" s="23"/>
      <c r="O863" s="23"/>
      <c r="P863" s="23"/>
      <c r="Q863" s="23"/>
      <c r="R863" s="23"/>
      <c r="S863" s="23"/>
      <c r="T863" s="23"/>
      <c r="U863" s="23"/>
      <c r="V863" s="23"/>
    </row>
    <row r="864" spans="7:22" ht="14.25" customHeight="1" x14ac:dyDescent="0.35">
      <c r="G864" s="19"/>
      <c r="I864" s="30"/>
      <c r="J864" s="31"/>
      <c r="K864" s="23"/>
      <c r="L864" s="23"/>
      <c r="M864" s="23"/>
      <c r="N864" s="23"/>
      <c r="O864" s="23"/>
      <c r="P864" s="23"/>
      <c r="Q864" s="23"/>
      <c r="R864" s="23"/>
      <c r="S864" s="23"/>
      <c r="T864" s="23"/>
      <c r="U864" s="23"/>
      <c r="V864" s="23"/>
    </row>
    <row r="865" spans="7:22" ht="14.25" customHeight="1" x14ac:dyDescent="0.35">
      <c r="G865" s="19"/>
      <c r="I865" s="30"/>
      <c r="J865" s="31"/>
      <c r="K865" s="23"/>
      <c r="L865" s="23"/>
      <c r="M865" s="23"/>
      <c r="N865" s="23"/>
      <c r="O865" s="23"/>
      <c r="P865" s="23"/>
      <c r="Q865" s="23"/>
      <c r="R865" s="23"/>
      <c r="S865" s="23"/>
      <c r="T865" s="23"/>
      <c r="U865" s="23"/>
      <c r="V865" s="23"/>
    </row>
    <row r="866" spans="7:22" ht="14.25" customHeight="1" x14ac:dyDescent="0.35">
      <c r="G866" s="19"/>
      <c r="I866" s="30"/>
      <c r="J866" s="31"/>
      <c r="K866" s="23"/>
      <c r="L866" s="23"/>
      <c r="M866" s="23"/>
      <c r="N866" s="23"/>
      <c r="O866" s="23"/>
      <c r="P866" s="23"/>
      <c r="Q866" s="23"/>
      <c r="R866" s="23"/>
      <c r="S866" s="23"/>
      <c r="T866" s="23"/>
      <c r="U866" s="23"/>
      <c r="V866" s="23"/>
    </row>
    <row r="867" spans="7:22" ht="14.25" customHeight="1" x14ac:dyDescent="0.35">
      <c r="G867" s="19"/>
      <c r="I867" s="30"/>
      <c r="J867" s="31"/>
      <c r="K867" s="23"/>
      <c r="L867" s="23"/>
      <c r="M867" s="23"/>
      <c r="N867" s="23"/>
      <c r="O867" s="23"/>
      <c r="P867" s="23"/>
      <c r="Q867" s="23"/>
      <c r="R867" s="23"/>
      <c r="S867" s="23"/>
      <c r="T867" s="23"/>
      <c r="U867" s="23"/>
      <c r="V867" s="23"/>
    </row>
    <row r="868" spans="7:22" ht="14.25" customHeight="1" x14ac:dyDescent="0.35">
      <c r="G868" s="19"/>
      <c r="I868" s="30"/>
      <c r="J868" s="31"/>
      <c r="K868" s="23"/>
      <c r="L868" s="23"/>
      <c r="M868" s="23"/>
      <c r="N868" s="23"/>
      <c r="O868" s="23"/>
      <c r="P868" s="23"/>
      <c r="Q868" s="23"/>
      <c r="R868" s="23"/>
      <c r="S868" s="23"/>
      <c r="T868" s="23"/>
      <c r="U868" s="23"/>
      <c r="V868" s="23"/>
    </row>
    <row r="869" spans="7:22" ht="14.25" customHeight="1" x14ac:dyDescent="0.35">
      <c r="G869" s="19"/>
      <c r="I869" s="30"/>
      <c r="J869" s="31"/>
      <c r="K869" s="23"/>
      <c r="L869" s="23"/>
      <c r="M869" s="23"/>
      <c r="N869" s="23"/>
      <c r="O869" s="23"/>
      <c r="P869" s="23"/>
      <c r="Q869" s="23"/>
      <c r="R869" s="23"/>
      <c r="S869" s="23"/>
      <c r="T869" s="23"/>
      <c r="U869" s="23"/>
      <c r="V869" s="23"/>
    </row>
    <row r="870" spans="7:22" ht="14.25" customHeight="1" x14ac:dyDescent="0.35">
      <c r="G870" s="19"/>
      <c r="I870" s="30"/>
      <c r="J870" s="31"/>
      <c r="K870" s="23"/>
      <c r="L870" s="23"/>
      <c r="M870" s="23"/>
      <c r="N870" s="23"/>
      <c r="O870" s="23"/>
      <c r="P870" s="23"/>
      <c r="Q870" s="23"/>
      <c r="R870" s="23"/>
      <c r="S870" s="23"/>
      <c r="T870" s="23"/>
      <c r="U870" s="23"/>
      <c r="V870" s="23"/>
    </row>
    <row r="871" spans="7:22" ht="14.25" customHeight="1" x14ac:dyDescent="0.35">
      <c r="G871" s="19"/>
      <c r="I871" s="30"/>
      <c r="J871" s="31"/>
      <c r="K871" s="23"/>
      <c r="L871" s="23"/>
      <c r="M871" s="23"/>
      <c r="N871" s="23"/>
      <c r="O871" s="23"/>
      <c r="P871" s="23"/>
      <c r="Q871" s="23"/>
      <c r="R871" s="23"/>
      <c r="S871" s="23"/>
      <c r="T871" s="23"/>
      <c r="U871" s="23"/>
      <c r="V871" s="23"/>
    </row>
    <row r="872" spans="7:22" ht="14.25" customHeight="1" x14ac:dyDescent="0.35">
      <c r="G872" s="19"/>
      <c r="I872" s="30"/>
      <c r="J872" s="31"/>
      <c r="K872" s="23"/>
      <c r="L872" s="23"/>
      <c r="M872" s="23"/>
      <c r="N872" s="23"/>
      <c r="O872" s="23"/>
      <c r="P872" s="23"/>
      <c r="Q872" s="23"/>
      <c r="R872" s="23"/>
      <c r="S872" s="23"/>
      <c r="T872" s="23"/>
      <c r="U872" s="23"/>
      <c r="V872" s="23"/>
    </row>
    <row r="873" spans="7:22" ht="14.25" customHeight="1" x14ac:dyDescent="0.35">
      <c r="G873" s="19"/>
      <c r="I873" s="30"/>
      <c r="J873" s="31"/>
      <c r="K873" s="23"/>
      <c r="L873" s="23"/>
      <c r="M873" s="23"/>
      <c r="N873" s="23"/>
      <c r="O873" s="23"/>
      <c r="P873" s="23"/>
      <c r="Q873" s="23"/>
      <c r="R873" s="23"/>
      <c r="S873" s="23"/>
      <c r="T873" s="23"/>
      <c r="U873" s="23"/>
      <c r="V873" s="23"/>
    </row>
    <row r="874" spans="7:22" ht="14.25" customHeight="1" x14ac:dyDescent="0.35">
      <c r="G874" s="19"/>
      <c r="I874" s="30"/>
      <c r="J874" s="31"/>
      <c r="K874" s="23"/>
      <c r="L874" s="23"/>
      <c r="M874" s="23"/>
      <c r="N874" s="23"/>
      <c r="O874" s="23"/>
      <c r="P874" s="23"/>
      <c r="Q874" s="23"/>
      <c r="R874" s="23"/>
      <c r="S874" s="23"/>
      <c r="T874" s="23"/>
      <c r="U874" s="23"/>
      <c r="V874" s="23"/>
    </row>
    <row r="875" spans="7:22" ht="14.25" customHeight="1" x14ac:dyDescent="0.35">
      <c r="G875" s="19"/>
      <c r="I875" s="30"/>
      <c r="J875" s="31"/>
      <c r="K875" s="23"/>
      <c r="L875" s="23"/>
      <c r="M875" s="23"/>
      <c r="N875" s="23"/>
      <c r="O875" s="23"/>
      <c r="P875" s="23"/>
      <c r="Q875" s="23"/>
      <c r="R875" s="23"/>
      <c r="S875" s="23"/>
      <c r="T875" s="23"/>
      <c r="U875" s="23"/>
      <c r="V875" s="23"/>
    </row>
    <row r="876" spans="7:22" ht="14.25" customHeight="1" x14ac:dyDescent="0.35">
      <c r="G876" s="19"/>
      <c r="I876" s="30"/>
      <c r="J876" s="31"/>
      <c r="K876" s="23"/>
      <c r="L876" s="23"/>
      <c r="M876" s="23"/>
      <c r="N876" s="23"/>
      <c r="O876" s="23"/>
      <c r="P876" s="23"/>
      <c r="Q876" s="23"/>
      <c r="R876" s="23"/>
      <c r="S876" s="23"/>
      <c r="T876" s="23"/>
      <c r="U876" s="23"/>
      <c r="V876" s="23"/>
    </row>
    <row r="877" spans="7:22" ht="14.25" customHeight="1" x14ac:dyDescent="0.35">
      <c r="G877" s="19"/>
      <c r="I877" s="30"/>
      <c r="J877" s="31"/>
      <c r="K877" s="23"/>
      <c r="L877" s="23"/>
      <c r="M877" s="23"/>
      <c r="N877" s="23"/>
      <c r="O877" s="23"/>
      <c r="P877" s="23"/>
      <c r="Q877" s="23"/>
      <c r="R877" s="23"/>
      <c r="S877" s="23"/>
      <c r="T877" s="23"/>
      <c r="U877" s="23"/>
      <c r="V877" s="23"/>
    </row>
    <row r="878" spans="7:22" ht="14.25" customHeight="1" x14ac:dyDescent="0.35">
      <c r="G878" s="19"/>
      <c r="I878" s="30"/>
      <c r="J878" s="31"/>
      <c r="K878" s="23"/>
      <c r="L878" s="23"/>
      <c r="M878" s="23"/>
      <c r="N878" s="23"/>
      <c r="O878" s="23"/>
      <c r="P878" s="23"/>
      <c r="Q878" s="23"/>
      <c r="R878" s="23"/>
      <c r="S878" s="23"/>
      <c r="T878" s="23"/>
      <c r="U878" s="23"/>
      <c r="V878" s="23"/>
    </row>
    <row r="879" spans="7:22" ht="14.25" customHeight="1" x14ac:dyDescent="0.35">
      <c r="G879" s="19"/>
      <c r="I879" s="30"/>
      <c r="J879" s="31"/>
      <c r="K879" s="23"/>
      <c r="L879" s="23"/>
      <c r="M879" s="23"/>
      <c r="N879" s="23"/>
      <c r="O879" s="23"/>
      <c r="P879" s="23"/>
      <c r="Q879" s="23"/>
      <c r="R879" s="23"/>
      <c r="S879" s="23"/>
      <c r="T879" s="23"/>
      <c r="U879" s="23"/>
      <c r="V879" s="23"/>
    </row>
    <row r="880" spans="7:22" ht="14.25" customHeight="1" x14ac:dyDescent="0.35">
      <c r="G880" s="19"/>
      <c r="I880" s="30"/>
      <c r="J880" s="31"/>
      <c r="K880" s="23"/>
      <c r="L880" s="23"/>
      <c r="M880" s="23"/>
      <c r="N880" s="23"/>
      <c r="O880" s="23"/>
      <c r="P880" s="23"/>
      <c r="Q880" s="23"/>
      <c r="R880" s="23"/>
      <c r="S880" s="23"/>
      <c r="T880" s="23"/>
      <c r="U880" s="23"/>
      <c r="V880" s="23"/>
    </row>
    <row r="881" spans="7:22" ht="14.25" customHeight="1" x14ac:dyDescent="0.35">
      <c r="G881" s="19"/>
      <c r="I881" s="30"/>
      <c r="J881" s="31"/>
      <c r="K881" s="23"/>
      <c r="L881" s="23"/>
      <c r="M881" s="23"/>
      <c r="N881" s="23"/>
      <c r="O881" s="23"/>
      <c r="P881" s="23"/>
      <c r="Q881" s="23"/>
      <c r="R881" s="23"/>
      <c r="S881" s="23"/>
      <c r="T881" s="23"/>
      <c r="U881" s="23"/>
      <c r="V881" s="23"/>
    </row>
    <row r="882" spans="7:22" ht="14.25" customHeight="1" x14ac:dyDescent="0.35">
      <c r="G882" s="19"/>
      <c r="I882" s="30"/>
      <c r="J882" s="31"/>
      <c r="K882" s="23"/>
      <c r="L882" s="23"/>
      <c r="M882" s="23"/>
      <c r="N882" s="23"/>
      <c r="O882" s="23"/>
      <c r="P882" s="23"/>
      <c r="Q882" s="23"/>
      <c r="R882" s="23"/>
      <c r="S882" s="23"/>
      <c r="T882" s="23"/>
      <c r="U882" s="23"/>
      <c r="V882" s="23"/>
    </row>
    <row r="883" spans="7:22" ht="14.25" customHeight="1" x14ac:dyDescent="0.35">
      <c r="G883" s="19"/>
      <c r="I883" s="30"/>
      <c r="J883" s="31"/>
      <c r="K883" s="23"/>
      <c r="L883" s="23"/>
      <c r="M883" s="23"/>
      <c r="N883" s="23"/>
      <c r="O883" s="23"/>
      <c r="P883" s="23"/>
      <c r="Q883" s="23"/>
      <c r="R883" s="23"/>
      <c r="S883" s="23"/>
      <c r="T883" s="23"/>
      <c r="U883" s="23"/>
      <c r="V883" s="23"/>
    </row>
    <row r="884" spans="7:22" ht="14.25" customHeight="1" x14ac:dyDescent="0.35">
      <c r="G884" s="19"/>
      <c r="I884" s="30"/>
      <c r="J884" s="31"/>
      <c r="K884" s="23"/>
      <c r="L884" s="23"/>
      <c r="M884" s="23"/>
      <c r="N884" s="23"/>
      <c r="O884" s="23"/>
      <c r="P884" s="23"/>
      <c r="Q884" s="23"/>
      <c r="R884" s="23"/>
      <c r="S884" s="23"/>
      <c r="T884" s="23"/>
      <c r="U884" s="23"/>
      <c r="V884" s="23"/>
    </row>
    <row r="885" spans="7:22" ht="14.25" customHeight="1" x14ac:dyDescent="0.35">
      <c r="G885" s="19"/>
      <c r="I885" s="30"/>
      <c r="J885" s="31"/>
      <c r="K885" s="23"/>
      <c r="L885" s="23"/>
      <c r="M885" s="23"/>
      <c r="N885" s="23"/>
      <c r="O885" s="23"/>
      <c r="P885" s="23"/>
      <c r="Q885" s="23"/>
      <c r="R885" s="23"/>
      <c r="S885" s="23"/>
      <c r="T885" s="23"/>
      <c r="U885" s="23"/>
      <c r="V885" s="23"/>
    </row>
    <row r="886" spans="7:22" ht="14.25" customHeight="1" x14ac:dyDescent="0.35">
      <c r="G886" s="19"/>
      <c r="I886" s="30"/>
      <c r="J886" s="31"/>
      <c r="K886" s="23"/>
      <c r="L886" s="23"/>
      <c r="M886" s="23"/>
      <c r="N886" s="23"/>
      <c r="O886" s="23"/>
      <c r="P886" s="23"/>
      <c r="Q886" s="23"/>
      <c r="R886" s="23"/>
      <c r="S886" s="23"/>
      <c r="T886" s="23"/>
      <c r="U886" s="23"/>
      <c r="V886" s="23"/>
    </row>
    <row r="887" spans="7:22" ht="14.25" customHeight="1" x14ac:dyDescent="0.35">
      <c r="G887" s="19"/>
      <c r="I887" s="30"/>
      <c r="J887" s="31"/>
      <c r="K887" s="23"/>
      <c r="L887" s="23"/>
      <c r="M887" s="23"/>
      <c r="N887" s="23"/>
      <c r="O887" s="23"/>
      <c r="P887" s="23"/>
      <c r="Q887" s="23"/>
      <c r="R887" s="23"/>
      <c r="S887" s="23"/>
      <c r="T887" s="23"/>
      <c r="U887" s="23"/>
      <c r="V887" s="23"/>
    </row>
    <row r="888" spans="7:22" ht="14.25" customHeight="1" x14ac:dyDescent="0.35">
      <c r="G888" s="19"/>
      <c r="I888" s="30"/>
      <c r="J888" s="31"/>
      <c r="K888" s="23"/>
      <c r="L888" s="23"/>
      <c r="M888" s="23"/>
      <c r="N888" s="23"/>
      <c r="O888" s="23"/>
      <c r="P888" s="23"/>
      <c r="Q888" s="23"/>
      <c r="R888" s="23"/>
      <c r="S888" s="23"/>
      <c r="T888" s="23"/>
      <c r="U888" s="23"/>
      <c r="V888" s="23"/>
    </row>
    <row r="889" spans="7:22" ht="14.25" customHeight="1" x14ac:dyDescent="0.35">
      <c r="G889" s="19"/>
      <c r="I889" s="30"/>
      <c r="J889" s="31"/>
      <c r="K889" s="23"/>
      <c r="L889" s="23"/>
      <c r="M889" s="23"/>
      <c r="N889" s="23"/>
      <c r="O889" s="23"/>
      <c r="P889" s="23"/>
      <c r="Q889" s="23"/>
      <c r="R889" s="23"/>
      <c r="S889" s="23"/>
      <c r="T889" s="23"/>
      <c r="U889" s="23"/>
      <c r="V889" s="23"/>
    </row>
    <row r="890" spans="7:22" ht="14.25" customHeight="1" x14ac:dyDescent="0.35">
      <c r="G890" s="19"/>
      <c r="I890" s="30"/>
      <c r="J890" s="31"/>
      <c r="K890" s="23"/>
      <c r="L890" s="23"/>
      <c r="M890" s="23"/>
      <c r="N890" s="23"/>
      <c r="O890" s="23"/>
      <c r="P890" s="23"/>
      <c r="Q890" s="23"/>
      <c r="R890" s="23"/>
      <c r="S890" s="23"/>
      <c r="T890" s="23"/>
      <c r="U890" s="23"/>
      <c r="V890" s="23"/>
    </row>
    <row r="891" spans="7:22" ht="14.25" customHeight="1" x14ac:dyDescent="0.35">
      <c r="G891" s="19"/>
      <c r="I891" s="30"/>
      <c r="J891" s="31"/>
      <c r="K891" s="23"/>
      <c r="L891" s="23"/>
      <c r="M891" s="23"/>
      <c r="N891" s="23"/>
      <c r="O891" s="23"/>
      <c r="P891" s="23"/>
      <c r="Q891" s="23"/>
      <c r="R891" s="23"/>
      <c r="S891" s="23"/>
      <c r="T891" s="23"/>
      <c r="U891" s="23"/>
      <c r="V891" s="23"/>
    </row>
    <row r="892" spans="7:22" ht="14.25" customHeight="1" x14ac:dyDescent="0.35">
      <c r="G892" s="19"/>
      <c r="I892" s="30"/>
      <c r="J892" s="31"/>
      <c r="K892" s="23"/>
      <c r="L892" s="23"/>
      <c r="M892" s="23"/>
      <c r="N892" s="23"/>
      <c r="O892" s="23"/>
      <c r="P892" s="23"/>
      <c r="Q892" s="23"/>
      <c r="R892" s="23"/>
      <c r="S892" s="23"/>
      <c r="T892" s="23"/>
      <c r="U892" s="23"/>
      <c r="V892" s="23"/>
    </row>
    <row r="893" spans="7:22" ht="14.25" customHeight="1" x14ac:dyDescent="0.35">
      <c r="G893" s="19"/>
      <c r="I893" s="30"/>
      <c r="J893" s="31"/>
      <c r="K893" s="23"/>
      <c r="L893" s="23"/>
      <c r="M893" s="23"/>
      <c r="N893" s="23"/>
      <c r="O893" s="23"/>
      <c r="P893" s="23"/>
      <c r="Q893" s="23"/>
      <c r="R893" s="23"/>
      <c r="S893" s="23"/>
      <c r="T893" s="23"/>
      <c r="U893" s="23"/>
      <c r="V893" s="23"/>
    </row>
    <row r="894" spans="7:22" ht="14.25" customHeight="1" x14ac:dyDescent="0.35">
      <c r="G894" s="19"/>
      <c r="I894" s="30"/>
      <c r="J894" s="31"/>
      <c r="K894" s="23"/>
      <c r="L894" s="23"/>
      <c r="M894" s="23"/>
      <c r="N894" s="23"/>
      <c r="O894" s="23"/>
      <c r="P894" s="23"/>
      <c r="Q894" s="23"/>
      <c r="R894" s="23"/>
      <c r="S894" s="23"/>
      <c r="T894" s="23"/>
      <c r="U894" s="23"/>
      <c r="V894" s="23"/>
    </row>
    <row r="895" spans="7:22" ht="14.25" customHeight="1" x14ac:dyDescent="0.35">
      <c r="G895" s="19"/>
      <c r="I895" s="30"/>
      <c r="J895" s="31"/>
      <c r="K895" s="23"/>
      <c r="L895" s="23"/>
      <c r="M895" s="23"/>
      <c r="N895" s="23"/>
      <c r="O895" s="23"/>
      <c r="P895" s="23"/>
      <c r="Q895" s="23"/>
      <c r="R895" s="23"/>
      <c r="S895" s="23"/>
      <c r="T895" s="23"/>
      <c r="U895" s="23"/>
      <c r="V895" s="23"/>
    </row>
    <row r="896" spans="7:22" ht="14.25" customHeight="1" x14ac:dyDescent="0.35">
      <c r="G896" s="19"/>
      <c r="I896" s="30"/>
      <c r="J896" s="31"/>
      <c r="K896" s="23"/>
      <c r="L896" s="23"/>
      <c r="M896" s="23"/>
      <c r="N896" s="23"/>
      <c r="O896" s="23"/>
      <c r="P896" s="23"/>
      <c r="Q896" s="23"/>
      <c r="R896" s="23"/>
      <c r="S896" s="23"/>
      <c r="T896" s="23"/>
      <c r="U896" s="23"/>
      <c r="V896" s="23"/>
    </row>
    <row r="897" spans="7:22" ht="14.25" customHeight="1" x14ac:dyDescent="0.35">
      <c r="G897" s="19"/>
      <c r="I897" s="30"/>
      <c r="J897" s="31"/>
      <c r="K897" s="23"/>
      <c r="L897" s="23"/>
      <c r="M897" s="23"/>
      <c r="N897" s="23"/>
      <c r="O897" s="23"/>
      <c r="P897" s="23"/>
      <c r="Q897" s="23"/>
      <c r="R897" s="23"/>
      <c r="S897" s="23"/>
      <c r="T897" s="23"/>
      <c r="U897" s="23"/>
      <c r="V897" s="23"/>
    </row>
    <row r="898" spans="7:22" ht="14.25" customHeight="1" x14ac:dyDescent="0.35">
      <c r="G898" s="19"/>
      <c r="I898" s="30"/>
      <c r="J898" s="31"/>
      <c r="K898" s="23"/>
      <c r="L898" s="23"/>
      <c r="M898" s="23"/>
      <c r="N898" s="23"/>
      <c r="O898" s="23"/>
      <c r="P898" s="23"/>
      <c r="Q898" s="23"/>
      <c r="R898" s="23"/>
      <c r="S898" s="23"/>
      <c r="T898" s="23"/>
      <c r="U898" s="23"/>
      <c r="V898" s="23"/>
    </row>
    <row r="899" spans="7:22" ht="14.25" customHeight="1" x14ac:dyDescent="0.35">
      <c r="G899" s="19"/>
      <c r="I899" s="30"/>
      <c r="J899" s="31"/>
      <c r="K899" s="23"/>
      <c r="L899" s="23"/>
      <c r="M899" s="23"/>
      <c r="N899" s="23"/>
      <c r="O899" s="23"/>
      <c r="P899" s="23"/>
      <c r="Q899" s="23"/>
      <c r="R899" s="23"/>
      <c r="S899" s="23"/>
      <c r="T899" s="23"/>
      <c r="U899" s="23"/>
      <c r="V899" s="23"/>
    </row>
    <row r="900" spans="7:22" ht="14.25" customHeight="1" x14ac:dyDescent="0.35">
      <c r="G900" s="19"/>
      <c r="I900" s="30"/>
      <c r="J900" s="31"/>
      <c r="K900" s="23"/>
      <c r="L900" s="23"/>
      <c r="M900" s="23"/>
      <c r="N900" s="23"/>
      <c r="O900" s="23"/>
      <c r="P900" s="23"/>
      <c r="Q900" s="23"/>
      <c r="R900" s="23"/>
      <c r="S900" s="23"/>
      <c r="T900" s="23"/>
      <c r="U900" s="23"/>
      <c r="V900" s="23"/>
    </row>
    <row r="901" spans="7:22" ht="14.25" customHeight="1" x14ac:dyDescent="0.35">
      <c r="G901" s="19"/>
      <c r="I901" s="30"/>
      <c r="J901" s="31"/>
      <c r="K901" s="23"/>
      <c r="L901" s="23"/>
      <c r="M901" s="23"/>
      <c r="N901" s="23"/>
      <c r="O901" s="23"/>
      <c r="P901" s="23"/>
      <c r="Q901" s="23"/>
      <c r="R901" s="23"/>
      <c r="S901" s="23"/>
      <c r="T901" s="23"/>
      <c r="U901" s="23"/>
      <c r="V901" s="23"/>
    </row>
    <row r="902" spans="7:22" ht="14.25" customHeight="1" x14ac:dyDescent="0.35">
      <c r="G902" s="19"/>
      <c r="I902" s="30"/>
      <c r="J902" s="31"/>
      <c r="K902" s="23"/>
      <c r="L902" s="23"/>
      <c r="M902" s="23"/>
      <c r="N902" s="23"/>
      <c r="O902" s="23"/>
      <c r="P902" s="23"/>
      <c r="Q902" s="23"/>
      <c r="R902" s="23"/>
      <c r="S902" s="23"/>
      <c r="T902" s="23"/>
      <c r="U902" s="23"/>
      <c r="V902" s="23"/>
    </row>
    <row r="903" spans="7:22" ht="14.25" customHeight="1" x14ac:dyDescent="0.35">
      <c r="G903" s="19"/>
      <c r="I903" s="30"/>
      <c r="J903" s="31"/>
      <c r="K903" s="23"/>
      <c r="L903" s="23"/>
      <c r="M903" s="23"/>
      <c r="N903" s="23"/>
      <c r="O903" s="23"/>
      <c r="P903" s="23"/>
      <c r="Q903" s="23"/>
      <c r="R903" s="23"/>
      <c r="S903" s="23"/>
      <c r="T903" s="23"/>
      <c r="U903" s="23"/>
      <c r="V903" s="23"/>
    </row>
    <row r="904" spans="7:22" ht="14.25" customHeight="1" x14ac:dyDescent="0.35">
      <c r="G904" s="19"/>
      <c r="I904" s="30"/>
      <c r="J904" s="31"/>
      <c r="K904" s="23"/>
      <c r="L904" s="23"/>
      <c r="M904" s="23"/>
      <c r="N904" s="23"/>
      <c r="O904" s="23"/>
      <c r="P904" s="23"/>
      <c r="Q904" s="23"/>
      <c r="R904" s="23"/>
      <c r="S904" s="23"/>
      <c r="T904" s="23"/>
      <c r="U904" s="23"/>
      <c r="V904" s="23"/>
    </row>
    <row r="905" spans="7:22" ht="14.25" customHeight="1" x14ac:dyDescent="0.35">
      <c r="G905" s="19"/>
      <c r="I905" s="30"/>
      <c r="J905" s="31"/>
      <c r="K905" s="23"/>
      <c r="L905" s="23"/>
      <c r="M905" s="23"/>
      <c r="N905" s="23"/>
      <c r="O905" s="23"/>
      <c r="P905" s="23"/>
      <c r="Q905" s="23"/>
      <c r="R905" s="23"/>
      <c r="S905" s="23"/>
      <c r="T905" s="23"/>
      <c r="U905" s="23"/>
      <c r="V905" s="23"/>
    </row>
    <row r="906" spans="7:22" ht="14.25" customHeight="1" x14ac:dyDescent="0.35">
      <c r="G906" s="19"/>
      <c r="I906" s="30"/>
      <c r="J906" s="31"/>
      <c r="K906" s="23"/>
      <c r="L906" s="23"/>
      <c r="M906" s="23"/>
      <c r="N906" s="23"/>
      <c r="O906" s="23"/>
      <c r="P906" s="23"/>
      <c r="Q906" s="23"/>
      <c r="R906" s="23"/>
      <c r="S906" s="23"/>
      <c r="T906" s="23"/>
      <c r="U906" s="23"/>
      <c r="V906" s="23"/>
    </row>
    <row r="907" spans="7:22" ht="14.25" customHeight="1" x14ac:dyDescent="0.35">
      <c r="G907" s="19"/>
      <c r="I907" s="30"/>
      <c r="J907" s="31"/>
      <c r="K907" s="23"/>
      <c r="L907" s="23"/>
      <c r="M907" s="23"/>
      <c r="N907" s="23"/>
      <c r="O907" s="23"/>
      <c r="P907" s="23"/>
      <c r="Q907" s="23"/>
      <c r="R907" s="23"/>
      <c r="S907" s="23"/>
      <c r="T907" s="23"/>
      <c r="U907" s="23"/>
      <c r="V907" s="23"/>
    </row>
    <row r="908" spans="7:22" ht="14.25" customHeight="1" x14ac:dyDescent="0.35">
      <c r="G908" s="19"/>
      <c r="I908" s="30"/>
      <c r="J908" s="31"/>
      <c r="K908" s="23"/>
      <c r="L908" s="23"/>
      <c r="M908" s="23"/>
      <c r="N908" s="23"/>
      <c r="O908" s="23"/>
      <c r="P908" s="23"/>
      <c r="Q908" s="23"/>
      <c r="R908" s="23"/>
      <c r="S908" s="23"/>
      <c r="T908" s="23"/>
      <c r="U908" s="23"/>
      <c r="V908" s="23"/>
    </row>
    <row r="909" spans="7:22" ht="14.25" customHeight="1" x14ac:dyDescent="0.35">
      <c r="G909" s="19"/>
      <c r="I909" s="30"/>
      <c r="J909" s="31"/>
      <c r="K909" s="23"/>
      <c r="L909" s="23"/>
      <c r="M909" s="23"/>
      <c r="N909" s="23"/>
      <c r="O909" s="23"/>
      <c r="P909" s="23"/>
      <c r="Q909" s="23"/>
      <c r="R909" s="23"/>
      <c r="S909" s="23"/>
      <c r="T909" s="23"/>
      <c r="U909" s="23"/>
      <c r="V909" s="23"/>
    </row>
    <row r="910" spans="7:22" ht="14.25" customHeight="1" x14ac:dyDescent="0.35">
      <c r="G910" s="19"/>
      <c r="I910" s="30"/>
      <c r="J910" s="31"/>
      <c r="K910" s="23"/>
      <c r="L910" s="23"/>
      <c r="M910" s="23"/>
      <c r="N910" s="23"/>
      <c r="O910" s="23"/>
      <c r="P910" s="23"/>
      <c r="Q910" s="23"/>
      <c r="R910" s="23"/>
      <c r="S910" s="23"/>
      <c r="T910" s="23"/>
      <c r="U910" s="23"/>
      <c r="V910" s="23"/>
    </row>
    <row r="911" spans="7:22" ht="14.25" customHeight="1" x14ac:dyDescent="0.35">
      <c r="G911" s="19"/>
      <c r="I911" s="30"/>
      <c r="J911" s="31"/>
      <c r="K911" s="23"/>
      <c r="L911" s="23"/>
      <c r="M911" s="23"/>
      <c r="N911" s="23"/>
      <c r="O911" s="23"/>
      <c r="P911" s="23"/>
      <c r="Q911" s="23"/>
      <c r="R911" s="23"/>
      <c r="S911" s="23"/>
      <c r="T911" s="23"/>
      <c r="U911" s="23"/>
      <c r="V911" s="23"/>
    </row>
    <row r="912" spans="7:22" ht="14.25" customHeight="1" x14ac:dyDescent="0.35">
      <c r="G912" s="19"/>
      <c r="I912" s="30"/>
      <c r="J912" s="31"/>
      <c r="K912" s="23"/>
      <c r="L912" s="23"/>
      <c r="M912" s="23"/>
      <c r="N912" s="23"/>
      <c r="O912" s="23"/>
      <c r="P912" s="23"/>
      <c r="Q912" s="23"/>
      <c r="R912" s="23"/>
      <c r="S912" s="23"/>
      <c r="T912" s="23"/>
      <c r="U912" s="23"/>
      <c r="V912" s="23"/>
    </row>
    <row r="913" spans="7:22" ht="14.25" customHeight="1" x14ac:dyDescent="0.35">
      <c r="G913" s="19"/>
      <c r="I913" s="30"/>
      <c r="J913" s="31"/>
      <c r="K913" s="23"/>
      <c r="L913" s="23"/>
      <c r="M913" s="23"/>
      <c r="N913" s="23"/>
      <c r="O913" s="23"/>
      <c r="P913" s="23"/>
      <c r="Q913" s="23"/>
      <c r="R913" s="23"/>
      <c r="S913" s="23"/>
      <c r="T913" s="23"/>
      <c r="U913" s="23"/>
      <c r="V913" s="23"/>
    </row>
    <row r="914" spans="7:22" ht="14.25" customHeight="1" x14ac:dyDescent="0.35">
      <c r="G914" s="19"/>
      <c r="I914" s="30"/>
      <c r="J914" s="31"/>
      <c r="K914" s="23"/>
      <c r="L914" s="23"/>
      <c r="M914" s="23"/>
      <c r="N914" s="23"/>
      <c r="O914" s="23"/>
      <c r="P914" s="23"/>
      <c r="Q914" s="23"/>
      <c r="R914" s="23"/>
      <c r="S914" s="23"/>
      <c r="T914" s="23"/>
      <c r="U914" s="23"/>
      <c r="V914" s="23"/>
    </row>
    <row r="915" spans="7:22" ht="14.25" customHeight="1" x14ac:dyDescent="0.35">
      <c r="G915" s="19"/>
      <c r="I915" s="30"/>
      <c r="J915" s="31"/>
      <c r="K915" s="23"/>
      <c r="L915" s="23"/>
      <c r="M915" s="23"/>
      <c r="N915" s="23"/>
      <c r="O915" s="23"/>
      <c r="P915" s="23"/>
      <c r="Q915" s="23"/>
      <c r="R915" s="23"/>
      <c r="S915" s="23"/>
      <c r="T915" s="23"/>
      <c r="U915" s="23"/>
      <c r="V915" s="23"/>
    </row>
    <row r="916" spans="7:22" ht="14.25" customHeight="1" x14ac:dyDescent="0.35">
      <c r="G916" s="19"/>
      <c r="I916" s="30"/>
      <c r="J916" s="31"/>
      <c r="K916" s="23"/>
      <c r="L916" s="23"/>
      <c r="M916" s="23"/>
      <c r="N916" s="23"/>
      <c r="O916" s="23"/>
      <c r="P916" s="23"/>
      <c r="Q916" s="23"/>
      <c r="R916" s="23"/>
      <c r="S916" s="23"/>
      <c r="T916" s="23"/>
      <c r="U916" s="23"/>
      <c r="V916" s="23"/>
    </row>
    <row r="917" spans="7:22" ht="14.25" customHeight="1" x14ac:dyDescent="0.35">
      <c r="G917" s="19"/>
      <c r="I917" s="30"/>
      <c r="J917" s="31"/>
      <c r="K917" s="23"/>
      <c r="L917" s="23"/>
      <c r="M917" s="23"/>
      <c r="N917" s="23"/>
      <c r="O917" s="23"/>
      <c r="P917" s="23"/>
      <c r="Q917" s="23"/>
      <c r="R917" s="23"/>
      <c r="S917" s="23"/>
      <c r="T917" s="23"/>
      <c r="U917" s="23"/>
      <c r="V917" s="23"/>
    </row>
    <row r="918" spans="7:22" ht="14.25" customHeight="1" x14ac:dyDescent="0.35">
      <c r="G918" s="19"/>
      <c r="I918" s="30"/>
      <c r="J918" s="31"/>
      <c r="K918" s="23"/>
      <c r="L918" s="23"/>
      <c r="M918" s="23"/>
      <c r="N918" s="23"/>
      <c r="O918" s="23"/>
      <c r="P918" s="23"/>
      <c r="Q918" s="23"/>
      <c r="R918" s="23"/>
      <c r="S918" s="23"/>
      <c r="T918" s="23"/>
      <c r="U918" s="23"/>
      <c r="V918" s="23"/>
    </row>
    <row r="919" spans="7:22" ht="14.25" customHeight="1" x14ac:dyDescent="0.35">
      <c r="G919" s="19"/>
      <c r="I919" s="30"/>
      <c r="J919" s="31"/>
      <c r="K919" s="23"/>
      <c r="L919" s="23"/>
      <c r="M919" s="23"/>
      <c r="N919" s="23"/>
      <c r="O919" s="23"/>
      <c r="P919" s="23"/>
      <c r="Q919" s="23"/>
      <c r="R919" s="23"/>
      <c r="S919" s="23"/>
      <c r="T919" s="23"/>
      <c r="U919" s="23"/>
      <c r="V919" s="23"/>
    </row>
    <row r="920" spans="7:22" ht="14.25" customHeight="1" x14ac:dyDescent="0.35">
      <c r="G920" s="19"/>
      <c r="I920" s="30"/>
      <c r="J920" s="31"/>
      <c r="K920" s="23"/>
      <c r="L920" s="23"/>
      <c r="M920" s="23"/>
      <c r="N920" s="23"/>
      <c r="O920" s="23"/>
      <c r="P920" s="23"/>
      <c r="Q920" s="23"/>
      <c r="R920" s="23"/>
      <c r="S920" s="23"/>
      <c r="T920" s="23"/>
      <c r="U920" s="23"/>
      <c r="V920" s="23"/>
    </row>
    <row r="921" spans="7:22" ht="14.25" customHeight="1" x14ac:dyDescent="0.35">
      <c r="G921" s="19"/>
      <c r="I921" s="30"/>
      <c r="J921" s="31"/>
      <c r="K921" s="23"/>
      <c r="L921" s="23"/>
      <c r="M921" s="23"/>
      <c r="N921" s="23"/>
      <c r="O921" s="23"/>
      <c r="P921" s="23"/>
      <c r="Q921" s="23"/>
      <c r="R921" s="23"/>
      <c r="S921" s="23"/>
      <c r="T921" s="23"/>
      <c r="U921" s="23"/>
      <c r="V921" s="23"/>
    </row>
    <row r="922" spans="7:22" ht="14.25" customHeight="1" x14ac:dyDescent="0.35">
      <c r="G922" s="19"/>
      <c r="I922" s="30"/>
      <c r="J922" s="31"/>
      <c r="K922" s="23"/>
      <c r="L922" s="23"/>
      <c r="M922" s="23"/>
      <c r="N922" s="23"/>
      <c r="O922" s="23"/>
      <c r="P922" s="23"/>
      <c r="Q922" s="23"/>
      <c r="R922" s="23"/>
      <c r="S922" s="23"/>
      <c r="T922" s="23"/>
      <c r="U922" s="23"/>
      <c r="V922" s="23"/>
    </row>
    <row r="923" spans="7:22" ht="14.25" customHeight="1" x14ac:dyDescent="0.35">
      <c r="G923" s="19"/>
      <c r="I923" s="30"/>
      <c r="J923" s="31"/>
      <c r="K923" s="23"/>
      <c r="L923" s="23"/>
      <c r="M923" s="23"/>
      <c r="N923" s="23"/>
      <c r="O923" s="23"/>
      <c r="P923" s="23"/>
      <c r="Q923" s="23"/>
      <c r="R923" s="23"/>
      <c r="S923" s="23"/>
      <c r="T923" s="23"/>
      <c r="U923" s="23"/>
      <c r="V923" s="23"/>
    </row>
    <row r="924" spans="7:22" ht="14.25" customHeight="1" x14ac:dyDescent="0.35">
      <c r="G924" s="19"/>
      <c r="I924" s="30"/>
      <c r="J924" s="31"/>
      <c r="K924" s="23"/>
      <c r="L924" s="23"/>
      <c r="M924" s="23"/>
      <c r="N924" s="23"/>
      <c r="O924" s="23"/>
      <c r="P924" s="23"/>
      <c r="Q924" s="23"/>
      <c r="R924" s="23"/>
      <c r="S924" s="23"/>
      <c r="T924" s="23"/>
      <c r="U924" s="23"/>
      <c r="V924" s="23"/>
    </row>
    <row r="925" spans="7:22" ht="14.25" customHeight="1" x14ac:dyDescent="0.35">
      <c r="G925" s="19"/>
      <c r="I925" s="30"/>
      <c r="J925" s="31"/>
      <c r="K925" s="23"/>
      <c r="L925" s="23"/>
      <c r="M925" s="23"/>
      <c r="N925" s="23"/>
      <c r="O925" s="23"/>
      <c r="P925" s="23"/>
      <c r="Q925" s="23"/>
      <c r="R925" s="23"/>
      <c r="S925" s="23"/>
      <c r="T925" s="23"/>
      <c r="U925" s="23"/>
      <c r="V925" s="23"/>
    </row>
    <row r="926" spans="7:22" ht="14.25" customHeight="1" x14ac:dyDescent="0.35">
      <c r="G926" s="19"/>
      <c r="I926" s="30"/>
      <c r="J926" s="31"/>
      <c r="K926" s="23"/>
      <c r="L926" s="23"/>
      <c r="M926" s="23"/>
      <c r="N926" s="23"/>
      <c r="O926" s="23"/>
      <c r="P926" s="23"/>
      <c r="Q926" s="23"/>
      <c r="R926" s="23"/>
      <c r="S926" s="23"/>
      <c r="T926" s="23"/>
      <c r="U926" s="23"/>
      <c r="V926" s="23"/>
    </row>
    <row r="927" spans="7:22" ht="14.25" customHeight="1" x14ac:dyDescent="0.35">
      <c r="G927" s="19"/>
      <c r="I927" s="30"/>
      <c r="J927" s="31"/>
      <c r="K927" s="23"/>
      <c r="L927" s="23"/>
      <c r="M927" s="23"/>
      <c r="N927" s="23"/>
      <c r="O927" s="23"/>
      <c r="P927" s="23"/>
      <c r="Q927" s="23"/>
      <c r="R927" s="23"/>
      <c r="S927" s="23"/>
      <c r="T927" s="23"/>
      <c r="U927" s="23"/>
      <c r="V927" s="23"/>
    </row>
    <row r="928" spans="7:22" ht="14.25" customHeight="1" x14ac:dyDescent="0.35">
      <c r="G928" s="19"/>
      <c r="I928" s="30"/>
      <c r="J928" s="31"/>
      <c r="K928" s="23"/>
      <c r="L928" s="23"/>
      <c r="M928" s="23"/>
      <c r="N928" s="23"/>
      <c r="O928" s="23"/>
      <c r="P928" s="23"/>
      <c r="Q928" s="23"/>
      <c r="R928" s="23"/>
      <c r="S928" s="23"/>
      <c r="T928" s="23"/>
      <c r="U928" s="23"/>
      <c r="V928" s="23"/>
    </row>
    <row r="929" spans="7:22" ht="14.25" customHeight="1" x14ac:dyDescent="0.35">
      <c r="G929" s="19"/>
      <c r="I929" s="30"/>
      <c r="J929" s="31"/>
      <c r="K929" s="23"/>
      <c r="L929" s="23"/>
      <c r="M929" s="23"/>
      <c r="N929" s="23"/>
      <c r="O929" s="23"/>
      <c r="P929" s="23"/>
      <c r="Q929" s="23"/>
      <c r="R929" s="23"/>
      <c r="S929" s="23"/>
      <c r="T929" s="23"/>
      <c r="U929" s="23"/>
      <c r="V929" s="23"/>
    </row>
    <row r="930" spans="7:22" ht="14.25" customHeight="1" x14ac:dyDescent="0.35">
      <c r="G930" s="19"/>
      <c r="I930" s="30"/>
      <c r="J930" s="31"/>
      <c r="K930" s="23"/>
      <c r="L930" s="23"/>
      <c r="M930" s="23"/>
      <c r="N930" s="23"/>
      <c r="O930" s="23"/>
      <c r="P930" s="23"/>
      <c r="Q930" s="23"/>
      <c r="R930" s="23"/>
      <c r="S930" s="23"/>
      <c r="T930" s="23"/>
      <c r="U930" s="23"/>
      <c r="V930" s="23"/>
    </row>
    <row r="931" spans="7:22" ht="14.25" customHeight="1" x14ac:dyDescent="0.35">
      <c r="G931" s="19"/>
      <c r="I931" s="30"/>
      <c r="J931" s="31"/>
      <c r="K931" s="23"/>
      <c r="L931" s="23"/>
      <c r="M931" s="23"/>
      <c r="N931" s="23"/>
      <c r="O931" s="23"/>
      <c r="P931" s="23"/>
      <c r="Q931" s="23"/>
      <c r="R931" s="23"/>
      <c r="S931" s="23"/>
      <c r="T931" s="23"/>
      <c r="U931" s="23"/>
      <c r="V931" s="23"/>
    </row>
    <row r="932" spans="7:22" ht="14.25" customHeight="1" x14ac:dyDescent="0.35">
      <c r="G932" s="19"/>
      <c r="I932" s="30"/>
      <c r="J932" s="31"/>
      <c r="K932" s="23"/>
      <c r="L932" s="23"/>
      <c r="M932" s="23"/>
      <c r="N932" s="23"/>
      <c r="O932" s="23"/>
      <c r="P932" s="23"/>
      <c r="Q932" s="23"/>
      <c r="R932" s="23"/>
      <c r="S932" s="23"/>
      <c r="T932" s="23"/>
      <c r="U932" s="23"/>
      <c r="V932" s="23"/>
    </row>
    <row r="933" spans="7:22" ht="14.25" customHeight="1" x14ac:dyDescent="0.35">
      <c r="G933" s="19"/>
      <c r="I933" s="30"/>
      <c r="J933" s="31"/>
      <c r="K933" s="23"/>
      <c r="L933" s="23"/>
      <c r="M933" s="23"/>
      <c r="N933" s="23"/>
      <c r="O933" s="23"/>
      <c r="P933" s="23"/>
      <c r="Q933" s="23"/>
      <c r="R933" s="23"/>
      <c r="S933" s="23"/>
      <c r="T933" s="23"/>
      <c r="U933" s="23"/>
      <c r="V933" s="23"/>
    </row>
    <row r="934" spans="7:22" ht="14.25" customHeight="1" x14ac:dyDescent="0.35">
      <c r="G934" s="19"/>
      <c r="I934" s="30"/>
      <c r="J934" s="31"/>
      <c r="K934" s="23"/>
      <c r="L934" s="23"/>
      <c r="M934" s="23"/>
      <c r="N934" s="23"/>
      <c r="O934" s="23"/>
      <c r="P934" s="23"/>
      <c r="Q934" s="23"/>
      <c r="R934" s="23"/>
      <c r="S934" s="23"/>
      <c r="T934" s="23"/>
      <c r="U934" s="23"/>
      <c r="V934" s="23"/>
    </row>
    <row r="935" spans="7:22" ht="14.25" customHeight="1" x14ac:dyDescent="0.35">
      <c r="G935" s="19"/>
      <c r="I935" s="30"/>
      <c r="J935" s="31"/>
      <c r="K935" s="23"/>
      <c r="L935" s="23"/>
      <c r="M935" s="23"/>
      <c r="N935" s="23"/>
      <c r="O935" s="23"/>
      <c r="P935" s="23"/>
      <c r="Q935" s="23"/>
      <c r="R935" s="23"/>
      <c r="S935" s="23"/>
      <c r="T935" s="23"/>
      <c r="U935" s="23"/>
      <c r="V935" s="23"/>
    </row>
    <row r="936" spans="7:22" ht="14.25" customHeight="1" x14ac:dyDescent="0.35">
      <c r="G936" s="19"/>
      <c r="I936" s="30"/>
      <c r="J936" s="31"/>
      <c r="K936" s="23"/>
      <c r="L936" s="23"/>
      <c r="M936" s="23"/>
      <c r="N936" s="23"/>
      <c r="O936" s="23"/>
      <c r="P936" s="23"/>
      <c r="Q936" s="23"/>
      <c r="R936" s="23"/>
      <c r="S936" s="23"/>
      <c r="T936" s="23"/>
      <c r="U936" s="23"/>
      <c r="V936" s="23"/>
    </row>
    <row r="937" spans="7:22" ht="14.25" customHeight="1" x14ac:dyDescent="0.35">
      <c r="G937" s="19"/>
      <c r="I937" s="30"/>
      <c r="J937" s="31"/>
      <c r="K937" s="23"/>
      <c r="L937" s="23"/>
      <c r="M937" s="23"/>
      <c r="N937" s="23"/>
      <c r="O937" s="23"/>
      <c r="P937" s="23"/>
      <c r="Q937" s="23"/>
      <c r="R937" s="23"/>
      <c r="S937" s="23"/>
      <c r="T937" s="23"/>
      <c r="U937" s="23"/>
      <c r="V937" s="23"/>
    </row>
    <row r="938" spans="7:22" ht="14.25" customHeight="1" x14ac:dyDescent="0.35">
      <c r="G938" s="19"/>
      <c r="I938" s="30"/>
      <c r="J938" s="31"/>
      <c r="K938" s="23"/>
      <c r="L938" s="23"/>
      <c r="M938" s="23"/>
      <c r="N938" s="23"/>
      <c r="O938" s="23"/>
      <c r="P938" s="23"/>
      <c r="Q938" s="23"/>
      <c r="R938" s="23"/>
      <c r="S938" s="23"/>
      <c r="T938" s="23"/>
      <c r="U938" s="23"/>
      <c r="V938" s="23"/>
    </row>
    <row r="939" spans="7:22" ht="14.25" customHeight="1" x14ac:dyDescent="0.35">
      <c r="G939" s="19"/>
      <c r="I939" s="30"/>
      <c r="J939" s="31"/>
      <c r="K939" s="23"/>
      <c r="L939" s="23"/>
      <c r="M939" s="23"/>
      <c r="N939" s="23"/>
      <c r="O939" s="23"/>
      <c r="P939" s="23"/>
      <c r="Q939" s="23"/>
      <c r="R939" s="23"/>
      <c r="S939" s="23"/>
      <c r="T939" s="23"/>
      <c r="U939" s="23"/>
      <c r="V939" s="23"/>
    </row>
    <row r="940" spans="7:22" ht="14.25" customHeight="1" x14ac:dyDescent="0.35">
      <c r="G940" s="19"/>
      <c r="I940" s="30"/>
      <c r="J940" s="31"/>
      <c r="K940" s="23"/>
      <c r="L940" s="23"/>
      <c r="M940" s="23"/>
      <c r="N940" s="23"/>
      <c r="O940" s="23"/>
      <c r="P940" s="23"/>
      <c r="Q940" s="23"/>
      <c r="R940" s="23"/>
      <c r="S940" s="23"/>
      <c r="T940" s="23"/>
      <c r="U940" s="23"/>
      <c r="V940" s="23"/>
    </row>
    <row r="941" spans="7:22" ht="14.25" customHeight="1" x14ac:dyDescent="0.35">
      <c r="G941" s="19"/>
      <c r="I941" s="30"/>
      <c r="J941" s="31"/>
      <c r="K941" s="23"/>
      <c r="L941" s="23"/>
      <c r="M941" s="23"/>
      <c r="N941" s="23"/>
      <c r="O941" s="23"/>
      <c r="P941" s="23"/>
      <c r="Q941" s="23"/>
      <c r="R941" s="23"/>
      <c r="S941" s="23"/>
      <c r="T941" s="23"/>
      <c r="U941" s="23"/>
      <c r="V941" s="23"/>
    </row>
    <row r="942" spans="7:22" ht="14.25" customHeight="1" x14ac:dyDescent="0.35">
      <c r="G942" s="19"/>
      <c r="I942" s="30"/>
      <c r="J942" s="31"/>
      <c r="K942" s="23"/>
      <c r="L942" s="23"/>
      <c r="M942" s="23"/>
      <c r="N942" s="23"/>
      <c r="O942" s="23"/>
      <c r="P942" s="23"/>
      <c r="Q942" s="23"/>
      <c r="R942" s="23"/>
      <c r="S942" s="23"/>
      <c r="T942" s="23"/>
      <c r="U942" s="23"/>
      <c r="V942" s="23"/>
    </row>
    <row r="943" spans="7:22" ht="14.25" customHeight="1" x14ac:dyDescent="0.35">
      <c r="G943" s="19"/>
      <c r="I943" s="30"/>
      <c r="J943" s="31"/>
      <c r="K943" s="23"/>
      <c r="L943" s="23"/>
      <c r="M943" s="23"/>
      <c r="N943" s="23"/>
      <c r="O943" s="23"/>
      <c r="P943" s="23"/>
      <c r="Q943" s="23"/>
      <c r="R943" s="23"/>
      <c r="S943" s="23"/>
      <c r="T943" s="23"/>
      <c r="U943" s="23"/>
      <c r="V943" s="23"/>
    </row>
    <row r="944" spans="7:22" ht="14.25" customHeight="1" x14ac:dyDescent="0.35">
      <c r="G944" s="19"/>
      <c r="I944" s="30"/>
      <c r="J944" s="31"/>
      <c r="K944" s="23"/>
      <c r="L944" s="23"/>
      <c r="M944" s="23"/>
      <c r="N944" s="23"/>
      <c r="O944" s="23"/>
      <c r="P944" s="23"/>
      <c r="Q944" s="23"/>
      <c r="R944" s="23"/>
      <c r="S944" s="23"/>
      <c r="T944" s="23"/>
      <c r="U944" s="23"/>
      <c r="V944" s="23"/>
    </row>
    <row r="945" spans="7:22" ht="14.25" customHeight="1" x14ac:dyDescent="0.35">
      <c r="G945" s="19"/>
      <c r="I945" s="30"/>
      <c r="J945" s="31"/>
      <c r="K945" s="23"/>
      <c r="L945" s="23"/>
      <c r="M945" s="23"/>
      <c r="N945" s="23"/>
      <c r="O945" s="23"/>
      <c r="P945" s="23"/>
      <c r="Q945" s="23"/>
      <c r="R945" s="23"/>
      <c r="S945" s="23"/>
      <c r="T945" s="23"/>
      <c r="U945" s="23"/>
      <c r="V945" s="23"/>
    </row>
    <row r="946" spans="7:22" ht="14.25" customHeight="1" x14ac:dyDescent="0.35">
      <c r="G946" s="19"/>
      <c r="I946" s="30"/>
      <c r="J946" s="31"/>
      <c r="K946" s="23"/>
      <c r="L946" s="23"/>
      <c r="M946" s="23"/>
      <c r="N946" s="23"/>
      <c r="O946" s="23"/>
      <c r="P946" s="23"/>
      <c r="Q946" s="23"/>
      <c r="R946" s="23"/>
      <c r="S946" s="23"/>
      <c r="T946" s="23"/>
      <c r="U946" s="23"/>
      <c r="V946" s="23"/>
    </row>
    <row r="947" spans="7:22" ht="14.25" customHeight="1" x14ac:dyDescent="0.35">
      <c r="G947" s="19"/>
      <c r="I947" s="30"/>
      <c r="J947" s="31"/>
      <c r="K947" s="23"/>
      <c r="L947" s="23"/>
      <c r="M947" s="23"/>
      <c r="N947" s="23"/>
      <c r="O947" s="23"/>
      <c r="P947" s="23"/>
      <c r="Q947" s="23"/>
      <c r="R947" s="23"/>
      <c r="S947" s="23"/>
      <c r="T947" s="23"/>
      <c r="U947" s="23"/>
      <c r="V947" s="23"/>
    </row>
    <row r="948" spans="7:22" ht="14.25" customHeight="1" x14ac:dyDescent="0.35">
      <c r="G948" s="19"/>
      <c r="I948" s="30"/>
      <c r="J948" s="31"/>
      <c r="K948" s="23"/>
      <c r="L948" s="23"/>
      <c r="M948" s="23"/>
      <c r="N948" s="23"/>
      <c r="O948" s="23"/>
      <c r="P948" s="23"/>
      <c r="Q948" s="23"/>
      <c r="R948" s="23"/>
      <c r="S948" s="23"/>
      <c r="T948" s="23"/>
      <c r="U948" s="23"/>
      <c r="V948" s="23"/>
    </row>
    <row r="949" spans="7:22" ht="14.25" customHeight="1" x14ac:dyDescent="0.35">
      <c r="G949" s="19"/>
      <c r="I949" s="30"/>
      <c r="J949" s="31"/>
      <c r="K949" s="23"/>
      <c r="L949" s="23"/>
      <c r="M949" s="23"/>
      <c r="N949" s="23"/>
      <c r="O949" s="23"/>
      <c r="P949" s="23"/>
      <c r="Q949" s="23"/>
      <c r="R949" s="23"/>
      <c r="S949" s="23"/>
      <c r="T949" s="23"/>
      <c r="U949" s="23"/>
      <c r="V949" s="23"/>
    </row>
    <row r="950" spans="7:22" ht="14.25" customHeight="1" x14ac:dyDescent="0.35">
      <c r="G950" s="19"/>
      <c r="I950" s="30"/>
      <c r="J950" s="31"/>
      <c r="K950" s="23"/>
      <c r="L950" s="23"/>
      <c r="M950" s="23"/>
      <c r="N950" s="23"/>
      <c r="O950" s="23"/>
      <c r="P950" s="23"/>
      <c r="Q950" s="23"/>
      <c r="R950" s="23"/>
      <c r="S950" s="23"/>
      <c r="T950" s="23"/>
      <c r="U950" s="23"/>
      <c r="V950" s="23"/>
    </row>
    <row r="951" spans="7:22" ht="14.25" customHeight="1" x14ac:dyDescent="0.35">
      <c r="G951" s="19"/>
      <c r="I951" s="30"/>
      <c r="J951" s="31"/>
      <c r="K951" s="23"/>
      <c r="L951" s="23"/>
      <c r="M951" s="23"/>
      <c r="N951" s="23"/>
      <c r="O951" s="23"/>
      <c r="P951" s="23"/>
      <c r="Q951" s="23"/>
      <c r="R951" s="23"/>
      <c r="S951" s="23"/>
      <c r="T951" s="23"/>
      <c r="U951" s="23"/>
      <c r="V951" s="23"/>
    </row>
    <row r="952" spans="7:22" ht="14.25" customHeight="1" x14ac:dyDescent="0.35">
      <c r="G952" s="19"/>
      <c r="I952" s="30"/>
      <c r="J952" s="31"/>
      <c r="K952" s="23"/>
      <c r="L952" s="23"/>
      <c r="M952" s="23"/>
      <c r="N952" s="23"/>
      <c r="O952" s="23"/>
      <c r="P952" s="23"/>
      <c r="Q952" s="23"/>
      <c r="R952" s="23"/>
      <c r="S952" s="23"/>
      <c r="T952" s="23"/>
      <c r="U952" s="23"/>
      <c r="V952" s="23"/>
    </row>
    <row r="953" spans="7:22" ht="14.25" customHeight="1" x14ac:dyDescent="0.35">
      <c r="G953" s="19"/>
      <c r="I953" s="30"/>
      <c r="J953" s="31"/>
      <c r="K953" s="23"/>
      <c r="L953" s="23"/>
      <c r="M953" s="23"/>
      <c r="N953" s="23"/>
      <c r="O953" s="23"/>
      <c r="P953" s="23"/>
      <c r="Q953" s="23"/>
      <c r="R953" s="23"/>
      <c r="S953" s="23"/>
      <c r="T953" s="23"/>
      <c r="U953" s="23"/>
      <c r="V953" s="23"/>
    </row>
    <row r="954" spans="7:22" ht="14.25" customHeight="1" x14ac:dyDescent="0.35">
      <c r="G954" s="19"/>
      <c r="I954" s="30"/>
      <c r="J954" s="31"/>
      <c r="K954" s="23"/>
      <c r="L954" s="23"/>
      <c r="M954" s="23"/>
      <c r="N954" s="23"/>
      <c r="O954" s="23"/>
      <c r="P954" s="23"/>
      <c r="Q954" s="23"/>
      <c r="R954" s="23"/>
      <c r="S954" s="23"/>
      <c r="T954" s="23"/>
      <c r="U954" s="23"/>
      <c r="V954" s="23"/>
    </row>
    <row r="955" spans="7:22" ht="14.25" customHeight="1" x14ac:dyDescent="0.35">
      <c r="G955" s="19"/>
      <c r="I955" s="30"/>
      <c r="J955" s="31"/>
      <c r="K955" s="23"/>
      <c r="L955" s="23"/>
      <c r="M955" s="23"/>
      <c r="N955" s="23"/>
      <c r="O955" s="23"/>
      <c r="P955" s="23"/>
      <c r="Q955" s="23"/>
      <c r="R955" s="23"/>
      <c r="S955" s="23"/>
      <c r="T955" s="23"/>
      <c r="U955" s="23"/>
      <c r="V955" s="23"/>
    </row>
    <row r="956" spans="7:22" ht="14.25" customHeight="1" x14ac:dyDescent="0.35">
      <c r="G956" s="19"/>
      <c r="I956" s="30"/>
      <c r="J956" s="31"/>
      <c r="K956" s="23"/>
      <c r="L956" s="23"/>
      <c r="M956" s="23"/>
      <c r="N956" s="23"/>
      <c r="O956" s="23"/>
      <c r="P956" s="23"/>
      <c r="Q956" s="23"/>
      <c r="R956" s="23"/>
      <c r="S956" s="23"/>
      <c r="T956" s="23"/>
      <c r="U956" s="23"/>
      <c r="V956" s="23"/>
    </row>
    <row r="957" spans="7:22" ht="14.25" customHeight="1" x14ac:dyDescent="0.35">
      <c r="G957" s="19"/>
      <c r="I957" s="30"/>
      <c r="J957" s="31"/>
      <c r="K957" s="23"/>
      <c r="L957" s="23"/>
      <c r="M957" s="23"/>
      <c r="N957" s="23"/>
      <c r="O957" s="23"/>
      <c r="P957" s="23"/>
      <c r="Q957" s="23"/>
      <c r="R957" s="23"/>
      <c r="S957" s="23"/>
      <c r="T957" s="23"/>
      <c r="U957" s="23"/>
      <c r="V957" s="23"/>
    </row>
    <row r="958" spans="7:22" ht="14.25" customHeight="1" x14ac:dyDescent="0.35">
      <c r="G958" s="19"/>
      <c r="I958" s="30"/>
      <c r="J958" s="31"/>
      <c r="K958" s="23"/>
      <c r="L958" s="23"/>
      <c r="M958" s="23"/>
      <c r="N958" s="23"/>
      <c r="O958" s="23"/>
      <c r="P958" s="23"/>
      <c r="Q958" s="23"/>
      <c r="R958" s="23"/>
      <c r="S958" s="23"/>
      <c r="T958" s="23"/>
      <c r="U958" s="23"/>
      <c r="V958" s="23"/>
    </row>
    <row r="959" spans="7:22" ht="14.25" customHeight="1" x14ac:dyDescent="0.35">
      <c r="G959" s="19"/>
      <c r="I959" s="30"/>
      <c r="J959" s="31"/>
      <c r="K959" s="23"/>
      <c r="L959" s="23"/>
      <c r="M959" s="23"/>
      <c r="N959" s="23"/>
      <c r="O959" s="23"/>
      <c r="P959" s="23"/>
      <c r="Q959" s="23"/>
      <c r="R959" s="23"/>
      <c r="S959" s="23"/>
      <c r="T959" s="23"/>
      <c r="U959" s="23"/>
      <c r="V959" s="23"/>
    </row>
    <row r="960" spans="7:22" ht="14.25" customHeight="1" x14ac:dyDescent="0.35">
      <c r="G960" s="19"/>
      <c r="I960" s="30"/>
      <c r="J960" s="31"/>
      <c r="K960" s="23"/>
      <c r="L960" s="23"/>
      <c r="M960" s="23"/>
      <c r="N960" s="23"/>
      <c r="O960" s="23"/>
      <c r="P960" s="23"/>
      <c r="Q960" s="23"/>
      <c r="R960" s="23"/>
      <c r="S960" s="23"/>
      <c r="T960" s="23"/>
      <c r="U960" s="23"/>
      <c r="V960" s="23"/>
    </row>
    <row r="961" spans="7:22" ht="14.25" customHeight="1" x14ac:dyDescent="0.35">
      <c r="G961" s="19"/>
      <c r="I961" s="30"/>
      <c r="J961" s="31"/>
      <c r="K961" s="23"/>
      <c r="L961" s="23"/>
      <c r="M961" s="23"/>
      <c r="N961" s="23"/>
      <c r="O961" s="23"/>
      <c r="P961" s="23"/>
      <c r="Q961" s="23"/>
      <c r="R961" s="23"/>
      <c r="S961" s="23"/>
      <c r="T961" s="23"/>
      <c r="U961" s="23"/>
      <c r="V961" s="23"/>
    </row>
    <row r="962" spans="7:22" ht="14.25" customHeight="1" x14ac:dyDescent="0.35">
      <c r="G962" s="19"/>
      <c r="I962" s="30"/>
      <c r="J962" s="31"/>
      <c r="K962" s="23"/>
      <c r="L962" s="23"/>
      <c r="M962" s="23"/>
      <c r="N962" s="23"/>
      <c r="O962" s="23"/>
      <c r="P962" s="23"/>
      <c r="Q962" s="23"/>
      <c r="R962" s="23"/>
      <c r="S962" s="23"/>
      <c r="T962" s="23"/>
      <c r="U962" s="23"/>
      <c r="V962" s="23"/>
    </row>
    <row r="963" spans="7:22" ht="14.25" customHeight="1" x14ac:dyDescent="0.35">
      <c r="G963" s="19"/>
      <c r="I963" s="30"/>
      <c r="J963" s="31"/>
      <c r="K963" s="23"/>
      <c r="L963" s="23"/>
      <c r="M963" s="23"/>
      <c r="N963" s="23"/>
      <c r="O963" s="23"/>
      <c r="P963" s="23"/>
      <c r="Q963" s="23"/>
      <c r="R963" s="23"/>
      <c r="S963" s="23"/>
      <c r="T963" s="23"/>
      <c r="U963" s="23"/>
      <c r="V963" s="23"/>
    </row>
    <row r="964" spans="7:22" ht="14.25" customHeight="1" x14ac:dyDescent="0.35">
      <c r="G964" s="19"/>
      <c r="I964" s="30"/>
      <c r="J964" s="31"/>
      <c r="K964" s="23"/>
      <c r="L964" s="23"/>
      <c r="M964" s="23"/>
      <c r="N964" s="23"/>
      <c r="O964" s="23"/>
      <c r="P964" s="23"/>
      <c r="Q964" s="23"/>
      <c r="R964" s="23"/>
      <c r="S964" s="23"/>
      <c r="T964" s="23"/>
      <c r="U964" s="23"/>
      <c r="V964" s="23"/>
    </row>
    <row r="965" spans="7:22" ht="14.25" customHeight="1" x14ac:dyDescent="0.35">
      <c r="G965" s="19"/>
      <c r="I965" s="30"/>
      <c r="J965" s="31"/>
      <c r="K965" s="23"/>
      <c r="L965" s="23"/>
      <c r="M965" s="23"/>
      <c r="N965" s="23"/>
      <c r="O965" s="23"/>
      <c r="P965" s="23"/>
      <c r="Q965" s="23"/>
      <c r="R965" s="23"/>
      <c r="S965" s="23"/>
      <c r="T965" s="23"/>
      <c r="U965" s="23"/>
      <c r="V965" s="23"/>
    </row>
    <row r="966" spans="7:22" ht="14.25" customHeight="1" x14ac:dyDescent="0.35">
      <c r="G966" s="19"/>
      <c r="I966" s="30"/>
      <c r="J966" s="31"/>
      <c r="K966" s="23"/>
      <c r="L966" s="23"/>
      <c r="M966" s="23"/>
      <c r="N966" s="23"/>
      <c r="O966" s="23"/>
      <c r="P966" s="23"/>
      <c r="Q966" s="23"/>
      <c r="R966" s="23"/>
      <c r="S966" s="23"/>
      <c r="T966" s="23"/>
      <c r="U966" s="23"/>
      <c r="V966" s="23"/>
    </row>
    <row r="967" spans="7:22" ht="14.25" customHeight="1" x14ac:dyDescent="0.35">
      <c r="G967" s="19"/>
      <c r="I967" s="30"/>
      <c r="J967" s="31"/>
      <c r="K967" s="23"/>
      <c r="L967" s="23"/>
      <c r="M967" s="23"/>
      <c r="N967" s="23"/>
      <c r="O967" s="23"/>
      <c r="P967" s="23"/>
      <c r="Q967" s="23"/>
      <c r="R967" s="23"/>
      <c r="S967" s="23"/>
      <c r="T967" s="23"/>
      <c r="U967" s="23"/>
      <c r="V967" s="23"/>
    </row>
    <row r="968" spans="7:22" ht="14.25" customHeight="1" x14ac:dyDescent="0.35">
      <c r="G968" s="19"/>
      <c r="I968" s="30"/>
      <c r="J968" s="31"/>
      <c r="K968" s="23"/>
      <c r="L968" s="23"/>
      <c r="M968" s="23"/>
      <c r="N968" s="23"/>
      <c r="O968" s="23"/>
      <c r="P968" s="23"/>
      <c r="Q968" s="23"/>
      <c r="R968" s="23"/>
      <c r="S968" s="23"/>
      <c r="T968" s="23"/>
      <c r="U968" s="23"/>
      <c r="V968" s="23"/>
    </row>
    <row r="969" spans="7:22" ht="14.25" customHeight="1" x14ac:dyDescent="0.35">
      <c r="G969" s="19"/>
      <c r="I969" s="30"/>
      <c r="J969" s="31"/>
      <c r="K969" s="23"/>
      <c r="L969" s="23"/>
      <c r="M969" s="23"/>
      <c r="N969" s="23"/>
      <c r="O969" s="23"/>
      <c r="P969" s="23"/>
      <c r="Q969" s="23"/>
      <c r="R969" s="23"/>
      <c r="S969" s="23"/>
      <c r="T969" s="23"/>
      <c r="U969" s="23"/>
      <c r="V969" s="23"/>
    </row>
    <row r="970" spans="7:22" ht="14.25" customHeight="1" x14ac:dyDescent="0.35">
      <c r="G970" s="19"/>
      <c r="I970" s="30"/>
      <c r="J970" s="31"/>
      <c r="K970" s="23"/>
      <c r="L970" s="23"/>
      <c r="M970" s="23"/>
      <c r="N970" s="23"/>
      <c r="O970" s="23"/>
      <c r="P970" s="23"/>
      <c r="Q970" s="23"/>
      <c r="R970" s="23"/>
      <c r="S970" s="23"/>
      <c r="T970" s="23"/>
      <c r="U970" s="23"/>
      <c r="V970" s="23"/>
    </row>
    <row r="971" spans="7:22" ht="14.25" customHeight="1" x14ac:dyDescent="0.35">
      <c r="G971" s="19"/>
      <c r="I971" s="30"/>
      <c r="J971" s="31"/>
      <c r="K971" s="23"/>
      <c r="L971" s="23"/>
      <c r="M971" s="23"/>
      <c r="N971" s="23"/>
      <c r="O971" s="23"/>
      <c r="P971" s="23"/>
      <c r="Q971" s="23"/>
      <c r="R971" s="23"/>
      <c r="S971" s="23"/>
      <c r="T971" s="23"/>
      <c r="U971" s="23"/>
      <c r="V971" s="23"/>
    </row>
    <row r="972" spans="7:22" ht="14.25" customHeight="1" x14ac:dyDescent="0.35">
      <c r="G972" s="19"/>
      <c r="I972" s="30"/>
      <c r="J972" s="31"/>
      <c r="K972" s="23"/>
      <c r="L972" s="23"/>
      <c r="M972" s="23"/>
      <c r="N972" s="23"/>
      <c r="O972" s="23"/>
      <c r="P972" s="23"/>
      <c r="Q972" s="23"/>
      <c r="R972" s="23"/>
      <c r="S972" s="23"/>
      <c r="T972" s="23"/>
      <c r="U972" s="23"/>
      <c r="V972" s="23"/>
    </row>
    <row r="973" spans="7:22" ht="14.25" customHeight="1" x14ac:dyDescent="0.35">
      <c r="G973" s="19"/>
      <c r="I973" s="30"/>
      <c r="J973" s="31"/>
      <c r="K973" s="23"/>
      <c r="L973" s="23"/>
      <c r="M973" s="23"/>
      <c r="N973" s="23"/>
      <c r="O973" s="23"/>
      <c r="P973" s="23"/>
      <c r="Q973" s="23"/>
      <c r="R973" s="23"/>
      <c r="S973" s="23"/>
      <c r="T973" s="23"/>
      <c r="U973" s="23"/>
      <c r="V973" s="23"/>
    </row>
    <row r="974" spans="7:22" ht="14.25" customHeight="1" x14ac:dyDescent="0.35">
      <c r="G974" s="19"/>
      <c r="I974" s="30"/>
      <c r="J974" s="31"/>
      <c r="K974" s="23"/>
      <c r="L974" s="23"/>
      <c r="M974" s="23"/>
      <c r="N974" s="23"/>
      <c r="O974" s="23"/>
      <c r="P974" s="23"/>
      <c r="Q974" s="23"/>
      <c r="R974" s="23"/>
      <c r="S974" s="23"/>
      <c r="T974" s="23"/>
      <c r="U974" s="23"/>
      <c r="V974" s="23"/>
    </row>
    <row r="975" spans="7:22" ht="14.25" customHeight="1" x14ac:dyDescent="0.35">
      <c r="G975" s="19"/>
      <c r="I975" s="30"/>
      <c r="J975" s="31"/>
      <c r="K975" s="23"/>
      <c r="L975" s="23"/>
      <c r="M975" s="23"/>
      <c r="N975" s="23"/>
      <c r="O975" s="23"/>
      <c r="P975" s="23"/>
      <c r="Q975" s="23"/>
      <c r="R975" s="23"/>
      <c r="S975" s="23"/>
      <c r="T975" s="23"/>
      <c r="U975" s="23"/>
      <c r="V975" s="23"/>
    </row>
    <row r="976" spans="7:22" ht="14.25" customHeight="1" x14ac:dyDescent="0.35">
      <c r="G976" s="19"/>
      <c r="I976" s="30"/>
      <c r="J976" s="31"/>
      <c r="K976" s="23"/>
      <c r="L976" s="23"/>
      <c r="M976" s="23"/>
      <c r="N976" s="23"/>
      <c r="O976" s="23"/>
      <c r="P976" s="23"/>
      <c r="Q976" s="23"/>
      <c r="R976" s="23"/>
      <c r="S976" s="23"/>
      <c r="T976" s="23"/>
      <c r="U976" s="23"/>
      <c r="V976" s="23"/>
    </row>
    <row r="977" spans="7:22" ht="14.25" customHeight="1" x14ac:dyDescent="0.35">
      <c r="G977" s="19"/>
      <c r="I977" s="30"/>
      <c r="J977" s="31"/>
      <c r="K977" s="23"/>
      <c r="L977" s="23"/>
      <c r="M977" s="23"/>
      <c r="N977" s="23"/>
      <c r="O977" s="23"/>
      <c r="P977" s="23"/>
      <c r="Q977" s="23"/>
      <c r="R977" s="23"/>
      <c r="S977" s="23"/>
      <c r="T977" s="23"/>
      <c r="U977" s="23"/>
      <c r="V977" s="23"/>
    </row>
    <row r="978" spans="7:22" ht="14.25" customHeight="1" x14ac:dyDescent="0.35">
      <c r="G978" s="19"/>
      <c r="I978" s="30"/>
      <c r="J978" s="31"/>
      <c r="K978" s="23"/>
      <c r="L978" s="23"/>
      <c r="M978" s="23"/>
      <c r="N978" s="23"/>
      <c r="O978" s="23"/>
      <c r="P978" s="23"/>
      <c r="Q978" s="23"/>
      <c r="R978" s="23"/>
      <c r="S978" s="23"/>
      <c r="T978" s="23"/>
      <c r="U978" s="23"/>
      <c r="V978" s="23"/>
    </row>
    <row r="979" spans="7:22" ht="14.25" customHeight="1" x14ac:dyDescent="0.35">
      <c r="G979" s="19"/>
      <c r="I979" s="30"/>
      <c r="J979" s="31"/>
      <c r="K979" s="23"/>
      <c r="L979" s="23"/>
      <c r="M979" s="23"/>
      <c r="N979" s="23"/>
      <c r="O979" s="23"/>
      <c r="P979" s="23"/>
      <c r="Q979" s="23"/>
      <c r="R979" s="23"/>
      <c r="S979" s="23"/>
      <c r="T979" s="23"/>
      <c r="U979" s="23"/>
      <c r="V979" s="23"/>
    </row>
    <row r="980" spans="7:22" ht="14.25" customHeight="1" x14ac:dyDescent="0.35">
      <c r="G980" s="19"/>
      <c r="I980" s="30"/>
      <c r="J980" s="31"/>
      <c r="K980" s="23"/>
      <c r="L980" s="23"/>
      <c r="M980" s="23"/>
      <c r="N980" s="23"/>
      <c r="O980" s="23"/>
      <c r="P980" s="23"/>
      <c r="Q980" s="23"/>
      <c r="R980" s="23"/>
      <c r="S980" s="23"/>
      <c r="T980" s="23"/>
      <c r="U980" s="23"/>
      <c r="V980" s="23"/>
    </row>
    <row r="981" spans="7:22" ht="14.25" customHeight="1" x14ac:dyDescent="0.35">
      <c r="G981" s="19"/>
      <c r="I981" s="30"/>
      <c r="J981" s="31"/>
      <c r="K981" s="23"/>
      <c r="L981" s="23"/>
      <c r="M981" s="23"/>
      <c r="N981" s="23"/>
      <c r="O981" s="23"/>
      <c r="P981" s="23"/>
      <c r="Q981" s="23"/>
      <c r="R981" s="23"/>
      <c r="S981" s="23"/>
      <c r="T981" s="23"/>
      <c r="U981" s="23"/>
      <c r="V981" s="23"/>
    </row>
    <row r="982" spans="7:22" ht="14.25" customHeight="1" x14ac:dyDescent="0.35">
      <c r="G982" s="19"/>
      <c r="I982" s="30"/>
      <c r="J982" s="31"/>
      <c r="K982" s="23"/>
      <c r="L982" s="23"/>
      <c r="M982" s="23"/>
      <c r="N982" s="23"/>
      <c r="O982" s="23"/>
      <c r="P982" s="23"/>
      <c r="Q982" s="23"/>
      <c r="R982" s="23"/>
      <c r="S982" s="23"/>
      <c r="T982" s="23"/>
      <c r="U982" s="23"/>
      <c r="V982" s="23"/>
    </row>
    <row r="983" spans="7:22" ht="14.25" customHeight="1" x14ac:dyDescent="0.35">
      <c r="G983" s="19"/>
      <c r="I983" s="30"/>
      <c r="J983" s="31"/>
      <c r="K983" s="23"/>
      <c r="L983" s="23"/>
      <c r="M983" s="23"/>
      <c r="N983" s="23"/>
      <c r="O983" s="23"/>
      <c r="P983" s="23"/>
      <c r="Q983" s="23"/>
      <c r="R983" s="23"/>
      <c r="S983" s="23"/>
      <c r="T983" s="23"/>
      <c r="U983" s="23"/>
      <c r="V983" s="23"/>
    </row>
    <row r="984" spans="7:22" ht="14.25" customHeight="1" x14ac:dyDescent="0.35">
      <c r="G984" s="19"/>
      <c r="I984" s="30"/>
      <c r="J984" s="31"/>
      <c r="K984" s="23"/>
      <c r="L984" s="23"/>
      <c r="M984" s="23"/>
      <c r="N984" s="23"/>
      <c r="O984" s="23"/>
      <c r="P984" s="23"/>
      <c r="Q984" s="23"/>
      <c r="R984" s="23"/>
      <c r="S984" s="23"/>
      <c r="T984" s="23"/>
      <c r="U984" s="23"/>
      <c r="V984" s="23"/>
    </row>
    <row r="985" spans="7:22" ht="14.25" customHeight="1" x14ac:dyDescent="0.35">
      <c r="G985" s="19"/>
      <c r="I985" s="30"/>
      <c r="J985" s="31"/>
      <c r="K985" s="23"/>
      <c r="L985" s="23"/>
      <c r="M985" s="23"/>
      <c r="N985" s="23"/>
      <c r="O985" s="23"/>
      <c r="P985" s="23"/>
      <c r="Q985" s="23"/>
      <c r="R985" s="23"/>
      <c r="S985" s="23"/>
      <c r="T985" s="23"/>
      <c r="U985" s="23"/>
      <c r="V985" s="23"/>
    </row>
    <row r="986" spans="7:22" ht="14.25" customHeight="1" x14ac:dyDescent="0.35">
      <c r="G986" s="19"/>
      <c r="I986" s="30"/>
      <c r="J986" s="31"/>
      <c r="K986" s="23"/>
      <c r="L986" s="23"/>
      <c r="M986" s="23"/>
      <c r="N986" s="23"/>
      <c r="O986" s="23"/>
      <c r="P986" s="23"/>
      <c r="Q986" s="23"/>
      <c r="R986" s="23"/>
      <c r="S986" s="23"/>
      <c r="T986" s="23"/>
      <c r="U986" s="23"/>
      <c r="V986" s="23"/>
    </row>
    <row r="987" spans="7:22" ht="14.25" customHeight="1" x14ac:dyDescent="0.35">
      <c r="G987" s="19"/>
      <c r="I987" s="30"/>
      <c r="J987" s="31"/>
      <c r="K987" s="23"/>
      <c r="L987" s="23"/>
      <c r="M987" s="23"/>
      <c r="N987" s="23"/>
      <c r="O987" s="23"/>
      <c r="P987" s="23"/>
      <c r="Q987" s="23"/>
      <c r="R987" s="23"/>
      <c r="S987" s="23"/>
      <c r="T987" s="23"/>
      <c r="U987" s="23"/>
      <c r="V987" s="23"/>
    </row>
    <row r="988" spans="7:22" ht="14.25" customHeight="1" x14ac:dyDescent="0.35">
      <c r="G988" s="19"/>
      <c r="I988" s="30"/>
      <c r="J988" s="31"/>
      <c r="K988" s="23"/>
      <c r="L988" s="23"/>
      <c r="M988" s="23"/>
      <c r="N988" s="23"/>
      <c r="O988" s="23"/>
      <c r="P988" s="23"/>
      <c r="Q988" s="23"/>
      <c r="R988" s="23"/>
      <c r="S988" s="23"/>
      <c r="T988" s="23"/>
      <c r="U988" s="23"/>
      <c r="V988" s="23"/>
    </row>
    <row r="989" spans="7:22" ht="14.25" customHeight="1" x14ac:dyDescent="0.35">
      <c r="G989" s="19"/>
      <c r="I989" s="30"/>
      <c r="J989" s="31"/>
      <c r="K989" s="23"/>
      <c r="L989" s="23"/>
      <c r="M989" s="23"/>
      <c r="N989" s="23"/>
      <c r="O989" s="23"/>
      <c r="P989" s="23"/>
      <c r="Q989" s="23"/>
      <c r="R989" s="23"/>
      <c r="S989" s="23"/>
      <c r="T989" s="23"/>
      <c r="U989" s="23"/>
      <c r="V989" s="23"/>
    </row>
    <row r="990" spans="7:22" ht="14.25" customHeight="1" x14ac:dyDescent="0.35">
      <c r="G990" s="19"/>
      <c r="I990" s="30"/>
      <c r="J990" s="31"/>
      <c r="K990" s="23"/>
      <c r="L990" s="23"/>
      <c r="M990" s="23"/>
      <c r="N990" s="23"/>
      <c r="O990" s="23"/>
      <c r="P990" s="23"/>
      <c r="Q990" s="23"/>
      <c r="R990" s="23"/>
      <c r="S990" s="23"/>
      <c r="T990" s="23"/>
      <c r="U990" s="23"/>
      <c r="V990" s="23"/>
    </row>
    <row r="991" spans="7:22" ht="14.25" customHeight="1" x14ac:dyDescent="0.35">
      <c r="G991" s="19"/>
      <c r="I991" s="30"/>
      <c r="J991" s="31"/>
      <c r="K991" s="23"/>
      <c r="L991" s="23"/>
      <c r="M991" s="23"/>
      <c r="N991" s="23"/>
      <c r="O991" s="23"/>
      <c r="P991" s="23"/>
      <c r="Q991" s="23"/>
      <c r="R991" s="23"/>
      <c r="S991" s="23"/>
      <c r="T991" s="23"/>
      <c r="U991" s="23"/>
      <c r="V991" s="23"/>
    </row>
    <row r="992" spans="7:22" ht="14.25" customHeight="1" x14ac:dyDescent="0.35">
      <c r="G992" s="19"/>
      <c r="I992" s="30"/>
      <c r="J992" s="31"/>
      <c r="K992" s="23"/>
      <c r="L992" s="23"/>
      <c r="M992" s="23"/>
      <c r="N992" s="23"/>
      <c r="O992" s="23"/>
      <c r="P992" s="23"/>
      <c r="Q992" s="23"/>
      <c r="R992" s="23"/>
      <c r="S992" s="23"/>
      <c r="T992" s="23"/>
      <c r="U992" s="23"/>
      <c r="V992" s="23"/>
    </row>
    <row r="993" spans="7:22" ht="14.25" customHeight="1" x14ac:dyDescent="0.35">
      <c r="G993" s="19"/>
      <c r="I993" s="30"/>
      <c r="J993" s="31"/>
      <c r="K993" s="23"/>
      <c r="L993" s="23"/>
      <c r="M993" s="23"/>
      <c r="N993" s="23"/>
      <c r="O993" s="23"/>
      <c r="P993" s="23"/>
      <c r="Q993" s="23"/>
      <c r="R993" s="23"/>
      <c r="S993" s="23"/>
      <c r="T993" s="23"/>
      <c r="U993" s="23"/>
      <c r="V993" s="23"/>
    </row>
    <row r="994" spans="7:22" ht="14.25" customHeight="1" x14ac:dyDescent="0.35">
      <c r="G994" s="19"/>
      <c r="I994" s="30"/>
      <c r="J994" s="31"/>
      <c r="K994" s="23"/>
      <c r="L994" s="23"/>
      <c r="M994" s="23"/>
      <c r="N994" s="23"/>
      <c r="O994" s="23"/>
      <c r="P994" s="23"/>
      <c r="Q994" s="23"/>
      <c r="R994" s="23"/>
      <c r="S994" s="23"/>
      <c r="T994" s="23"/>
      <c r="U994" s="23"/>
      <c r="V994" s="23"/>
    </row>
    <row r="995" spans="7:22" ht="14.25" customHeight="1" x14ac:dyDescent="0.35">
      <c r="G995" s="19"/>
      <c r="I995" s="30"/>
      <c r="J995" s="31"/>
      <c r="K995" s="23"/>
      <c r="L995" s="23"/>
      <c r="M995" s="23"/>
      <c r="N995" s="23"/>
      <c r="O995" s="23"/>
      <c r="P995" s="23"/>
      <c r="Q995" s="23"/>
      <c r="R995" s="23"/>
      <c r="S995" s="23"/>
      <c r="T995" s="23"/>
      <c r="U995" s="23"/>
      <c r="V995" s="23"/>
    </row>
    <row r="996" spans="7:22" ht="14.25" customHeight="1" x14ac:dyDescent="0.35">
      <c r="G996" s="19"/>
      <c r="I996" s="30"/>
      <c r="J996" s="31"/>
      <c r="K996" s="23"/>
      <c r="L996" s="23"/>
      <c r="M996" s="23"/>
      <c r="N996" s="23"/>
      <c r="O996" s="23"/>
      <c r="P996" s="23"/>
      <c r="Q996" s="23"/>
      <c r="R996" s="23"/>
      <c r="S996" s="23"/>
      <c r="T996" s="23"/>
      <c r="U996" s="23"/>
      <c r="V996" s="23"/>
    </row>
    <row r="997" spans="7:22" ht="14.25" customHeight="1" x14ac:dyDescent="0.35">
      <c r="G997" s="19"/>
      <c r="I997" s="30"/>
      <c r="J997" s="31"/>
      <c r="K997" s="23"/>
      <c r="L997" s="23"/>
      <c r="M997" s="23"/>
      <c r="N997" s="23"/>
      <c r="O997" s="23"/>
      <c r="P997" s="23"/>
      <c r="Q997" s="23"/>
      <c r="R997" s="23"/>
      <c r="S997" s="23"/>
      <c r="T997" s="23"/>
      <c r="U997" s="23"/>
      <c r="V997" s="23"/>
    </row>
    <row r="998" spans="7:22" ht="14.25" customHeight="1" x14ac:dyDescent="0.35">
      <c r="G998" s="19"/>
      <c r="I998" s="30"/>
      <c r="J998" s="31"/>
      <c r="K998" s="23"/>
      <c r="L998" s="23"/>
      <c r="M998" s="23"/>
      <c r="N998" s="23"/>
      <c r="O998" s="23"/>
      <c r="P998" s="23"/>
      <c r="Q998" s="23"/>
      <c r="R998" s="23"/>
      <c r="S998" s="23"/>
      <c r="T998" s="23"/>
      <c r="U998" s="23"/>
      <c r="V998" s="23"/>
    </row>
    <row r="999" spans="7:22" ht="14.25" customHeight="1" x14ac:dyDescent="0.35">
      <c r="G999" s="19"/>
      <c r="I999" s="30"/>
      <c r="J999" s="31"/>
      <c r="K999" s="23"/>
      <c r="L999" s="23"/>
      <c r="M999" s="23"/>
      <c r="N999" s="23"/>
      <c r="O999" s="23"/>
      <c r="P999" s="23"/>
      <c r="Q999" s="23"/>
      <c r="R999" s="23"/>
      <c r="S999" s="23"/>
      <c r="T999" s="23"/>
      <c r="U999" s="23"/>
      <c r="V999" s="23"/>
    </row>
    <row r="1000" spans="7:22" ht="14.5" x14ac:dyDescent="0.35">
      <c r="G1000" s="19"/>
      <c r="I1000" s="30"/>
      <c r="J1000" s="31"/>
      <c r="K1000" s="23"/>
      <c r="L1000" s="23"/>
      <c r="M1000" s="23"/>
      <c r="N1000" s="23"/>
      <c r="O1000" s="23"/>
      <c r="P1000" s="23"/>
      <c r="Q1000" s="23"/>
      <c r="R1000" s="23"/>
      <c r="S1000" s="23"/>
      <c r="T1000" s="23"/>
      <c r="U1000" s="23"/>
      <c r="V1000" s="23"/>
    </row>
  </sheetData>
  <dataValidations count="1">
    <dataValidation type="list" allowBlank="1" showErrorMessage="1" sqref="B2:B301" xr:uid="{00000000-0002-0000-0200-000000000000}">
      <formula1>"Oost-Vlaanderen,Vlaams-Brabant,Antwerpen,Limburg,West-Vlaanderen"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0"/>
  <sheetViews>
    <sheetView workbookViewId="0"/>
  </sheetViews>
  <sheetFormatPr defaultColWidth="14.453125" defaultRowHeight="15" customHeight="1" x14ac:dyDescent="0.35"/>
  <cols>
    <col min="1" max="1" width="8.08984375" customWidth="1"/>
    <col min="2" max="2" width="30.81640625" customWidth="1"/>
    <col min="3" max="3" width="9.54296875" customWidth="1"/>
    <col min="4" max="4" width="8.81640625" customWidth="1"/>
    <col min="5" max="5" width="8" customWidth="1"/>
    <col min="6" max="6" width="8.7265625" customWidth="1"/>
    <col min="7" max="7" width="8" customWidth="1"/>
    <col min="8" max="8" width="7.81640625" customWidth="1"/>
    <col min="9" max="10" width="7.453125" customWidth="1"/>
    <col min="11" max="11" width="14.54296875" customWidth="1"/>
    <col min="12" max="12" width="14.26953125" customWidth="1"/>
    <col min="13" max="13" width="14" customWidth="1"/>
    <col min="14" max="15" width="13.453125" customWidth="1"/>
    <col min="16" max="16" width="200.7265625" customWidth="1"/>
    <col min="17" max="32" width="8.7265625" customWidth="1"/>
  </cols>
  <sheetData>
    <row r="1" spans="1:22" ht="29" x14ac:dyDescent="0.35">
      <c r="A1" s="49"/>
      <c r="B1" s="50"/>
      <c r="C1" s="51">
        <v>44562</v>
      </c>
      <c r="D1" s="51">
        <v>44835</v>
      </c>
      <c r="E1" s="51">
        <v>45078</v>
      </c>
      <c r="F1" s="51">
        <v>45261</v>
      </c>
      <c r="G1" s="51">
        <v>45444</v>
      </c>
      <c r="H1" s="52">
        <v>45627</v>
      </c>
      <c r="I1" s="52">
        <v>45809</v>
      </c>
      <c r="J1" s="53">
        <v>46016</v>
      </c>
      <c r="K1" s="54" t="s">
        <v>371</v>
      </c>
      <c r="L1" s="54" t="s">
        <v>372</v>
      </c>
      <c r="M1" s="54" t="s">
        <v>373</v>
      </c>
      <c r="N1" s="54" t="s">
        <v>374</v>
      </c>
      <c r="O1" s="54" t="s">
        <v>375</v>
      </c>
      <c r="P1" s="55" t="s">
        <v>376</v>
      </c>
    </row>
    <row r="2" spans="1:22" ht="14.5" x14ac:dyDescent="0.35">
      <c r="A2" s="140" t="s">
        <v>377</v>
      </c>
      <c r="B2" s="56" t="s">
        <v>378</v>
      </c>
      <c r="C2" s="57">
        <v>2856</v>
      </c>
      <c r="D2" s="57">
        <v>3112</v>
      </c>
      <c r="E2" s="57">
        <v>4026</v>
      </c>
      <c r="F2" s="57">
        <v>4161</v>
      </c>
      <c r="G2" s="57">
        <v>4655</v>
      </c>
      <c r="H2" s="58">
        <v>4663</v>
      </c>
      <c r="I2" s="59">
        <v>4557</v>
      </c>
      <c r="J2" s="60">
        <v>4596</v>
      </c>
      <c r="K2" s="61">
        <f>(G2-D2)/D2</f>
        <v>0.49582262210796912</v>
      </c>
      <c r="L2" s="62">
        <f>(I2-D2)/D2</f>
        <v>0.46433161953727509</v>
      </c>
      <c r="M2" s="63">
        <f t="shared" ref="M2:N2" si="0">(I2-G2)/G2</f>
        <v>-2.1052631578947368E-2</v>
      </c>
      <c r="N2" s="63">
        <f t="shared" si="0"/>
        <v>-1.4368432339695475E-2</v>
      </c>
      <c r="O2" s="64"/>
      <c r="P2" s="65" t="s">
        <v>379</v>
      </c>
    </row>
    <row r="3" spans="1:22" ht="14.5" x14ac:dyDescent="0.35">
      <c r="A3" s="141"/>
      <c r="B3" s="66" t="s">
        <v>380</v>
      </c>
      <c r="C3" s="67"/>
      <c r="D3" s="67"/>
      <c r="E3" s="14">
        <v>1000</v>
      </c>
      <c r="F3" s="14">
        <v>957</v>
      </c>
      <c r="G3" s="14">
        <v>883</v>
      </c>
      <c r="H3" s="68">
        <v>1115</v>
      </c>
      <c r="I3" s="69">
        <v>1150</v>
      </c>
      <c r="J3" s="70">
        <v>1246</v>
      </c>
      <c r="K3" s="71"/>
      <c r="M3" s="72">
        <f t="shared" ref="M3:N3" si="1">(I3-G3)/G3</f>
        <v>0.30237825594563988</v>
      </c>
      <c r="N3" s="39">
        <f t="shared" si="1"/>
        <v>0.11748878923766816</v>
      </c>
      <c r="O3" s="73"/>
      <c r="P3" s="74" t="s">
        <v>381</v>
      </c>
    </row>
    <row r="4" spans="1:22" ht="14.5" x14ac:dyDescent="0.35">
      <c r="A4" s="141"/>
      <c r="B4" s="66" t="s">
        <v>382</v>
      </c>
      <c r="C4" s="67"/>
      <c r="D4" s="67"/>
      <c r="E4" s="39">
        <f t="shared" ref="E4:J4" si="2">E3/E2</f>
        <v>0.24838549428713363</v>
      </c>
      <c r="F4" s="39">
        <f t="shared" si="2"/>
        <v>0.22999279019466473</v>
      </c>
      <c r="G4" s="39">
        <f t="shared" si="2"/>
        <v>0.18968850698174006</v>
      </c>
      <c r="H4" s="75">
        <f t="shared" si="2"/>
        <v>0.23911644863821574</v>
      </c>
      <c r="I4" s="76">
        <f t="shared" si="2"/>
        <v>0.25235900811937678</v>
      </c>
      <c r="J4" s="77">
        <f t="shared" si="2"/>
        <v>0.27110530896431678</v>
      </c>
      <c r="K4" s="71"/>
      <c r="M4" s="72">
        <f>I4-G4</f>
        <v>6.2670501137636725E-2</v>
      </c>
      <c r="N4" s="39">
        <f t="shared" ref="N4:N6" si="3">(J4-H4)/H4</f>
        <v>0.13377942215301269</v>
      </c>
      <c r="O4" s="73"/>
      <c r="P4" s="78" t="s">
        <v>383</v>
      </c>
      <c r="R4" s="14"/>
    </row>
    <row r="5" spans="1:22" ht="14.5" x14ac:dyDescent="0.35">
      <c r="A5" s="141"/>
      <c r="B5" s="79" t="s">
        <v>384</v>
      </c>
      <c r="C5" s="13">
        <v>192</v>
      </c>
      <c r="D5" s="13">
        <v>177</v>
      </c>
      <c r="E5" s="13">
        <v>194</v>
      </c>
      <c r="F5" s="13">
        <v>225</v>
      </c>
      <c r="G5" s="13">
        <v>250</v>
      </c>
      <c r="H5" s="80">
        <v>264</v>
      </c>
      <c r="I5" s="81">
        <v>255</v>
      </c>
      <c r="J5" s="82">
        <v>261</v>
      </c>
      <c r="K5" s="71"/>
      <c r="N5" s="39">
        <f t="shared" si="3"/>
        <v>-1.1363636363636364E-2</v>
      </c>
      <c r="O5" s="73"/>
      <c r="P5" s="78"/>
      <c r="V5" s="39"/>
    </row>
    <row r="6" spans="1:22" ht="14.5" x14ac:dyDescent="0.35">
      <c r="A6" s="142"/>
      <c r="B6" s="83" t="s">
        <v>385</v>
      </c>
      <c r="C6" s="84">
        <f t="shared" ref="C6:H6" si="4">C5/300</f>
        <v>0.64</v>
      </c>
      <c r="D6" s="84">
        <f t="shared" si="4"/>
        <v>0.59</v>
      </c>
      <c r="E6" s="84">
        <f t="shared" si="4"/>
        <v>0.64666666666666661</v>
      </c>
      <c r="F6" s="84">
        <f t="shared" si="4"/>
        <v>0.75</v>
      </c>
      <c r="G6" s="84">
        <f t="shared" si="4"/>
        <v>0.83333333333333337</v>
      </c>
      <c r="H6" s="85">
        <f t="shared" si="4"/>
        <v>0.88</v>
      </c>
      <c r="I6" s="86">
        <f>I5/285</f>
        <v>0.89473684210526316</v>
      </c>
      <c r="J6" s="87">
        <f>J5/D38</f>
        <v>0.91578947368421049</v>
      </c>
      <c r="K6" s="88"/>
      <c r="L6" s="89"/>
      <c r="M6" s="90">
        <f>I6-G6</f>
        <v>6.1403508771929793E-2</v>
      </c>
      <c r="N6" s="84">
        <f t="shared" si="3"/>
        <v>4.0669856459330092E-2</v>
      </c>
      <c r="O6" s="91"/>
      <c r="P6" s="92" t="s">
        <v>386</v>
      </c>
      <c r="V6" s="39"/>
    </row>
    <row r="7" spans="1:22" ht="14.5" x14ac:dyDescent="0.35">
      <c r="A7" s="140" t="s">
        <v>387</v>
      </c>
      <c r="B7" s="93" t="s">
        <v>378</v>
      </c>
      <c r="C7" s="57">
        <v>1269</v>
      </c>
      <c r="D7" s="57">
        <v>1337</v>
      </c>
      <c r="E7" s="57">
        <v>1964</v>
      </c>
      <c r="F7" s="57">
        <v>2085</v>
      </c>
      <c r="G7" s="57">
        <v>2220</v>
      </c>
      <c r="H7" s="58">
        <v>1966</v>
      </c>
      <c r="I7" s="59">
        <v>1840</v>
      </c>
      <c r="J7" s="70">
        <v>1715</v>
      </c>
      <c r="K7" s="62">
        <f>(G7-D7)/D7</f>
        <v>0.66043380703066568</v>
      </c>
      <c r="L7" s="62">
        <f>(I7-D7)/D7</f>
        <v>0.37621540762902017</v>
      </c>
      <c r="M7" s="94">
        <f t="shared" ref="M7:N7" si="5">(I7-G7)/G7</f>
        <v>-0.17117117117117117</v>
      </c>
      <c r="N7" s="39">
        <f t="shared" si="5"/>
        <v>-0.12767039674465921</v>
      </c>
      <c r="O7" s="95"/>
      <c r="P7" s="96" t="s">
        <v>388</v>
      </c>
    </row>
    <row r="8" spans="1:22" ht="14.5" x14ac:dyDescent="0.35">
      <c r="A8" s="141"/>
      <c r="B8" s="13" t="s">
        <v>380</v>
      </c>
      <c r="C8" s="67"/>
      <c r="D8" s="67"/>
      <c r="E8" s="14">
        <v>456</v>
      </c>
      <c r="F8" s="14">
        <v>410</v>
      </c>
      <c r="G8" s="14">
        <v>181</v>
      </c>
      <c r="H8" s="80">
        <v>212</v>
      </c>
      <c r="I8" s="69">
        <v>224</v>
      </c>
      <c r="J8" s="70">
        <v>240</v>
      </c>
      <c r="K8" s="81"/>
      <c r="M8" s="72">
        <f t="shared" ref="M8:N8" si="6">(I8-G8)/G8</f>
        <v>0.23756906077348067</v>
      </c>
      <c r="N8" s="39">
        <f t="shared" si="6"/>
        <v>0.13207547169811321</v>
      </c>
      <c r="O8" s="73"/>
      <c r="P8" s="78"/>
    </row>
    <row r="9" spans="1:22" ht="14.5" x14ac:dyDescent="0.35">
      <c r="A9" s="141"/>
      <c r="B9" s="13" t="s">
        <v>382</v>
      </c>
      <c r="C9" s="67"/>
      <c r="D9" s="67"/>
      <c r="E9" s="39">
        <f t="shared" ref="E9:J9" si="7">E8/E7</f>
        <v>0.23217922606924643</v>
      </c>
      <c r="F9" s="39">
        <f t="shared" si="7"/>
        <v>0.19664268585131894</v>
      </c>
      <c r="G9" s="97">
        <f t="shared" si="7"/>
        <v>8.1531531531531531E-2</v>
      </c>
      <c r="H9" s="98">
        <f t="shared" si="7"/>
        <v>0.10783316378433368</v>
      </c>
      <c r="I9" s="99">
        <f t="shared" si="7"/>
        <v>0.12173913043478261</v>
      </c>
      <c r="J9" s="100">
        <f t="shared" si="7"/>
        <v>0.13994169096209913</v>
      </c>
      <c r="K9" s="81"/>
      <c r="L9" s="13"/>
      <c r="M9" s="72">
        <f>I9-G9</f>
        <v>4.0207598903251082E-2</v>
      </c>
      <c r="N9" s="39">
        <f t="shared" ref="N9:N11" si="8">(J9-H9)/H9</f>
        <v>0.2977611529787117</v>
      </c>
      <c r="O9" s="101" t="s">
        <v>389</v>
      </c>
      <c r="P9" s="78" t="s">
        <v>390</v>
      </c>
    </row>
    <row r="10" spans="1:22" ht="14.5" x14ac:dyDescent="0.35">
      <c r="A10" s="141"/>
      <c r="B10" s="13" t="s">
        <v>384</v>
      </c>
      <c r="C10" s="13">
        <v>48</v>
      </c>
      <c r="D10" s="13">
        <v>44</v>
      </c>
      <c r="E10" s="13">
        <v>46</v>
      </c>
      <c r="F10" s="13">
        <v>56</v>
      </c>
      <c r="G10" s="13">
        <v>60</v>
      </c>
      <c r="H10" s="80">
        <v>63</v>
      </c>
      <c r="I10" s="69">
        <v>62</v>
      </c>
      <c r="J10" s="70">
        <v>62</v>
      </c>
      <c r="K10" s="81"/>
      <c r="N10" s="39">
        <f t="shared" si="8"/>
        <v>-1.5873015873015872E-2</v>
      </c>
      <c r="O10" s="73"/>
      <c r="P10" s="78"/>
    </row>
    <row r="11" spans="1:22" ht="14.5" x14ac:dyDescent="0.35">
      <c r="A11" s="142"/>
      <c r="B11" s="102" t="s">
        <v>391</v>
      </c>
      <c r="C11" s="84">
        <f t="shared" ref="C11:G11" si="9">C10/$C$33</f>
        <v>0.69565217391304346</v>
      </c>
      <c r="D11" s="84">
        <f t="shared" si="9"/>
        <v>0.6376811594202898</v>
      </c>
      <c r="E11" s="84">
        <f t="shared" si="9"/>
        <v>0.66666666666666663</v>
      </c>
      <c r="F11" s="84">
        <f t="shared" si="9"/>
        <v>0.81159420289855078</v>
      </c>
      <c r="G11" s="84">
        <f t="shared" si="9"/>
        <v>0.86956521739130432</v>
      </c>
      <c r="H11" s="103">
        <f t="shared" ref="H11:I11" si="10">H10/C33</f>
        <v>0.91304347826086951</v>
      </c>
      <c r="I11" s="104">
        <f t="shared" si="10"/>
        <v>0.92537313432835822</v>
      </c>
      <c r="J11" s="105">
        <f>J10/$D$33</f>
        <v>0.92537313432835822</v>
      </c>
      <c r="K11" s="106"/>
      <c r="L11" s="89"/>
      <c r="M11" s="90">
        <f>I11-G11</f>
        <v>5.5807916937053892E-2</v>
      </c>
      <c r="N11" s="39">
        <f t="shared" si="8"/>
        <v>1.3503909026297152E-2</v>
      </c>
      <c r="O11" s="91"/>
      <c r="P11" s="92" t="s">
        <v>392</v>
      </c>
    </row>
    <row r="12" spans="1:22" ht="14.5" x14ac:dyDescent="0.35">
      <c r="A12" s="140" t="s">
        <v>393</v>
      </c>
      <c r="B12" s="93" t="s">
        <v>378</v>
      </c>
      <c r="C12" s="93">
        <v>55</v>
      </c>
      <c r="D12" s="93">
        <v>64</v>
      </c>
      <c r="E12" s="93">
        <v>82</v>
      </c>
      <c r="F12" s="93">
        <v>96</v>
      </c>
      <c r="G12" s="93">
        <v>117</v>
      </c>
      <c r="H12" s="107">
        <v>116</v>
      </c>
      <c r="I12" s="59">
        <v>119</v>
      </c>
      <c r="J12" s="60">
        <v>133</v>
      </c>
      <c r="K12" s="61">
        <f>(G12-D12)/D12</f>
        <v>0.828125</v>
      </c>
      <c r="L12" s="62">
        <f>(I12-D12)/D12</f>
        <v>0.859375</v>
      </c>
      <c r="M12" s="63">
        <f t="shared" ref="M12:N12" si="11">(I12-G12)/G12</f>
        <v>1.7094017094017096E-2</v>
      </c>
      <c r="N12" s="63">
        <f t="shared" si="11"/>
        <v>0.14655172413793102</v>
      </c>
      <c r="O12" s="63"/>
      <c r="P12" s="96" t="s">
        <v>394</v>
      </c>
    </row>
    <row r="13" spans="1:22" ht="14.5" x14ac:dyDescent="0.35">
      <c r="A13" s="141"/>
      <c r="B13" s="13" t="s">
        <v>380</v>
      </c>
      <c r="C13" s="67"/>
      <c r="D13" s="67"/>
      <c r="E13" s="13">
        <v>27</v>
      </c>
      <c r="F13" s="13">
        <v>30</v>
      </c>
      <c r="G13" s="13">
        <v>46</v>
      </c>
      <c r="H13" s="80">
        <v>42</v>
      </c>
      <c r="I13" s="69">
        <v>46</v>
      </c>
      <c r="J13" s="70">
        <v>56</v>
      </c>
      <c r="K13" s="71"/>
      <c r="M13" s="72">
        <f t="shared" ref="M13:N13" si="12">(I13-G13)/G13</f>
        <v>0</v>
      </c>
      <c r="N13" s="39">
        <f t="shared" si="12"/>
        <v>0.33333333333333331</v>
      </c>
      <c r="O13" s="73"/>
      <c r="P13" s="78"/>
    </row>
    <row r="14" spans="1:22" ht="14.5" x14ac:dyDescent="0.35">
      <c r="A14" s="141"/>
      <c r="B14" s="13" t="s">
        <v>382</v>
      </c>
      <c r="C14" s="67"/>
      <c r="D14" s="67"/>
      <c r="E14" s="39">
        <f t="shared" ref="E14:J14" si="13">E13/E12</f>
        <v>0.32926829268292684</v>
      </c>
      <c r="F14" s="39">
        <f t="shared" si="13"/>
        <v>0.3125</v>
      </c>
      <c r="G14" s="108">
        <f t="shared" si="13"/>
        <v>0.39316239316239315</v>
      </c>
      <c r="H14" s="109">
        <f t="shared" si="13"/>
        <v>0.36206896551724138</v>
      </c>
      <c r="I14" s="110">
        <f t="shared" si="13"/>
        <v>0.38655462184873951</v>
      </c>
      <c r="J14" s="105">
        <f t="shared" si="13"/>
        <v>0.42105263157894735</v>
      </c>
      <c r="K14" s="71"/>
      <c r="L14" s="13"/>
      <c r="M14" s="72">
        <f>I14-G14</f>
        <v>-6.6077713136536431E-3</v>
      </c>
      <c r="N14" s="39">
        <f t="shared" ref="N14:N16" si="14">(J14-H14)/H14</f>
        <v>0.162907268170426</v>
      </c>
      <c r="O14" s="101" t="s">
        <v>395</v>
      </c>
      <c r="P14" s="78" t="s">
        <v>396</v>
      </c>
    </row>
    <row r="15" spans="1:22" ht="14.5" x14ac:dyDescent="0.35">
      <c r="A15" s="141"/>
      <c r="B15" s="13" t="s">
        <v>384</v>
      </c>
      <c r="C15" s="13">
        <v>16</v>
      </c>
      <c r="D15" s="13">
        <v>14</v>
      </c>
      <c r="E15" s="13">
        <v>19</v>
      </c>
      <c r="F15" s="13">
        <v>24</v>
      </c>
      <c r="G15" s="13">
        <v>25</v>
      </c>
      <c r="H15" s="80">
        <v>25</v>
      </c>
      <c r="I15" s="69">
        <v>25</v>
      </c>
      <c r="J15" s="70">
        <v>27</v>
      </c>
      <c r="K15" s="71"/>
      <c r="N15" s="39">
        <f t="shared" si="14"/>
        <v>0.08</v>
      </c>
      <c r="O15" s="73"/>
      <c r="P15" s="78"/>
    </row>
    <row r="16" spans="1:22" ht="14.5" x14ac:dyDescent="0.35">
      <c r="A16" s="142"/>
      <c r="B16" s="102" t="s">
        <v>397</v>
      </c>
      <c r="C16" s="84">
        <f t="shared" ref="C16:G16" si="15">C15/$C$34</f>
        <v>0.38095238095238093</v>
      </c>
      <c r="D16" s="84">
        <f t="shared" si="15"/>
        <v>0.33333333333333331</v>
      </c>
      <c r="E16" s="84">
        <f t="shared" si="15"/>
        <v>0.45238095238095238</v>
      </c>
      <c r="F16" s="84">
        <f t="shared" si="15"/>
        <v>0.5714285714285714</v>
      </c>
      <c r="G16" s="111">
        <f t="shared" si="15"/>
        <v>0.59523809523809523</v>
      </c>
      <c r="H16" s="112">
        <f t="shared" ref="H16:I16" si="16">H15/C34</f>
        <v>0.59523809523809523</v>
      </c>
      <c r="I16" s="113">
        <f t="shared" si="16"/>
        <v>0.65789473684210531</v>
      </c>
      <c r="J16" s="114">
        <f>J15/D34</f>
        <v>0.71052631578947367</v>
      </c>
      <c r="K16" s="88"/>
      <c r="L16" s="102"/>
      <c r="M16" s="90">
        <f>I16-G16</f>
        <v>6.2656641604010077E-2</v>
      </c>
      <c r="N16" s="84">
        <f t="shared" si="14"/>
        <v>0.19368421052631579</v>
      </c>
      <c r="O16" s="115" t="s">
        <v>398</v>
      </c>
      <c r="P16" s="116" t="s">
        <v>399</v>
      </c>
    </row>
    <row r="17" spans="1:16" ht="14.5" x14ac:dyDescent="0.35">
      <c r="A17" s="140" t="s">
        <v>400</v>
      </c>
      <c r="B17" s="93" t="s">
        <v>378</v>
      </c>
      <c r="C17" s="57">
        <v>979</v>
      </c>
      <c r="D17" s="57">
        <v>1141</v>
      </c>
      <c r="E17" s="57">
        <v>1345</v>
      </c>
      <c r="F17" s="57">
        <v>1210</v>
      </c>
      <c r="G17" s="57">
        <v>1424</v>
      </c>
      <c r="H17" s="58">
        <v>1547</v>
      </c>
      <c r="I17" s="59">
        <v>1535</v>
      </c>
      <c r="J17" s="70">
        <v>1595</v>
      </c>
      <c r="K17" s="62">
        <f>(G17-D17)/D17</f>
        <v>0.24802804557405783</v>
      </c>
      <c r="L17" s="62">
        <f>(I17-D17)/D17</f>
        <v>0.3453111305872042</v>
      </c>
      <c r="M17" s="117">
        <f t="shared" ref="M17:N17" si="17">(I17-G17)/G17</f>
        <v>7.7949438202247187E-2</v>
      </c>
      <c r="N17" s="39">
        <f t="shared" si="17"/>
        <v>3.1027795733678087E-2</v>
      </c>
      <c r="O17" s="95"/>
      <c r="P17" s="96" t="s">
        <v>401</v>
      </c>
    </row>
    <row r="18" spans="1:16" ht="14.5" x14ac:dyDescent="0.35">
      <c r="A18" s="141"/>
      <c r="B18" s="13" t="s">
        <v>380</v>
      </c>
      <c r="C18" s="67"/>
      <c r="D18" s="67"/>
      <c r="E18" s="13">
        <v>353</v>
      </c>
      <c r="F18" s="13">
        <v>311</v>
      </c>
      <c r="G18" s="13">
        <v>407</v>
      </c>
      <c r="H18" s="80">
        <v>518</v>
      </c>
      <c r="I18" s="69">
        <v>530</v>
      </c>
      <c r="J18" s="70">
        <v>540</v>
      </c>
      <c r="K18" s="81"/>
      <c r="M18" s="72">
        <f t="shared" ref="M18:N18" si="18">(I18-G18)/G18</f>
        <v>0.30221130221130221</v>
      </c>
      <c r="N18" s="39">
        <f t="shared" si="18"/>
        <v>4.2471042471042469E-2</v>
      </c>
      <c r="O18" s="73"/>
      <c r="P18" s="78"/>
    </row>
    <row r="19" spans="1:16" ht="14.5" x14ac:dyDescent="0.35">
      <c r="A19" s="141"/>
      <c r="B19" s="13" t="s">
        <v>382</v>
      </c>
      <c r="C19" s="67"/>
      <c r="D19" s="67"/>
      <c r="E19" s="39">
        <f t="shared" ref="E19:J19" si="19">E18/E17</f>
        <v>0.26245353159851303</v>
      </c>
      <c r="F19" s="39">
        <f t="shared" si="19"/>
        <v>0.25702479338842976</v>
      </c>
      <c r="G19" s="39">
        <f t="shared" si="19"/>
        <v>0.28581460674157305</v>
      </c>
      <c r="H19" s="75">
        <f t="shared" si="19"/>
        <v>0.33484162895927599</v>
      </c>
      <c r="I19" s="110">
        <f t="shared" si="19"/>
        <v>0.34527687296416937</v>
      </c>
      <c r="J19" s="105">
        <f t="shared" si="19"/>
        <v>0.33855799373040751</v>
      </c>
      <c r="K19" s="81"/>
      <c r="M19" s="72">
        <f>I19-G19</f>
        <v>5.9462266222596316E-2</v>
      </c>
      <c r="N19" s="39">
        <f t="shared" ref="N19:N21" si="20">(J19-H19)/H19</f>
        <v>1.1098873167838728E-2</v>
      </c>
      <c r="O19" s="73"/>
      <c r="P19" s="78" t="s">
        <v>402</v>
      </c>
    </row>
    <row r="20" spans="1:16" ht="14.5" x14ac:dyDescent="0.35">
      <c r="A20" s="141"/>
      <c r="B20" s="13" t="s">
        <v>384</v>
      </c>
      <c r="C20" s="13">
        <v>52</v>
      </c>
      <c r="D20" s="13">
        <v>50</v>
      </c>
      <c r="E20" s="13">
        <v>51</v>
      </c>
      <c r="F20" s="13">
        <v>53</v>
      </c>
      <c r="G20" s="13">
        <v>54</v>
      </c>
      <c r="H20" s="80">
        <v>56</v>
      </c>
      <c r="I20" s="69">
        <v>52</v>
      </c>
      <c r="J20" s="70">
        <v>55</v>
      </c>
      <c r="K20" s="81"/>
      <c r="N20" s="39">
        <f t="shared" si="20"/>
        <v>-1.7857142857142856E-2</v>
      </c>
      <c r="O20" s="73"/>
      <c r="P20" s="78"/>
    </row>
    <row r="21" spans="1:16" ht="15.75" customHeight="1" x14ac:dyDescent="0.35">
      <c r="A21" s="142"/>
      <c r="B21" s="102" t="s">
        <v>403</v>
      </c>
      <c r="C21" s="84">
        <f t="shared" ref="C21:G21" si="21">C20/$C$35</f>
        <v>0.8666666666666667</v>
      </c>
      <c r="D21" s="84">
        <f t="shared" si="21"/>
        <v>0.83333333333333337</v>
      </c>
      <c r="E21" s="84">
        <f t="shared" si="21"/>
        <v>0.85</v>
      </c>
      <c r="F21" s="84">
        <f t="shared" si="21"/>
        <v>0.8833333333333333</v>
      </c>
      <c r="G21" s="118">
        <f t="shared" si="21"/>
        <v>0.9</v>
      </c>
      <c r="H21" s="103">
        <f t="shared" ref="H21:I21" si="22">H20/C35</f>
        <v>0.93333333333333335</v>
      </c>
      <c r="I21" s="104">
        <f t="shared" si="22"/>
        <v>0.94545454545454544</v>
      </c>
      <c r="J21" s="119">
        <f>J20/D35</f>
        <v>1</v>
      </c>
      <c r="K21" s="106"/>
      <c r="L21" s="120"/>
      <c r="M21" s="90">
        <f>I21-G21</f>
        <v>4.5454545454545414E-2</v>
      </c>
      <c r="N21" s="39">
        <f t="shared" si="20"/>
        <v>7.1428571428571411E-2</v>
      </c>
      <c r="O21" s="121" t="s">
        <v>404</v>
      </c>
      <c r="P21" s="92" t="s">
        <v>405</v>
      </c>
    </row>
    <row r="22" spans="1:16" ht="15.75" customHeight="1" x14ac:dyDescent="0.35">
      <c r="A22" s="140" t="s">
        <v>406</v>
      </c>
      <c r="B22" s="93" t="s">
        <v>378</v>
      </c>
      <c r="C22" s="57">
        <v>346</v>
      </c>
      <c r="D22" s="57">
        <v>342</v>
      </c>
      <c r="E22" s="57">
        <v>369</v>
      </c>
      <c r="F22" s="57">
        <v>424</v>
      </c>
      <c r="G22" s="57">
        <v>481</v>
      </c>
      <c r="H22" s="107">
        <v>571</v>
      </c>
      <c r="I22" s="59">
        <v>590</v>
      </c>
      <c r="J22" s="60">
        <v>609</v>
      </c>
      <c r="K22" s="61">
        <f>(G22-D22)/D22</f>
        <v>0.4064327485380117</v>
      </c>
      <c r="L22" s="62">
        <f>(I22-D22)/D22</f>
        <v>0.72514619883040932</v>
      </c>
      <c r="M22" s="117">
        <f t="shared" ref="M22:N22" si="23">(I22-G22)/G22</f>
        <v>0.22661122661122662</v>
      </c>
      <c r="N22" s="63">
        <f t="shared" si="23"/>
        <v>6.6549912434325745E-2</v>
      </c>
      <c r="O22" s="95"/>
      <c r="P22" s="96" t="s">
        <v>407</v>
      </c>
    </row>
    <row r="23" spans="1:16" ht="15.75" customHeight="1" x14ac:dyDescent="0.35">
      <c r="A23" s="141"/>
      <c r="B23" s="13" t="s">
        <v>380</v>
      </c>
      <c r="C23" s="67"/>
      <c r="D23" s="67"/>
      <c r="E23" s="13">
        <v>82</v>
      </c>
      <c r="F23" s="13">
        <v>100</v>
      </c>
      <c r="G23" s="13">
        <v>129</v>
      </c>
      <c r="H23" s="80">
        <v>177</v>
      </c>
      <c r="I23" s="69">
        <v>181</v>
      </c>
      <c r="J23" s="70">
        <v>188</v>
      </c>
      <c r="K23" s="71"/>
      <c r="M23" s="72">
        <f t="shared" ref="M23:N23" si="24">(I23-G23)/G23</f>
        <v>0.40310077519379844</v>
      </c>
      <c r="N23" s="39">
        <f t="shared" si="24"/>
        <v>6.2146892655367235E-2</v>
      </c>
      <c r="O23" s="73"/>
      <c r="P23" s="74" t="s">
        <v>408</v>
      </c>
    </row>
    <row r="24" spans="1:16" ht="15.75" customHeight="1" x14ac:dyDescent="0.35">
      <c r="A24" s="141"/>
      <c r="B24" s="13" t="s">
        <v>382</v>
      </c>
      <c r="C24" s="67"/>
      <c r="D24" s="67"/>
      <c r="E24" s="39">
        <f t="shared" ref="E24:J24" si="25">E23/E22</f>
        <v>0.22222222222222221</v>
      </c>
      <c r="F24" s="39">
        <f t="shared" si="25"/>
        <v>0.23584905660377359</v>
      </c>
      <c r="G24" s="39">
        <f t="shared" si="25"/>
        <v>0.26819126819126821</v>
      </c>
      <c r="H24" s="75">
        <f t="shared" si="25"/>
        <v>0.30998248686514884</v>
      </c>
      <c r="I24" s="76">
        <f t="shared" si="25"/>
        <v>0.30677966101694915</v>
      </c>
      <c r="J24" s="77">
        <f t="shared" si="25"/>
        <v>0.30870279146141216</v>
      </c>
      <c r="K24" s="71"/>
      <c r="L24" s="20"/>
      <c r="M24" s="72">
        <f>I24-G24</f>
        <v>3.8588392825680939E-2</v>
      </c>
      <c r="N24" s="39">
        <f t="shared" ref="N24:N26" si="26">(J24-H24)/H24</f>
        <v>-4.1282829126194605E-3</v>
      </c>
      <c r="O24" s="122" t="s">
        <v>409</v>
      </c>
      <c r="P24" s="78"/>
    </row>
    <row r="25" spans="1:16" ht="15.75" customHeight="1" x14ac:dyDescent="0.35">
      <c r="A25" s="141"/>
      <c r="B25" s="13" t="s">
        <v>384</v>
      </c>
      <c r="C25" s="13">
        <v>45</v>
      </c>
      <c r="D25" s="13">
        <v>38</v>
      </c>
      <c r="E25" s="13">
        <v>42</v>
      </c>
      <c r="F25" s="13">
        <v>52</v>
      </c>
      <c r="G25" s="13">
        <v>55</v>
      </c>
      <c r="H25" s="80">
        <v>60</v>
      </c>
      <c r="I25" s="69">
        <v>59</v>
      </c>
      <c r="J25" s="70">
        <v>58</v>
      </c>
      <c r="K25" s="71"/>
      <c r="N25" s="39">
        <f t="shared" si="26"/>
        <v>-3.3333333333333333E-2</v>
      </c>
      <c r="O25" s="73"/>
      <c r="P25" s="78"/>
    </row>
    <row r="26" spans="1:16" ht="15.75" customHeight="1" x14ac:dyDescent="0.35">
      <c r="A26" s="142"/>
      <c r="B26" s="102" t="s">
        <v>410</v>
      </c>
      <c r="C26" s="84">
        <f t="shared" ref="C26:G26" si="27">C25/$C$36</f>
        <v>0.69230769230769229</v>
      </c>
      <c r="D26" s="84">
        <f t="shared" si="27"/>
        <v>0.58461538461538465</v>
      </c>
      <c r="E26" s="84">
        <f t="shared" si="27"/>
        <v>0.64615384615384619</v>
      </c>
      <c r="F26" s="84">
        <f t="shared" si="27"/>
        <v>0.8</v>
      </c>
      <c r="G26" s="84">
        <f t="shared" si="27"/>
        <v>0.84615384615384615</v>
      </c>
      <c r="H26" s="103">
        <f t="shared" ref="H26:I26" si="28">H25/C36</f>
        <v>0.92307692307692313</v>
      </c>
      <c r="I26" s="104">
        <f t="shared" si="28"/>
        <v>0.93650793650793651</v>
      </c>
      <c r="J26" s="119">
        <f>J25/D36</f>
        <v>0.92063492063492058</v>
      </c>
      <c r="K26" s="88"/>
      <c r="L26" s="89"/>
      <c r="M26" s="90">
        <f>I26-G26</f>
        <v>9.0354090354090366E-2</v>
      </c>
      <c r="N26" s="84">
        <f t="shared" si="26"/>
        <v>-2.6455026455027564E-3</v>
      </c>
      <c r="O26" s="91"/>
      <c r="P26" s="92" t="s">
        <v>411</v>
      </c>
    </row>
    <row r="27" spans="1:16" ht="15.75" customHeight="1" x14ac:dyDescent="0.35">
      <c r="A27" s="140" t="s">
        <v>412</v>
      </c>
      <c r="B27" s="93" t="s">
        <v>378</v>
      </c>
      <c r="C27" s="57">
        <v>207</v>
      </c>
      <c r="D27" s="57">
        <v>228</v>
      </c>
      <c r="E27" s="57">
        <v>266</v>
      </c>
      <c r="F27" s="57">
        <v>346</v>
      </c>
      <c r="G27" s="57">
        <v>414</v>
      </c>
      <c r="H27" s="107">
        <v>463</v>
      </c>
      <c r="I27" s="59">
        <v>473</v>
      </c>
      <c r="J27" s="60">
        <v>544</v>
      </c>
      <c r="K27" s="61">
        <f>(G27-D27)/D27</f>
        <v>0.81578947368421051</v>
      </c>
      <c r="L27" s="62">
        <f>(I27-D27)/D27</f>
        <v>1.0745614035087718</v>
      </c>
      <c r="M27" s="117">
        <f t="shared" ref="M27:N27" si="29">(I27-G27)/G27</f>
        <v>0.14251207729468598</v>
      </c>
      <c r="N27" s="63">
        <f t="shared" si="29"/>
        <v>0.17494600431965443</v>
      </c>
      <c r="O27" s="95"/>
      <c r="P27" s="96" t="s">
        <v>413</v>
      </c>
    </row>
    <row r="28" spans="1:16" ht="15.75" customHeight="1" x14ac:dyDescent="0.35">
      <c r="A28" s="141"/>
      <c r="B28" s="13" t="s">
        <v>380</v>
      </c>
      <c r="C28" s="67"/>
      <c r="D28" s="67"/>
      <c r="E28" s="13">
        <v>82</v>
      </c>
      <c r="F28" s="13">
        <v>106</v>
      </c>
      <c r="G28" s="13">
        <v>121</v>
      </c>
      <c r="H28" s="80">
        <v>166</v>
      </c>
      <c r="I28" s="69">
        <v>169</v>
      </c>
      <c r="J28" s="70">
        <v>222</v>
      </c>
      <c r="K28" s="71"/>
      <c r="M28" s="72">
        <f t="shared" ref="M28:N28" si="30">(I28-G28)/G28</f>
        <v>0.39669421487603307</v>
      </c>
      <c r="N28" s="39">
        <f t="shared" si="30"/>
        <v>0.33734939759036142</v>
      </c>
      <c r="O28" s="73"/>
      <c r="P28" s="74" t="s">
        <v>414</v>
      </c>
    </row>
    <row r="29" spans="1:16" ht="15.75" customHeight="1" x14ac:dyDescent="0.35">
      <c r="A29" s="141"/>
      <c r="B29" s="13" t="s">
        <v>382</v>
      </c>
      <c r="C29" s="67"/>
      <c r="D29" s="67"/>
      <c r="E29" s="39">
        <f t="shared" ref="E29:J29" si="31">E28/E27</f>
        <v>0.30827067669172931</v>
      </c>
      <c r="F29" s="39">
        <f t="shared" si="31"/>
        <v>0.30635838150289019</v>
      </c>
      <c r="G29" s="39">
        <f t="shared" si="31"/>
        <v>0.2922705314009662</v>
      </c>
      <c r="H29" s="109">
        <f t="shared" si="31"/>
        <v>0.35853131749460043</v>
      </c>
      <c r="I29" s="110">
        <f t="shared" si="31"/>
        <v>0.35729386892177589</v>
      </c>
      <c r="J29" s="110">
        <f t="shared" si="31"/>
        <v>0.40808823529411764</v>
      </c>
      <c r="K29" s="71"/>
      <c r="M29" s="72">
        <f>I29-G29</f>
        <v>6.5023337520809688E-2</v>
      </c>
      <c r="N29" s="39">
        <f t="shared" ref="N29:N31" si="32">(J29-H29)/H29</f>
        <v>0.13822200566973775</v>
      </c>
      <c r="O29" s="73"/>
      <c r="P29" s="78" t="s">
        <v>415</v>
      </c>
    </row>
    <row r="30" spans="1:16" ht="15.75" customHeight="1" x14ac:dyDescent="0.35">
      <c r="A30" s="141"/>
      <c r="B30" s="13" t="s">
        <v>384</v>
      </c>
      <c r="C30" s="13">
        <v>31</v>
      </c>
      <c r="D30" s="13">
        <v>31</v>
      </c>
      <c r="E30" s="13">
        <v>36</v>
      </c>
      <c r="F30" s="13">
        <v>40</v>
      </c>
      <c r="G30" s="13">
        <v>56</v>
      </c>
      <c r="H30" s="80">
        <v>60</v>
      </c>
      <c r="I30" s="69">
        <v>57</v>
      </c>
      <c r="J30" s="70">
        <v>59</v>
      </c>
      <c r="K30" s="71"/>
      <c r="N30" s="39">
        <f t="shared" si="32"/>
        <v>-1.6666666666666666E-2</v>
      </c>
      <c r="O30" s="73"/>
      <c r="P30" s="78"/>
    </row>
    <row r="31" spans="1:16" ht="15.75" customHeight="1" x14ac:dyDescent="0.35">
      <c r="A31" s="142"/>
      <c r="B31" s="102" t="s">
        <v>416</v>
      </c>
      <c r="C31" s="84">
        <f t="shared" ref="C31:G31" si="33">C30/$C$37</f>
        <v>0.484375</v>
      </c>
      <c r="D31" s="84">
        <f t="shared" si="33"/>
        <v>0.484375</v>
      </c>
      <c r="E31" s="84">
        <f t="shared" si="33"/>
        <v>0.5625</v>
      </c>
      <c r="F31" s="84">
        <f t="shared" si="33"/>
        <v>0.625</v>
      </c>
      <c r="G31" s="84">
        <f t="shared" si="33"/>
        <v>0.875</v>
      </c>
      <c r="H31" s="103">
        <f t="shared" ref="H31:I31" si="34">H30/C37</f>
        <v>0.9375</v>
      </c>
      <c r="I31" s="104">
        <f t="shared" si="34"/>
        <v>0.91935483870967738</v>
      </c>
      <c r="J31" s="104">
        <f>J30/D37</f>
        <v>0.95161290322580649</v>
      </c>
      <c r="K31" s="88"/>
      <c r="L31" s="120"/>
      <c r="M31" s="90">
        <f>I31-G31</f>
        <v>4.435483870967738E-2</v>
      </c>
      <c r="N31" s="84">
        <f t="shared" si="32"/>
        <v>1.5053763440860261E-2</v>
      </c>
      <c r="O31" s="121" t="s">
        <v>417</v>
      </c>
      <c r="P31" s="92" t="s">
        <v>418</v>
      </c>
    </row>
    <row r="32" spans="1:16" ht="15.75" customHeight="1" x14ac:dyDescent="0.35">
      <c r="C32" s="123" t="s">
        <v>419</v>
      </c>
      <c r="D32" s="124" t="s">
        <v>420</v>
      </c>
      <c r="H32" s="125"/>
    </row>
    <row r="33" spans="1:10" ht="15.75" customHeight="1" x14ac:dyDescent="0.35">
      <c r="A33" s="126" t="s">
        <v>387</v>
      </c>
      <c r="B33" s="2" t="s">
        <v>421</v>
      </c>
      <c r="C33" s="20">
        <v>69</v>
      </c>
      <c r="D33" s="44">
        <v>67</v>
      </c>
      <c r="H33" s="125"/>
    </row>
    <row r="34" spans="1:10" ht="15.75" customHeight="1" x14ac:dyDescent="0.35">
      <c r="A34" s="126" t="s">
        <v>393</v>
      </c>
      <c r="B34" s="2" t="s">
        <v>421</v>
      </c>
      <c r="C34" s="20">
        <v>42</v>
      </c>
      <c r="D34" s="44">
        <v>38</v>
      </c>
      <c r="H34" s="125"/>
    </row>
    <row r="35" spans="1:10" ht="15.75" customHeight="1" x14ac:dyDescent="0.35">
      <c r="A35" s="126" t="s">
        <v>400</v>
      </c>
      <c r="B35" s="2" t="s">
        <v>421</v>
      </c>
      <c r="C35" s="20">
        <v>60</v>
      </c>
      <c r="D35" s="44">
        <v>55</v>
      </c>
      <c r="H35" s="125"/>
    </row>
    <row r="36" spans="1:10" ht="15.75" customHeight="1" x14ac:dyDescent="0.35">
      <c r="A36" s="126" t="s">
        <v>406</v>
      </c>
      <c r="B36" s="2" t="s">
        <v>421</v>
      </c>
      <c r="C36" s="20">
        <v>65</v>
      </c>
      <c r="D36" s="44">
        <v>63</v>
      </c>
      <c r="H36" s="125"/>
      <c r="J36" s="127"/>
    </row>
    <row r="37" spans="1:10" ht="15.75" customHeight="1" x14ac:dyDescent="0.35">
      <c r="A37" s="126" t="s">
        <v>412</v>
      </c>
      <c r="B37" s="2" t="s">
        <v>421</v>
      </c>
      <c r="C37" s="20">
        <v>64</v>
      </c>
      <c r="D37" s="44">
        <v>62</v>
      </c>
      <c r="H37" s="125"/>
    </row>
    <row r="38" spans="1:10" ht="15.75" customHeight="1" x14ac:dyDescent="0.35">
      <c r="C38" s="123">
        <f t="shared" ref="C38:D38" si="35">SUM(C33:C37)</f>
        <v>300</v>
      </c>
      <c r="D38" s="124">
        <f t="shared" si="35"/>
        <v>285</v>
      </c>
      <c r="H38" s="125"/>
    </row>
    <row r="39" spans="1:10" ht="15.75" customHeight="1" x14ac:dyDescent="0.35">
      <c r="H39" s="125"/>
    </row>
    <row r="40" spans="1:10" ht="15.75" customHeight="1" x14ac:dyDescent="0.35">
      <c r="H40" s="125"/>
    </row>
    <row r="41" spans="1:10" ht="15.75" customHeight="1" x14ac:dyDescent="0.35">
      <c r="H41" s="125"/>
    </row>
    <row r="42" spans="1:10" ht="15.75" customHeight="1" x14ac:dyDescent="0.35">
      <c r="H42" s="125"/>
    </row>
    <row r="43" spans="1:10" ht="15.75" customHeight="1" x14ac:dyDescent="0.35">
      <c r="H43" s="125"/>
    </row>
    <row r="44" spans="1:10" ht="15.75" customHeight="1" x14ac:dyDescent="0.35">
      <c r="H44" s="125"/>
    </row>
    <row r="45" spans="1:10" ht="15.75" customHeight="1" x14ac:dyDescent="0.35">
      <c r="H45" s="125"/>
    </row>
    <row r="46" spans="1:10" ht="15.75" customHeight="1" x14ac:dyDescent="0.35">
      <c r="H46" s="125"/>
    </row>
    <row r="47" spans="1:10" ht="15.75" customHeight="1" x14ac:dyDescent="0.35">
      <c r="H47" s="125"/>
    </row>
    <row r="48" spans="1:10" ht="15.75" customHeight="1" x14ac:dyDescent="0.35">
      <c r="H48" s="125"/>
    </row>
    <row r="49" spans="8:8" ht="15.75" customHeight="1" x14ac:dyDescent="0.35">
      <c r="H49" s="125"/>
    </row>
    <row r="50" spans="8:8" ht="15.75" customHeight="1" x14ac:dyDescent="0.35">
      <c r="H50" s="125"/>
    </row>
    <row r="51" spans="8:8" ht="15.75" customHeight="1" x14ac:dyDescent="0.35">
      <c r="H51" s="125"/>
    </row>
    <row r="52" spans="8:8" ht="15.75" customHeight="1" x14ac:dyDescent="0.35">
      <c r="H52" s="125"/>
    </row>
    <row r="53" spans="8:8" ht="15.75" customHeight="1" x14ac:dyDescent="0.35">
      <c r="H53" s="125"/>
    </row>
    <row r="54" spans="8:8" ht="15.75" customHeight="1" x14ac:dyDescent="0.35">
      <c r="H54" s="125"/>
    </row>
    <row r="55" spans="8:8" ht="15.75" customHeight="1" x14ac:dyDescent="0.35">
      <c r="H55" s="125"/>
    </row>
    <row r="56" spans="8:8" ht="15.75" customHeight="1" x14ac:dyDescent="0.35">
      <c r="H56" s="125"/>
    </row>
    <row r="57" spans="8:8" ht="15.75" customHeight="1" x14ac:dyDescent="0.35">
      <c r="H57" s="125"/>
    </row>
    <row r="58" spans="8:8" ht="15.75" customHeight="1" x14ac:dyDescent="0.35">
      <c r="H58" s="125"/>
    </row>
    <row r="59" spans="8:8" ht="15.75" customHeight="1" x14ac:dyDescent="0.35">
      <c r="H59" s="125"/>
    </row>
    <row r="60" spans="8:8" ht="15.75" customHeight="1" x14ac:dyDescent="0.35">
      <c r="H60" s="125"/>
    </row>
    <row r="61" spans="8:8" ht="15.75" customHeight="1" x14ac:dyDescent="0.35">
      <c r="H61" s="125"/>
    </row>
    <row r="62" spans="8:8" ht="15.75" customHeight="1" x14ac:dyDescent="0.35">
      <c r="H62" s="125"/>
    </row>
    <row r="63" spans="8:8" ht="15.75" customHeight="1" x14ac:dyDescent="0.35">
      <c r="H63" s="125"/>
    </row>
    <row r="64" spans="8:8" ht="15.75" customHeight="1" x14ac:dyDescent="0.35">
      <c r="H64" s="125"/>
    </row>
    <row r="65" spans="8:8" ht="15.75" customHeight="1" x14ac:dyDescent="0.35">
      <c r="H65" s="125"/>
    </row>
    <row r="66" spans="8:8" ht="15.75" customHeight="1" x14ac:dyDescent="0.35">
      <c r="H66" s="125"/>
    </row>
    <row r="67" spans="8:8" ht="15.75" customHeight="1" x14ac:dyDescent="0.35">
      <c r="H67" s="125"/>
    </row>
    <row r="68" spans="8:8" ht="15.75" customHeight="1" x14ac:dyDescent="0.35">
      <c r="H68" s="125"/>
    </row>
    <row r="69" spans="8:8" ht="15.75" customHeight="1" x14ac:dyDescent="0.35">
      <c r="H69" s="125"/>
    </row>
    <row r="70" spans="8:8" ht="15.75" customHeight="1" x14ac:dyDescent="0.35">
      <c r="H70" s="125"/>
    </row>
    <row r="71" spans="8:8" ht="15.75" customHeight="1" x14ac:dyDescent="0.35">
      <c r="H71" s="125"/>
    </row>
    <row r="72" spans="8:8" ht="15.75" customHeight="1" x14ac:dyDescent="0.35">
      <c r="H72" s="125"/>
    </row>
    <row r="73" spans="8:8" ht="15.75" customHeight="1" x14ac:dyDescent="0.35">
      <c r="H73" s="125"/>
    </row>
    <row r="74" spans="8:8" ht="15.75" customHeight="1" x14ac:dyDescent="0.35">
      <c r="H74" s="125"/>
    </row>
    <row r="75" spans="8:8" ht="15.75" customHeight="1" x14ac:dyDescent="0.35">
      <c r="H75" s="125"/>
    </row>
    <row r="76" spans="8:8" ht="15.75" customHeight="1" x14ac:dyDescent="0.35">
      <c r="H76" s="125"/>
    </row>
    <row r="77" spans="8:8" ht="15.75" customHeight="1" x14ac:dyDescent="0.35">
      <c r="H77" s="125"/>
    </row>
    <row r="78" spans="8:8" ht="15.75" customHeight="1" x14ac:dyDescent="0.35">
      <c r="H78" s="125"/>
    </row>
    <row r="79" spans="8:8" ht="15.75" customHeight="1" x14ac:dyDescent="0.35">
      <c r="H79" s="125"/>
    </row>
    <row r="80" spans="8:8" ht="15.75" customHeight="1" x14ac:dyDescent="0.35">
      <c r="H80" s="125"/>
    </row>
    <row r="81" spans="8:8" ht="15.75" customHeight="1" x14ac:dyDescent="0.35">
      <c r="H81" s="125"/>
    </row>
    <row r="82" spans="8:8" ht="15.75" customHeight="1" x14ac:dyDescent="0.35">
      <c r="H82" s="125"/>
    </row>
    <row r="83" spans="8:8" ht="15.75" customHeight="1" x14ac:dyDescent="0.35">
      <c r="H83" s="125"/>
    </row>
    <row r="84" spans="8:8" ht="15.75" customHeight="1" x14ac:dyDescent="0.35">
      <c r="H84" s="125"/>
    </row>
    <row r="85" spans="8:8" ht="15.75" customHeight="1" x14ac:dyDescent="0.35">
      <c r="H85" s="125"/>
    </row>
    <row r="86" spans="8:8" ht="15.75" customHeight="1" x14ac:dyDescent="0.35">
      <c r="H86" s="125"/>
    </row>
    <row r="87" spans="8:8" ht="15.75" customHeight="1" x14ac:dyDescent="0.35">
      <c r="H87" s="125"/>
    </row>
    <row r="88" spans="8:8" ht="15.75" customHeight="1" x14ac:dyDescent="0.35">
      <c r="H88" s="125"/>
    </row>
    <row r="89" spans="8:8" ht="15.75" customHeight="1" x14ac:dyDescent="0.35">
      <c r="H89" s="125"/>
    </row>
    <row r="90" spans="8:8" ht="15.75" customHeight="1" x14ac:dyDescent="0.35">
      <c r="H90" s="125"/>
    </row>
    <row r="91" spans="8:8" ht="15.75" customHeight="1" x14ac:dyDescent="0.35">
      <c r="H91" s="125"/>
    </row>
    <row r="92" spans="8:8" ht="15.75" customHeight="1" x14ac:dyDescent="0.35">
      <c r="H92" s="125"/>
    </row>
    <row r="93" spans="8:8" ht="15.75" customHeight="1" x14ac:dyDescent="0.35">
      <c r="H93" s="125"/>
    </row>
    <row r="94" spans="8:8" ht="15.75" customHeight="1" x14ac:dyDescent="0.35">
      <c r="H94" s="125"/>
    </row>
    <row r="95" spans="8:8" ht="15.75" customHeight="1" x14ac:dyDescent="0.35">
      <c r="H95" s="125"/>
    </row>
    <row r="96" spans="8:8" ht="15.75" customHeight="1" x14ac:dyDescent="0.35">
      <c r="H96" s="125"/>
    </row>
    <row r="97" spans="8:8" ht="15.75" customHeight="1" x14ac:dyDescent="0.35">
      <c r="H97" s="125"/>
    </row>
    <row r="98" spans="8:8" ht="15.75" customHeight="1" x14ac:dyDescent="0.35">
      <c r="H98" s="125"/>
    </row>
    <row r="99" spans="8:8" ht="15.75" customHeight="1" x14ac:dyDescent="0.35">
      <c r="H99" s="125"/>
    </row>
    <row r="100" spans="8:8" ht="15.75" customHeight="1" x14ac:dyDescent="0.35">
      <c r="H100" s="125"/>
    </row>
    <row r="101" spans="8:8" ht="15.75" customHeight="1" x14ac:dyDescent="0.35">
      <c r="H101" s="125"/>
    </row>
    <row r="102" spans="8:8" ht="15.75" customHeight="1" x14ac:dyDescent="0.35">
      <c r="H102" s="125"/>
    </row>
    <row r="103" spans="8:8" ht="15.75" customHeight="1" x14ac:dyDescent="0.35">
      <c r="H103" s="125"/>
    </row>
    <row r="104" spans="8:8" ht="15.75" customHeight="1" x14ac:dyDescent="0.35">
      <c r="H104" s="125"/>
    </row>
    <row r="105" spans="8:8" ht="15.75" customHeight="1" x14ac:dyDescent="0.35">
      <c r="H105" s="125"/>
    </row>
    <row r="106" spans="8:8" ht="15.75" customHeight="1" x14ac:dyDescent="0.35">
      <c r="H106" s="125"/>
    </row>
    <row r="107" spans="8:8" ht="15.75" customHeight="1" x14ac:dyDescent="0.35">
      <c r="H107" s="125"/>
    </row>
    <row r="108" spans="8:8" ht="15.75" customHeight="1" x14ac:dyDescent="0.35">
      <c r="H108" s="125"/>
    </row>
    <row r="109" spans="8:8" ht="15.75" customHeight="1" x14ac:dyDescent="0.35">
      <c r="H109" s="125"/>
    </row>
    <row r="110" spans="8:8" ht="15.75" customHeight="1" x14ac:dyDescent="0.35">
      <c r="H110" s="125"/>
    </row>
    <row r="111" spans="8:8" ht="15.75" customHeight="1" x14ac:dyDescent="0.35">
      <c r="H111" s="125"/>
    </row>
    <row r="112" spans="8:8" ht="15.75" customHeight="1" x14ac:dyDescent="0.35">
      <c r="H112" s="125"/>
    </row>
    <row r="113" spans="8:8" ht="15.75" customHeight="1" x14ac:dyDescent="0.35">
      <c r="H113" s="125"/>
    </row>
    <row r="114" spans="8:8" ht="15.75" customHeight="1" x14ac:dyDescent="0.35">
      <c r="H114" s="125"/>
    </row>
    <row r="115" spans="8:8" ht="15.75" customHeight="1" x14ac:dyDescent="0.35">
      <c r="H115" s="125"/>
    </row>
    <row r="116" spans="8:8" ht="15.75" customHeight="1" x14ac:dyDescent="0.35">
      <c r="H116" s="125"/>
    </row>
    <row r="117" spans="8:8" ht="15.75" customHeight="1" x14ac:dyDescent="0.35">
      <c r="H117" s="125"/>
    </row>
    <row r="118" spans="8:8" ht="15.75" customHeight="1" x14ac:dyDescent="0.35">
      <c r="H118" s="125"/>
    </row>
    <row r="119" spans="8:8" ht="15.75" customHeight="1" x14ac:dyDescent="0.35">
      <c r="H119" s="125"/>
    </row>
    <row r="120" spans="8:8" ht="15.75" customHeight="1" x14ac:dyDescent="0.35">
      <c r="H120" s="125"/>
    </row>
    <row r="121" spans="8:8" ht="15.75" customHeight="1" x14ac:dyDescent="0.35">
      <c r="H121" s="125"/>
    </row>
    <row r="122" spans="8:8" ht="15.75" customHeight="1" x14ac:dyDescent="0.35">
      <c r="H122" s="125"/>
    </row>
    <row r="123" spans="8:8" ht="15.75" customHeight="1" x14ac:dyDescent="0.35">
      <c r="H123" s="125"/>
    </row>
    <row r="124" spans="8:8" ht="15.75" customHeight="1" x14ac:dyDescent="0.35">
      <c r="H124" s="125"/>
    </row>
    <row r="125" spans="8:8" ht="15.75" customHeight="1" x14ac:dyDescent="0.35">
      <c r="H125" s="125"/>
    </row>
    <row r="126" spans="8:8" ht="15.75" customHeight="1" x14ac:dyDescent="0.35">
      <c r="H126" s="125"/>
    </row>
    <row r="127" spans="8:8" ht="15.75" customHeight="1" x14ac:dyDescent="0.35">
      <c r="H127" s="125"/>
    </row>
    <row r="128" spans="8:8" ht="15.75" customHeight="1" x14ac:dyDescent="0.35">
      <c r="H128" s="125"/>
    </row>
    <row r="129" spans="8:8" ht="15.75" customHeight="1" x14ac:dyDescent="0.35">
      <c r="H129" s="125"/>
    </row>
    <row r="130" spans="8:8" ht="15.75" customHeight="1" x14ac:dyDescent="0.35">
      <c r="H130" s="125"/>
    </row>
    <row r="131" spans="8:8" ht="15.75" customHeight="1" x14ac:dyDescent="0.35">
      <c r="H131" s="125"/>
    </row>
    <row r="132" spans="8:8" ht="15.75" customHeight="1" x14ac:dyDescent="0.35">
      <c r="H132" s="125"/>
    </row>
    <row r="133" spans="8:8" ht="15.75" customHeight="1" x14ac:dyDescent="0.35">
      <c r="H133" s="125"/>
    </row>
    <row r="134" spans="8:8" ht="15.75" customHeight="1" x14ac:dyDescent="0.35">
      <c r="H134" s="125"/>
    </row>
    <row r="135" spans="8:8" ht="15.75" customHeight="1" x14ac:dyDescent="0.35">
      <c r="H135" s="125"/>
    </row>
    <row r="136" spans="8:8" ht="15.75" customHeight="1" x14ac:dyDescent="0.35">
      <c r="H136" s="125"/>
    </row>
    <row r="137" spans="8:8" ht="15.75" customHeight="1" x14ac:dyDescent="0.35">
      <c r="H137" s="125"/>
    </row>
    <row r="138" spans="8:8" ht="15.75" customHeight="1" x14ac:dyDescent="0.35">
      <c r="H138" s="125"/>
    </row>
    <row r="139" spans="8:8" ht="15.75" customHeight="1" x14ac:dyDescent="0.35">
      <c r="H139" s="125"/>
    </row>
    <row r="140" spans="8:8" ht="15.75" customHeight="1" x14ac:dyDescent="0.35">
      <c r="H140" s="125"/>
    </row>
    <row r="141" spans="8:8" ht="15.75" customHeight="1" x14ac:dyDescent="0.35">
      <c r="H141" s="125"/>
    </row>
    <row r="142" spans="8:8" ht="15.75" customHeight="1" x14ac:dyDescent="0.35">
      <c r="H142" s="125"/>
    </row>
    <row r="143" spans="8:8" ht="15.75" customHeight="1" x14ac:dyDescent="0.35">
      <c r="H143" s="125"/>
    </row>
    <row r="144" spans="8:8" ht="15.75" customHeight="1" x14ac:dyDescent="0.35">
      <c r="H144" s="125"/>
    </row>
    <row r="145" spans="8:8" ht="15.75" customHeight="1" x14ac:dyDescent="0.35">
      <c r="H145" s="125"/>
    </row>
    <row r="146" spans="8:8" ht="15.75" customHeight="1" x14ac:dyDescent="0.35">
      <c r="H146" s="125"/>
    </row>
    <row r="147" spans="8:8" ht="15.75" customHeight="1" x14ac:dyDescent="0.35">
      <c r="H147" s="125"/>
    </row>
    <row r="148" spans="8:8" ht="15.75" customHeight="1" x14ac:dyDescent="0.35">
      <c r="H148" s="125"/>
    </row>
    <row r="149" spans="8:8" ht="15.75" customHeight="1" x14ac:dyDescent="0.35">
      <c r="H149" s="125"/>
    </row>
    <row r="150" spans="8:8" ht="15.75" customHeight="1" x14ac:dyDescent="0.35">
      <c r="H150" s="125"/>
    </row>
    <row r="151" spans="8:8" ht="15.75" customHeight="1" x14ac:dyDescent="0.35">
      <c r="H151" s="125"/>
    </row>
    <row r="152" spans="8:8" ht="15.75" customHeight="1" x14ac:dyDescent="0.35">
      <c r="H152" s="125"/>
    </row>
    <row r="153" spans="8:8" ht="15.75" customHeight="1" x14ac:dyDescent="0.35">
      <c r="H153" s="125"/>
    </row>
    <row r="154" spans="8:8" ht="15.75" customHeight="1" x14ac:dyDescent="0.35">
      <c r="H154" s="125"/>
    </row>
    <row r="155" spans="8:8" ht="15.75" customHeight="1" x14ac:dyDescent="0.35">
      <c r="H155" s="125"/>
    </row>
    <row r="156" spans="8:8" ht="15.75" customHeight="1" x14ac:dyDescent="0.35">
      <c r="H156" s="125"/>
    </row>
    <row r="157" spans="8:8" ht="15.75" customHeight="1" x14ac:dyDescent="0.35">
      <c r="H157" s="125"/>
    </row>
    <row r="158" spans="8:8" ht="15.75" customHeight="1" x14ac:dyDescent="0.35">
      <c r="H158" s="125"/>
    </row>
    <row r="159" spans="8:8" ht="15.75" customHeight="1" x14ac:dyDescent="0.35">
      <c r="H159" s="125"/>
    </row>
    <row r="160" spans="8:8" ht="15.75" customHeight="1" x14ac:dyDescent="0.35">
      <c r="H160" s="125"/>
    </row>
    <row r="161" spans="8:8" ht="15.75" customHeight="1" x14ac:dyDescent="0.35">
      <c r="H161" s="125"/>
    </row>
    <row r="162" spans="8:8" ht="15.75" customHeight="1" x14ac:dyDescent="0.35">
      <c r="H162" s="125"/>
    </row>
    <row r="163" spans="8:8" ht="15.75" customHeight="1" x14ac:dyDescent="0.35">
      <c r="H163" s="125"/>
    </row>
    <row r="164" spans="8:8" ht="15.75" customHeight="1" x14ac:dyDescent="0.35">
      <c r="H164" s="125"/>
    </row>
    <row r="165" spans="8:8" ht="15.75" customHeight="1" x14ac:dyDescent="0.35">
      <c r="H165" s="125"/>
    </row>
    <row r="166" spans="8:8" ht="15.75" customHeight="1" x14ac:dyDescent="0.35">
      <c r="H166" s="125"/>
    </row>
    <row r="167" spans="8:8" ht="15.75" customHeight="1" x14ac:dyDescent="0.35">
      <c r="H167" s="125"/>
    </row>
    <row r="168" spans="8:8" ht="15.75" customHeight="1" x14ac:dyDescent="0.35">
      <c r="H168" s="125"/>
    </row>
    <row r="169" spans="8:8" ht="15.75" customHeight="1" x14ac:dyDescent="0.35">
      <c r="H169" s="125"/>
    </row>
    <row r="170" spans="8:8" ht="15.75" customHeight="1" x14ac:dyDescent="0.35">
      <c r="H170" s="125"/>
    </row>
    <row r="171" spans="8:8" ht="15.75" customHeight="1" x14ac:dyDescent="0.35">
      <c r="H171" s="125"/>
    </row>
    <row r="172" spans="8:8" ht="15.75" customHeight="1" x14ac:dyDescent="0.35">
      <c r="H172" s="125"/>
    </row>
    <row r="173" spans="8:8" ht="15.75" customHeight="1" x14ac:dyDescent="0.35">
      <c r="H173" s="125"/>
    </row>
    <row r="174" spans="8:8" ht="15.75" customHeight="1" x14ac:dyDescent="0.35">
      <c r="H174" s="125"/>
    </row>
    <row r="175" spans="8:8" ht="15.75" customHeight="1" x14ac:dyDescent="0.35">
      <c r="H175" s="125"/>
    </row>
    <row r="176" spans="8:8" ht="15.75" customHeight="1" x14ac:dyDescent="0.35">
      <c r="H176" s="125"/>
    </row>
    <row r="177" spans="8:8" ht="15.75" customHeight="1" x14ac:dyDescent="0.35">
      <c r="H177" s="125"/>
    </row>
    <row r="178" spans="8:8" ht="15.75" customHeight="1" x14ac:dyDescent="0.35">
      <c r="H178" s="125"/>
    </row>
    <row r="179" spans="8:8" ht="15.75" customHeight="1" x14ac:dyDescent="0.35">
      <c r="H179" s="125"/>
    </row>
    <row r="180" spans="8:8" ht="15.75" customHeight="1" x14ac:dyDescent="0.35">
      <c r="H180" s="125"/>
    </row>
    <row r="181" spans="8:8" ht="15.75" customHeight="1" x14ac:dyDescent="0.35">
      <c r="H181" s="125"/>
    </row>
    <row r="182" spans="8:8" ht="15.75" customHeight="1" x14ac:dyDescent="0.35">
      <c r="H182" s="125"/>
    </row>
    <row r="183" spans="8:8" ht="15.75" customHeight="1" x14ac:dyDescent="0.35">
      <c r="H183" s="125"/>
    </row>
    <row r="184" spans="8:8" ht="15.75" customHeight="1" x14ac:dyDescent="0.35">
      <c r="H184" s="125"/>
    </row>
    <row r="185" spans="8:8" ht="15.75" customHeight="1" x14ac:dyDescent="0.35">
      <c r="H185" s="125"/>
    </row>
    <row r="186" spans="8:8" ht="15.75" customHeight="1" x14ac:dyDescent="0.35">
      <c r="H186" s="125"/>
    </row>
    <row r="187" spans="8:8" ht="15.75" customHeight="1" x14ac:dyDescent="0.35">
      <c r="H187" s="125"/>
    </row>
    <row r="188" spans="8:8" ht="15.75" customHeight="1" x14ac:dyDescent="0.35">
      <c r="H188" s="125"/>
    </row>
    <row r="189" spans="8:8" ht="15.75" customHeight="1" x14ac:dyDescent="0.35">
      <c r="H189" s="125"/>
    </row>
    <row r="190" spans="8:8" ht="15.75" customHeight="1" x14ac:dyDescent="0.35">
      <c r="H190" s="125"/>
    </row>
    <row r="191" spans="8:8" ht="15.75" customHeight="1" x14ac:dyDescent="0.35">
      <c r="H191" s="125"/>
    </row>
    <row r="192" spans="8:8" ht="15.75" customHeight="1" x14ac:dyDescent="0.35">
      <c r="H192" s="125"/>
    </row>
    <row r="193" spans="8:8" ht="15.75" customHeight="1" x14ac:dyDescent="0.35">
      <c r="H193" s="125"/>
    </row>
    <row r="194" spans="8:8" ht="15.75" customHeight="1" x14ac:dyDescent="0.35">
      <c r="H194" s="125"/>
    </row>
    <row r="195" spans="8:8" ht="15.75" customHeight="1" x14ac:dyDescent="0.35">
      <c r="H195" s="125"/>
    </row>
    <row r="196" spans="8:8" ht="15.75" customHeight="1" x14ac:dyDescent="0.35">
      <c r="H196" s="125"/>
    </row>
    <row r="197" spans="8:8" ht="15.75" customHeight="1" x14ac:dyDescent="0.35">
      <c r="H197" s="125"/>
    </row>
    <row r="198" spans="8:8" ht="15.75" customHeight="1" x14ac:dyDescent="0.35">
      <c r="H198" s="125"/>
    </row>
    <row r="199" spans="8:8" ht="15.75" customHeight="1" x14ac:dyDescent="0.35">
      <c r="H199" s="125"/>
    </row>
    <row r="200" spans="8:8" ht="15.75" customHeight="1" x14ac:dyDescent="0.35">
      <c r="H200" s="125"/>
    </row>
    <row r="201" spans="8:8" ht="15.75" customHeight="1" x14ac:dyDescent="0.35">
      <c r="H201" s="125"/>
    </row>
    <row r="202" spans="8:8" ht="15.75" customHeight="1" x14ac:dyDescent="0.35">
      <c r="H202" s="125"/>
    </row>
    <row r="203" spans="8:8" ht="15.75" customHeight="1" x14ac:dyDescent="0.35">
      <c r="H203" s="125"/>
    </row>
    <row r="204" spans="8:8" ht="15.75" customHeight="1" x14ac:dyDescent="0.35">
      <c r="H204" s="125"/>
    </row>
    <row r="205" spans="8:8" ht="15.75" customHeight="1" x14ac:dyDescent="0.35">
      <c r="H205" s="125"/>
    </row>
    <row r="206" spans="8:8" ht="15.75" customHeight="1" x14ac:dyDescent="0.35">
      <c r="H206" s="125"/>
    </row>
    <row r="207" spans="8:8" ht="15.75" customHeight="1" x14ac:dyDescent="0.35">
      <c r="H207" s="125"/>
    </row>
    <row r="208" spans="8:8" ht="15.75" customHeight="1" x14ac:dyDescent="0.35">
      <c r="H208" s="125"/>
    </row>
    <row r="209" spans="8:8" ht="15.75" customHeight="1" x14ac:dyDescent="0.35">
      <c r="H209" s="125"/>
    </row>
    <row r="210" spans="8:8" ht="15.75" customHeight="1" x14ac:dyDescent="0.35">
      <c r="H210" s="125"/>
    </row>
    <row r="211" spans="8:8" ht="15.75" customHeight="1" x14ac:dyDescent="0.35">
      <c r="H211" s="125"/>
    </row>
    <row r="212" spans="8:8" ht="15.75" customHeight="1" x14ac:dyDescent="0.35">
      <c r="H212" s="125"/>
    </row>
    <row r="213" spans="8:8" ht="15.75" customHeight="1" x14ac:dyDescent="0.35">
      <c r="H213" s="125"/>
    </row>
    <row r="214" spans="8:8" ht="15.75" customHeight="1" x14ac:dyDescent="0.35">
      <c r="H214" s="125"/>
    </row>
    <row r="215" spans="8:8" ht="15.75" customHeight="1" x14ac:dyDescent="0.35">
      <c r="H215" s="125"/>
    </row>
    <row r="216" spans="8:8" ht="15.75" customHeight="1" x14ac:dyDescent="0.35">
      <c r="H216" s="125"/>
    </row>
    <row r="217" spans="8:8" ht="15.75" customHeight="1" x14ac:dyDescent="0.35">
      <c r="H217" s="125"/>
    </row>
    <row r="218" spans="8:8" ht="15.75" customHeight="1" x14ac:dyDescent="0.35">
      <c r="H218" s="125"/>
    </row>
    <row r="219" spans="8:8" ht="15.75" customHeight="1" x14ac:dyDescent="0.35">
      <c r="H219" s="125"/>
    </row>
    <row r="220" spans="8:8" ht="15.75" customHeight="1" x14ac:dyDescent="0.35">
      <c r="H220" s="125"/>
    </row>
    <row r="221" spans="8:8" ht="15.75" customHeight="1" x14ac:dyDescent="0.35">
      <c r="H221" s="125"/>
    </row>
    <row r="222" spans="8:8" ht="15.75" customHeight="1" x14ac:dyDescent="0.35">
      <c r="H222" s="125"/>
    </row>
    <row r="223" spans="8:8" ht="15.75" customHeight="1" x14ac:dyDescent="0.35">
      <c r="H223" s="125"/>
    </row>
    <row r="224" spans="8:8" ht="15.75" customHeight="1" x14ac:dyDescent="0.35">
      <c r="H224" s="125"/>
    </row>
    <row r="225" spans="8:8" ht="15.75" customHeight="1" x14ac:dyDescent="0.35">
      <c r="H225" s="125"/>
    </row>
    <row r="226" spans="8:8" ht="15.75" customHeight="1" x14ac:dyDescent="0.35">
      <c r="H226" s="125"/>
    </row>
    <row r="227" spans="8:8" ht="15.75" customHeight="1" x14ac:dyDescent="0.35">
      <c r="H227" s="125"/>
    </row>
    <row r="228" spans="8:8" ht="15.75" customHeight="1" x14ac:dyDescent="0.35">
      <c r="H228" s="125"/>
    </row>
    <row r="229" spans="8:8" ht="15.75" customHeight="1" x14ac:dyDescent="0.35">
      <c r="H229" s="125"/>
    </row>
    <row r="230" spans="8:8" ht="15.75" customHeight="1" x14ac:dyDescent="0.35">
      <c r="H230" s="125"/>
    </row>
    <row r="231" spans="8:8" ht="15.75" customHeight="1" x14ac:dyDescent="0.35">
      <c r="H231" s="125"/>
    </row>
    <row r="232" spans="8:8" ht="15.75" customHeight="1" x14ac:dyDescent="0.35">
      <c r="H232" s="125"/>
    </row>
    <row r="233" spans="8:8" ht="15.75" customHeight="1" x14ac:dyDescent="0.35">
      <c r="H233" s="125"/>
    </row>
    <row r="234" spans="8:8" ht="15.75" customHeight="1" x14ac:dyDescent="0.35">
      <c r="H234" s="125"/>
    </row>
    <row r="235" spans="8:8" ht="15.75" customHeight="1" x14ac:dyDescent="0.35">
      <c r="H235" s="125"/>
    </row>
    <row r="236" spans="8:8" ht="15.75" customHeight="1" x14ac:dyDescent="0.35">
      <c r="H236" s="125"/>
    </row>
    <row r="237" spans="8:8" ht="15.75" customHeight="1" x14ac:dyDescent="0.35">
      <c r="H237" s="125"/>
    </row>
    <row r="238" spans="8:8" ht="15.75" customHeight="1" x14ac:dyDescent="0.35">
      <c r="H238" s="125"/>
    </row>
    <row r="239" spans="8:8" ht="15.75" customHeight="1" x14ac:dyDescent="0.35">
      <c r="H239" s="125"/>
    </row>
    <row r="240" spans="8:8" ht="15.75" customHeight="1" x14ac:dyDescent="0.35">
      <c r="H240" s="125"/>
    </row>
    <row r="241" spans="8:8" ht="15.75" customHeight="1" x14ac:dyDescent="0.35">
      <c r="H241" s="125"/>
    </row>
    <row r="242" spans="8:8" ht="15.75" customHeight="1" x14ac:dyDescent="0.35">
      <c r="H242" s="125"/>
    </row>
    <row r="243" spans="8:8" ht="15.75" customHeight="1" x14ac:dyDescent="0.35">
      <c r="H243" s="125"/>
    </row>
    <row r="244" spans="8:8" ht="15.75" customHeight="1" x14ac:dyDescent="0.35">
      <c r="H244" s="125"/>
    </row>
    <row r="245" spans="8:8" ht="15.75" customHeight="1" x14ac:dyDescent="0.35">
      <c r="H245" s="125"/>
    </row>
    <row r="246" spans="8:8" ht="15.75" customHeight="1" x14ac:dyDescent="0.35">
      <c r="H246" s="125"/>
    </row>
    <row r="247" spans="8:8" ht="15.75" customHeight="1" x14ac:dyDescent="0.35">
      <c r="H247" s="125"/>
    </row>
    <row r="248" spans="8:8" ht="15.75" customHeight="1" x14ac:dyDescent="0.35">
      <c r="H248" s="125"/>
    </row>
    <row r="249" spans="8:8" ht="15.75" customHeight="1" x14ac:dyDescent="0.35">
      <c r="H249" s="125"/>
    </row>
    <row r="250" spans="8:8" ht="15.75" customHeight="1" x14ac:dyDescent="0.35">
      <c r="H250" s="125"/>
    </row>
    <row r="251" spans="8:8" ht="15.75" customHeight="1" x14ac:dyDescent="0.35">
      <c r="H251" s="125"/>
    </row>
    <row r="252" spans="8:8" ht="15.75" customHeight="1" x14ac:dyDescent="0.35">
      <c r="H252" s="125"/>
    </row>
    <row r="253" spans="8:8" ht="15.75" customHeight="1" x14ac:dyDescent="0.35">
      <c r="H253" s="125"/>
    </row>
    <row r="254" spans="8:8" ht="15.75" customHeight="1" x14ac:dyDescent="0.35">
      <c r="H254" s="125"/>
    </row>
    <row r="255" spans="8:8" ht="15.75" customHeight="1" x14ac:dyDescent="0.35">
      <c r="H255" s="125"/>
    </row>
    <row r="256" spans="8:8" ht="15.75" customHeight="1" x14ac:dyDescent="0.35">
      <c r="H256" s="125"/>
    </row>
    <row r="257" spans="8:8" ht="15.75" customHeight="1" x14ac:dyDescent="0.35">
      <c r="H257" s="125"/>
    </row>
    <row r="258" spans="8:8" ht="15.75" customHeight="1" x14ac:dyDescent="0.35">
      <c r="H258" s="125"/>
    </row>
    <row r="259" spans="8:8" ht="15.75" customHeight="1" x14ac:dyDescent="0.35">
      <c r="H259" s="125"/>
    </row>
    <row r="260" spans="8:8" ht="15.75" customHeight="1" x14ac:dyDescent="0.35">
      <c r="H260" s="125"/>
    </row>
    <row r="261" spans="8:8" ht="15.75" customHeight="1" x14ac:dyDescent="0.35">
      <c r="H261" s="125"/>
    </row>
    <row r="262" spans="8:8" ht="15.75" customHeight="1" x14ac:dyDescent="0.35">
      <c r="H262" s="125"/>
    </row>
    <row r="263" spans="8:8" ht="15.75" customHeight="1" x14ac:dyDescent="0.35">
      <c r="H263" s="125"/>
    </row>
    <row r="264" spans="8:8" ht="15.75" customHeight="1" x14ac:dyDescent="0.35">
      <c r="H264" s="125"/>
    </row>
    <row r="265" spans="8:8" ht="15.75" customHeight="1" x14ac:dyDescent="0.35">
      <c r="H265" s="125"/>
    </row>
    <row r="266" spans="8:8" ht="15.75" customHeight="1" x14ac:dyDescent="0.35">
      <c r="H266" s="125"/>
    </row>
    <row r="267" spans="8:8" ht="15.75" customHeight="1" x14ac:dyDescent="0.35">
      <c r="H267" s="125"/>
    </row>
    <row r="268" spans="8:8" ht="15.75" customHeight="1" x14ac:dyDescent="0.35">
      <c r="H268" s="125"/>
    </row>
    <row r="269" spans="8:8" ht="15.75" customHeight="1" x14ac:dyDescent="0.35">
      <c r="H269" s="125"/>
    </row>
    <row r="270" spans="8:8" ht="15.75" customHeight="1" x14ac:dyDescent="0.35">
      <c r="H270" s="125"/>
    </row>
    <row r="271" spans="8:8" ht="15.75" customHeight="1" x14ac:dyDescent="0.35">
      <c r="H271" s="125"/>
    </row>
    <row r="272" spans="8:8" ht="15.75" customHeight="1" x14ac:dyDescent="0.35">
      <c r="H272" s="125"/>
    </row>
    <row r="273" spans="8:8" ht="15.75" customHeight="1" x14ac:dyDescent="0.35">
      <c r="H273" s="125"/>
    </row>
    <row r="274" spans="8:8" ht="15.75" customHeight="1" x14ac:dyDescent="0.35">
      <c r="H274" s="125"/>
    </row>
    <row r="275" spans="8:8" ht="15.75" customHeight="1" x14ac:dyDescent="0.35">
      <c r="H275" s="125"/>
    </row>
    <row r="276" spans="8:8" ht="15.75" customHeight="1" x14ac:dyDescent="0.35">
      <c r="H276" s="125"/>
    </row>
    <row r="277" spans="8:8" ht="15.75" customHeight="1" x14ac:dyDescent="0.35">
      <c r="H277" s="125"/>
    </row>
    <row r="278" spans="8:8" ht="15.75" customHeight="1" x14ac:dyDescent="0.35">
      <c r="H278" s="125"/>
    </row>
    <row r="279" spans="8:8" ht="15.75" customHeight="1" x14ac:dyDescent="0.35">
      <c r="H279" s="125"/>
    </row>
    <row r="280" spans="8:8" ht="15.75" customHeight="1" x14ac:dyDescent="0.35">
      <c r="H280" s="125"/>
    </row>
    <row r="281" spans="8:8" ht="15.75" customHeight="1" x14ac:dyDescent="0.35">
      <c r="H281" s="125"/>
    </row>
    <row r="282" spans="8:8" ht="15.75" customHeight="1" x14ac:dyDescent="0.35">
      <c r="H282" s="125"/>
    </row>
    <row r="283" spans="8:8" ht="15.75" customHeight="1" x14ac:dyDescent="0.35">
      <c r="H283" s="125"/>
    </row>
    <row r="284" spans="8:8" ht="15.75" customHeight="1" x14ac:dyDescent="0.35">
      <c r="H284" s="125"/>
    </row>
    <row r="285" spans="8:8" ht="15.75" customHeight="1" x14ac:dyDescent="0.35">
      <c r="H285" s="125"/>
    </row>
    <row r="286" spans="8:8" ht="15.75" customHeight="1" x14ac:dyDescent="0.35">
      <c r="H286" s="125"/>
    </row>
    <row r="287" spans="8:8" ht="15.75" customHeight="1" x14ac:dyDescent="0.35">
      <c r="H287" s="125"/>
    </row>
    <row r="288" spans="8:8" ht="15.75" customHeight="1" x14ac:dyDescent="0.35">
      <c r="H288" s="125"/>
    </row>
    <row r="289" spans="8:8" ht="15.75" customHeight="1" x14ac:dyDescent="0.35">
      <c r="H289" s="125"/>
    </row>
    <row r="290" spans="8:8" ht="15.75" customHeight="1" x14ac:dyDescent="0.35">
      <c r="H290" s="125"/>
    </row>
    <row r="291" spans="8:8" ht="15.75" customHeight="1" x14ac:dyDescent="0.35">
      <c r="H291" s="125"/>
    </row>
    <row r="292" spans="8:8" ht="15.75" customHeight="1" x14ac:dyDescent="0.35">
      <c r="H292" s="125"/>
    </row>
    <row r="293" spans="8:8" ht="15.75" customHeight="1" x14ac:dyDescent="0.35">
      <c r="H293" s="125"/>
    </row>
    <row r="294" spans="8:8" ht="15.75" customHeight="1" x14ac:dyDescent="0.35">
      <c r="H294" s="125"/>
    </row>
    <row r="295" spans="8:8" ht="15.75" customHeight="1" x14ac:dyDescent="0.35">
      <c r="H295" s="125"/>
    </row>
    <row r="296" spans="8:8" ht="15.75" customHeight="1" x14ac:dyDescent="0.35">
      <c r="H296" s="125"/>
    </row>
    <row r="297" spans="8:8" ht="15.75" customHeight="1" x14ac:dyDescent="0.35">
      <c r="H297" s="125"/>
    </row>
    <row r="298" spans="8:8" ht="15.75" customHeight="1" x14ac:dyDescent="0.35">
      <c r="H298" s="125"/>
    </row>
    <row r="299" spans="8:8" ht="15.75" customHeight="1" x14ac:dyDescent="0.35">
      <c r="H299" s="125"/>
    </row>
    <row r="300" spans="8:8" ht="15.75" customHeight="1" x14ac:dyDescent="0.35">
      <c r="H300" s="125"/>
    </row>
    <row r="301" spans="8:8" ht="15.75" customHeight="1" x14ac:dyDescent="0.35">
      <c r="H301" s="125"/>
    </row>
    <row r="302" spans="8:8" ht="15.75" customHeight="1" x14ac:dyDescent="0.35">
      <c r="H302" s="125"/>
    </row>
    <row r="303" spans="8:8" ht="15.75" customHeight="1" x14ac:dyDescent="0.35">
      <c r="H303" s="125"/>
    </row>
    <row r="304" spans="8:8" ht="15.75" customHeight="1" x14ac:dyDescent="0.35">
      <c r="H304" s="125"/>
    </row>
    <row r="305" spans="8:8" ht="15.75" customHeight="1" x14ac:dyDescent="0.35">
      <c r="H305" s="125"/>
    </row>
    <row r="306" spans="8:8" ht="15.75" customHeight="1" x14ac:dyDescent="0.35">
      <c r="H306" s="125"/>
    </row>
    <row r="307" spans="8:8" ht="15.75" customHeight="1" x14ac:dyDescent="0.35">
      <c r="H307" s="125"/>
    </row>
    <row r="308" spans="8:8" ht="15.75" customHeight="1" x14ac:dyDescent="0.35">
      <c r="H308" s="125"/>
    </row>
    <row r="309" spans="8:8" ht="15.75" customHeight="1" x14ac:dyDescent="0.35">
      <c r="H309" s="125"/>
    </row>
    <row r="310" spans="8:8" ht="15.75" customHeight="1" x14ac:dyDescent="0.35">
      <c r="H310" s="125"/>
    </row>
    <row r="311" spans="8:8" ht="15.75" customHeight="1" x14ac:dyDescent="0.35">
      <c r="H311" s="125"/>
    </row>
    <row r="312" spans="8:8" ht="15.75" customHeight="1" x14ac:dyDescent="0.35">
      <c r="H312" s="125"/>
    </row>
    <row r="313" spans="8:8" ht="15.75" customHeight="1" x14ac:dyDescent="0.35">
      <c r="H313" s="125"/>
    </row>
    <row r="314" spans="8:8" ht="15.75" customHeight="1" x14ac:dyDescent="0.35">
      <c r="H314" s="125"/>
    </row>
    <row r="315" spans="8:8" ht="15.75" customHeight="1" x14ac:dyDescent="0.35">
      <c r="H315" s="125"/>
    </row>
    <row r="316" spans="8:8" ht="15.75" customHeight="1" x14ac:dyDescent="0.35">
      <c r="H316" s="125"/>
    </row>
    <row r="317" spans="8:8" ht="15.75" customHeight="1" x14ac:dyDescent="0.35">
      <c r="H317" s="125"/>
    </row>
    <row r="318" spans="8:8" ht="15.75" customHeight="1" x14ac:dyDescent="0.35">
      <c r="H318" s="125"/>
    </row>
    <row r="319" spans="8:8" ht="15.75" customHeight="1" x14ac:dyDescent="0.35">
      <c r="H319" s="125"/>
    </row>
    <row r="320" spans="8:8" ht="15.75" customHeight="1" x14ac:dyDescent="0.35">
      <c r="H320" s="125"/>
    </row>
    <row r="321" spans="8:8" ht="15.75" customHeight="1" x14ac:dyDescent="0.35">
      <c r="H321" s="125"/>
    </row>
    <row r="322" spans="8:8" ht="15.75" customHeight="1" x14ac:dyDescent="0.35">
      <c r="H322" s="125"/>
    </row>
    <row r="323" spans="8:8" ht="15.75" customHeight="1" x14ac:dyDescent="0.35">
      <c r="H323" s="125"/>
    </row>
    <row r="324" spans="8:8" ht="15.75" customHeight="1" x14ac:dyDescent="0.35">
      <c r="H324" s="125"/>
    </row>
    <row r="325" spans="8:8" ht="15.75" customHeight="1" x14ac:dyDescent="0.35">
      <c r="H325" s="125"/>
    </row>
    <row r="326" spans="8:8" ht="15.75" customHeight="1" x14ac:dyDescent="0.35">
      <c r="H326" s="125"/>
    </row>
    <row r="327" spans="8:8" ht="15.75" customHeight="1" x14ac:dyDescent="0.35">
      <c r="H327" s="125"/>
    </row>
    <row r="328" spans="8:8" ht="15.75" customHeight="1" x14ac:dyDescent="0.35">
      <c r="H328" s="125"/>
    </row>
    <row r="329" spans="8:8" ht="15.75" customHeight="1" x14ac:dyDescent="0.35">
      <c r="H329" s="125"/>
    </row>
    <row r="330" spans="8:8" ht="15.75" customHeight="1" x14ac:dyDescent="0.35">
      <c r="H330" s="125"/>
    </row>
    <row r="331" spans="8:8" ht="15.75" customHeight="1" x14ac:dyDescent="0.35">
      <c r="H331" s="125"/>
    </row>
    <row r="332" spans="8:8" ht="15.75" customHeight="1" x14ac:dyDescent="0.35">
      <c r="H332" s="125"/>
    </row>
    <row r="333" spans="8:8" ht="15.75" customHeight="1" x14ac:dyDescent="0.35">
      <c r="H333" s="125"/>
    </row>
    <row r="334" spans="8:8" ht="15.75" customHeight="1" x14ac:dyDescent="0.35">
      <c r="H334" s="125"/>
    </row>
    <row r="335" spans="8:8" ht="15.75" customHeight="1" x14ac:dyDescent="0.35">
      <c r="H335" s="125"/>
    </row>
    <row r="336" spans="8:8" ht="15.75" customHeight="1" x14ac:dyDescent="0.35">
      <c r="H336" s="125"/>
    </row>
    <row r="337" spans="8:8" ht="15.75" customHeight="1" x14ac:dyDescent="0.35">
      <c r="H337" s="125"/>
    </row>
    <row r="338" spans="8:8" ht="15.75" customHeight="1" x14ac:dyDescent="0.35">
      <c r="H338" s="125"/>
    </row>
    <row r="339" spans="8:8" ht="15.75" customHeight="1" x14ac:dyDescent="0.35">
      <c r="H339" s="125"/>
    </row>
    <row r="340" spans="8:8" ht="15.75" customHeight="1" x14ac:dyDescent="0.35">
      <c r="H340" s="125"/>
    </row>
    <row r="341" spans="8:8" ht="15.75" customHeight="1" x14ac:dyDescent="0.35">
      <c r="H341" s="125"/>
    </row>
    <row r="342" spans="8:8" ht="15.75" customHeight="1" x14ac:dyDescent="0.35">
      <c r="H342" s="125"/>
    </row>
    <row r="343" spans="8:8" ht="15.75" customHeight="1" x14ac:dyDescent="0.35">
      <c r="H343" s="125"/>
    </row>
    <row r="344" spans="8:8" ht="15.75" customHeight="1" x14ac:dyDescent="0.35">
      <c r="H344" s="125"/>
    </row>
    <row r="345" spans="8:8" ht="15.75" customHeight="1" x14ac:dyDescent="0.35">
      <c r="H345" s="125"/>
    </row>
    <row r="346" spans="8:8" ht="15.75" customHeight="1" x14ac:dyDescent="0.35">
      <c r="H346" s="125"/>
    </row>
    <row r="347" spans="8:8" ht="15.75" customHeight="1" x14ac:dyDescent="0.35">
      <c r="H347" s="125"/>
    </row>
    <row r="348" spans="8:8" ht="15.75" customHeight="1" x14ac:dyDescent="0.35">
      <c r="H348" s="125"/>
    </row>
    <row r="349" spans="8:8" ht="15.75" customHeight="1" x14ac:dyDescent="0.35">
      <c r="H349" s="125"/>
    </row>
    <row r="350" spans="8:8" ht="15.75" customHeight="1" x14ac:dyDescent="0.35">
      <c r="H350" s="125"/>
    </row>
    <row r="351" spans="8:8" ht="15.75" customHeight="1" x14ac:dyDescent="0.35">
      <c r="H351" s="125"/>
    </row>
    <row r="352" spans="8:8" ht="15.75" customHeight="1" x14ac:dyDescent="0.35">
      <c r="H352" s="125"/>
    </row>
    <row r="353" spans="8:8" ht="15.75" customHeight="1" x14ac:dyDescent="0.35">
      <c r="H353" s="125"/>
    </row>
    <row r="354" spans="8:8" ht="15.75" customHeight="1" x14ac:dyDescent="0.35">
      <c r="H354" s="125"/>
    </row>
    <row r="355" spans="8:8" ht="15.75" customHeight="1" x14ac:dyDescent="0.35">
      <c r="H355" s="125"/>
    </row>
    <row r="356" spans="8:8" ht="15.75" customHeight="1" x14ac:dyDescent="0.35">
      <c r="H356" s="125"/>
    </row>
    <row r="357" spans="8:8" ht="15.75" customHeight="1" x14ac:dyDescent="0.35">
      <c r="H357" s="125"/>
    </row>
    <row r="358" spans="8:8" ht="15.75" customHeight="1" x14ac:dyDescent="0.35">
      <c r="H358" s="125"/>
    </row>
    <row r="359" spans="8:8" ht="15.75" customHeight="1" x14ac:dyDescent="0.35">
      <c r="H359" s="125"/>
    </row>
    <row r="360" spans="8:8" ht="15.75" customHeight="1" x14ac:dyDescent="0.35">
      <c r="H360" s="125"/>
    </row>
    <row r="361" spans="8:8" ht="15.75" customHeight="1" x14ac:dyDescent="0.35">
      <c r="H361" s="125"/>
    </row>
    <row r="362" spans="8:8" ht="15.75" customHeight="1" x14ac:dyDescent="0.35">
      <c r="H362" s="125"/>
    </row>
    <row r="363" spans="8:8" ht="15.75" customHeight="1" x14ac:dyDescent="0.35">
      <c r="H363" s="125"/>
    </row>
    <row r="364" spans="8:8" ht="15.75" customHeight="1" x14ac:dyDescent="0.35">
      <c r="H364" s="125"/>
    </row>
    <row r="365" spans="8:8" ht="15.75" customHeight="1" x14ac:dyDescent="0.35">
      <c r="H365" s="125"/>
    </row>
    <row r="366" spans="8:8" ht="15.75" customHeight="1" x14ac:dyDescent="0.35">
      <c r="H366" s="125"/>
    </row>
    <row r="367" spans="8:8" ht="15.75" customHeight="1" x14ac:dyDescent="0.35">
      <c r="H367" s="125"/>
    </row>
    <row r="368" spans="8:8" ht="15.75" customHeight="1" x14ac:dyDescent="0.35">
      <c r="H368" s="125"/>
    </row>
    <row r="369" spans="8:8" ht="15.75" customHeight="1" x14ac:dyDescent="0.35">
      <c r="H369" s="125"/>
    </row>
    <row r="370" spans="8:8" ht="15.75" customHeight="1" x14ac:dyDescent="0.35">
      <c r="H370" s="125"/>
    </row>
    <row r="371" spans="8:8" ht="15.75" customHeight="1" x14ac:dyDescent="0.35">
      <c r="H371" s="125"/>
    </row>
    <row r="372" spans="8:8" ht="15.75" customHeight="1" x14ac:dyDescent="0.35">
      <c r="H372" s="125"/>
    </row>
    <row r="373" spans="8:8" ht="15.75" customHeight="1" x14ac:dyDescent="0.35">
      <c r="H373" s="125"/>
    </row>
    <row r="374" spans="8:8" ht="15.75" customHeight="1" x14ac:dyDescent="0.35">
      <c r="H374" s="125"/>
    </row>
    <row r="375" spans="8:8" ht="15.75" customHeight="1" x14ac:dyDescent="0.35">
      <c r="H375" s="125"/>
    </row>
    <row r="376" spans="8:8" ht="15.75" customHeight="1" x14ac:dyDescent="0.35">
      <c r="H376" s="125"/>
    </row>
    <row r="377" spans="8:8" ht="15.75" customHeight="1" x14ac:dyDescent="0.35">
      <c r="H377" s="125"/>
    </row>
    <row r="378" spans="8:8" ht="15.75" customHeight="1" x14ac:dyDescent="0.35">
      <c r="H378" s="125"/>
    </row>
    <row r="379" spans="8:8" ht="15.75" customHeight="1" x14ac:dyDescent="0.35">
      <c r="H379" s="125"/>
    </row>
    <row r="380" spans="8:8" ht="15.75" customHeight="1" x14ac:dyDescent="0.35">
      <c r="H380" s="125"/>
    </row>
    <row r="381" spans="8:8" ht="15.75" customHeight="1" x14ac:dyDescent="0.35">
      <c r="H381" s="125"/>
    </row>
    <row r="382" spans="8:8" ht="15.75" customHeight="1" x14ac:dyDescent="0.35">
      <c r="H382" s="125"/>
    </row>
    <row r="383" spans="8:8" ht="15.75" customHeight="1" x14ac:dyDescent="0.35">
      <c r="H383" s="125"/>
    </row>
    <row r="384" spans="8:8" ht="15.75" customHeight="1" x14ac:dyDescent="0.35">
      <c r="H384" s="125"/>
    </row>
    <row r="385" spans="8:8" ht="15.75" customHeight="1" x14ac:dyDescent="0.35">
      <c r="H385" s="125"/>
    </row>
    <row r="386" spans="8:8" ht="15.75" customHeight="1" x14ac:dyDescent="0.35">
      <c r="H386" s="125"/>
    </row>
    <row r="387" spans="8:8" ht="15.75" customHeight="1" x14ac:dyDescent="0.35">
      <c r="H387" s="125"/>
    </row>
    <row r="388" spans="8:8" ht="15.75" customHeight="1" x14ac:dyDescent="0.35">
      <c r="H388" s="125"/>
    </row>
    <row r="389" spans="8:8" ht="15.75" customHeight="1" x14ac:dyDescent="0.35">
      <c r="H389" s="125"/>
    </row>
    <row r="390" spans="8:8" ht="15.75" customHeight="1" x14ac:dyDescent="0.35">
      <c r="H390" s="125"/>
    </row>
    <row r="391" spans="8:8" ht="15.75" customHeight="1" x14ac:dyDescent="0.35">
      <c r="H391" s="125"/>
    </row>
    <row r="392" spans="8:8" ht="15.75" customHeight="1" x14ac:dyDescent="0.35">
      <c r="H392" s="125"/>
    </row>
    <row r="393" spans="8:8" ht="15.75" customHeight="1" x14ac:dyDescent="0.35">
      <c r="H393" s="125"/>
    </row>
    <row r="394" spans="8:8" ht="15.75" customHeight="1" x14ac:dyDescent="0.35">
      <c r="H394" s="125"/>
    </row>
    <row r="395" spans="8:8" ht="15.75" customHeight="1" x14ac:dyDescent="0.35">
      <c r="H395" s="125"/>
    </row>
    <row r="396" spans="8:8" ht="15.75" customHeight="1" x14ac:dyDescent="0.35">
      <c r="H396" s="125"/>
    </row>
    <row r="397" spans="8:8" ht="15.75" customHeight="1" x14ac:dyDescent="0.35">
      <c r="H397" s="125"/>
    </row>
    <row r="398" spans="8:8" ht="15.75" customHeight="1" x14ac:dyDescent="0.35">
      <c r="H398" s="125"/>
    </row>
    <row r="399" spans="8:8" ht="15.75" customHeight="1" x14ac:dyDescent="0.35">
      <c r="H399" s="125"/>
    </row>
    <row r="400" spans="8:8" ht="15.75" customHeight="1" x14ac:dyDescent="0.35">
      <c r="H400" s="125"/>
    </row>
    <row r="401" spans="8:8" ht="15.75" customHeight="1" x14ac:dyDescent="0.35">
      <c r="H401" s="125"/>
    </row>
    <row r="402" spans="8:8" ht="15.75" customHeight="1" x14ac:dyDescent="0.35">
      <c r="H402" s="125"/>
    </row>
    <row r="403" spans="8:8" ht="15.75" customHeight="1" x14ac:dyDescent="0.35">
      <c r="H403" s="125"/>
    </row>
    <row r="404" spans="8:8" ht="15.75" customHeight="1" x14ac:dyDescent="0.35">
      <c r="H404" s="125"/>
    </row>
    <row r="405" spans="8:8" ht="15.75" customHeight="1" x14ac:dyDescent="0.35">
      <c r="H405" s="125"/>
    </row>
    <row r="406" spans="8:8" ht="15.75" customHeight="1" x14ac:dyDescent="0.35">
      <c r="H406" s="125"/>
    </row>
    <row r="407" spans="8:8" ht="15.75" customHeight="1" x14ac:dyDescent="0.35">
      <c r="H407" s="125"/>
    </row>
    <row r="408" spans="8:8" ht="15.75" customHeight="1" x14ac:dyDescent="0.35">
      <c r="H408" s="125"/>
    </row>
    <row r="409" spans="8:8" ht="15.75" customHeight="1" x14ac:dyDescent="0.35">
      <c r="H409" s="125"/>
    </row>
    <row r="410" spans="8:8" ht="15.75" customHeight="1" x14ac:dyDescent="0.35">
      <c r="H410" s="125"/>
    </row>
    <row r="411" spans="8:8" ht="15.75" customHeight="1" x14ac:dyDescent="0.35">
      <c r="H411" s="125"/>
    </row>
    <row r="412" spans="8:8" ht="15.75" customHeight="1" x14ac:dyDescent="0.35">
      <c r="H412" s="125"/>
    </row>
    <row r="413" spans="8:8" ht="15.75" customHeight="1" x14ac:dyDescent="0.35">
      <c r="H413" s="125"/>
    </row>
    <row r="414" spans="8:8" ht="15.75" customHeight="1" x14ac:dyDescent="0.35">
      <c r="H414" s="125"/>
    </row>
    <row r="415" spans="8:8" ht="15.75" customHeight="1" x14ac:dyDescent="0.35">
      <c r="H415" s="125"/>
    </row>
    <row r="416" spans="8:8" ht="15.75" customHeight="1" x14ac:dyDescent="0.35">
      <c r="H416" s="125"/>
    </row>
    <row r="417" spans="8:8" ht="15.75" customHeight="1" x14ac:dyDescent="0.35">
      <c r="H417" s="125"/>
    </row>
    <row r="418" spans="8:8" ht="15.75" customHeight="1" x14ac:dyDescent="0.35">
      <c r="H418" s="125"/>
    </row>
    <row r="419" spans="8:8" ht="15.75" customHeight="1" x14ac:dyDescent="0.35">
      <c r="H419" s="125"/>
    </row>
    <row r="420" spans="8:8" ht="15.75" customHeight="1" x14ac:dyDescent="0.35">
      <c r="H420" s="125"/>
    </row>
    <row r="421" spans="8:8" ht="15.75" customHeight="1" x14ac:dyDescent="0.35">
      <c r="H421" s="125"/>
    </row>
    <row r="422" spans="8:8" ht="15.75" customHeight="1" x14ac:dyDescent="0.35">
      <c r="H422" s="125"/>
    </row>
    <row r="423" spans="8:8" ht="15.75" customHeight="1" x14ac:dyDescent="0.35">
      <c r="H423" s="125"/>
    </row>
    <row r="424" spans="8:8" ht="15.75" customHeight="1" x14ac:dyDescent="0.35">
      <c r="H424" s="125"/>
    </row>
    <row r="425" spans="8:8" ht="15.75" customHeight="1" x14ac:dyDescent="0.35">
      <c r="H425" s="125"/>
    </row>
    <row r="426" spans="8:8" ht="15.75" customHeight="1" x14ac:dyDescent="0.35">
      <c r="H426" s="125"/>
    </row>
    <row r="427" spans="8:8" ht="15.75" customHeight="1" x14ac:dyDescent="0.35">
      <c r="H427" s="125"/>
    </row>
    <row r="428" spans="8:8" ht="15.75" customHeight="1" x14ac:dyDescent="0.35">
      <c r="H428" s="125"/>
    </row>
    <row r="429" spans="8:8" ht="15.75" customHeight="1" x14ac:dyDescent="0.35">
      <c r="H429" s="125"/>
    </row>
    <row r="430" spans="8:8" ht="15.75" customHeight="1" x14ac:dyDescent="0.35">
      <c r="H430" s="125"/>
    </row>
    <row r="431" spans="8:8" ht="15.75" customHeight="1" x14ac:dyDescent="0.35">
      <c r="H431" s="125"/>
    </row>
    <row r="432" spans="8:8" ht="15.75" customHeight="1" x14ac:dyDescent="0.35">
      <c r="H432" s="125"/>
    </row>
    <row r="433" spans="8:8" ht="15.75" customHeight="1" x14ac:dyDescent="0.35">
      <c r="H433" s="125"/>
    </row>
    <row r="434" spans="8:8" ht="15.75" customHeight="1" x14ac:dyDescent="0.35">
      <c r="H434" s="125"/>
    </row>
    <row r="435" spans="8:8" ht="15.75" customHeight="1" x14ac:dyDescent="0.35">
      <c r="H435" s="125"/>
    </row>
    <row r="436" spans="8:8" ht="15.75" customHeight="1" x14ac:dyDescent="0.35">
      <c r="H436" s="125"/>
    </row>
    <row r="437" spans="8:8" ht="15.75" customHeight="1" x14ac:dyDescent="0.35">
      <c r="H437" s="125"/>
    </row>
    <row r="438" spans="8:8" ht="15.75" customHeight="1" x14ac:dyDescent="0.35">
      <c r="H438" s="125"/>
    </row>
    <row r="439" spans="8:8" ht="15.75" customHeight="1" x14ac:dyDescent="0.35">
      <c r="H439" s="125"/>
    </row>
    <row r="440" spans="8:8" ht="15.75" customHeight="1" x14ac:dyDescent="0.35">
      <c r="H440" s="125"/>
    </row>
    <row r="441" spans="8:8" ht="15.75" customHeight="1" x14ac:dyDescent="0.35">
      <c r="H441" s="125"/>
    </row>
    <row r="442" spans="8:8" ht="15.75" customHeight="1" x14ac:dyDescent="0.35">
      <c r="H442" s="125"/>
    </row>
    <row r="443" spans="8:8" ht="15.75" customHeight="1" x14ac:dyDescent="0.35">
      <c r="H443" s="125"/>
    </row>
    <row r="444" spans="8:8" ht="15.75" customHeight="1" x14ac:dyDescent="0.35">
      <c r="H444" s="125"/>
    </row>
    <row r="445" spans="8:8" ht="15.75" customHeight="1" x14ac:dyDescent="0.35">
      <c r="H445" s="125"/>
    </row>
    <row r="446" spans="8:8" ht="15.75" customHeight="1" x14ac:dyDescent="0.35">
      <c r="H446" s="125"/>
    </row>
    <row r="447" spans="8:8" ht="15.75" customHeight="1" x14ac:dyDescent="0.35">
      <c r="H447" s="125"/>
    </row>
    <row r="448" spans="8:8" ht="15.75" customHeight="1" x14ac:dyDescent="0.35">
      <c r="H448" s="125"/>
    </row>
    <row r="449" spans="8:8" ht="15.75" customHeight="1" x14ac:dyDescent="0.35">
      <c r="H449" s="125"/>
    </row>
    <row r="450" spans="8:8" ht="15.75" customHeight="1" x14ac:dyDescent="0.35">
      <c r="H450" s="125"/>
    </row>
    <row r="451" spans="8:8" ht="15.75" customHeight="1" x14ac:dyDescent="0.35">
      <c r="H451" s="125"/>
    </row>
    <row r="452" spans="8:8" ht="15.75" customHeight="1" x14ac:dyDescent="0.35">
      <c r="H452" s="125"/>
    </row>
    <row r="453" spans="8:8" ht="15.75" customHeight="1" x14ac:dyDescent="0.35">
      <c r="H453" s="125"/>
    </row>
    <row r="454" spans="8:8" ht="15.75" customHeight="1" x14ac:dyDescent="0.35">
      <c r="H454" s="125"/>
    </row>
    <row r="455" spans="8:8" ht="15.75" customHeight="1" x14ac:dyDescent="0.35">
      <c r="H455" s="125"/>
    </row>
    <row r="456" spans="8:8" ht="15.75" customHeight="1" x14ac:dyDescent="0.35">
      <c r="H456" s="125"/>
    </row>
    <row r="457" spans="8:8" ht="15.75" customHeight="1" x14ac:dyDescent="0.35">
      <c r="H457" s="125"/>
    </row>
    <row r="458" spans="8:8" ht="15.75" customHeight="1" x14ac:dyDescent="0.35">
      <c r="H458" s="125"/>
    </row>
    <row r="459" spans="8:8" ht="15.75" customHeight="1" x14ac:dyDescent="0.35">
      <c r="H459" s="125"/>
    </row>
    <row r="460" spans="8:8" ht="15.75" customHeight="1" x14ac:dyDescent="0.35">
      <c r="H460" s="125"/>
    </row>
    <row r="461" spans="8:8" ht="15.75" customHeight="1" x14ac:dyDescent="0.35">
      <c r="H461" s="125"/>
    </row>
    <row r="462" spans="8:8" ht="15.75" customHeight="1" x14ac:dyDescent="0.35">
      <c r="H462" s="125"/>
    </row>
    <row r="463" spans="8:8" ht="15.75" customHeight="1" x14ac:dyDescent="0.35">
      <c r="H463" s="125"/>
    </row>
    <row r="464" spans="8:8" ht="15.75" customHeight="1" x14ac:dyDescent="0.35">
      <c r="H464" s="125"/>
    </row>
    <row r="465" spans="8:8" ht="15.75" customHeight="1" x14ac:dyDescent="0.35">
      <c r="H465" s="125"/>
    </row>
    <row r="466" spans="8:8" ht="15.75" customHeight="1" x14ac:dyDescent="0.35">
      <c r="H466" s="125"/>
    </row>
    <row r="467" spans="8:8" ht="15.75" customHeight="1" x14ac:dyDescent="0.35">
      <c r="H467" s="125"/>
    </row>
    <row r="468" spans="8:8" ht="15.75" customHeight="1" x14ac:dyDescent="0.35">
      <c r="H468" s="125"/>
    </row>
    <row r="469" spans="8:8" ht="15.75" customHeight="1" x14ac:dyDescent="0.35">
      <c r="H469" s="125"/>
    </row>
    <row r="470" spans="8:8" ht="15.75" customHeight="1" x14ac:dyDescent="0.35">
      <c r="H470" s="125"/>
    </row>
    <row r="471" spans="8:8" ht="15.75" customHeight="1" x14ac:dyDescent="0.35">
      <c r="H471" s="125"/>
    </row>
    <row r="472" spans="8:8" ht="15.75" customHeight="1" x14ac:dyDescent="0.35">
      <c r="H472" s="125"/>
    </row>
    <row r="473" spans="8:8" ht="15.75" customHeight="1" x14ac:dyDescent="0.35">
      <c r="H473" s="125"/>
    </row>
    <row r="474" spans="8:8" ht="15.75" customHeight="1" x14ac:dyDescent="0.35">
      <c r="H474" s="125"/>
    </row>
    <row r="475" spans="8:8" ht="15.75" customHeight="1" x14ac:dyDescent="0.35">
      <c r="H475" s="125"/>
    </row>
    <row r="476" spans="8:8" ht="15.75" customHeight="1" x14ac:dyDescent="0.35">
      <c r="H476" s="125"/>
    </row>
    <row r="477" spans="8:8" ht="15.75" customHeight="1" x14ac:dyDescent="0.35">
      <c r="H477" s="125"/>
    </row>
    <row r="478" spans="8:8" ht="15.75" customHeight="1" x14ac:dyDescent="0.35">
      <c r="H478" s="125"/>
    </row>
    <row r="479" spans="8:8" ht="15.75" customHeight="1" x14ac:dyDescent="0.35">
      <c r="H479" s="125"/>
    </row>
    <row r="480" spans="8:8" ht="15.75" customHeight="1" x14ac:dyDescent="0.35">
      <c r="H480" s="125"/>
    </row>
    <row r="481" spans="8:8" ht="15.75" customHeight="1" x14ac:dyDescent="0.35">
      <c r="H481" s="125"/>
    </row>
    <row r="482" spans="8:8" ht="15.75" customHeight="1" x14ac:dyDescent="0.35">
      <c r="H482" s="125"/>
    </row>
    <row r="483" spans="8:8" ht="15.75" customHeight="1" x14ac:dyDescent="0.35">
      <c r="H483" s="125"/>
    </row>
    <row r="484" spans="8:8" ht="15.75" customHeight="1" x14ac:dyDescent="0.35">
      <c r="H484" s="125"/>
    </row>
    <row r="485" spans="8:8" ht="15.75" customHeight="1" x14ac:dyDescent="0.35">
      <c r="H485" s="125"/>
    </row>
    <row r="486" spans="8:8" ht="15.75" customHeight="1" x14ac:dyDescent="0.35">
      <c r="H486" s="125"/>
    </row>
    <row r="487" spans="8:8" ht="15.75" customHeight="1" x14ac:dyDescent="0.35">
      <c r="H487" s="125"/>
    </row>
    <row r="488" spans="8:8" ht="15.75" customHeight="1" x14ac:dyDescent="0.35">
      <c r="H488" s="125"/>
    </row>
    <row r="489" spans="8:8" ht="15.75" customHeight="1" x14ac:dyDescent="0.35">
      <c r="H489" s="125"/>
    </row>
    <row r="490" spans="8:8" ht="15.75" customHeight="1" x14ac:dyDescent="0.35">
      <c r="H490" s="125"/>
    </row>
    <row r="491" spans="8:8" ht="15.75" customHeight="1" x14ac:dyDescent="0.35">
      <c r="H491" s="125"/>
    </row>
    <row r="492" spans="8:8" ht="15.75" customHeight="1" x14ac:dyDescent="0.35">
      <c r="H492" s="125"/>
    </row>
    <row r="493" spans="8:8" ht="15.75" customHeight="1" x14ac:dyDescent="0.35">
      <c r="H493" s="125"/>
    </row>
    <row r="494" spans="8:8" ht="15.75" customHeight="1" x14ac:dyDescent="0.35">
      <c r="H494" s="125"/>
    </row>
    <row r="495" spans="8:8" ht="15.75" customHeight="1" x14ac:dyDescent="0.35">
      <c r="H495" s="125"/>
    </row>
    <row r="496" spans="8:8" ht="15.75" customHeight="1" x14ac:dyDescent="0.35">
      <c r="H496" s="125"/>
    </row>
    <row r="497" spans="8:8" ht="15.75" customHeight="1" x14ac:dyDescent="0.35">
      <c r="H497" s="125"/>
    </row>
    <row r="498" spans="8:8" ht="15.75" customHeight="1" x14ac:dyDescent="0.35">
      <c r="H498" s="125"/>
    </row>
    <row r="499" spans="8:8" ht="15.75" customHeight="1" x14ac:dyDescent="0.35">
      <c r="H499" s="125"/>
    </row>
    <row r="500" spans="8:8" ht="15.75" customHeight="1" x14ac:dyDescent="0.35">
      <c r="H500" s="125"/>
    </row>
    <row r="501" spans="8:8" ht="15.75" customHeight="1" x14ac:dyDescent="0.35">
      <c r="H501" s="125"/>
    </row>
    <row r="502" spans="8:8" ht="15.75" customHeight="1" x14ac:dyDescent="0.35">
      <c r="H502" s="125"/>
    </row>
    <row r="503" spans="8:8" ht="15.75" customHeight="1" x14ac:dyDescent="0.35">
      <c r="H503" s="125"/>
    </row>
    <row r="504" spans="8:8" ht="15.75" customHeight="1" x14ac:dyDescent="0.35">
      <c r="H504" s="125"/>
    </row>
    <row r="505" spans="8:8" ht="15.75" customHeight="1" x14ac:dyDescent="0.35">
      <c r="H505" s="125"/>
    </row>
    <row r="506" spans="8:8" ht="15.75" customHeight="1" x14ac:dyDescent="0.35">
      <c r="H506" s="125"/>
    </row>
    <row r="507" spans="8:8" ht="15.75" customHeight="1" x14ac:dyDescent="0.35">
      <c r="H507" s="125"/>
    </row>
    <row r="508" spans="8:8" ht="15.75" customHeight="1" x14ac:dyDescent="0.35">
      <c r="H508" s="125"/>
    </row>
    <row r="509" spans="8:8" ht="15.75" customHeight="1" x14ac:dyDescent="0.35">
      <c r="H509" s="125"/>
    </row>
    <row r="510" spans="8:8" ht="15.75" customHeight="1" x14ac:dyDescent="0.35">
      <c r="H510" s="125"/>
    </row>
    <row r="511" spans="8:8" ht="15.75" customHeight="1" x14ac:dyDescent="0.35">
      <c r="H511" s="125"/>
    </row>
    <row r="512" spans="8:8" ht="15.75" customHeight="1" x14ac:dyDescent="0.35">
      <c r="H512" s="125"/>
    </row>
    <row r="513" spans="8:8" ht="15.75" customHeight="1" x14ac:dyDescent="0.35">
      <c r="H513" s="125"/>
    </row>
    <row r="514" spans="8:8" ht="15.75" customHeight="1" x14ac:dyDescent="0.35">
      <c r="H514" s="125"/>
    </row>
    <row r="515" spans="8:8" ht="15.75" customHeight="1" x14ac:dyDescent="0.35">
      <c r="H515" s="125"/>
    </row>
    <row r="516" spans="8:8" ht="15.75" customHeight="1" x14ac:dyDescent="0.35">
      <c r="H516" s="125"/>
    </row>
    <row r="517" spans="8:8" ht="15.75" customHeight="1" x14ac:dyDescent="0.35">
      <c r="H517" s="125"/>
    </row>
    <row r="518" spans="8:8" ht="15.75" customHeight="1" x14ac:dyDescent="0.35">
      <c r="H518" s="125"/>
    </row>
    <row r="519" spans="8:8" ht="15.75" customHeight="1" x14ac:dyDescent="0.35">
      <c r="H519" s="125"/>
    </row>
    <row r="520" spans="8:8" ht="15.75" customHeight="1" x14ac:dyDescent="0.35">
      <c r="H520" s="125"/>
    </row>
    <row r="521" spans="8:8" ht="15.75" customHeight="1" x14ac:dyDescent="0.35">
      <c r="H521" s="125"/>
    </row>
    <row r="522" spans="8:8" ht="15.75" customHeight="1" x14ac:dyDescent="0.35">
      <c r="H522" s="125"/>
    </row>
    <row r="523" spans="8:8" ht="15.75" customHeight="1" x14ac:dyDescent="0.35">
      <c r="H523" s="125"/>
    </row>
    <row r="524" spans="8:8" ht="15.75" customHeight="1" x14ac:dyDescent="0.35">
      <c r="H524" s="125"/>
    </row>
    <row r="525" spans="8:8" ht="15.75" customHeight="1" x14ac:dyDescent="0.35">
      <c r="H525" s="125"/>
    </row>
    <row r="526" spans="8:8" ht="15.75" customHeight="1" x14ac:dyDescent="0.35">
      <c r="H526" s="125"/>
    </row>
    <row r="527" spans="8:8" ht="15.75" customHeight="1" x14ac:dyDescent="0.35">
      <c r="H527" s="125"/>
    </row>
    <row r="528" spans="8:8" ht="15.75" customHeight="1" x14ac:dyDescent="0.35">
      <c r="H528" s="125"/>
    </row>
    <row r="529" spans="8:8" ht="15.75" customHeight="1" x14ac:dyDescent="0.35">
      <c r="H529" s="125"/>
    </row>
    <row r="530" spans="8:8" ht="15.75" customHeight="1" x14ac:dyDescent="0.35">
      <c r="H530" s="125"/>
    </row>
    <row r="531" spans="8:8" ht="15.75" customHeight="1" x14ac:dyDescent="0.35">
      <c r="H531" s="125"/>
    </row>
    <row r="532" spans="8:8" ht="15.75" customHeight="1" x14ac:dyDescent="0.35">
      <c r="H532" s="125"/>
    </row>
    <row r="533" spans="8:8" ht="15.75" customHeight="1" x14ac:dyDescent="0.35">
      <c r="H533" s="125"/>
    </row>
    <row r="534" spans="8:8" ht="15.75" customHeight="1" x14ac:dyDescent="0.35">
      <c r="H534" s="125"/>
    </row>
    <row r="535" spans="8:8" ht="15.75" customHeight="1" x14ac:dyDescent="0.35">
      <c r="H535" s="125"/>
    </row>
    <row r="536" spans="8:8" ht="15.75" customHeight="1" x14ac:dyDescent="0.35">
      <c r="H536" s="125"/>
    </row>
    <row r="537" spans="8:8" ht="15.75" customHeight="1" x14ac:dyDescent="0.35">
      <c r="H537" s="125"/>
    </row>
    <row r="538" spans="8:8" ht="15.75" customHeight="1" x14ac:dyDescent="0.35">
      <c r="H538" s="125"/>
    </row>
    <row r="539" spans="8:8" ht="15.75" customHeight="1" x14ac:dyDescent="0.35">
      <c r="H539" s="125"/>
    </row>
    <row r="540" spans="8:8" ht="15.75" customHeight="1" x14ac:dyDescent="0.35">
      <c r="H540" s="125"/>
    </row>
    <row r="541" spans="8:8" ht="15.75" customHeight="1" x14ac:dyDescent="0.35">
      <c r="H541" s="125"/>
    </row>
    <row r="542" spans="8:8" ht="15.75" customHeight="1" x14ac:dyDescent="0.35">
      <c r="H542" s="125"/>
    </row>
    <row r="543" spans="8:8" ht="15.75" customHeight="1" x14ac:dyDescent="0.35">
      <c r="H543" s="125"/>
    </row>
    <row r="544" spans="8:8" ht="15.75" customHeight="1" x14ac:dyDescent="0.35">
      <c r="H544" s="125"/>
    </row>
    <row r="545" spans="8:8" ht="15.75" customHeight="1" x14ac:dyDescent="0.35">
      <c r="H545" s="125"/>
    </row>
    <row r="546" spans="8:8" ht="15.75" customHeight="1" x14ac:dyDescent="0.35">
      <c r="H546" s="125"/>
    </row>
    <row r="547" spans="8:8" ht="15.75" customHeight="1" x14ac:dyDescent="0.35">
      <c r="H547" s="125"/>
    </row>
    <row r="548" spans="8:8" ht="15.75" customHeight="1" x14ac:dyDescent="0.35">
      <c r="H548" s="125"/>
    </row>
    <row r="549" spans="8:8" ht="15.75" customHeight="1" x14ac:dyDescent="0.35">
      <c r="H549" s="125"/>
    </row>
    <row r="550" spans="8:8" ht="15.75" customHeight="1" x14ac:dyDescent="0.35">
      <c r="H550" s="125"/>
    </row>
    <row r="551" spans="8:8" ht="15.75" customHeight="1" x14ac:dyDescent="0.35">
      <c r="H551" s="125"/>
    </row>
    <row r="552" spans="8:8" ht="15.75" customHeight="1" x14ac:dyDescent="0.35">
      <c r="H552" s="125"/>
    </row>
    <row r="553" spans="8:8" ht="15.75" customHeight="1" x14ac:dyDescent="0.35">
      <c r="H553" s="125"/>
    </row>
    <row r="554" spans="8:8" ht="15.75" customHeight="1" x14ac:dyDescent="0.35">
      <c r="H554" s="125"/>
    </row>
    <row r="555" spans="8:8" ht="15.75" customHeight="1" x14ac:dyDescent="0.35">
      <c r="H555" s="125"/>
    </row>
    <row r="556" spans="8:8" ht="15.75" customHeight="1" x14ac:dyDescent="0.35">
      <c r="H556" s="125"/>
    </row>
    <row r="557" spans="8:8" ht="15.75" customHeight="1" x14ac:dyDescent="0.35">
      <c r="H557" s="125"/>
    </row>
    <row r="558" spans="8:8" ht="15.75" customHeight="1" x14ac:dyDescent="0.35">
      <c r="H558" s="125"/>
    </row>
    <row r="559" spans="8:8" ht="15.75" customHeight="1" x14ac:dyDescent="0.35">
      <c r="H559" s="125"/>
    </row>
    <row r="560" spans="8:8" ht="15.75" customHeight="1" x14ac:dyDescent="0.35">
      <c r="H560" s="125"/>
    </row>
    <row r="561" spans="8:8" ht="15.75" customHeight="1" x14ac:dyDescent="0.35">
      <c r="H561" s="125"/>
    </row>
    <row r="562" spans="8:8" ht="15.75" customHeight="1" x14ac:dyDescent="0.35">
      <c r="H562" s="125"/>
    </row>
    <row r="563" spans="8:8" ht="15.75" customHeight="1" x14ac:dyDescent="0.35">
      <c r="H563" s="125"/>
    </row>
    <row r="564" spans="8:8" ht="15.75" customHeight="1" x14ac:dyDescent="0.35">
      <c r="H564" s="125"/>
    </row>
    <row r="565" spans="8:8" ht="15.75" customHeight="1" x14ac:dyDescent="0.35">
      <c r="H565" s="125"/>
    </row>
    <row r="566" spans="8:8" ht="15.75" customHeight="1" x14ac:dyDescent="0.35">
      <c r="H566" s="125"/>
    </row>
    <row r="567" spans="8:8" ht="15.75" customHeight="1" x14ac:dyDescent="0.35">
      <c r="H567" s="125"/>
    </row>
    <row r="568" spans="8:8" ht="15.75" customHeight="1" x14ac:dyDescent="0.35">
      <c r="H568" s="125"/>
    </row>
    <row r="569" spans="8:8" ht="15.75" customHeight="1" x14ac:dyDescent="0.35">
      <c r="H569" s="125"/>
    </row>
    <row r="570" spans="8:8" ht="15.75" customHeight="1" x14ac:dyDescent="0.35">
      <c r="H570" s="125"/>
    </row>
    <row r="571" spans="8:8" ht="15.75" customHeight="1" x14ac:dyDescent="0.35">
      <c r="H571" s="125"/>
    </row>
    <row r="572" spans="8:8" ht="15.75" customHeight="1" x14ac:dyDescent="0.35">
      <c r="H572" s="125"/>
    </row>
    <row r="573" spans="8:8" ht="15.75" customHeight="1" x14ac:dyDescent="0.35">
      <c r="H573" s="125"/>
    </row>
    <row r="574" spans="8:8" ht="15.75" customHeight="1" x14ac:dyDescent="0.35">
      <c r="H574" s="125"/>
    </row>
    <row r="575" spans="8:8" ht="15.75" customHeight="1" x14ac:dyDescent="0.35">
      <c r="H575" s="125"/>
    </row>
    <row r="576" spans="8:8" ht="15.75" customHeight="1" x14ac:dyDescent="0.35">
      <c r="H576" s="125"/>
    </row>
    <row r="577" spans="8:8" ht="15.75" customHeight="1" x14ac:dyDescent="0.35">
      <c r="H577" s="125"/>
    </row>
    <row r="578" spans="8:8" ht="15.75" customHeight="1" x14ac:dyDescent="0.35">
      <c r="H578" s="125"/>
    </row>
    <row r="579" spans="8:8" ht="15.75" customHeight="1" x14ac:dyDescent="0.35">
      <c r="H579" s="125"/>
    </row>
    <row r="580" spans="8:8" ht="15.75" customHeight="1" x14ac:dyDescent="0.35">
      <c r="H580" s="125"/>
    </row>
    <row r="581" spans="8:8" ht="15.75" customHeight="1" x14ac:dyDescent="0.35">
      <c r="H581" s="125"/>
    </row>
    <row r="582" spans="8:8" ht="15.75" customHeight="1" x14ac:dyDescent="0.35">
      <c r="H582" s="125"/>
    </row>
    <row r="583" spans="8:8" ht="15.75" customHeight="1" x14ac:dyDescent="0.35">
      <c r="H583" s="125"/>
    </row>
    <row r="584" spans="8:8" ht="15.75" customHeight="1" x14ac:dyDescent="0.35">
      <c r="H584" s="125"/>
    </row>
    <row r="585" spans="8:8" ht="15.75" customHeight="1" x14ac:dyDescent="0.35">
      <c r="H585" s="125"/>
    </row>
    <row r="586" spans="8:8" ht="15.75" customHeight="1" x14ac:dyDescent="0.35">
      <c r="H586" s="125"/>
    </row>
    <row r="587" spans="8:8" ht="15.75" customHeight="1" x14ac:dyDescent="0.35">
      <c r="H587" s="125"/>
    </row>
    <row r="588" spans="8:8" ht="15.75" customHeight="1" x14ac:dyDescent="0.35">
      <c r="H588" s="125"/>
    </row>
    <row r="589" spans="8:8" ht="15.75" customHeight="1" x14ac:dyDescent="0.35">
      <c r="H589" s="125"/>
    </row>
    <row r="590" spans="8:8" ht="15.75" customHeight="1" x14ac:dyDescent="0.35">
      <c r="H590" s="125"/>
    </row>
    <row r="591" spans="8:8" ht="15.75" customHeight="1" x14ac:dyDescent="0.35">
      <c r="H591" s="125"/>
    </row>
    <row r="592" spans="8:8" ht="15.75" customHeight="1" x14ac:dyDescent="0.35">
      <c r="H592" s="125"/>
    </row>
    <row r="593" spans="8:8" ht="15.75" customHeight="1" x14ac:dyDescent="0.35">
      <c r="H593" s="125"/>
    </row>
    <row r="594" spans="8:8" ht="15.75" customHeight="1" x14ac:dyDescent="0.35">
      <c r="H594" s="125"/>
    </row>
    <row r="595" spans="8:8" ht="15.75" customHeight="1" x14ac:dyDescent="0.35">
      <c r="H595" s="125"/>
    </row>
    <row r="596" spans="8:8" ht="15.75" customHeight="1" x14ac:dyDescent="0.35">
      <c r="H596" s="125"/>
    </row>
    <row r="597" spans="8:8" ht="15.75" customHeight="1" x14ac:dyDescent="0.35">
      <c r="H597" s="125"/>
    </row>
    <row r="598" spans="8:8" ht="15.75" customHeight="1" x14ac:dyDescent="0.35">
      <c r="H598" s="125"/>
    </row>
    <row r="599" spans="8:8" ht="15.75" customHeight="1" x14ac:dyDescent="0.35">
      <c r="H599" s="125"/>
    </row>
    <row r="600" spans="8:8" ht="15.75" customHeight="1" x14ac:dyDescent="0.35">
      <c r="H600" s="125"/>
    </row>
    <row r="601" spans="8:8" ht="15.75" customHeight="1" x14ac:dyDescent="0.35">
      <c r="H601" s="125"/>
    </row>
    <row r="602" spans="8:8" ht="15.75" customHeight="1" x14ac:dyDescent="0.35">
      <c r="H602" s="125"/>
    </row>
    <row r="603" spans="8:8" ht="15.75" customHeight="1" x14ac:dyDescent="0.35">
      <c r="H603" s="125"/>
    </row>
    <row r="604" spans="8:8" ht="15.75" customHeight="1" x14ac:dyDescent="0.35">
      <c r="H604" s="125"/>
    </row>
    <row r="605" spans="8:8" ht="15.75" customHeight="1" x14ac:dyDescent="0.35">
      <c r="H605" s="125"/>
    </row>
    <row r="606" spans="8:8" ht="15.75" customHeight="1" x14ac:dyDescent="0.35">
      <c r="H606" s="125"/>
    </row>
    <row r="607" spans="8:8" ht="15.75" customHeight="1" x14ac:dyDescent="0.35">
      <c r="H607" s="125"/>
    </row>
    <row r="608" spans="8:8" ht="15.75" customHeight="1" x14ac:dyDescent="0.35">
      <c r="H608" s="125"/>
    </row>
    <row r="609" spans="8:8" ht="15.75" customHeight="1" x14ac:dyDescent="0.35">
      <c r="H609" s="125"/>
    </row>
    <row r="610" spans="8:8" ht="15.75" customHeight="1" x14ac:dyDescent="0.35">
      <c r="H610" s="125"/>
    </row>
    <row r="611" spans="8:8" ht="15.75" customHeight="1" x14ac:dyDescent="0.35">
      <c r="H611" s="125"/>
    </row>
    <row r="612" spans="8:8" ht="15.75" customHeight="1" x14ac:dyDescent="0.35">
      <c r="H612" s="125"/>
    </row>
    <row r="613" spans="8:8" ht="15.75" customHeight="1" x14ac:dyDescent="0.35">
      <c r="H613" s="125"/>
    </row>
    <row r="614" spans="8:8" ht="15.75" customHeight="1" x14ac:dyDescent="0.35">
      <c r="H614" s="125"/>
    </row>
    <row r="615" spans="8:8" ht="15.75" customHeight="1" x14ac:dyDescent="0.35">
      <c r="H615" s="125"/>
    </row>
    <row r="616" spans="8:8" ht="15.75" customHeight="1" x14ac:dyDescent="0.35">
      <c r="H616" s="125"/>
    </row>
    <row r="617" spans="8:8" ht="15.75" customHeight="1" x14ac:dyDescent="0.35">
      <c r="H617" s="125"/>
    </row>
    <row r="618" spans="8:8" ht="15.75" customHeight="1" x14ac:dyDescent="0.35">
      <c r="H618" s="125"/>
    </row>
    <row r="619" spans="8:8" ht="15.75" customHeight="1" x14ac:dyDescent="0.35">
      <c r="H619" s="125"/>
    </row>
    <row r="620" spans="8:8" ht="15.75" customHeight="1" x14ac:dyDescent="0.35">
      <c r="H620" s="125"/>
    </row>
    <row r="621" spans="8:8" ht="15.75" customHeight="1" x14ac:dyDescent="0.35">
      <c r="H621" s="125"/>
    </row>
    <row r="622" spans="8:8" ht="15.75" customHeight="1" x14ac:dyDescent="0.35">
      <c r="H622" s="125"/>
    </row>
    <row r="623" spans="8:8" ht="15.75" customHeight="1" x14ac:dyDescent="0.35">
      <c r="H623" s="125"/>
    </row>
    <row r="624" spans="8:8" ht="15.75" customHeight="1" x14ac:dyDescent="0.35">
      <c r="H624" s="125"/>
    </row>
    <row r="625" spans="8:8" ht="15.75" customHeight="1" x14ac:dyDescent="0.35">
      <c r="H625" s="125"/>
    </row>
    <row r="626" spans="8:8" ht="15.75" customHeight="1" x14ac:dyDescent="0.35">
      <c r="H626" s="125"/>
    </row>
    <row r="627" spans="8:8" ht="15.75" customHeight="1" x14ac:dyDescent="0.35">
      <c r="H627" s="125"/>
    </row>
    <row r="628" spans="8:8" ht="15.75" customHeight="1" x14ac:dyDescent="0.35">
      <c r="H628" s="125"/>
    </row>
    <row r="629" spans="8:8" ht="15.75" customHeight="1" x14ac:dyDescent="0.35">
      <c r="H629" s="125"/>
    </row>
    <row r="630" spans="8:8" ht="15.75" customHeight="1" x14ac:dyDescent="0.35">
      <c r="H630" s="125"/>
    </row>
    <row r="631" spans="8:8" ht="15.75" customHeight="1" x14ac:dyDescent="0.35">
      <c r="H631" s="125"/>
    </row>
    <row r="632" spans="8:8" ht="15.75" customHeight="1" x14ac:dyDescent="0.35">
      <c r="H632" s="125"/>
    </row>
    <row r="633" spans="8:8" ht="15.75" customHeight="1" x14ac:dyDescent="0.35">
      <c r="H633" s="125"/>
    </row>
    <row r="634" spans="8:8" ht="15.75" customHeight="1" x14ac:dyDescent="0.35">
      <c r="H634" s="125"/>
    </row>
    <row r="635" spans="8:8" ht="15.75" customHeight="1" x14ac:dyDescent="0.35">
      <c r="H635" s="125"/>
    </row>
    <row r="636" spans="8:8" ht="15.75" customHeight="1" x14ac:dyDescent="0.35">
      <c r="H636" s="125"/>
    </row>
    <row r="637" spans="8:8" ht="15.75" customHeight="1" x14ac:dyDescent="0.35">
      <c r="H637" s="125"/>
    </row>
    <row r="638" spans="8:8" ht="15.75" customHeight="1" x14ac:dyDescent="0.35">
      <c r="H638" s="125"/>
    </row>
    <row r="639" spans="8:8" ht="15.75" customHeight="1" x14ac:dyDescent="0.35">
      <c r="H639" s="125"/>
    </row>
    <row r="640" spans="8:8" ht="15.75" customHeight="1" x14ac:dyDescent="0.35">
      <c r="H640" s="125"/>
    </row>
    <row r="641" spans="8:8" ht="15.75" customHeight="1" x14ac:dyDescent="0.35">
      <c r="H641" s="125"/>
    </row>
    <row r="642" spans="8:8" ht="15.75" customHeight="1" x14ac:dyDescent="0.35">
      <c r="H642" s="125"/>
    </row>
    <row r="643" spans="8:8" ht="15.75" customHeight="1" x14ac:dyDescent="0.35">
      <c r="H643" s="125"/>
    </row>
    <row r="644" spans="8:8" ht="15.75" customHeight="1" x14ac:dyDescent="0.35">
      <c r="H644" s="125"/>
    </row>
    <row r="645" spans="8:8" ht="15.75" customHeight="1" x14ac:dyDescent="0.35">
      <c r="H645" s="125"/>
    </row>
    <row r="646" spans="8:8" ht="15.75" customHeight="1" x14ac:dyDescent="0.35">
      <c r="H646" s="125"/>
    </row>
    <row r="647" spans="8:8" ht="15.75" customHeight="1" x14ac:dyDescent="0.35">
      <c r="H647" s="125"/>
    </row>
    <row r="648" spans="8:8" ht="15.75" customHeight="1" x14ac:dyDescent="0.35">
      <c r="H648" s="125"/>
    </row>
    <row r="649" spans="8:8" ht="15.75" customHeight="1" x14ac:dyDescent="0.35">
      <c r="H649" s="125"/>
    </row>
    <row r="650" spans="8:8" ht="15.75" customHeight="1" x14ac:dyDescent="0.35">
      <c r="H650" s="125"/>
    </row>
    <row r="651" spans="8:8" ht="15.75" customHeight="1" x14ac:dyDescent="0.35">
      <c r="H651" s="125"/>
    </row>
    <row r="652" spans="8:8" ht="15.75" customHeight="1" x14ac:dyDescent="0.35">
      <c r="H652" s="125"/>
    </row>
    <row r="653" spans="8:8" ht="15.75" customHeight="1" x14ac:dyDescent="0.35">
      <c r="H653" s="125"/>
    </row>
    <row r="654" spans="8:8" ht="15.75" customHeight="1" x14ac:dyDescent="0.35">
      <c r="H654" s="125"/>
    </row>
    <row r="655" spans="8:8" ht="15.75" customHeight="1" x14ac:dyDescent="0.35">
      <c r="H655" s="125"/>
    </row>
    <row r="656" spans="8:8" ht="15.75" customHeight="1" x14ac:dyDescent="0.35">
      <c r="H656" s="125"/>
    </row>
    <row r="657" spans="8:8" ht="15.75" customHeight="1" x14ac:dyDescent="0.35">
      <c r="H657" s="125"/>
    </row>
    <row r="658" spans="8:8" ht="15.75" customHeight="1" x14ac:dyDescent="0.35">
      <c r="H658" s="125"/>
    </row>
    <row r="659" spans="8:8" ht="15.75" customHeight="1" x14ac:dyDescent="0.35">
      <c r="H659" s="125"/>
    </row>
    <row r="660" spans="8:8" ht="15.75" customHeight="1" x14ac:dyDescent="0.35">
      <c r="H660" s="125"/>
    </row>
    <row r="661" spans="8:8" ht="15.75" customHeight="1" x14ac:dyDescent="0.35">
      <c r="H661" s="125"/>
    </row>
    <row r="662" spans="8:8" ht="15.75" customHeight="1" x14ac:dyDescent="0.35">
      <c r="H662" s="125"/>
    </row>
    <row r="663" spans="8:8" ht="15.75" customHeight="1" x14ac:dyDescent="0.35">
      <c r="H663" s="125"/>
    </row>
    <row r="664" spans="8:8" ht="15.75" customHeight="1" x14ac:dyDescent="0.35">
      <c r="H664" s="125"/>
    </row>
    <row r="665" spans="8:8" ht="15.75" customHeight="1" x14ac:dyDescent="0.35">
      <c r="H665" s="125"/>
    </row>
    <row r="666" spans="8:8" ht="15.75" customHeight="1" x14ac:dyDescent="0.35">
      <c r="H666" s="125"/>
    </row>
    <row r="667" spans="8:8" ht="15.75" customHeight="1" x14ac:dyDescent="0.35">
      <c r="H667" s="125"/>
    </row>
    <row r="668" spans="8:8" ht="15.75" customHeight="1" x14ac:dyDescent="0.35">
      <c r="H668" s="125"/>
    </row>
    <row r="669" spans="8:8" ht="15.75" customHeight="1" x14ac:dyDescent="0.35">
      <c r="H669" s="125"/>
    </row>
    <row r="670" spans="8:8" ht="15.75" customHeight="1" x14ac:dyDescent="0.35">
      <c r="H670" s="125"/>
    </row>
    <row r="671" spans="8:8" ht="15.75" customHeight="1" x14ac:dyDescent="0.35">
      <c r="H671" s="125"/>
    </row>
    <row r="672" spans="8:8" ht="15.75" customHeight="1" x14ac:dyDescent="0.35">
      <c r="H672" s="125"/>
    </row>
    <row r="673" spans="8:8" ht="15.75" customHeight="1" x14ac:dyDescent="0.35">
      <c r="H673" s="125"/>
    </row>
    <row r="674" spans="8:8" ht="15.75" customHeight="1" x14ac:dyDescent="0.35">
      <c r="H674" s="125"/>
    </row>
    <row r="675" spans="8:8" ht="15.75" customHeight="1" x14ac:dyDescent="0.35">
      <c r="H675" s="125"/>
    </row>
    <row r="676" spans="8:8" ht="15.75" customHeight="1" x14ac:dyDescent="0.35">
      <c r="H676" s="125"/>
    </row>
    <row r="677" spans="8:8" ht="15.75" customHeight="1" x14ac:dyDescent="0.35">
      <c r="H677" s="125"/>
    </row>
    <row r="678" spans="8:8" ht="15.75" customHeight="1" x14ac:dyDescent="0.35">
      <c r="H678" s="125"/>
    </row>
    <row r="679" spans="8:8" ht="15.75" customHeight="1" x14ac:dyDescent="0.35">
      <c r="H679" s="125"/>
    </row>
    <row r="680" spans="8:8" ht="15.75" customHeight="1" x14ac:dyDescent="0.35">
      <c r="H680" s="125"/>
    </row>
    <row r="681" spans="8:8" ht="15.75" customHeight="1" x14ac:dyDescent="0.35">
      <c r="H681" s="125"/>
    </row>
    <row r="682" spans="8:8" ht="15.75" customHeight="1" x14ac:dyDescent="0.35">
      <c r="H682" s="125"/>
    </row>
    <row r="683" spans="8:8" ht="15.75" customHeight="1" x14ac:dyDescent="0.35">
      <c r="H683" s="125"/>
    </row>
    <row r="684" spans="8:8" ht="15.75" customHeight="1" x14ac:dyDescent="0.35">
      <c r="H684" s="125"/>
    </row>
    <row r="685" spans="8:8" ht="15.75" customHeight="1" x14ac:dyDescent="0.35">
      <c r="H685" s="125"/>
    </row>
    <row r="686" spans="8:8" ht="15.75" customHeight="1" x14ac:dyDescent="0.35">
      <c r="H686" s="125"/>
    </row>
    <row r="687" spans="8:8" ht="15.75" customHeight="1" x14ac:dyDescent="0.35">
      <c r="H687" s="125"/>
    </row>
    <row r="688" spans="8:8" ht="15.75" customHeight="1" x14ac:dyDescent="0.35">
      <c r="H688" s="125"/>
    </row>
    <row r="689" spans="8:8" ht="15.75" customHeight="1" x14ac:dyDescent="0.35">
      <c r="H689" s="125"/>
    </row>
    <row r="690" spans="8:8" ht="15.75" customHeight="1" x14ac:dyDescent="0.35">
      <c r="H690" s="125"/>
    </row>
    <row r="691" spans="8:8" ht="15.75" customHeight="1" x14ac:dyDescent="0.35">
      <c r="H691" s="125"/>
    </row>
    <row r="692" spans="8:8" ht="15.75" customHeight="1" x14ac:dyDescent="0.35">
      <c r="H692" s="125"/>
    </row>
    <row r="693" spans="8:8" ht="15.75" customHeight="1" x14ac:dyDescent="0.35">
      <c r="H693" s="125"/>
    </row>
    <row r="694" spans="8:8" ht="15.75" customHeight="1" x14ac:dyDescent="0.35">
      <c r="H694" s="125"/>
    </row>
    <row r="695" spans="8:8" ht="15.75" customHeight="1" x14ac:dyDescent="0.35">
      <c r="H695" s="125"/>
    </row>
    <row r="696" spans="8:8" ht="15.75" customHeight="1" x14ac:dyDescent="0.35">
      <c r="H696" s="125"/>
    </row>
    <row r="697" spans="8:8" ht="15.75" customHeight="1" x14ac:dyDescent="0.35">
      <c r="H697" s="125"/>
    </row>
    <row r="698" spans="8:8" ht="15.75" customHeight="1" x14ac:dyDescent="0.35">
      <c r="H698" s="125"/>
    </row>
    <row r="699" spans="8:8" ht="15.75" customHeight="1" x14ac:dyDescent="0.35">
      <c r="H699" s="125"/>
    </row>
    <row r="700" spans="8:8" ht="15.75" customHeight="1" x14ac:dyDescent="0.35">
      <c r="H700" s="125"/>
    </row>
    <row r="701" spans="8:8" ht="15.75" customHeight="1" x14ac:dyDescent="0.35">
      <c r="H701" s="125"/>
    </row>
    <row r="702" spans="8:8" ht="15.75" customHeight="1" x14ac:dyDescent="0.35">
      <c r="H702" s="125"/>
    </row>
    <row r="703" spans="8:8" ht="15.75" customHeight="1" x14ac:dyDescent="0.35">
      <c r="H703" s="125"/>
    </row>
    <row r="704" spans="8:8" ht="15.75" customHeight="1" x14ac:dyDescent="0.35">
      <c r="H704" s="125"/>
    </row>
    <row r="705" spans="8:8" ht="15.75" customHeight="1" x14ac:dyDescent="0.35">
      <c r="H705" s="125"/>
    </row>
    <row r="706" spans="8:8" ht="15.75" customHeight="1" x14ac:dyDescent="0.35">
      <c r="H706" s="125"/>
    </row>
    <row r="707" spans="8:8" ht="15.75" customHeight="1" x14ac:dyDescent="0.35">
      <c r="H707" s="125"/>
    </row>
    <row r="708" spans="8:8" ht="15.75" customHeight="1" x14ac:dyDescent="0.35">
      <c r="H708" s="125"/>
    </row>
    <row r="709" spans="8:8" ht="15.75" customHeight="1" x14ac:dyDescent="0.35">
      <c r="H709" s="125"/>
    </row>
    <row r="710" spans="8:8" ht="15.75" customHeight="1" x14ac:dyDescent="0.35">
      <c r="H710" s="125"/>
    </row>
    <row r="711" spans="8:8" ht="15.75" customHeight="1" x14ac:dyDescent="0.35">
      <c r="H711" s="125"/>
    </row>
    <row r="712" spans="8:8" ht="15.75" customHeight="1" x14ac:dyDescent="0.35">
      <c r="H712" s="125"/>
    </row>
    <row r="713" spans="8:8" ht="15.75" customHeight="1" x14ac:dyDescent="0.35">
      <c r="H713" s="125"/>
    </row>
    <row r="714" spans="8:8" ht="15.75" customHeight="1" x14ac:dyDescent="0.35">
      <c r="H714" s="125"/>
    </row>
    <row r="715" spans="8:8" ht="15.75" customHeight="1" x14ac:dyDescent="0.35">
      <c r="H715" s="125"/>
    </row>
    <row r="716" spans="8:8" ht="15.75" customHeight="1" x14ac:dyDescent="0.35">
      <c r="H716" s="125"/>
    </row>
    <row r="717" spans="8:8" ht="15.75" customHeight="1" x14ac:dyDescent="0.35">
      <c r="H717" s="125"/>
    </row>
    <row r="718" spans="8:8" ht="15.75" customHeight="1" x14ac:dyDescent="0.35">
      <c r="H718" s="125"/>
    </row>
    <row r="719" spans="8:8" ht="15.75" customHeight="1" x14ac:dyDescent="0.35">
      <c r="H719" s="125"/>
    </row>
    <row r="720" spans="8:8" ht="15.75" customHeight="1" x14ac:dyDescent="0.35">
      <c r="H720" s="125"/>
    </row>
    <row r="721" spans="8:8" ht="15.75" customHeight="1" x14ac:dyDescent="0.35">
      <c r="H721" s="125"/>
    </row>
    <row r="722" spans="8:8" ht="15.75" customHeight="1" x14ac:dyDescent="0.35">
      <c r="H722" s="125"/>
    </row>
    <row r="723" spans="8:8" ht="15.75" customHeight="1" x14ac:dyDescent="0.35">
      <c r="H723" s="125"/>
    </row>
    <row r="724" spans="8:8" ht="15.75" customHeight="1" x14ac:dyDescent="0.35">
      <c r="H724" s="125"/>
    </row>
    <row r="725" spans="8:8" ht="15.75" customHeight="1" x14ac:dyDescent="0.35">
      <c r="H725" s="125"/>
    </row>
    <row r="726" spans="8:8" ht="15.75" customHeight="1" x14ac:dyDescent="0.35">
      <c r="H726" s="125"/>
    </row>
    <row r="727" spans="8:8" ht="15.75" customHeight="1" x14ac:dyDescent="0.35">
      <c r="H727" s="125"/>
    </row>
    <row r="728" spans="8:8" ht="15.75" customHeight="1" x14ac:dyDescent="0.35">
      <c r="H728" s="125"/>
    </row>
    <row r="729" spans="8:8" ht="15.75" customHeight="1" x14ac:dyDescent="0.35">
      <c r="H729" s="125"/>
    </row>
    <row r="730" spans="8:8" ht="15.75" customHeight="1" x14ac:dyDescent="0.35">
      <c r="H730" s="125"/>
    </row>
    <row r="731" spans="8:8" ht="15.75" customHeight="1" x14ac:dyDescent="0.35">
      <c r="H731" s="125"/>
    </row>
    <row r="732" spans="8:8" ht="15.75" customHeight="1" x14ac:dyDescent="0.35">
      <c r="H732" s="125"/>
    </row>
    <row r="733" spans="8:8" ht="15.75" customHeight="1" x14ac:dyDescent="0.35">
      <c r="H733" s="125"/>
    </row>
    <row r="734" spans="8:8" ht="15.75" customHeight="1" x14ac:dyDescent="0.35">
      <c r="H734" s="125"/>
    </row>
    <row r="735" spans="8:8" ht="15.75" customHeight="1" x14ac:dyDescent="0.35">
      <c r="H735" s="125"/>
    </row>
    <row r="736" spans="8:8" ht="15.75" customHeight="1" x14ac:dyDescent="0.35">
      <c r="H736" s="125"/>
    </row>
    <row r="737" spans="8:8" ht="15.75" customHeight="1" x14ac:dyDescent="0.35">
      <c r="H737" s="125"/>
    </row>
    <row r="738" spans="8:8" ht="15.75" customHeight="1" x14ac:dyDescent="0.35">
      <c r="H738" s="125"/>
    </row>
    <row r="739" spans="8:8" ht="15.75" customHeight="1" x14ac:dyDescent="0.35">
      <c r="H739" s="125"/>
    </row>
    <row r="740" spans="8:8" ht="15.75" customHeight="1" x14ac:dyDescent="0.35">
      <c r="H740" s="125"/>
    </row>
    <row r="741" spans="8:8" ht="15.75" customHeight="1" x14ac:dyDescent="0.35">
      <c r="H741" s="125"/>
    </row>
    <row r="742" spans="8:8" ht="15.75" customHeight="1" x14ac:dyDescent="0.35">
      <c r="H742" s="125"/>
    </row>
    <row r="743" spans="8:8" ht="15.75" customHeight="1" x14ac:dyDescent="0.35">
      <c r="H743" s="125"/>
    </row>
    <row r="744" spans="8:8" ht="15.75" customHeight="1" x14ac:dyDescent="0.35">
      <c r="H744" s="125"/>
    </row>
    <row r="745" spans="8:8" ht="15.75" customHeight="1" x14ac:dyDescent="0.35">
      <c r="H745" s="125"/>
    </row>
    <row r="746" spans="8:8" ht="15.75" customHeight="1" x14ac:dyDescent="0.35">
      <c r="H746" s="125"/>
    </row>
    <row r="747" spans="8:8" ht="15.75" customHeight="1" x14ac:dyDescent="0.35">
      <c r="H747" s="125"/>
    </row>
    <row r="748" spans="8:8" ht="15.75" customHeight="1" x14ac:dyDescent="0.35">
      <c r="H748" s="125"/>
    </row>
    <row r="749" spans="8:8" ht="15.75" customHeight="1" x14ac:dyDescent="0.35">
      <c r="H749" s="125"/>
    </row>
    <row r="750" spans="8:8" ht="15.75" customHeight="1" x14ac:dyDescent="0.35">
      <c r="H750" s="125"/>
    </row>
    <row r="751" spans="8:8" ht="15.75" customHeight="1" x14ac:dyDescent="0.35">
      <c r="H751" s="125"/>
    </row>
    <row r="752" spans="8:8" ht="15.75" customHeight="1" x14ac:dyDescent="0.35">
      <c r="H752" s="125"/>
    </row>
    <row r="753" spans="8:8" ht="15.75" customHeight="1" x14ac:dyDescent="0.35">
      <c r="H753" s="125"/>
    </row>
    <row r="754" spans="8:8" ht="15.75" customHeight="1" x14ac:dyDescent="0.35">
      <c r="H754" s="125"/>
    </row>
    <row r="755" spans="8:8" ht="15.75" customHeight="1" x14ac:dyDescent="0.35">
      <c r="H755" s="125"/>
    </row>
    <row r="756" spans="8:8" ht="15.75" customHeight="1" x14ac:dyDescent="0.35">
      <c r="H756" s="125"/>
    </row>
    <row r="757" spans="8:8" ht="15.75" customHeight="1" x14ac:dyDescent="0.35">
      <c r="H757" s="125"/>
    </row>
    <row r="758" spans="8:8" ht="15.75" customHeight="1" x14ac:dyDescent="0.35">
      <c r="H758" s="125"/>
    </row>
    <row r="759" spans="8:8" ht="15.75" customHeight="1" x14ac:dyDescent="0.35">
      <c r="H759" s="125"/>
    </row>
    <row r="760" spans="8:8" ht="15.75" customHeight="1" x14ac:dyDescent="0.35">
      <c r="H760" s="125"/>
    </row>
    <row r="761" spans="8:8" ht="15.75" customHeight="1" x14ac:dyDescent="0.35">
      <c r="H761" s="125"/>
    </row>
    <row r="762" spans="8:8" ht="15.75" customHeight="1" x14ac:dyDescent="0.35">
      <c r="H762" s="125"/>
    </row>
    <row r="763" spans="8:8" ht="15.75" customHeight="1" x14ac:dyDescent="0.35">
      <c r="H763" s="125"/>
    </row>
    <row r="764" spans="8:8" ht="15.75" customHeight="1" x14ac:dyDescent="0.35">
      <c r="H764" s="125"/>
    </row>
    <row r="765" spans="8:8" ht="15.75" customHeight="1" x14ac:dyDescent="0.35">
      <c r="H765" s="125"/>
    </row>
    <row r="766" spans="8:8" ht="15.75" customHeight="1" x14ac:dyDescent="0.35">
      <c r="H766" s="125"/>
    </row>
    <row r="767" spans="8:8" ht="15.75" customHeight="1" x14ac:dyDescent="0.35">
      <c r="H767" s="125"/>
    </row>
    <row r="768" spans="8:8" ht="15.75" customHeight="1" x14ac:dyDescent="0.35">
      <c r="H768" s="125"/>
    </row>
    <row r="769" spans="8:8" ht="15.75" customHeight="1" x14ac:dyDescent="0.35">
      <c r="H769" s="125"/>
    </row>
    <row r="770" spans="8:8" ht="15.75" customHeight="1" x14ac:dyDescent="0.35">
      <c r="H770" s="125"/>
    </row>
    <row r="771" spans="8:8" ht="15.75" customHeight="1" x14ac:dyDescent="0.35">
      <c r="H771" s="125"/>
    </row>
    <row r="772" spans="8:8" ht="15.75" customHeight="1" x14ac:dyDescent="0.35">
      <c r="H772" s="125"/>
    </row>
    <row r="773" spans="8:8" ht="15.75" customHeight="1" x14ac:dyDescent="0.35">
      <c r="H773" s="125"/>
    </row>
    <row r="774" spans="8:8" ht="15.75" customHeight="1" x14ac:dyDescent="0.35">
      <c r="H774" s="125"/>
    </row>
    <row r="775" spans="8:8" ht="15.75" customHeight="1" x14ac:dyDescent="0.35">
      <c r="H775" s="125"/>
    </row>
    <row r="776" spans="8:8" ht="15.75" customHeight="1" x14ac:dyDescent="0.35">
      <c r="H776" s="125"/>
    </row>
    <row r="777" spans="8:8" ht="15.75" customHeight="1" x14ac:dyDescent="0.35">
      <c r="H777" s="125"/>
    </row>
    <row r="778" spans="8:8" ht="15.75" customHeight="1" x14ac:dyDescent="0.35">
      <c r="H778" s="125"/>
    </row>
    <row r="779" spans="8:8" ht="15.75" customHeight="1" x14ac:dyDescent="0.35">
      <c r="H779" s="125"/>
    </row>
    <row r="780" spans="8:8" ht="15.75" customHeight="1" x14ac:dyDescent="0.35">
      <c r="H780" s="125"/>
    </row>
    <row r="781" spans="8:8" ht="15.75" customHeight="1" x14ac:dyDescent="0.35">
      <c r="H781" s="125"/>
    </row>
    <row r="782" spans="8:8" ht="15.75" customHeight="1" x14ac:dyDescent="0.35">
      <c r="H782" s="125"/>
    </row>
    <row r="783" spans="8:8" ht="15.75" customHeight="1" x14ac:dyDescent="0.35">
      <c r="H783" s="125"/>
    </row>
    <row r="784" spans="8:8" ht="15.75" customHeight="1" x14ac:dyDescent="0.35">
      <c r="H784" s="125"/>
    </row>
    <row r="785" spans="8:8" ht="15.75" customHeight="1" x14ac:dyDescent="0.35">
      <c r="H785" s="125"/>
    </row>
    <row r="786" spans="8:8" ht="15.75" customHeight="1" x14ac:dyDescent="0.35">
      <c r="H786" s="125"/>
    </row>
    <row r="787" spans="8:8" ht="15.75" customHeight="1" x14ac:dyDescent="0.35">
      <c r="H787" s="125"/>
    </row>
    <row r="788" spans="8:8" ht="15.75" customHeight="1" x14ac:dyDescent="0.35">
      <c r="H788" s="125"/>
    </row>
    <row r="789" spans="8:8" ht="15.75" customHeight="1" x14ac:dyDescent="0.35">
      <c r="H789" s="125"/>
    </row>
    <row r="790" spans="8:8" ht="15.75" customHeight="1" x14ac:dyDescent="0.35">
      <c r="H790" s="125"/>
    </row>
    <row r="791" spans="8:8" ht="15.75" customHeight="1" x14ac:dyDescent="0.35">
      <c r="H791" s="125"/>
    </row>
    <row r="792" spans="8:8" ht="15.75" customHeight="1" x14ac:dyDescent="0.35">
      <c r="H792" s="125"/>
    </row>
    <row r="793" spans="8:8" ht="15.75" customHeight="1" x14ac:dyDescent="0.35">
      <c r="H793" s="125"/>
    </row>
    <row r="794" spans="8:8" ht="15.75" customHeight="1" x14ac:dyDescent="0.35">
      <c r="H794" s="125"/>
    </row>
    <row r="795" spans="8:8" ht="15.75" customHeight="1" x14ac:dyDescent="0.35">
      <c r="H795" s="125"/>
    </row>
    <row r="796" spans="8:8" ht="15.75" customHeight="1" x14ac:dyDescent="0.35">
      <c r="H796" s="125"/>
    </row>
    <row r="797" spans="8:8" ht="15.75" customHeight="1" x14ac:dyDescent="0.35">
      <c r="H797" s="125"/>
    </row>
    <row r="798" spans="8:8" ht="15.75" customHeight="1" x14ac:dyDescent="0.35">
      <c r="H798" s="125"/>
    </row>
    <row r="799" spans="8:8" ht="15.75" customHeight="1" x14ac:dyDescent="0.35">
      <c r="H799" s="125"/>
    </row>
    <row r="800" spans="8:8" ht="15.75" customHeight="1" x14ac:dyDescent="0.35">
      <c r="H800" s="125"/>
    </row>
    <row r="801" spans="8:8" ht="15.75" customHeight="1" x14ac:dyDescent="0.35">
      <c r="H801" s="125"/>
    </row>
    <row r="802" spans="8:8" ht="15.75" customHeight="1" x14ac:dyDescent="0.35">
      <c r="H802" s="125"/>
    </row>
    <row r="803" spans="8:8" ht="15.75" customHeight="1" x14ac:dyDescent="0.35">
      <c r="H803" s="125"/>
    </row>
    <row r="804" spans="8:8" ht="15.75" customHeight="1" x14ac:dyDescent="0.35">
      <c r="H804" s="125"/>
    </row>
    <row r="805" spans="8:8" ht="15.75" customHeight="1" x14ac:dyDescent="0.35">
      <c r="H805" s="125"/>
    </row>
    <row r="806" spans="8:8" ht="15.75" customHeight="1" x14ac:dyDescent="0.35">
      <c r="H806" s="125"/>
    </row>
    <row r="807" spans="8:8" ht="15.75" customHeight="1" x14ac:dyDescent="0.35">
      <c r="H807" s="125"/>
    </row>
    <row r="808" spans="8:8" ht="15.75" customHeight="1" x14ac:dyDescent="0.35">
      <c r="H808" s="125"/>
    </row>
    <row r="809" spans="8:8" ht="15.75" customHeight="1" x14ac:dyDescent="0.35">
      <c r="H809" s="125"/>
    </row>
    <row r="810" spans="8:8" ht="15.75" customHeight="1" x14ac:dyDescent="0.35">
      <c r="H810" s="125"/>
    </row>
    <row r="811" spans="8:8" ht="15.75" customHeight="1" x14ac:dyDescent="0.35">
      <c r="H811" s="125"/>
    </row>
    <row r="812" spans="8:8" ht="15.75" customHeight="1" x14ac:dyDescent="0.35">
      <c r="H812" s="125"/>
    </row>
    <row r="813" spans="8:8" ht="15.75" customHeight="1" x14ac:dyDescent="0.35">
      <c r="H813" s="125"/>
    </row>
    <row r="814" spans="8:8" ht="15.75" customHeight="1" x14ac:dyDescent="0.35">
      <c r="H814" s="125"/>
    </row>
    <row r="815" spans="8:8" ht="15.75" customHeight="1" x14ac:dyDescent="0.35">
      <c r="H815" s="125"/>
    </row>
    <row r="816" spans="8:8" ht="15.75" customHeight="1" x14ac:dyDescent="0.35">
      <c r="H816" s="125"/>
    </row>
    <row r="817" spans="8:8" ht="15.75" customHeight="1" x14ac:dyDescent="0.35">
      <c r="H817" s="125"/>
    </row>
    <row r="818" spans="8:8" ht="15.75" customHeight="1" x14ac:dyDescent="0.35">
      <c r="H818" s="125"/>
    </row>
    <row r="819" spans="8:8" ht="15.75" customHeight="1" x14ac:dyDescent="0.35">
      <c r="H819" s="125"/>
    </row>
    <row r="820" spans="8:8" ht="15.75" customHeight="1" x14ac:dyDescent="0.35">
      <c r="H820" s="125"/>
    </row>
    <row r="821" spans="8:8" ht="15.75" customHeight="1" x14ac:dyDescent="0.35">
      <c r="H821" s="125"/>
    </row>
    <row r="822" spans="8:8" ht="15.75" customHeight="1" x14ac:dyDescent="0.35">
      <c r="H822" s="125"/>
    </row>
    <row r="823" spans="8:8" ht="15.75" customHeight="1" x14ac:dyDescent="0.35">
      <c r="H823" s="125"/>
    </row>
    <row r="824" spans="8:8" ht="15.75" customHeight="1" x14ac:dyDescent="0.35">
      <c r="H824" s="125"/>
    </row>
    <row r="825" spans="8:8" ht="15.75" customHeight="1" x14ac:dyDescent="0.35">
      <c r="H825" s="125"/>
    </row>
    <row r="826" spans="8:8" ht="15.75" customHeight="1" x14ac:dyDescent="0.35">
      <c r="H826" s="125"/>
    </row>
    <row r="827" spans="8:8" ht="15.75" customHeight="1" x14ac:dyDescent="0.35">
      <c r="H827" s="125"/>
    </row>
    <row r="828" spans="8:8" ht="15.75" customHeight="1" x14ac:dyDescent="0.35">
      <c r="H828" s="125"/>
    </row>
    <row r="829" spans="8:8" ht="15.75" customHeight="1" x14ac:dyDescent="0.35">
      <c r="H829" s="125"/>
    </row>
    <row r="830" spans="8:8" ht="15.75" customHeight="1" x14ac:dyDescent="0.35">
      <c r="H830" s="125"/>
    </row>
    <row r="831" spans="8:8" ht="15.75" customHeight="1" x14ac:dyDescent="0.35">
      <c r="H831" s="125"/>
    </row>
    <row r="832" spans="8:8" ht="15.75" customHeight="1" x14ac:dyDescent="0.35">
      <c r="H832" s="125"/>
    </row>
    <row r="833" spans="8:8" ht="15.75" customHeight="1" x14ac:dyDescent="0.35">
      <c r="H833" s="125"/>
    </row>
    <row r="834" spans="8:8" ht="15.75" customHeight="1" x14ac:dyDescent="0.35">
      <c r="H834" s="125"/>
    </row>
    <row r="835" spans="8:8" ht="15.75" customHeight="1" x14ac:dyDescent="0.35">
      <c r="H835" s="125"/>
    </row>
    <row r="836" spans="8:8" ht="15.75" customHeight="1" x14ac:dyDescent="0.35">
      <c r="H836" s="125"/>
    </row>
    <row r="837" spans="8:8" ht="15.75" customHeight="1" x14ac:dyDescent="0.35">
      <c r="H837" s="125"/>
    </row>
    <row r="838" spans="8:8" ht="15.75" customHeight="1" x14ac:dyDescent="0.35">
      <c r="H838" s="125"/>
    </row>
    <row r="839" spans="8:8" ht="15.75" customHeight="1" x14ac:dyDescent="0.35">
      <c r="H839" s="125"/>
    </row>
    <row r="840" spans="8:8" ht="15.75" customHeight="1" x14ac:dyDescent="0.35">
      <c r="H840" s="125"/>
    </row>
    <row r="841" spans="8:8" ht="15.75" customHeight="1" x14ac:dyDescent="0.35">
      <c r="H841" s="125"/>
    </row>
    <row r="842" spans="8:8" ht="15.75" customHeight="1" x14ac:dyDescent="0.35">
      <c r="H842" s="125"/>
    </row>
    <row r="843" spans="8:8" ht="15.75" customHeight="1" x14ac:dyDescent="0.35">
      <c r="H843" s="125"/>
    </row>
    <row r="844" spans="8:8" ht="15.75" customHeight="1" x14ac:dyDescent="0.35">
      <c r="H844" s="125"/>
    </row>
    <row r="845" spans="8:8" ht="15.75" customHeight="1" x14ac:dyDescent="0.35">
      <c r="H845" s="125"/>
    </row>
    <row r="846" spans="8:8" ht="15.75" customHeight="1" x14ac:dyDescent="0.35">
      <c r="H846" s="125"/>
    </row>
    <row r="847" spans="8:8" ht="15.75" customHeight="1" x14ac:dyDescent="0.35">
      <c r="H847" s="125"/>
    </row>
    <row r="848" spans="8:8" ht="15.75" customHeight="1" x14ac:dyDescent="0.35">
      <c r="H848" s="125"/>
    </row>
    <row r="849" spans="8:8" ht="15.75" customHeight="1" x14ac:dyDescent="0.35">
      <c r="H849" s="125"/>
    </row>
    <row r="850" spans="8:8" ht="15.75" customHeight="1" x14ac:dyDescent="0.35">
      <c r="H850" s="125"/>
    </row>
    <row r="851" spans="8:8" ht="15.75" customHeight="1" x14ac:dyDescent="0.35">
      <c r="H851" s="125"/>
    </row>
    <row r="852" spans="8:8" ht="15.75" customHeight="1" x14ac:dyDescent="0.35">
      <c r="H852" s="125"/>
    </row>
    <row r="853" spans="8:8" ht="15.75" customHeight="1" x14ac:dyDescent="0.35">
      <c r="H853" s="125"/>
    </row>
    <row r="854" spans="8:8" ht="15.75" customHeight="1" x14ac:dyDescent="0.35">
      <c r="H854" s="125"/>
    </row>
    <row r="855" spans="8:8" ht="15.75" customHeight="1" x14ac:dyDescent="0.35">
      <c r="H855" s="125"/>
    </row>
    <row r="856" spans="8:8" ht="15.75" customHeight="1" x14ac:dyDescent="0.35">
      <c r="H856" s="125"/>
    </row>
    <row r="857" spans="8:8" ht="15.75" customHeight="1" x14ac:dyDescent="0.35">
      <c r="H857" s="125"/>
    </row>
    <row r="858" spans="8:8" ht="15.75" customHeight="1" x14ac:dyDescent="0.35">
      <c r="H858" s="125"/>
    </row>
    <row r="859" spans="8:8" ht="15.75" customHeight="1" x14ac:dyDescent="0.35">
      <c r="H859" s="125"/>
    </row>
    <row r="860" spans="8:8" ht="15.75" customHeight="1" x14ac:dyDescent="0.35">
      <c r="H860" s="125"/>
    </row>
    <row r="861" spans="8:8" ht="15.75" customHeight="1" x14ac:dyDescent="0.35">
      <c r="H861" s="125"/>
    </row>
    <row r="862" spans="8:8" ht="15.75" customHeight="1" x14ac:dyDescent="0.35">
      <c r="H862" s="125"/>
    </row>
    <row r="863" spans="8:8" ht="15.75" customHeight="1" x14ac:dyDescent="0.35">
      <c r="H863" s="125"/>
    </row>
    <row r="864" spans="8:8" ht="15.75" customHeight="1" x14ac:dyDescent="0.35">
      <c r="H864" s="125"/>
    </row>
    <row r="865" spans="8:8" ht="15.75" customHeight="1" x14ac:dyDescent="0.35">
      <c r="H865" s="125"/>
    </row>
    <row r="866" spans="8:8" ht="15.75" customHeight="1" x14ac:dyDescent="0.35">
      <c r="H866" s="125"/>
    </row>
    <row r="867" spans="8:8" ht="15.75" customHeight="1" x14ac:dyDescent="0.35">
      <c r="H867" s="125"/>
    </row>
    <row r="868" spans="8:8" ht="15.75" customHeight="1" x14ac:dyDescent="0.35">
      <c r="H868" s="125"/>
    </row>
    <row r="869" spans="8:8" ht="15.75" customHeight="1" x14ac:dyDescent="0.35">
      <c r="H869" s="125"/>
    </row>
    <row r="870" spans="8:8" ht="15.75" customHeight="1" x14ac:dyDescent="0.35">
      <c r="H870" s="125"/>
    </row>
    <row r="871" spans="8:8" ht="15.75" customHeight="1" x14ac:dyDescent="0.35">
      <c r="H871" s="125"/>
    </row>
    <row r="872" spans="8:8" ht="15.75" customHeight="1" x14ac:dyDescent="0.35">
      <c r="H872" s="125"/>
    </row>
    <row r="873" spans="8:8" ht="15.75" customHeight="1" x14ac:dyDescent="0.35">
      <c r="H873" s="125"/>
    </row>
    <row r="874" spans="8:8" ht="15.75" customHeight="1" x14ac:dyDescent="0.35">
      <c r="H874" s="125"/>
    </row>
    <row r="875" spans="8:8" ht="15.75" customHeight="1" x14ac:dyDescent="0.35">
      <c r="H875" s="125"/>
    </row>
    <row r="876" spans="8:8" ht="15.75" customHeight="1" x14ac:dyDescent="0.35">
      <c r="H876" s="125"/>
    </row>
    <row r="877" spans="8:8" ht="15.75" customHeight="1" x14ac:dyDescent="0.35">
      <c r="H877" s="125"/>
    </row>
    <row r="878" spans="8:8" ht="15.75" customHeight="1" x14ac:dyDescent="0.35">
      <c r="H878" s="125"/>
    </row>
    <row r="879" spans="8:8" ht="15.75" customHeight="1" x14ac:dyDescent="0.35">
      <c r="H879" s="125"/>
    </row>
    <row r="880" spans="8:8" ht="15.75" customHeight="1" x14ac:dyDescent="0.35">
      <c r="H880" s="125"/>
    </row>
    <row r="881" spans="8:8" ht="15.75" customHeight="1" x14ac:dyDescent="0.35">
      <c r="H881" s="125"/>
    </row>
    <row r="882" spans="8:8" ht="15.75" customHeight="1" x14ac:dyDescent="0.35">
      <c r="H882" s="125"/>
    </row>
    <row r="883" spans="8:8" ht="15.75" customHeight="1" x14ac:dyDescent="0.35">
      <c r="H883" s="125"/>
    </row>
    <row r="884" spans="8:8" ht="15.75" customHeight="1" x14ac:dyDescent="0.35">
      <c r="H884" s="125"/>
    </row>
    <row r="885" spans="8:8" ht="15.75" customHeight="1" x14ac:dyDescent="0.35">
      <c r="H885" s="125"/>
    </row>
    <row r="886" spans="8:8" ht="15.75" customHeight="1" x14ac:dyDescent="0.35">
      <c r="H886" s="125"/>
    </row>
    <row r="887" spans="8:8" ht="15.75" customHeight="1" x14ac:dyDescent="0.35">
      <c r="H887" s="125"/>
    </row>
    <row r="888" spans="8:8" ht="15.75" customHeight="1" x14ac:dyDescent="0.35">
      <c r="H888" s="125"/>
    </row>
    <row r="889" spans="8:8" ht="15.75" customHeight="1" x14ac:dyDescent="0.35">
      <c r="H889" s="125"/>
    </row>
    <row r="890" spans="8:8" ht="15.75" customHeight="1" x14ac:dyDescent="0.35">
      <c r="H890" s="125"/>
    </row>
    <row r="891" spans="8:8" ht="15.75" customHeight="1" x14ac:dyDescent="0.35">
      <c r="H891" s="125"/>
    </row>
    <row r="892" spans="8:8" ht="15.75" customHeight="1" x14ac:dyDescent="0.35">
      <c r="H892" s="125"/>
    </row>
    <row r="893" spans="8:8" ht="15.75" customHeight="1" x14ac:dyDescent="0.35">
      <c r="H893" s="125"/>
    </row>
    <row r="894" spans="8:8" ht="15.75" customHeight="1" x14ac:dyDescent="0.35">
      <c r="H894" s="125"/>
    </row>
    <row r="895" spans="8:8" ht="15.75" customHeight="1" x14ac:dyDescent="0.35">
      <c r="H895" s="125"/>
    </row>
    <row r="896" spans="8:8" ht="15.75" customHeight="1" x14ac:dyDescent="0.35">
      <c r="H896" s="125"/>
    </row>
    <row r="897" spans="8:8" ht="15.75" customHeight="1" x14ac:dyDescent="0.35">
      <c r="H897" s="125"/>
    </row>
    <row r="898" spans="8:8" ht="15.75" customHeight="1" x14ac:dyDescent="0.35">
      <c r="H898" s="125"/>
    </row>
    <row r="899" spans="8:8" ht="15.75" customHeight="1" x14ac:dyDescent="0.35">
      <c r="H899" s="125"/>
    </row>
    <row r="900" spans="8:8" ht="15.75" customHeight="1" x14ac:dyDescent="0.35">
      <c r="H900" s="125"/>
    </row>
    <row r="901" spans="8:8" ht="15.75" customHeight="1" x14ac:dyDescent="0.35">
      <c r="H901" s="125"/>
    </row>
    <row r="902" spans="8:8" ht="15.75" customHeight="1" x14ac:dyDescent="0.35">
      <c r="H902" s="125"/>
    </row>
    <row r="903" spans="8:8" ht="15.75" customHeight="1" x14ac:dyDescent="0.35">
      <c r="H903" s="125"/>
    </row>
    <row r="904" spans="8:8" ht="15.75" customHeight="1" x14ac:dyDescent="0.35">
      <c r="H904" s="125"/>
    </row>
    <row r="905" spans="8:8" ht="15.75" customHeight="1" x14ac:dyDescent="0.35">
      <c r="H905" s="125"/>
    </row>
    <row r="906" spans="8:8" ht="15.75" customHeight="1" x14ac:dyDescent="0.35">
      <c r="H906" s="125"/>
    </row>
    <row r="907" spans="8:8" ht="15.75" customHeight="1" x14ac:dyDescent="0.35">
      <c r="H907" s="125"/>
    </row>
    <row r="908" spans="8:8" ht="15.75" customHeight="1" x14ac:dyDescent="0.35">
      <c r="H908" s="125"/>
    </row>
    <row r="909" spans="8:8" ht="15.75" customHeight="1" x14ac:dyDescent="0.35">
      <c r="H909" s="125"/>
    </row>
    <row r="910" spans="8:8" ht="15.75" customHeight="1" x14ac:dyDescent="0.35">
      <c r="H910" s="125"/>
    </row>
    <row r="911" spans="8:8" ht="15.75" customHeight="1" x14ac:dyDescent="0.35">
      <c r="H911" s="125"/>
    </row>
    <row r="912" spans="8:8" ht="15.75" customHeight="1" x14ac:dyDescent="0.35">
      <c r="H912" s="125"/>
    </row>
    <row r="913" spans="8:8" ht="15.75" customHeight="1" x14ac:dyDescent="0.35">
      <c r="H913" s="125"/>
    </row>
    <row r="914" spans="8:8" ht="15.75" customHeight="1" x14ac:dyDescent="0.35">
      <c r="H914" s="125"/>
    </row>
    <row r="915" spans="8:8" ht="15.75" customHeight="1" x14ac:dyDescent="0.35">
      <c r="H915" s="125"/>
    </row>
    <row r="916" spans="8:8" ht="15.75" customHeight="1" x14ac:dyDescent="0.35">
      <c r="H916" s="125"/>
    </row>
    <row r="917" spans="8:8" ht="15.75" customHeight="1" x14ac:dyDescent="0.35">
      <c r="H917" s="125"/>
    </row>
    <row r="918" spans="8:8" ht="15.75" customHeight="1" x14ac:dyDescent="0.35">
      <c r="H918" s="125"/>
    </row>
    <row r="919" spans="8:8" ht="15.75" customHeight="1" x14ac:dyDescent="0.35">
      <c r="H919" s="125"/>
    </row>
    <row r="920" spans="8:8" ht="15.75" customHeight="1" x14ac:dyDescent="0.35">
      <c r="H920" s="125"/>
    </row>
    <row r="921" spans="8:8" ht="15.75" customHeight="1" x14ac:dyDescent="0.35">
      <c r="H921" s="125"/>
    </row>
    <row r="922" spans="8:8" ht="15.75" customHeight="1" x14ac:dyDescent="0.35">
      <c r="H922" s="125"/>
    </row>
    <row r="923" spans="8:8" ht="15.75" customHeight="1" x14ac:dyDescent="0.35">
      <c r="H923" s="125"/>
    </row>
    <row r="924" spans="8:8" ht="15.75" customHeight="1" x14ac:dyDescent="0.35">
      <c r="H924" s="125"/>
    </row>
    <row r="925" spans="8:8" ht="15.75" customHeight="1" x14ac:dyDescent="0.35">
      <c r="H925" s="125"/>
    </row>
    <row r="926" spans="8:8" ht="15.75" customHeight="1" x14ac:dyDescent="0.35">
      <c r="H926" s="125"/>
    </row>
    <row r="927" spans="8:8" ht="15.75" customHeight="1" x14ac:dyDescent="0.35">
      <c r="H927" s="125"/>
    </row>
    <row r="928" spans="8:8" ht="15.75" customHeight="1" x14ac:dyDescent="0.35">
      <c r="H928" s="125"/>
    </row>
    <row r="929" spans="8:8" ht="15.75" customHeight="1" x14ac:dyDescent="0.35">
      <c r="H929" s="125"/>
    </row>
    <row r="930" spans="8:8" ht="15.75" customHeight="1" x14ac:dyDescent="0.35">
      <c r="H930" s="125"/>
    </row>
    <row r="931" spans="8:8" ht="15.75" customHeight="1" x14ac:dyDescent="0.35">
      <c r="H931" s="125"/>
    </row>
    <row r="932" spans="8:8" ht="15.75" customHeight="1" x14ac:dyDescent="0.35">
      <c r="H932" s="125"/>
    </row>
    <row r="933" spans="8:8" ht="15.75" customHeight="1" x14ac:dyDescent="0.35">
      <c r="H933" s="125"/>
    </row>
    <row r="934" spans="8:8" ht="15.75" customHeight="1" x14ac:dyDescent="0.35">
      <c r="H934" s="125"/>
    </row>
    <row r="935" spans="8:8" ht="15.75" customHeight="1" x14ac:dyDescent="0.35">
      <c r="H935" s="125"/>
    </row>
    <row r="936" spans="8:8" ht="15.75" customHeight="1" x14ac:dyDescent="0.35">
      <c r="H936" s="125"/>
    </row>
    <row r="937" spans="8:8" ht="15.75" customHeight="1" x14ac:dyDescent="0.35">
      <c r="H937" s="125"/>
    </row>
    <row r="938" spans="8:8" ht="15.75" customHeight="1" x14ac:dyDescent="0.35">
      <c r="H938" s="125"/>
    </row>
    <row r="939" spans="8:8" ht="15.75" customHeight="1" x14ac:dyDescent="0.35">
      <c r="H939" s="125"/>
    </row>
    <row r="940" spans="8:8" ht="15.75" customHeight="1" x14ac:dyDescent="0.35">
      <c r="H940" s="125"/>
    </row>
    <row r="941" spans="8:8" ht="15.75" customHeight="1" x14ac:dyDescent="0.35">
      <c r="H941" s="125"/>
    </row>
    <row r="942" spans="8:8" ht="15.75" customHeight="1" x14ac:dyDescent="0.35">
      <c r="H942" s="125"/>
    </row>
    <row r="943" spans="8:8" ht="15.75" customHeight="1" x14ac:dyDescent="0.35">
      <c r="H943" s="125"/>
    </row>
    <row r="944" spans="8:8" ht="15.75" customHeight="1" x14ac:dyDescent="0.35">
      <c r="H944" s="125"/>
    </row>
    <row r="945" spans="8:8" ht="15.75" customHeight="1" x14ac:dyDescent="0.35">
      <c r="H945" s="125"/>
    </row>
    <row r="946" spans="8:8" ht="15.75" customHeight="1" x14ac:dyDescent="0.35">
      <c r="H946" s="125"/>
    </row>
    <row r="947" spans="8:8" ht="15.75" customHeight="1" x14ac:dyDescent="0.35">
      <c r="H947" s="125"/>
    </row>
    <row r="948" spans="8:8" ht="15.75" customHeight="1" x14ac:dyDescent="0.35">
      <c r="H948" s="125"/>
    </row>
    <row r="949" spans="8:8" ht="15.75" customHeight="1" x14ac:dyDescent="0.35">
      <c r="H949" s="125"/>
    </row>
    <row r="950" spans="8:8" ht="15.75" customHeight="1" x14ac:dyDescent="0.35">
      <c r="H950" s="125"/>
    </row>
    <row r="951" spans="8:8" ht="15.75" customHeight="1" x14ac:dyDescent="0.35">
      <c r="H951" s="125"/>
    </row>
    <row r="952" spans="8:8" ht="15.75" customHeight="1" x14ac:dyDescent="0.35">
      <c r="H952" s="125"/>
    </row>
    <row r="953" spans="8:8" ht="15.75" customHeight="1" x14ac:dyDescent="0.35">
      <c r="H953" s="125"/>
    </row>
    <row r="954" spans="8:8" ht="15.75" customHeight="1" x14ac:dyDescent="0.35">
      <c r="H954" s="125"/>
    </row>
    <row r="955" spans="8:8" ht="15.75" customHeight="1" x14ac:dyDescent="0.35">
      <c r="H955" s="125"/>
    </row>
    <row r="956" spans="8:8" ht="15.75" customHeight="1" x14ac:dyDescent="0.35">
      <c r="H956" s="125"/>
    </row>
    <row r="957" spans="8:8" ht="15.75" customHeight="1" x14ac:dyDescent="0.35">
      <c r="H957" s="125"/>
    </row>
    <row r="958" spans="8:8" ht="15.75" customHeight="1" x14ac:dyDescent="0.35">
      <c r="H958" s="125"/>
    </row>
    <row r="959" spans="8:8" ht="15.75" customHeight="1" x14ac:dyDescent="0.35">
      <c r="H959" s="125"/>
    </row>
    <row r="960" spans="8:8" ht="15.75" customHeight="1" x14ac:dyDescent="0.35">
      <c r="H960" s="125"/>
    </row>
    <row r="961" spans="8:8" ht="15.75" customHeight="1" x14ac:dyDescent="0.35">
      <c r="H961" s="125"/>
    </row>
    <row r="962" spans="8:8" ht="15.75" customHeight="1" x14ac:dyDescent="0.35">
      <c r="H962" s="125"/>
    </row>
    <row r="963" spans="8:8" ht="15.75" customHeight="1" x14ac:dyDescent="0.35">
      <c r="H963" s="125"/>
    </row>
    <row r="964" spans="8:8" ht="15.75" customHeight="1" x14ac:dyDescent="0.35">
      <c r="H964" s="125"/>
    </row>
    <row r="965" spans="8:8" ht="15.75" customHeight="1" x14ac:dyDescent="0.35">
      <c r="H965" s="125"/>
    </row>
    <row r="966" spans="8:8" ht="15.75" customHeight="1" x14ac:dyDescent="0.35">
      <c r="H966" s="125"/>
    </row>
    <row r="967" spans="8:8" ht="15.75" customHeight="1" x14ac:dyDescent="0.35">
      <c r="H967" s="125"/>
    </row>
    <row r="968" spans="8:8" ht="15.75" customHeight="1" x14ac:dyDescent="0.35">
      <c r="H968" s="125"/>
    </row>
    <row r="969" spans="8:8" ht="15.75" customHeight="1" x14ac:dyDescent="0.35">
      <c r="H969" s="125"/>
    </row>
    <row r="970" spans="8:8" ht="15.75" customHeight="1" x14ac:dyDescent="0.35">
      <c r="H970" s="125"/>
    </row>
    <row r="971" spans="8:8" ht="15.75" customHeight="1" x14ac:dyDescent="0.35">
      <c r="H971" s="125"/>
    </row>
    <row r="972" spans="8:8" ht="15.75" customHeight="1" x14ac:dyDescent="0.35">
      <c r="H972" s="125"/>
    </row>
    <row r="973" spans="8:8" ht="15.75" customHeight="1" x14ac:dyDescent="0.35">
      <c r="H973" s="125"/>
    </row>
    <row r="974" spans="8:8" ht="15.75" customHeight="1" x14ac:dyDescent="0.35">
      <c r="H974" s="125"/>
    </row>
    <row r="975" spans="8:8" ht="15.75" customHeight="1" x14ac:dyDescent="0.35">
      <c r="H975" s="125"/>
    </row>
    <row r="976" spans="8:8" ht="15.75" customHeight="1" x14ac:dyDescent="0.35">
      <c r="H976" s="125"/>
    </row>
    <row r="977" spans="8:8" ht="15.75" customHeight="1" x14ac:dyDescent="0.35">
      <c r="H977" s="125"/>
    </row>
    <row r="978" spans="8:8" ht="15.75" customHeight="1" x14ac:dyDescent="0.35">
      <c r="H978" s="125"/>
    </row>
    <row r="979" spans="8:8" ht="15.75" customHeight="1" x14ac:dyDescent="0.35">
      <c r="H979" s="125"/>
    </row>
    <row r="980" spans="8:8" ht="15.75" customHeight="1" x14ac:dyDescent="0.35">
      <c r="H980" s="125"/>
    </row>
    <row r="981" spans="8:8" ht="15.75" customHeight="1" x14ac:dyDescent="0.35">
      <c r="H981" s="125"/>
    </row>
    <row r="982" spans="8:8" ht="15.75" customHeight="1" x14ac:dyDescent="0.35">
      <c r="H982" s="125"/>
    </row>
    <row r="983" spans="8:8" ht="15.75" customHeight="1" x14ac:dyDescent="0.35">
      <c r="H983" s="125"/>
    </row>
    <row r="984" spans="8:8" ht="15.75" customHeight="1" x14ac:dyDescent="0.35">
      <c r="H984" s="125"/>
    </row>
    <row r="985" spans="8:8" ht="15.75" customHeight="1" x14ac:dyDescent="0.35">
      <c r="H985" s="125"/>
    </row>
    <row r="986" spans="8:8" ht="15.75" customHeight="1" x14ac:dyDescent="0.35">
      <c r="H986" s="125"/>
    </row>
    <row r="987" spans="8:8" ht="15.75" customHeight="1" x14ac:dyDescent="0.35">
      <c r="H987" s="125"/>
    </row>
    <row r="988" spans="8:8" ht="15.75" customHeight="1" x14ac:dyDescent="0.35">
      <c r="H988" s="125"/>
    </row>
    <row r="989" spans="8:8" ht="15.75" customHeight="1" x14ac:dyDescent="0.35">
      <c r="H989" s="125"/>
    </row>
    <row r="990" spans="8:8" ht="15.75" customHeight="1" x14ac:dyDescent="0.35">
      <c r="H990" s="125"/>
    </row>
    <row r="991" spans="8:8" ht="15.75" customHeight="1" x14ac:dyDescent="0.35">
      <c r="H991" s="125"/>
    </row>
    <row r="992" spans="8:8" ht="15.75" customHeight="1" x14ac:dyDescent="0.35">
      <c r="H992" s="125"/>
    </row>
    <row r="993" spans="8:8" ht="15.75" customHeight="1" x14ac:dyDescent="0.35">
      <c r="H993" s="125"/>
    </row>
    <row r="994" spans="8:8" ht="15.75" customHeight="1" x14ac:dyDescent="0.35">
      <c r="H994" s="125"/>
    </row>
    <row r="995" spans="8:8" ht="15.75" customHeight="1" x14ac:dyDescent="0.35">
      <c r="H995" s="125"/>
    </row>
    <row r="996" spans="8:8" ht="15.75" customHeight="1" x14ac:dyDescent="0.35">
      <c r="H996" s="125"/>
    </row>
    <row r="997" spans="8:8" ht="15.75" customHeight="1" x14ac:dyDescent="0.35">
      <c r="H997" s="125"/>
    </row>
    <row r="998" spans="8:8" ht="15.75" customHeight="1" x14ac:dyDescent="0.35">
      <c r="H998" s="125"/>
    </row>
    <row r="999" spans="8:8" ht="15.75" customHeight="1" x14ac:dyDescent="0.35">
      <c r="H999" s="125"/>
    </row>
    <row r="1000" spans="8:8" ht="15.75" customHeight="1" x14ac:dyDescent="0.35">
      <c r="H1000" s="125"/>
    </row>
  </sheetData>
  <mergeCells count="6">
    <mergeCell ref="A27:A31"/>
    <mergeCell ref="A2:A6"/>
    <mergeCell ref="A7:A11"/>
    <mergeCell ref="A12:A16"/>
    <mergeCell ref="A17:A21"/>
    <mergeCell ref="A22:A26"/>
  </mergeCell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81"/>
  <sheetViews>
    <sheetView workbookViewId="0">
      <pane ySplit="1" topLeftCell="A2" activePane="bottomLeft" state="frozen"/>
      <selection pane="bottomLeft" activeCell="B3" sqref="B3"/>
    </sheetView>
  </sheetViews>
  <sheetFormatPr defaultColWidth="14.453125" defaultRowHeight="15" customHeight="1" x14ac:dyDescent="0.35"/>
  <cols>
    <col min="1" max="1" width="14.7265625" customWidth="1"/>
    <col min="2" max="2" width="21.54296875" customWidth="1"/>
    <col min="3" max="3" width="12.54296875" customWidth="1"/>
    <col min="4" max="5" width="8.7265625" customWidth="1"/>
    <col min="6" max="6" width="12.81640625" customWidth="1"/>
    <col min="7" max="7" width="13" customWidth="1"/>
    <col min="8" max="12" width="8.7265625" customWidth="1"/>
  </cols>
  <sheetData>
    <row r="1" spans="1:7" ht="46.5" customHeight="1" x14ac:dyDescent="0.35">
      <c r="A1" s="128" t="s">
        <v>0</v>
      </c>
      <c r="B1" s="129" t="s">
        <v>1</v>
      </c>
      <c r="C1" s="128" t="s">
        <v>2</v>
      </c>
      <c r="D1" s="128" t="s">
        <v>35</v>
      </c>
      <c r="E1" s="128" t="s">
        <v>36</v>
      </c>
      <c r="F1" s="128" t="s">
        <v>41</v>
      </c>
      <c r="G1" s="128" t="s">
        <v>42</v>
      </c>
    </row>
    <row r="2" spans="1:7" ht="14.25" customHeight="1" x14ac:dyDescent="0.35">
      <c r="A2" s="130" t="s">
        <v>65</v>
      </c>
      <c r="B2" s="131" t="s">
        <v>50</v>
      </c>
      <c r="C2" s="131">
        <v>41002</v>
      </c>
      <c r="D2" s="131">
        <v>1</v>
      </c>
      <c r="E2" s="131">
        <v>1</v>
      </c>
      <c r="F2" s="131">
        <v>1</v>
      </c>
      <c r="G2" s="131">
        <v>1</v>
      </c>
    </row>
    <row r="3" spans="1:7" ht="14.25" customHeight="1" x14ac:dyDescent="0.35">
      <c r="A3" s="132" t="s">
        <v>231</v>
      </c>
      <c r="B3" s="133" t="s">
        <v>50</v>
      </c>
      <c r="C3" s="133">
        <v>44084</v>
      </c>
      <c r="D3" s="133"/>
      <c r="E3" s="133"/>
      <c r="F3" s="133"/>
      <c r="G3" s="133"/>
    </row>
    <row r="4" spans="1:7" ht="14.25" customHeight="1" x14ac:dyDescent="0.35">
      <c r="A4" s="130" t="s">
        <v>84</v>
      </c>
      <c r="B4" s="131" t="s">
        <v>52</v>
      </c>
      <c r="C4" s="131">
        <v>24001</v>
      </c>
      <c r="D4" s="131"/>
      <c r="E4" s="131"/>
      <c r="F4" s="131"/>
      <c r="G4" s="131"/>
    </row>
    <row r="5" spans="1:7" ht="14.25" customHeight="1" x14ac:dyDescent="0.35">
      <c r="A5" s="132" t="s">
        <v>335</v>
      </c>
      <c r="B5" s="133" t="s">
        <v>48</v>
      </c>
      <c r="C5" s="133">
        <v>11001</v>
      </c>
      <c r="D5" s="133"/>
      <c r="E5" s="133"/>
      <c r="F5" s="133"/>
      <c r="G5" s="133"/>
    </row>
    <row r="6" spans="1:7" ht="14.25" customHeight="1" x14ac:dyDescent="0.35">
      <c r="A6" s="130" t="s">
        <v>306</v>
      </c>
      <c r="B6" s="131" t="s">
        <v>52</v>
      </c>
      <c r="C6" s="131">
        <v>23105</v>
      </c>
      <c r="D6" s="131"/>
      <c r="E6" s="131"/>
      <c r="F6" s="131"/>
      <c r="G6" s="131"/>
    </row>
    <row r="7" spans="1:7" ht="14.25" customHeight="1" x14ac:dyDescent="0.35">
      <c r="A7" s="132" t="s">
        <v>279</v>
      </c>
      <c r="B7" s="133" t="s">
        <v>59</v>
      </c>
      <c r="C7" s="133">
        <v>73001</v>
      </c>
      <c r="D7" s="133"/>
      <c r="E7" s="133"/>
      <c r="F7" s="133"/>
      <c r="G7" s="133"/>
    </row>
    <row r="8" spans="1:7" ht="14.25" customHeight="1" x14ac:dyDescent="0.35">
      <c r="A8" s="130" t="s">
        <v>242</v>
      </c>
      <c r="B8" s="131" t="s">
        <v>55</v>
      </c>
      <c r="C8" s="131">
        <v>38002</v>
      </c>
      <c r="D8" s="131"/>
      <c r="E8" s="131"/>
      <c r="F8" s="131"/>
      <c r="G8" s="131"/>
    </row>
    <row r="9" spans="1:7" ht="14.25" customHeight="1" x14ac:dyDescent="0.35">
      <c r="A9" s="132" t="s">
        <v>48</v>
      </c>
      <c r="B9" s="133" t="s">
        <v>48</v>
      </c>
      <c r="C9" s="133">
        <v>11002</v>
      </c>
      <c r="D9" s="133">
        <v>2</v>
      </c>
      <c r="E9" s="133">
        <v>2</v>
      </c>
      <c r="F9" s="133">
        <v>1</v>
      </c>
      <c r="G9" s="133">
        <v>1</v>
      </c>
    </row>
    <row r="10" spans="1:7" ht="14.25" customHeight="1" x14ac:dyDescent="0.35">
      <c r="A10" s="130" t="s">
        <v>276</v>
      </c>
      <c r="B10" s="131" t="s">
        <v>55</v>
      </c>
      <c r="C10" s="131">
        <v>34002</v>
      </c>
      <c r="D10" s="131"/>
      <c r="E10" s="131"/>
      <c r="F10" s="131"/>
      <c r="G10" s="131"/>
    </row>
    <row r="11" spans="1:7" ht="14.25" customHeight="1" x14ac:dyDescent="0.35">
      <c r="A11" s="132" t="s">
        <v>199</v>
      </c>
      <c r="B11" s="133" t="s">
        <v>55</v>
      </c>
      <c r="C11" s="133">
        <v>37020</v>
      </c>
      <c r="D11" s="133"/>
      <c r="E11" s="133"/>
      <c r="F11" s="133"/>
      <c r="G11" s="133"/>
    </row>
    <row r="12" spans="1:7" ht="14.25" customHeight="1" x14ac:dyDescent="0.35">
      <c r="A12" s="130" t="s">
        <v>304</v>
      </c>
      <c r="B12" s="131" t="s">
        <v>48</v>
      </c>
      <c r="C12" s="131">
        <v>13001</v>
      </c>
      <c r="D12" s="131">
        <v>1</v>
      </c>
      <c r="E12" s="131">
        <v>1</v>
      </c>
      <c r="F12" s="131"/>
      <c r="G12" s="131"/>
    </row>
    <row r="13" spans="1:7" ht="14.25" customHeight="1" x14ac:dyDescent="0.35">
      <c r="A13" s="132" t="s">
        <v>307</v>
      </c>
      <c r="B13" s="133" t="s">
        <v>59</v>
      </c>
      <c r="C13" s="133">
        <v>71002</v>
      </c>
      <c r="D13" s="133"/>
      <c r="E13" s="133"/>
      <c r="F13" s="133"/>
      <c r="G13" s="133"/>
    </row>
    <row r="14" spans="1:7" ht="14.25" customHeight="1" x14ac:dyDescent="0.35">
      <c r="A14" s="130" t="s">
        <v>131</v>
      </c>
      <c r="B14" s="131" t="s">
        <v>52</v>
      </c>
      <c r="C14" s="131">
        <v>23002</v>
      </c>
      <c r="D14" s="131"/>
      <c r="E14" s="131"/>
      <c r="F14" s="131"/>
      <c r="G14" s="131"/>
    </row>
    <row r="15" spans="1:7" ht="14.25" customHeight="1" x14ac:dyDescent="0.35">
      <c r="A15" s="132" t="s">
        <v>177</v>
      </c>
      <c r="B15" s="133" t="s">
        <v>50</v>
      </c>
      <c r="C15" s="133">
        <v>43002</v>
      </c>
      <c r="D15" s="133">
        <v>1</v>
      </c>
      <c r="E15" s="133">
        <v>1</v>
      </c>
      <c r="F15" s="133">
        <v>1</v>
      </c>
      <c r="G15" s="133">
        <v>1</v>
      </c>
    </row>
    <row r="16" spans="1:7" ht="14.25" customHeight="1" x14ac:dyDescent="0.35">
      <c r="A16" s="130" t="s">
        <v>260</v>
      </c>
      <c r="B16" s="131" t="s">
        <v>55</v>
      </c>
      <c r="C16" s="131">
        <v>34003</v>
      </c>
      <c r="D16" s="131"/>
      <c r="E16" s="131"/>
      <c r="F16" s="131"/>
      <c r="G16" s="131"/>
    </row>
    <row r="17" spans="1:7" ht="14.25" customHeight="1" x14ac:dyDescent="0.35">
      <c r="A17" s="132" t="s">
        <v>317</v>
      </c>
      <c r="B17" s="133" t="s">
        <v>48</v>
      </c>
      <c r="C17" s="133">
        <v>13002</v>
      </c>
      <c r="D17" s="133"/>
      <c r="E17" s="133"/>
      <c r="F17" s="133"/>
      <c r="G17" s="133"/>
    </row>
    <row r="18" spans="1:7" ht="14.25" customHeight="1" x14ac:dyDescent="0.35">
      <c r="A18" s="130" t="s">
        <v>125</v>
      </c>
      <c r="B18" s="131" t="s">
        <v>48</v>
      </c>
      <c r="C18" s="131">
        <v>13003</v>
      </c>
      <c r="D18" s="131"/>
      <c r="E18" s="131"/>
      <c r="F18" s="131"/>
      <c r="G18" s="131"/>
    </row>
    <row r="19" spans="1:7" ht="14.25" customHeight="1" x14ac:dyDescent="0.35">
      <c r="A19" s="132" t="s">
        <v>112</v>
      </c>
      <c r="B19" s="133" t="s">
        <v>55</v>
      </c>
      <c r="C19" s="133">
        <v>31003</v>
      </c>
      <c r="D19" s="133"/>
      <c r="E19" s="133"/>
      <c r="F19" s="133"/>
      <c r="G19" s="133"/>
    </row>
    <row r="20" spans="1:7" ht="14.25" customHeight="1" x14ac:dyDescent="0.35">
      <c r="A20" s="130" t="s">
        <v>221</v>
      </c>
      <c r="B20" s="131" t="s">
        <v>48</v>
      </c>
      <c r="C20" s="131">
        <v>13004</v>
      </c>
      <c r="D20" s="131"/>
      <c r="E20" s="131"/>
      <c r="F20" s="131"/>
      <c r="G20" s="131"/>
    </row>
    <row r="21" spans="1:7" ht="14.25" customHeight="1" x14ac:dyDescent="0.35">
      <c r="A21" s="132" t="s">
        <v>128</v>
      </c>
      <c r="B21" s="133" t="s">
        <v>52</v>
      </c>
      <c r="C21" s="133">
        <v>23003</v>
      </c>
      <c r="D21" s="133"/>
      <c r="E21" s="133"/>
      <c r="F21" s="133"/>
      <c r="G21" s="133"/>
    </row>
    <row r="22" spans="1:7" ht="14.25" customHeight="1" x14ac:dyDescent="0.35">
      <c r="A22" s="130" t="s">
        <v>327</v>
      </c>
      <c r="B22" s="131" t="s">
        <v>52</v>
      </c>
      <c r="C22" s="131">
        <v>24007</v>
      </c>
      <c r="D22" s="131"/>
      <c r="E22" s="131"/>
      <c r="F22" s="131"/>
      <c r="G22" s="131"/>
    </row>
    <row r="23" spans="1:7" ht="14.25" customHeight="1" x14ac:dyDescent="0.35">
      <c r="A23" s="132" t="s">
        <v>249</v>
      </c>
      <c r="B23" s="133" t="s">
        <v>52</v>
      </c>
      <c r="C23" s="133">
        <v>24008</v>
      </c>
      <c r="D23" s="133"/>
      <c r="E23" s="133"/>
      <c r="F23" s="133"/>
      <c r="G23" s="133"/>
    </row>
    <row r="24" spans="1:7" ht="14.25" customHeight="1" x14ac:dyDescent="0.35">
      <c r="A24" s="130" t="s">
        <v>235</v>
      </c>
      <c r="B24" s="131" t="s">
        <v>59</v>
      </c>
      <c r="C24" s="131">
        <v>71004</v>
      </c>
      <c r="D24" s="131"/>
      <c r="E24" s="131"/>
      <c r="F24" s="131"/>
      <c r="G24" s="131"/>
    </row>
    <row r="25" spans="1:7" ht="14.25" customHeight="1" x14ac:dyDescent="0.35">
      <c r="A25" s="132" t="s">
        <v>136</v>
      </c>
      <c r="B25" s="133" t="s">
        <v>48</v>
      </c>
      <c r="C25" s="133">
        <v>12002</v>
      </c>
      <c r="D25" s="133"/>
      <c r="E25" s="133"/>
      <c r="F25" s="133"/>
      <c r="G25" s="133"/>
    </row>
    <row r="26" spans="1:7" ht="14.25" customHeight="1" x14ac:dyDescent="0.35">
      <c r="A26" s="130" t="s">
        <v>216</v>
      </c>
      <c r="B26" s="131" t="s">
        <v>50</v>
      </c>
      <c r="C26" s="131">
        <v>42003</v>
      </c>
      <c r="D26" s="131"/>
      <c r="E26" s="131"/>
      <c r="F26" s="131"/>
      <c r="G26" s="131"/>
    </row>
    <row r="27" spans="1:7" ht="14.25" customHeight="1" x14ac:dyDescent="0.35">
      <c r="A27" s="132" t="s">
        <v>259</v>
      </c>
      <c r="B27" s="133" t="s">
        <v>52</v>
      </c>
      <c r="C27" s="133">
        <v>24009</v>
      </c>
      <c r="D27" s="133"/>
      <c r="E27" s="133"/>
      <c r="F27" s="133"/>
      <c r="G27" s="133"/>
    </row>
    <row r="28" spans="1:7" ht="14.25" customHeight="1" x14ac:dyDescent="0.35">
      <c r="A28" s="130" t="s">
        <v>315</v>
      </c>
      <c r="B28" s="131" t="s">
        <v>52</v>
      </c>
      <c r="C28" s="131">
        <v>23009</v>
      </c>
      <c r="D28" s="131"/>
      <c r="E28" s="131"/>
      <c r="F28" s="131"/>
      <c r="G28" s="131"/>
    </row>
    <row r="29" spans="1:7" ht="14.25" customHeight="1" x14ac:dyDescent="0.35">
      <c r="A29" s="132" t="s">
        <v>67</v>
      </c>
      <c r="B29" s="133" t="s">
        <v>50</v>
      </c>
      <c r="C29" s="133">
        <v>46003</v>
      </c>
      <c r="D29" s="133"/>
      <c r="E29" s="133"/>
      <c r="F29" s="133"/>
      <c r="G29" s="133"/>
    </row>
    <row r="30" spans="1:7" ht="14.25" customHeight="1" x14ac:dyDescent="0.35">
      <c r="A30" s="130" t="s">
        <v>109</v>
      </c>
      <c r="B30" s="131" t="s">
        <v>52</v>
      </c>
      <c r="C30" s="131">
        <v>24011</v>
      </c>
      <c r="D30" s="131"/>
      <c r="E30" s="131"/>
      <c r="F30" s="131"/>
      <c r="G30" s="131"/>
    </row>
    <row r="31" spans="1:7" ht="14.25" customHeight="1" x14ac:dyDescent="0.35">
      <c r="A31" s="132" t="s">
        <v>237</v>
      </c>
      <c r="B31" s="133" t="s">
        <v>59</v>
      </c>
      <c r="C31" s="133">
        <v>73006</v>
      </c>
      <c r="D31" s="133"/>
      <c r="E31" s="133"/>
      <c r="F31" s="133"/>
      <c r="G31" s="133"/>
    </row>
    <row r="32" spans="1:7" ht="14.25" customHeight="1" x14ac:dyDescent="0.35">
      <c r="A32" s="130" t="s">
        <v>99</v>
      </c>
      <c r="B32" s="131" t="s">
        <v>55</v>
      </c>
      <c r="C32" s="131">
        <v>31004</v>
      </c>
      <c r="D32" s="131"/>
      <c r="E32" s="131"/>
      <c r="F32" s="131"/>
      <c r="G32" s="131"/>
    </row>
    <row r="33" spans="1:7" ht="14.25" customHeight="1" x14ac:dyDescent="0.35">
      <c r="A33" s="132" t="s">
        <v>329</v>
      </c>
      <c r="B33" s="133" t="s">
        <v>59</v>
      </c>
      <c r="C33" s="133">
        <v>72003</v>
      </c>
      <c r="D33" s="133"/>
      <c r="E33" s="133"/>
      <c r="F33" s="133"/>
      <c r="G33" s="133"/>
    </row>
    <row r="34" spans="1:7" ht="14.25" customHeight="1" x14ac:dyDescent="0.35">
      <c r="A34" s="130" t="s">
        <v>271</v>
      </c>
      <c r="B34" s="131" t="s">
        <v>48</v>
      </c>
      <c r="C34" s="131">
        <v>11004</v>
      </c>
      <c r="D34" s="131"/>
      <c r="E34" s="131"/>
      <c r="F34" s="131"/>
      <c r="G34" s="131"/>
    </row>
    <row r="35" spans="1:7" ht="14.25" customHeight="1" x14ac:dyDescent="0.35">
      <c r="A35" s="132" t="s">
        <v>97</v>
      </c>
      <c r="B35" s="133" t="s">
        <v>48</v>
      </c>
      <c r="C35" s="133">
        <v>12005</v>
      </c>
      <c r="D35" s="133"/>
      <c r="E35" s="133"/>
      <c r="F35" s="133"/>
      <c r="G35" s="133"/>
    </row>
    <row r="36" spans="1:7" ht="14.25" customHeight="1" x14ac:dyDescent="0.35">
      <c r="A36" s="130" t="s">
        <v>224</v>
      </c>
      <c r="B36" s="131" t="s">
        <v>48</v>
      </c>
      <c r="C36" s="131">
        <v>11005</v>
      </c>
      <c r="D36" s="131"/>
      <c r="E36" s="131"/>
      <c r="F36" s="131"/>
      <c r="G36" s="131"/>
    </row>
    <row r="37" spans="1:7" ht="14.25" customHeight="1" x14ac:dyDescent="0.35">
      <c r="A37" s="132" t="s">
        <v>157</v>
      </c>
      <c r="B37" s="133" t="s">
        <v>52</v>
      </c>
      <c r="C37" s="133">
        <v>24014</v>
      </c>
      <c r="D37" s="133"/>
      <c r="E37" s="133"/>
      <c r="F37" s="133"/>
      <c r="G37" s="133"/>
    </row>
    <row r="38" spans="1:7" ht="14.25" customHeight="1" x14ac:dyDescent="0.35">
      <c r="A38" s="130" t="s">
        <v>184</v>
      </c>
      <c r="B38" s="131" t="s">
        <v>48</v>
      </c>
      <c r="C38" s="131">
        <v>12007</v>
      </c>
      <c r="D38" s="131"/>
      <c r="E38" s="131"/>
      <c r="F38" s="131"/>
      <c r="G38" s="131"/>
    </row>
    <row r="39" spans="1:7" ht="14.25" customHeight="1" x14ac:dyDescent="0.35">
      <c r="A39" s="132" t="s">
        <v>170</v>
      </c>
      <c r="B39" s="133" t="s">
        <v>52</v>
      </c>
      <c r="C39" s="133">
        <v>24016</v>
      </c>
      <c r="D39" s="133"/>
      <c r="E39" s="133"/>
      <c r="F39" s="133"/>
      <c r="G39" s="133"/>
    </row>
    <row r="40" spans="1:7" ht="14.25" customHeight="1" x14ac:dyDescent="0.35">
      <c r="A40" s="130" t="s">
        <v>275</v>
      </c>
      <c r="B40" s="131" t="s">
        <v>50</v>
      </c>
      <c r="C40" s="131">
        <v>45059</v>
      </c>
      <c r="D40" s="131"/>
      <c r="E40" s="131"/>
      <c r="F40" s="131"/>
      <c r="G40" s="131"/>
    </row>
    <row r="41" spans="1:7" ht="14.25" customHeight="1" x14ac:dyDescent="0.35">
      <c r="A41" s="132" t="s">
        <v>106</v>
      </c>
      <c r="B41" s="133" t="s">
        <v>48</v>
      </c>
      <c r="C41" s="133">
        <v>11008</v>
      </c>
      <c r="D41" s="133"/>
      <c r="E41" s="133"/>
      <c r="F41" s="133"/>
      <c r="G41" s="133"/>
    </row>
    <row r="42" spans="1:7" ht="14.25" customHeight="1" x14ac:dyDescent="0.35">
      <c r="A42" s="130" t="s">
        <v>294</v>
      </c>
      <c r="B42" s="131" t="s">
        <v>48</v>
      </c>
      <c r="C42" s="131">
        <v>11009</v>
      </c>
      <c r="D42" s="131"/>
      <c r="E42" s="131"/>
      <c r="F42" s="131"/>
      <c r="G42" s="131"/>
    </row>
    <row r="43" spans="1:7" ht="14.25" customHeight="1" x14ac:dyDescent="0.35">
      <c r="A43" s="132" t="s">
        <v>219</v>
      </c>
      <c r="B43" s="133" t="s">
        <v>55</v>
      </c>
      <c r="C43" s="133">
        <v>35002</v>
      </c>
      <c r="D43" s="133"/>
      <c r="E43" s="133"/>
      <c r="F43" s="133"/>
      <c r="G43" s="133"/>
    </row>
    <row r="44" spans="1:7" ht="14.25" customHeight="1" x14ac:dyDescent="0.35">
      <c r="A44" s="130" t="s">
        <v>227</v>
      </c>
      <c r="B44" s="131" t="s">
        <v>59</v>
      </c>
      <c r="C44" s="131">
        <v>72004</v>
      </c>
      <c r="D44" s="131"/>
      <c r="E44" s="131"/>
      <c r="F44" s="131"/>
      <c r="G44" s="131"/>
    </row>
    <row r="45" spans="1:7" ht="14.25" customHeight="1" x14ac:dyDescent="0.35">
      <c r="A45" s="132" t="s">
        <v>54</v>
      </c>
      <c r="B45" s="133" t="s">
        <v>55</v>
      </c>
      <c r="C45" s="133">
        <v>31005</v>
      </c>
      <c r="D45" s="133">
        <v>6</v>
      </c>
      <c r="E45" s="133">
        <v>6</v>
      </c>
      <c r="F45" s="133">
        <v>6</v>
      </c>
      <c r="G45" s="133">
        <v>6</v>
      </c>
    </row>
    <row r="46" spans="1:7" ht="14.25" customHeight="1" x14ac:dyDescent="0.35">
      <c r="A46" s="130" t="s">
        <v>274</v>
      </c>
      <c r="B46" s="131" t="s">
        <v>50</v>
      </c>
      <c r="C46" s="131">
        <v>42004</v>
      </c>
      <c r="D46" s="131"/>
      <c r="E46" s="131"/>
      <c r="F46" s="131"/>
      <c r="G46" s="131"/>
    </row>
    <row r="47" spans="1:7" ht="14.25" customHeight="1" x14ac:dyDescent="0.35">
      <c r="A47" s="132" t="s">
        <v>96</v>
      </c>
      <c r="B47" s="133" t="s">
        <v>55</v>
      </c>
      <c r="C47" s="133">
        <v>31006</v>
      </c>
      <c r="D47" s="133"/>
      <c r="E47" s="133"/>
      <c r="F47" s="133"/>
      <c r="G47" s="133"/>
    </row>
    <row r="48" spans="1:7" ht="14.25" customHeight="1" x14ac:dyDescent="0.35">
      <c r="A48" s="130" t="s">
        <v>268</v>
      </c>
      <c r="B48" s="131" t="s">
        <v>55</v>
      </c>
      <c r="C48" s="131">
        <v>35029</v>
      </c>
      <c r="D48" s="131"/>
      <c r="E48" s="131"/>
      <c r="F48" s="131"/>
      <c r="G48" s="131"/>
    </row>
    <row r="49" spans="1:7" ht="14.25" customHeight="1" x14ac:dyDescent="0.35">
      <c r="A49" s="132" t="s">
        <v>135</v>
      </c>
      <c r="B49" s="133" t="s">
        <v>55</v>
      </c>
      <c r="C49" s="133">
        <v>38008</v>
      </c>
      <c r="D49" s="133"/>
      <c r="E49" s="133"/>
      <c r="F49" s="133"/>
      <c r="G49" s="133"/>
    </row>
    <row r="50" spans="1:7" ht="14.25" customHeight="1" x14ac:dyDescent="0.35">
      <c r="A50" s="130" t="s">
        <v>156</v>
      </c>
      <c r="B50" s="131" t="s">
        <v>55</v>
      </c>
      <c r="C50" s="131">
        <v>34009</v>
      </c>
      <c r="D50" s="131"/>
      <c r="E50" s="131"/>
      <c r="F50" s="131"/>
      <c r="G50" s="131"/>
    </row>
    <row r="51" spans="1:7" ht="14.25" customHeight="1" x14ac:dyDescent="0.35">
      <c r="A51" s="132" t="s">
        <v>62</v>
      </c>
      <c r="B51" s="133" t="s">
        <v>50</v>
      </c>
      <c r="C51" s="133">
        <v>44083</v>
      </c>
      <c r="D51" s="133"/>
      <c r="E51" s="133"/>
      <c r="F51" s="133"/>
      <c r="G51" s="133"/>
    </row>
    <row r="52" spans="1:7" ht="14.25" customHeight="1" x14ac:dyDescent="0.35">
      <c r="A52" s="130" t="s">
        <v>182</v>
      </c>
      <c r="B52" s="131" t="s">
        <v>50</v>
      </c>
      <c r="C52" s="131">
        <v>41011</v>
      </c>
      <c r="D52" s="131"/>
      <c r="E52" s="131"/>
      <c r="F52" s="131"/>
      <c r="G52" s="131"/>
    </row>
    <row r="53" spans="1:7" ht="14.25" customHeight="1" x14ac:dyDescent="0.35">
      <c r="A53" s="132" t="s">
        <v>80</v>
      </c>
      <c r="B53" s="133" t="s">
        <v>50</v>
      </c>
      <c r="C53" s="133">
        <v>42006</v>
      </c>
      <c r="D53" s="133"/>
      <c r="E53" s="133"/>
      <c r="F53" s="133"/>
      <c r="G53" s="133"/>
    </row>
    <row r="54" spans="1:7" ht="14.25" customHeight="1" x14ac:dyDescent="0.35">
      <c r="A54" s="130" t="s">
        <v>168</v>
      </c>
      <c r="B54" s="131" t="s">
        <v>55</v>
      </c>
      <c r="C54" s="131">
        <v>37002</v>
      </c>
      <c r="D54" s="131"/>
      <c r="E54" s="131"/>
      <c r="F54" s="131"/>
      <c r="G54" s="131"/>
    </row>
    <row r="55" spans="1:7" ht="14.25" customHeight="1" x14ac:dyDescent="0.35">
      <c r="A55" s="132" t="s">
        <v>301</v>
      </c>
      <c r="B55" s="133" t="s">
        <v>48</v>
      </c>
      <c r="C55" s="133">
        <v>13006</v>
      </c>
      <c r="D55" s="133"/>
      <c r="E55" s="133"/>
      <c r="F55" s="133"/>
      <c r="G55" s="133"/>
    </row>
    <row r="56" spans="1:7" ht="14.25" customHeight="1" x14ac:dyDescent="0.35">
      <c r="A56" s="130" t="s">
        <v>71</v>
      </c>
      <c r="B56" s="131" t="s">
        <v>50</v>
      </c>
      <c r="C56" s="131">
        <v>44013</v>
      </c>
      <c r="D56" s="131">
        <v>1</v>
      </c>
      <c r="E56" s="131">
        <v>1</v>
      </c>
      <c r="F56" s="131">
        <v>2</v>
      </c>
      <c r="G56" s="131">
        <v>2</v>
      </c>
    </row>
    <row r="57" spans="1:7" ht="14.25" customHeight="1" x14ac:dyDescent="0.35">
      <c r="A57" s="132" t="s">
        <v>309</v>
      </c>
      <c r="B57" s="133" t="s">
        <v>59</v>
      </c>
      <c r="C57" s="133">
        <v>71011</v>
      </c>
      <c r="D57" s="133"/>
      <c r="E57" s="133"/>
      <c r="F57" s="133"/>
      <c r="G57" s="133"/>
    </row>
    <row r="58" spans="1:7" ht="14.25" customHeight="1" x14ac:dyDescent="0.35">
      <c r="A58" s="130" t="s">
        <v>88</v>
      </c>
      <c r="B58" s="131" t="s">
        <v>52</v>
      </c>
      <c r="C58" s="131">
        <v>24020</v>
      </c>
      <c r="D58" s="131"/>
      <c r="E58" s="131"/>
      <c r="F58" s="131"/>
      <c r="G58" s="131"/>
    </row>
    <row r="59" spans="1:7" ht="14.25" customHeight="1" x14ac:dyDescent="0.35">
      <c r="A59" s="132" t="s">
        <v>280</v>
      </c>
      <c r="B59" s="133" t="s">
        <v>55</v>
      </c>
      <c r="C59" s="133">
        <v>32003</v>
      </c>
      <c r="D59" s="133"/>
      <c r="E59" s="133"/>
      <c r="F59" s="133"/>
      <c r="G59" s="133"/>
    </row>
    <row r="60" spans="1:7" ht="14.25" customHeight="1" x14ac:dyDescent="0.35">
      <c r="A60" s="130" t="s">
        <v>85</v>
      </c>
      <c r="B60" s="131" t="s">
        <v>52</v>
      </c>
      <c r="C60" s="131">
        <v>23016</v>
      </c>
      <c r="D60" s="131"/>
      <c r="E60" s="131"/>
      <c r="F60" s="131"/>
      <c r="G60" s="131"/>
    </row>
    <row r="61" spans="1:7" ht="14.25" customHeight="1" x14ac:dyDescent="0.35">
      <c r="A61" s="132" t="s">
        <v>333</v>
      </c>
      <c r="B61" s="133" t="s">
        <v>59</v>
      </c>
      <c r="C61" s="133">
        <v>72041</v>
      </c>
      <c r="D61" s="133"/>
      <c r="E61" s="133"/>
      <c r="F61" s="133"/>
      <c r="G61" s="133"/>
    </row>
    <row r="62" spans="1:7" ht="14.25" customHeight="1" x14ac:dyDescent="0.35">
      <c r="A62" s="130" t="s">
        <v>298</v>
      </c>
      <c r="B62" s="131" t="s">
        <v>52</v>
      </c>
      <c r="C62" s="131">
        <v>23098</v>
      </c>
      <c r="D62" s="131"/>
      <c r="E62" s="131"/>
      <c r="F62" s="131"/>
      <c r="G62" s="131"/>
    </row>
    <row r="63" spans="1:7" ht="14.25" customHeight="1" x14ac:dyDescent="0.35">
      <c r="A63" s="132" t="s">
        <v>140</v>
      </c>
      <c r="B63" s="133" t="s">
        <v>48</v>
      </c>
      <c r="C63" s="133">
        <v>12009</v>
      </c>
      <c r="D63" s="133"/>
      <c r="E63" s="133"/>
      <c r="F63" s="133"/>
      <c r="G63" s="133"/>
    </row>
    <row r="64" spans="1:7" ht="14.25" customHeight="1" x14ac:dyDescent="0.35">
      <c r="A64" s="130" t="s">
        <v>123</v>
      </c>
      <c r="B64" s="131" t="s">
        <v>48</v>
      </c>
      <c r="C64" s="131">
        <v>11013</v>
      </c>
      <c r="D64" s="131"/>
      <c r="E64" s="131"/>
      <c r="F64" s="131"/>
      <c r="G64" s="131"/>
    </row>
    <row r="65" spans="1:7" ht="14.25" customHeight="1" x14ac:dyDescent="0.35">
      <c r="A65" s="132" t="s">
        <v>118</v>
      </c>
      <c r="B65" s="133" t="s">
        <v>50</v>
      </c>
      <c r="C65" s="133">
        <v>43005</v>
      </c>
      <c r="D65" s="133">
        <v>1</v>
      </c>
      <c r="E65" s="133">
        <v>1</v>
      </c>
      <c r="F65" s="133">
        <v>1</v>
      </c>
      <c r="G65" s="133">
        <v>1</v>
      </c>
    </row>
    <row r="66" spans="1:7" ht="14.25" customHeight="1" x14ac:dyDescent="0.35">
      <c r="A66" s="130" t="s">
        <v>116</v>
      </c>
      <c r="B66" s="131" t="s">
        <v>50</v>
      </c>
      <c r="C66" s="131">
        <v>41082</v>
      </c>
      <c r="D66" s="131"/>
      <c r="E66" s="131"/>
      <c r="F66" s="131"/>
      <c r="G66" s="131"/>
    </row>
    <row r="67" spans="1:7" ht="14.25" customHeight="1" x14ac:dyDescent="0.35">
      <c r="A67" s="132" t="s">
        <v>180</v>
      </c>
      <c r="B67" s="133" t="s">
        <v>48</v>
      </c>
      <c r="C67" s="133">
        <v>11016</v>
      </c>
      <c r="D67" s="133"/>
      <c r="E67" s="133"/>
      <c r="F67" s="133"/>
      <c r="G67" s="133"/>
    </row>
    <row r="68" spans="1:7" ht="14.25" customHeight="1" x14ac:dyDescent="0.35">
      <c r="A68" s="130" t="s">
        <v>90</v>
      </c>
      <c r="B68" s="131" t="s">
        <v>50</v>
      </c>
      <c r="C68" s="131">
        <v>44019</v>
      </c>
      <c r="D68" s="131">
        <v>2</v>
      </c>
      <c r="E68" s="131">
        <v>2</v>
      </c>
      <c r="F68" s="131">
        <v>2</v>
      </c>
      <c r="G68" s="131">
        <v>2</v>
      </c>
    </row>
    <row r="69" spans="1:7" ht="14.25" customHeight="1" x14ac:dyDescent="0.35">
      <c r="A69" s="132" t="s">
        <v>209</v>
      </c>
      <c r="B69" s="133" t="s">
        <v>50</v>
      </c>
      <c r="C69" s="133">
        <v>44020</v>
      </c>
      <c r="D69" s="133"/>
      <c r="E69" s="133"/>
      <c r="F69" s="133"/>
      <c r="G69" s="133"/>
    </row>
    <row r="70" spans="1:7" ht="14.25" customHeight="1" x14ac:dyDescent="0.35">
      <c r="A70" s="130" t="s">
        <v>91</v>
      </c>
      <c r="B70" s="131" t="s">
        <v>48</v>
      </c>
      <c r="C70" s="131">
        <v>13008</v>
      </c>
      <c r="D70" s="131"/>
      <c r="E70" s="131"/>
      <c r="F70" s="131"/>
      <c r="G70" s="131"/>
    </row>
    <row r="71" spans="1:7" ht="14.25" customHeight="1" x14ac:dyDescent="0.35">
      <c r="A71" s="132" t="s">
        <v>245</v>
      </c>
      <c r="B71" s="133" t="s">
        <v>52</v>
      </c>
      <c r="C71" s="133">
        <v>24028</v>
      </c>
      <c r="D71" s="133"/>
      <c r="E71" s="133"/>
      <c r="F71" s="133"/>
      <c r="G71" s="133"/>
    </row>
    <row r="72" spans="1:7" ht="14.25" customHeight="1" x14ac:dyDescent="0.35">
      <c r="A72" s="130" t="s">
        <v>95</v>
      </c>
      <c r="B72" s="131" t="s">
        <v>59</v>
      </c>
      <c r="C72" s="131">
        <v>71016</v>
      </c>
      <c r="D72" s="131"/>
      <c r="E72" s="131"/>
      <c r="F72" s="131"/>
      <c r="G72" s="131"/>
    </row>
    <row r="73" spans="1:7" ht="14.25" customHeight="1" x14ac:dyDescent="0.35">
      <c r="A73" s="132" t="s">
        <v>49</v>
      </c>
      <c r="B73" s="133" t="s">
        <v>50</v>
      </c>
      <c r="C73" s="133">
        <v>44021</v>
      </c>
      <c r="D73" s="133">
        <v>178</v>
      </c>
      <c r="E73" s="133">
        <v>178</v>
      </c>
      <c r="F73" s="133">
        <v>177</v>
      </c>
      <c r="G73" s="133">
        <v>177</v>
      </c>
    </row>
    <row r="74" spans="1:7" ht="14.25" customHeight="1" x14ac:dyDescent="0.35">
      <c r="A74" s="130" t="s">
        <v>144</v>
      </c>
      <c r="B74" s="131" t="s">
        <v>50</v>
      </c>
      <c r="C74" s="131">
        <v>41018</v>
      </c>
      <c r="D74" s="131"/>
      <c r="E74" s="131"/>
      <c r="F74" s="131"/>
      <c r="G74" s="131"/>
    </row>
    <row r="75" spans="1:7" ht="14.25" customHeight="1" x14ac:dyDescent="0.35">
      <c r="A75" s="132" t="s">
        <v>323</v>
      </c>
      <c r="B75" s="133" t="s">
        <v>59</v>
      </c>
      <c r="C75" s="133">
        <v>71017</v>
      </c>
      <c r="D75" s="133"/>
      <c r="E75" s="133"/>
      <c r="F75" s="133"/>
      <c r="G75" s="133"/>
    </row>
    <row r="76" spans="1:7" ht="14.25" customHeight="1" x14ac:dyDescent="0.35">
      <c r="A76" s="130" t="s">
        <v>206</v>
      </c>
      <c r="B76" s="131" t="s">
        <v>55</v>
      </c>
      <c r="C76" s="131">
        <v>35005</v>
      </c>
      <c r="D76" s="131"/>
      <c r="E76" s="131"/>
      <c r="F76" s="131"/>
      <c r="G76" s="131"/>
    </row>
    <row r="77" spans="1:7" ht="14.25" customHeight="1" x14ac:dyDescent="0.35">
      <c r="A77" s="132" t="s">
        <v>243</v>
      </c>
      <c r="B77" s="133" t="s">
        <v>52</v>
      </c>
      <c r="C77" s="133">
        <v>24137</v>
      </c>
      <c r="D77" s="133"/>
      <c r="E77" s="133"/>
      <c r="F77" s="133"/>
      <c r="G77" s="133"/>
    </row>
    <row r="78" spans="1:7" ht="14.25" customHeight="1" x14ac:dyDescent="0.35">
      <c r="A78" s="130" t="s">
        <v>107</v>
      </c>
      <c r="B78" s="131" t="s">
        <v>52</v>
      </c>
      <c r="C78" s="131">
        <v>23025</v>
      </c>
      <c r="D78" s="131"/>
      <c r="E78" s="131"/>
      <c r="F78" s="131"/>
      <c r="G78" s="131"/>
    </row>
    <row r="79" spans="1:7" ht="14.25" customHeight="1" x14ac:dyDescent="0.35">
      <c r="A79" s="132" t="s">
        <v>303</v>
      </c>
      <c r="B79" s="133" t="s">
        <v>48</v>
      </c>
      <c r="C79" s="133">
        <v>13010</v>
      </c>
      <c r="D79" s="133"/>
      <c r="E79" s="133"/>
      <c r="F79" s="133"/>
      <c r="G79" s="133"/>
    </row>
    <row r="80" spans="1:7" ht="14.25" customHeight="1" x14ac:dyDescent="0.35">
      <c r="A80" s="130" t="s">
        <v>92</v>
      </c>
      <c r="B80" s="131" t="s">
        <v>52</v>
      </c>
      <c r="C80" s="131">
        <v>24033</v>
      </c>
      <c r="D80" s="131"/>
      <c r="E80" s="131"/>
      <c r="F80" s="131"/>
      <c r="G80" s="131"/>
    </row>
    <row r="81" spans="1:7" ht="14.25" customHeight="1" x14ac:dyDescent="0.35">
      <c r="A81" s="132" t="s">
        <v>223</v>
      </c>
      <c r="B81" s="133" t="s">
        <v>50</v>
      </c>
      <c r="C81" s="133">
        <v>41024</v>
      </c>
      <c r="D81" s="133"/>
      <c r="E81" s="133"/>
      <c r="F81" s="133"/>
      <c r="G81" s="133"/>
    </row>
    <row r="82" spans="1:7" ht="14.25" customHeight="1" x14ac:dyDescent="0.35">
      <c r="A82" s="130" t="s">
        <v>324</v>
      </c>
      <c r="B82" s="131" t="s">
        <v>59</v>
      </c>
      <c r="C82" s="131">
        <v>71020</v>
      </c>
      <c r="D82" s="131"/>
      <c r="E82" s="131"/>
      <c r="F82" s="131"/>
      <c r="G82" s="131"/>
    </row>
    <row r="83" spans="1:7" ht="14.25" customHeight="1" x14ac:dyDescent="0.35">
      <c r="A83" s="132" t="s">
        <v>70</v>
      </c>
      <c r="B83" s="133" t="s">
        <v>52</v>
      </c>
      <c r="C83" s="133">
        <v>23027</v>
      </c>
      <c r="D83" s="133"/>
      <c r="E83" s="133"/>
      <c r="F83" s="133"/>
      <c r="G83" s="133"/>
    </row>
    <row r="84" spans="1:7" ht="14.25" customHeight="1" x14ac:dyDescent="0.35">
      <c r="A84" s="130" t="s">
        <v>127</v>
      </c>
      <c r="B84" s="131" t="s">
        <v>50</v>
      </c>
      <c r="C84" s="131">
        <v>42008</v>
      </c>
      <c r="D84" s="131"/>
      <c r="E84" s="131"/>
      <c r="F84" s="131"/>
      <c r="G84" s="131"/>
    </row>
    <row r="85" spans="1:7" ht="14.25" customHeight="1" x14ac:dyDescent="0.35">
      <c r="A85" s="132" t="s">
        <v>331</v>
      </c>
      <c r="B85" s="133" t="s">
        <v>59</v>
      </c>
      <c r="C85" s="133">
        <v>72037</v>
      </c>
      <c r="D85" s="133"/>
      <c r="E85" s="133"/>
      <c r="F85" s="133"/>
      <c r="G85" s="133"/>
    </row>
    <row r="86" spans="1:7" ht="14.25" customHeight="1" x14ac:dyDescent="0.35">
      <c r="A86" s="130" t="s">
        <v>73</v>
      </c>
      <c r="B86" s="131" t="s">
        <v>55</v>
      </c>
      <c r="C86" s="131">
        <v>34013</v>
      </c>
      <c r="D86" s="131"/>
      <c r="E86" s="131"/>
      <c r="F86" s="131"/>
      <c r="G86" s="131"/>
    </row>
    <row r="87" spans="1:7" ht="14.25" customHeight="1" x14ac:dyDescent="0.35">
      <c r="A87" s="132" t="s">
        <v>58</v>
      </c>
      <c r="B87" s="133" t="s">
        <v>59</v>
      </c>
      <c r="C87" s="133">
        <v>71022</v>
      </c>
      <c r="D87" s="133"/>
      <c r="E87" s="133"/>
      <c r="F87" s="133"/>
      <c r="G87" s="133"/>
    </row>
    <row r="88" spans="1:7" ht="14.25" customHeight="1" x14ac:dyDescent="0.35">
      <c r="A88" s="130" t="s">
        <v>265</v>
      </c>
      <c r="B88" s="131" t="s">
        <v>59</v>
      </c>
      <c r="C88" s="131">
        <v>72038</v>
      </c>
      <c r="D88" s="131"/>
      <c r="E88" s="131"/>
      <c r="F88" s="131"/>
      <c r="G88" s="131"/>
    </row>
    <row r="89" spans="1:7" ht="14.25" customHeight="1" x14ac:dyDescent="0.35">
      <c r="A89" s="132" t="s">
        <v>300</v>
      </c>
      <c r="B89" s="133" t="s">
        <v>59</v>
      </c>
      <c r="C89" s="133">
        <v>73022</v>
      </c>
      <c r="D89" s="133"/>
      <c r="E89" s="133"/>
      <c r="F89" s="133"/>
      <c r="G89" s="133"/>
    </row>
    <row r="90" spans="1:7" ht="14.25" customHeight="1" x14ac:dyDescent="0.35">
      <c r="A90" s="130" t="s">
        <v>108</v>
      </c>
      <c r="B90" s="131" t="s">
        <v>48</v>
      </c>
      <c r="C90" s="131">
        <v>12014</v>
      </c>
      <c r="D90" s="131"/>
      <c r="E90" s="131"/>
      <c r="F90" s="131"/>
      <c r="G90" s="131"/>
    </row>
    <row r="91" spans="1:7" ht="14.25" customHeight="1" x14ac:dyDescent="0.35">
      <c r="A91" s="132" t="s">
        <v>266</v>
      </c>
      <c r="B91" s="133" t="s">
        <v>48</v>
      </c>
      <c r="C91" s="133">
        <v>11018</v>
      </c>
      <c r="D91" s="133"/>
      <c r="E91" s="133"/>
      <c r="F91" s="133"/>
      <c r="G91" s="133"/>
    </row>
    <row r="92" spans="1:7" ht="14.25" customHeight="1" x14ac:dyDescent="0.35">
      <c r="A92" s="130" t="s">
        <v>69</v>
      </c>
      <c r="B92" s="131" t="s">
        <v>52</v>
      </c>
      <c r="C92" s="131">
        <v>24038</v>
      </c>
      <c r="D92" s="131"/>
      <c r="E92" s="131"/>
      <c r="F92" s="131"/>
      <c r="G92" s="131"/>
    </row>
    <row r="93" spans="1:7" ht="14.25" customHeight="1" x14ac:dyDescent="0.35">
      <c r="A93" s="132" t="s">
        <v>83</v>
      </c>
      <c r="B93" s="133" t="s">
        <v>48</v>
      </c>
      <c r="C93" s="133">
        <v>13011</v>
      </c>
      <c r="D93" s="133"/>
      <c r="E93" s="133"/>
      <c r="F93" s="133"/>
      <c r="G93" s="133"/>
    </row>
    <row r="94" spans="1:7" ht="14.25" customHeight="1" x14ac:dyDescent="0.35">
      <c r="A94" s="130" t="s">
        <v>326</v>
      </c>
      <c r="B94" s="131" t="s">
        <v>48</v>
      </c>
      <c r="C94" s="131">
        <v>13012</v>
      </c>
      <c r="D94" s="131"/>
      <c r="E94" s="131"/>
      <c r="F94" s="131"/>
      <c r="G94" s="131"/>
    </row>
    <row r="95" spans="1:7" ht="14.25" customHeight="1" x14ac:dyDescent="0.35">
      <c r="A95" s="132" t="s">
        <v>187</v>
      </c>
      <c r="B95" s="133" t="s">
        <v>59</v>
      </c>
      <c r="C95" s="133">
        <v>71024</v>
      </c>
      <c r="D95" s="133"/>
      <c r="E95" s="133"/>
      <c r="F95" s="133"/>
      <c r="G95" s="133"/>
    </row>
    <row r="96" spans="1:7" ht="14.25" customHeight="1" x14ac:dyDescent="0.35">
      <c r="A96" s="130" t="s">
        <v>272</v>
      </c>
      <c r="B96" s="131" t="s">
        <v>48</v>
      </c>
      <c r="C96" s="131">
        <v>13013</v>
      </c>
      <c r="D96" s="131"/>
      <c r="E96" s="131"/>
      <c r="F96" s="131"/>
      <c r="G96" s="131"/>
    </row>
    <row r="97" spans="1:7" ht="14.25" customHeight="1" x14ac:dyDescent="0.35">
      <c r="A97" s="132" t="s">
        <v>313</v>
      </c>
      <c r="B97" s="133" t="s">
        <v>59</v>
      </c>
      <c r="C97" s="133">
        <v>73028</v>
      </c>
      <c r="D97" s="133"/>
      <c r="E97" s="133"/>
      <c r="F97" s="133"/>
      <c r="G97" s="133"/>
    </row>
    <row r="98" spans="1:7" ht="14.25" customHeight="1" x14ac:dyDescent="0.35">
      <c r="A98" s="130" t="s">
        <v>113</v>
      </c>
      <c r="B98" s="131" t="s">
        <v>50</v>
      </c>
      <c r="C98" s="131">
        <v>41027</v>
      </c>
      <c r="D98" s="131"/>
      <c r="E98" s="131"/>
      <c r="F98" s="131"/>
      <c r="G98" s="131"/>
    </row>
    <row r="99" spans="1:7" ht="14.25" customHeight="1" x14ac:dyDescent="0.35">
      <c r="A99" s="132" t="s">
        <v>190</v>
      </c>
      <c r="B99" s="133" t="s">
        <v>59</v>
      </c>
      <c r="C99" s="133">
        <v>71070</v>
      </c>
      <c r="D99" s="133"/>
      <c r="E99" s="133"/>
      <c r="F99" s="133"/>
      <c r="G99" s="133"/>
    </row>
    <row r="100" spans="1:7" ht="14.25" customHeight="1" x14ac:dyDescent="0.35">
      <c r="A100" s="130" t="s">
        <v>167</v>
      </c>
      <c r="B100" s="131" t="s">
        <v>55</v>
      </c>
      <c r="C100" s="131">
        <v>33039</v>
      </c>
      <c r="D100" s="131"/>
      <c r="E100" s="131"/>
      <c r="F100" s="131"/>
      <c r="G100" s="131"/>
    </row>
    <row r="101" spans="1:7" ht="14.25" customHeight="1" x14ac:dyDescent="0.35">
      <c r="A101" s="132" t="s">
        <v>192</v>
      </c>
      <c r="B101" s="133" t="s">
        <v>52</v>
      </c>
      <c r="C101" s="133">
        <v>24041</v>
      </c>
      <c r="D101" s="133"/>
      <c r="E101" s="133"/>
      <c r="F101" s="133"/>
      <c r="G101" s="133"/>
    </row>
    <row r="102" spans="1:7" ht="14.25" customHeight="1" x14ac:dyDescent="0.35">
      <c r="A102" s="130" t="s">
        <v>153</v>
      </c>
      <c r="B102" s="131" t="s">
        <v>52</v>
      </c>
      <c r="C102" s="131">
        <v>23033</v>
      </c>
      <c r="D102" s="131"/>
      <c r="E102" s="131"/>
      <c r="F102" s="131"/>
      <c r="G102" s="131"/>
    </row>
    <row r="103" spans="1:7" ht="14.25" customHeight="1" x14ac:dyDescent="0.35">
      <c r="A103" s="132" t="s">
        <v>86</v>
      </c>
      <c r="B103" s="133" t="s">
        <v>52</v>
      </c>
      <c r="C103" s="133">
        <v>24043</v>
      </c>
      <c r="D103" s="133"/>
      <c r="E103" s="133"/>
      <c r="F103" s="133"/>
      <c r="G103" s="133"/>
    </row>
    <row r="104" spans="1:7" ht="14.25" customHeight="1" x14ac:dyDescent="0.35">
      <c r="A104" s="130" t="s">
        <v>150</v>
      </c>
      <c r="B104" s="131" t="s">
        <v>55</v>
      </c>
      <c r="C104" s="131">
        <v>36006</v>
      </c>
      <c r="D104" s="131">
        <v>1</v>
      </c>
      <c r="E104" s="131">
        <v>1</v>
      </c>
      <c r="F104" s="131">
        <v>1</v>
      </c>
      <c r="G104" s="131">
        <v>1</v>
      </c>
    </row>
    <row r="105" spans="1:7" ht="14.25" customHeight="1" x14ac:dyDescent="0.35">
      <c r="A105" s="132" t="s">
        <v>185</v>
      </c>
      <c r="B105" s="133" t="s">
        <v>48</v>
      </c>
      <c r="C105" s="133">
        <v>13014</v>
      </c>
      <c r="D105" s="133"/>
      <c r="E105" s="133"/>
      <c r="F105" s="133"/>
      <c r="G105" s="133"/>
    </row>
    <row r="106" spans="1:7" ht="14.25" customHeight="1" x14ac:dyDescent="0.35">
      <c r="A106" s="130" t="s">
        <v>297</v>
      </c>
      <c r="B106" s="131" t="s">
        <v>50</v>
      </c>
      <c r="C106" s="131">
        <v>45062</v>
      </c>
      <c r="D106" s="131"/>
      <c r="E106" s="131"/>
      <c r="F106" s="131"/>
      <c r="G106" s="131"/>
    </row>
    <row r="107" spans="1:7" ht="14.25" customHeight="1" x14ac:dyDescent="0.35">
      <c r="A107" s="132" t="s">
        <v>296</v>
      </c>
      <c r="B107" s="133" t="s">
        <v>59</v>
      </c>
      <c r="C107" s="133">
        <v>72039</v>
      </c>
      <c r="D107" s="133"/>
      <c r="E107" s="133"/>
      <c r="F107" s="133"/>
      <c r="G107" s="133"/>
    </row>
    <row r="108" spans="1:7" ht="14.25" customHeight="1" x14ac:dyDescent="0.35">
      <c r="A108" s="130" t="s">
        <v>261</v>
      </c>
      <c r="B108" s="131" t="s">
        <v>55</v>
      </c>
      <c r="C108" s="131">
        <v>32006</v>
      </c>
      <c r="D108" s="131"/>
      <c r="E108" s="131"/>
      <c r="F108" s="131"/>
      <c r="G108" s="131"/>
    </row>
    <row r="109" spans="1:7" ht="14.25" customHeight="1" x14ac:dyDescent="0.35">
      <c r="A109" s="132" t="s">
        <v>196</v>
      </c>
      <c r="B109" s="133" t="s">
        <v>48</v>
      </c>
      <c r="C109" s="133">
        <v>11021</v>
      </c>
      <c r="D109" s="133"/>
      <c r="E109" s="133"/>
      <c r="F109" s="133"/>
      <c r="G109" s="133"/>
    </row>
    <row r="110" spans="1:7" ht="14.25" customHeight="1" x14ac:dyDescent="0.35">
      <c r="A110" s="130" t="s">
        <v>134</v>
      </c>
      <c r="B110" s="131" t="s">
        <v>52</v>
      </c>
      <c r="C110" s="131">
        <v>24045</v>
      </c>
      <c r="D110" s="131"/>
      <c r="E110" s="131"/>
      <c r="F110" s="131"/>
      <c r="G110" s="131"/>
    </row>
    <row r="111" spans="1:7" ht="14.25" customHeight="1" x14ac:dyDescent="0.35">
      <c r="A111" s="132" t="s">
        <v>173</v>
      </c>
      <c r="B111" s="133" t="s">
        <v>48</v>
      </c>
      <c r="C111" s="133">
        <v>13016</v>
      </c>
      <c r="D111" s="133"/>
      <c r="E111" s="133"/>
      <c r="F111" s="133"/>
      <c r="G111" s="133"/>
    </row>
    <row r="112" spans="1:7" ht="14.25" customHeight="1" x14ac:dyDescent="0.35">
      <c r="A112" s="130" t="s">
        <v>212</v>
      </c>
      <c r="B112" s="131" t="s">
        <v>55</v>
      </c>
      <c r="C112" s="131">
        <v>35006</v>
      </c>
      <c r="D112" s="131"/>
      <c r="E112" s="131"/>
      <c r="F112" s="131"/>
      <c r="G112" s="131"/>
    </row>
    <row r="113" spans="1:7" ht="14.25" customHeight="1" x14ac:dyDescent="0.35">
      <c r="A113" s="132" t="s">
        <v>76</v>
      </c>
      <c r="B113" s="133" t="s">
        <v>55</v>
      </c>
      <c r="C113" s="133">
        <v>33011</v>
      </c>
      <c r="D113" s="133"/>
      <c r="E113" s="133"/>
      <c r="F113" s="133"/>
      <c r="G113" s="133"/>
    </row>
    <row r="114" spans="1:7" ht="14.25" customHeight="1" x14ac:dyDescent="0.35">
      <c r="A114" s="130" t="s">
        <v>263</v>
      </c>
      <c r="B114" s="131" t="s">
        <v>55</v>
      </c>
      <c r="C114" s="131">
        <v>36007</v>
      </c>
      <c r="D114" s="131"/>
      <c r="E114" s="131"/>
      <c r="F114" s="131"/>
      <c r="G114" s="131"/>
    </row>
    <row r="115" spans="1:7" ht="14.25" customHeight="1" x14ac:dyDescent="0.35">
      <c r="A115" s="132" t="s">
        <v>129</v>
      </c>
      <c r="B115" s="133" t="s">
        <v>55</v>
      </c>
      <c r="C115" s="133">
        <v>36008</v>
      </c>
      <c r="D115" s="133"/>
      <c r="E115" s="133"/>
      <c r="F115" s="133"/>
      <c r="G115" s="133"/>
    </row>
    <row r="116" spans="1:7" ht="14.25" customHeight="1" x14ac:dyDescent="0.35">
      <c r="A116" s="130" t="s">
        <v>273</v>
      </c>
      <c r="B116" s="131" t="s">
        <v>55</v>
      </c>
      <c r="C116" s="131">
        <v>31012</v>
      </c>
      <c r="D116" s="131"/>
      <c r="E116" s="131"/>
      <c r="F116" s="131"/>
      <c r="G116" s="131"/>
    </row>
    <row r="117" spans="1:7" ht="14.25" customHeight="1" x14ac:dyDescent="0.35">
      <c r="A117" s="132" t="s">
        <v>163</v>
      </c>
      <c r="B117" s="133" t="s">
        <v>48</v>
      </c>
      <c r="C117" s="133">
        <v>11022</v>
      </c>
      <c r="D117" s="133"/>
      <c r="E117" s="133"/>
      <c r="F117" s="133"/>
      <c r="G117" s="133"/>
    </row>
    <row r="118" spans="1:7" ht="14.25" customHeight="1" x14ac:dyDescent="0.35">
      <c r="A118" s="130" t="s">
        <v>207</v>
      </c>
      <c r="B118" s="131" t="s">
        <v>52</v>
      </c>
      <c r="C118" s="131">
        <v>23038</v>
      </c>
      <c r="D118" s="131"/>
      <c r="E118" s="131"/>
      <c r="F118" s="131"/>
      <c r="G118" s="131"/>
    </row>
    <row r="119" spans="1:7" ht="14.25" customHeight="1" x14ac:dyDescent="0.35">
      <c r="A119" s="132" t="s">
        <v>258</v>
      </c>
      <c r="B119" s="133" t="s">
        <v>52</v>
      </c>
      <c r="C119" s="133">
        <v>23039</v>
      </c>
      <c r="D119" s="133"/>
      <c r="E119" s="133"/>
      <c r="F119" s="133"/>
      <c r="G119" s="133"/>
    </row>
    <row r="120" spans="1:7" ht="14.25" customHeight="1" x14ac:dyDescent="0.35">
      <c r="A120" s="130" t="s">
        <v>312</v>
      </c>
      <c r="B120" s="131" t="s">
        <v>48</v>
      </c>
      <c r="C120" s="131">
        <v>11023</v>
      </c>
      <c r="D120" s="131"/>
      <c r="E120" s="131"/>
      <c r="F120" s="131"/>
      <c r="G120" s="131"/>
    </row>
    <row r="121" spans="1:7" ht="14.25" customHeight="1" x14ac:dyDescent="0.35">
      <c r="A121" s="132" t="s">
        <v>247</v>
      </c>
      <c r="B121" s="133" t="s">
        <v>50</v>
      </c>
      <c r="C121" s="133">
        <v>43007</v>
      </c>
      <c r="D121" s="133"/>
      <c r="E121" s="133"/>
      <c r="F121" s="133"/>
      <c r="G121" s="133"/>
    </row>
    <row r="122" spans="1:7" ht="14.25" customHeight="1" x14ac:dyDescent="0.35">
      <c r="A122" s="130" t="s">
        <v>181</v>
      </c>
      <c r="B122" s="131" t="s">
        <v>48</v>
      </c>
      <c r="C122" s="131">
        <v>13017</v>
      </c>
      <c r="D122" s="131"/>
      <c r="E122" s="131"/>
      <c r="F122" s="131"/>
      <c r="G122" s="131"/>
    </row>
    <row r="123" spans="1:7" ht="14.25" customHeight="1" x14ac:dyDescent="0.35">
      <c r="A123" s="132" t="s">
        <v>176</v>
      </c>
      <c r="B123" s="133" t="s">
        <v>52</v>
      </c>
      <c r="C123" s="133">
        <v>24048</v>
      </c>
      <c r="D123" s="133"/>
      <c r="E123" s="133"/>
      <c r="F123" s="133"/>
      <c r="G123" s="133"/>
    </row>
    <row r="124" spans="1:7" ht="14.25" customHeight="1" x14ac:dyDescent="0.35">
      <c r="A124" s="130" t="s">
        <v>325</v>
      </c>
      <c r="B124" s="131" t="s">
        <v>59</v>
      </c>
      <c r="C124" s="131">
        <v>72018</v>
      </c>
      <c r="D124" s="131"/>
      <c r="E124" s="131"/>
      <c r="F124" s="131"/>
      <c r="G124" s="131"/>
    </row>
    <row r="125" spans="1:7" ht="14.25" customHeight="1" x14ac:dyDescent="0.35">
      <c r="A125" s="132" t="s">
        <v>191</v>
      </c>
      <c r="B125" s="133" t="s">
        <v>50</v>
      </c>
      <c r="C125" s="133">
        <v>45060</v>
      </c>
      <c r="D125" s="133"/>
      <c r="E125" s="133"/>
      <c r="F125" s="133"/>
      <c r="G125" s="133"/>
    </row>
    <row r="126" spans="1:7" ht="14.25" customHeight="1" x14ac:dyDescent="0.35">
      <c r="A126" s="130" t="s">
        <v>103</v>
      </c>
      <c r="B126" s="131" t="s">
        <v>55</v>
      </c>
      <c r="C126" s="131">
        <v>31043</v>
      </c>
      <c r="D126" s="131"/>
      <c r="E126" s="131"/>
      <c r="F126" s="131"/>
      <c r="G126" s="131"/>
    </row>
    <row r="127" spans="1:7" ht="14.25" customHeight="1" x14ac:dyDescent="0.35">
      <c r="A127" s="132" t="s">
        <v>256</v>
      </c>
      <c r="B127" s="133" t="s">
        <v>55</v>
      </c>
      <c r="C127" s="133">
        <v>32010</v>
      </c>
      <c r="D127" s="133"/>
      <c r="E127" s="133"/>
      <c r="F127" s="133"/>
      <c r="G127" s="133"/>
    </row>
    <row r="128" spans="1:7" ht="14.25" customHeight="1" x14ac:dyDescent="0.35">
      <c r="A128" s="130" t="s">
        <v>100</v>
      </c>
      <c r="B128" s="131" t="s">
        <v>55</v>
      </c>
      <c r="C128" s="131">
        <v>38014</v>
      </c>
      <c r="D128" s="131"/>
      <c r="E128" s="131"/>
      <c r="F128" s="131"/>
      <c r="G128" s="131"/>
    </row>
    <row r="129" spans="1:7" ht="14.25" customHeight="1" x14ac:dyDescent="0.35">
      <c r="A129" s="132" t="s">
        <v>288</v>
      </c>
      <c r="B129" s="133" t="s">
        <v>48</v>
      </c>
      <c r="C129" s="133">
        <v>11024</v>
      </c>
      <c r="D129" s="133"/>
      <c r="E129" s="133"/>
      <c r="F129" s="133"/>
      <c r="G129" s="133"/>
    </row>
    <row r="130" spans="1:7" ht="14.25" customHeight="1" x14ac:dyDescent="0.35">
      <c r="A130" s="130" t="s">
        <v>138</v>
      </c>
      <c r="B130" s="131" t="s">
        <v>55</v>
      </c>
      <c r="C130" s="131">
        <v>32011</v>
      </c>
      <c r="D130" s="131"/>
      <c r="E130" s="131"/>
      <c r="F130" s="131"/>
      <c r="G130" s="131"/>
    </row>
    <row r="131" spans="1:7" ht="14.25" customHeight="1" x14ac:dyDescent="0.35">
      <c r="A131" s="132" t="s">
        <v>252</v>
      </c>
      <c r="B131" s="133" t="s">
        <v>52</v>
      </c>
      <c r="C131" s="133">
        <v>24054</v>
      </c>
      <c r="D131" s="133"/>
      <c r="E131" s="133"/>
      <c r="F131" s="133"/>
      <c r="G131" s="133"/>
    </row>
    <row r="132" spans="1:7" ht="14.25" customHeight="1" x14ac:dyDescent="0.35">
      <c r="A132" s="130" t="s">
        <v>117</v>
      </c>
      <c r="B132" s="131" t="s">
        <v>52</v>
      </c>
      <c r="C132" s="131">
        <v>24055</v>
      </c>
      <c r="D132" s="131"/>
      <c r="E132" s="131"/>
      <c r="F132" s="131"/>
      <c r="G132" s="131"/>
    </row>
    <row r="133" spans="1:7" ht="14.25" customHeight="1" x14ac:dyDescent="0.35">
      <c r="A133" s="132" t="s">
        <v>56</v>
      </c>
      <c r="B133" s="133" t="s">
        <v>55</v>
      </c>
      <c r="C133" s="133">
        <v>34022</v>
      </c>
      <c r="D133" s="133">
        <v>1</v>
      </c>
      <c r="E133" s="133">
        <v>1</v>
      </c>
      <c r="F133" s="133">
        <v>1</v>
      </c>
      <c r="G133" s="133">
        <v>1</v>
      </c>
    </row>
    <row r="134" spans="1:7" ht="14.25" customHeight="1" x14ac:dyDescent="0.35">
      <c r="A134" s="130" t="s">
        <v>270</v>
      </c>
      <c r="B134" s="131" t="s">
        <v>52</v>
      </c>
      <c r="C134" s="131">
        <v>23099</v>
      </c>
      <c r="D134" s="131"/>
      <c r="E134" s="131"/>
      <c r="F134" s="131"/>
      <c r="G134" s="131"/>
    </row>
    <row r="135" spans="1:7" ht="14.25" customHeight="1" x14ac:dyDescent="0.35">
      <c r="A135" s="132" t="s">
        <v>122</v>
      </c>
      <c r="B135" s="133" t="s">
        <v>50</v>
      </c>
      <c r="C135" s="133">
        <v>45068</v>
      </c>
      <c r="D135" s="133">
        <v>1</v>
      </c>
      <c r="E135" s="133">
        <v>1</v>
      </c>
      <c r="F135" s="133">
        <v>1</v>
      </c>
      <c r="G135" s="133">
        <v>1</v>
      </c>
    </row>
    <row r="136" spans="1:7" ht="14.25" customHeight="1" x14ac:dyDescent="0.35">
      <c r="A136" s="130" t="s">
        <v>158</v>
      </c>
      <c r="B136" s="131" t="s">
        <v>55</v>
      </c>
      <c r="C136" s="131">
        <v>34023</v>
      </c>
      <c r="D136" s="131"/>
      <c r="E136" s="131"/>
      <c r="F136" s="131"/>
      <c r="G136" s="131"/>
    </row>
    <row r="137" spans="1:7" ht="14.25" customHeight="1" x14ac:dyDescent="0.35">
      <c r="A137" s="132" t="s">
        <v>218</v>
      </c>
      <c r="B137" s="133" t="s">
        <v>48</v>
      </c>
      <c r="C137" s="133">
        <v>13053</v>
      </c>
      <c r="D137" s="133">
        <v>1</v>
      </c>
      <c r="E137" s="133">
        <v>1</v>
      </c>
      <c r="F137" s="133">
        <v>1</v>
      </c>
      <c r="G137" s="133">
        <v>1</v>
      </c>
    </row>
    <row r="138" spans="1:7" ht="14.25" customHeight="1" x14ac:dyDescent="0.35">
      <c r="A138" s="130" t="s">
        <v>155</v>
      </c>
      <c r="B138" s="131" t="s">
        <v>50</v>
      </c>
      <c r="C138" s="131">
        <v>42010</v>
      </c>
      <c r="D138" s="131"/>
      <c r="E138" s="131"/>
      <c r="F138" s="131"/>
      <c r="G138" s="131"/>
    </row>
    <row r="139" spans="1:7" ht="14.25" customHeight="1" x14ac:dyDescent="0.35">
      <c r="A139" s="132" t="s">
        <v>295</v>
      </c>
      <c r="B139" s="133" t="s">
        <v>59</v>
      </c>
      <c r="C139" s="133">
        <v>73042</v>
      </c>
      <c r="D139" s="133"/>
      <c r="E139" s="133"/>
      <c r="F139" s="133"/>
      <c r="G139" s="133"/>
    </row>
    <row r="140" spans="1:7" ht="14.25" customHeight="1" x14ac:dyDescent="0.35">
      <c r="A140" s="130" t="s">
        <v>81</v>
      </c>
      <c r="B140" s="131" t="s">
        <v>52</v>
      </c>
      <c r="C140" s="131">
        <v>24059</v>
      </c>
      <c r="D140" s="131"/>
      <c r="E140" s="131"/>
      <c r="F140" s="131"/>
      <c r="G140" s="131"/>
    </row>
    <row r="141" spans="1:7" ht="14.25" customHeight="1" x14ac:dyDescent="0.35">
      <c r="A141" s="132" t="s">
        <v>253</v>
      </c>
      <c r="B141" s="133" t="s">
        <v>55</v>
      </c>
      <c r="C141" s="133">
        <v>33040</v>
      </c>
      <c r="D141" s="133"/>
      <c r="E141" s="133"/>
      <c r="F141" s="133"/>
      <c r="G141" s="133"/>
    </row>
    <row r="142" spans="1:7" ht="14.25" customHeight="1" x14ac:dyDescent="0.35">
      <c r="A142" s="130" t="s">
        <v>114</v>
      </c>
      <c r="B142" s="131" t="s">
        <v>50</v>
      </c>
      <c r="C142" s="131">
        <v>42011</v>
      </c>
      <c r="D142" s="131"/>
      <c r="E142" s="131"/>
      <c r="F142" s="131"/>
      <c r="G142" s="131"/>
    </row>
    <row r="143" spans="1:7" ht="14.25" customHeight="1" x14ac:dyDescent="0.35">
      <c r="A143" s="132" t="s">
        <v>179</v>
      </c>
      <c r="B143" s="133" t="s">
        <v>50</v>
      </c>
      <c r="C143" s="133">
        <v>41034</v>
      </c>
      <c r="D143" s="133"/>
      <c r="E143" s="133"/>
      <c r="F143" s="133"/>
      <c r="G143" s="133"/>
    </row>
    <row r="144" spans="1:7" ht="14.25" customHeight="1" x14ac:dyDescent="0.35">
      <c r="A144" s="130" t="s">
        <v>171</v>
      </c>
      <c r="B144" s="131" t="s">
        <v>55</v>
      </c>
      <c r="C144" s="131">
        <v>36010</v>
      </c>
      <c r="D144" s="131"/>
      <c r="E144" s="131"/>
      <c r="F144" s="131"/>
      <c r="G144" s="131"/>
    </row>
    <row r="145" spans="1:7" ht="14.25" customHeight="1" x14ac:dyDescent="0.35">
      <c r="A145" s="132" t="s">
        <v>320</v>
      </c>
      <c r="B145" s="133" t="s">
        <v>55</v>
      </c>
      <c r="C145" s="133">
        <v>34025</v>
      </c>
      <c r="D145" s="133"/>
      <c r="E145" s="133"/>
      <c r="F145" s="133"/>
      <c r="G145" s="133"/>
    </row>
    <row r="146" spans="1:7" ht="14.25" customHeight="1" x14ac:dyDescent="0.35">
      <c r="A146" s="130" t="s">
        <v>257</v>
      </c>
      <c r="B146" s="131" t="s">
        <v>52</v>
      </c>
      <c r="C146" s="131">
        <v>23104</v>
      </c>
      <c r="D146" s="131"/>
      <c r="E146" s="131"/>
      <c r="F146" s="131"/>
      <c r="G146" s="131"/>
    </row>
    <row r="147" spans="1:7" ht="14.25" customHeight="1" x14ac:dyDescent="0.35">
      <c r="A147" s="132" t="s">
        <v>308</v>
      </c>
      <c r="B147" s="133" t="s">
        <v>59</v>
      </c>
      <c r="C147" s="133">
        <v>71034</v>
      </c>
      <c r="D147" s="133"/>
      <c r="E147" s="133"/>
      <c r="F147" s="133"/>
      <c r="G147" s="133"/>
    </row>
    <row r="148" spans="1:7" ht="14.25" customHeight="1" x14ac:dyDescent="0.35">
      <c r="A148" s="130" t="s">
        <v>51</v>
      </c>
      <c r="B148" s="131" t="s">
        <v>52</v>
      </c>
      <c r="C148" s="131">
        <v>24062</v>
      </c>
      <c r="D148" s="131">
        <v>3</v>
      </c>
      <c r="E148" s="131">
        <v>3</v>
      </c>
      <c r="F148" s="131">
        <v>4</v>
      </c>
      <c r="G148" s="131">
        <v>4</v>
      </c>
    </row>
    <row r="149" spans="1:7" ht="14.25" customHeight="1" x14ac:dyDescent="0.35">
      <c r="A149" s="132" t="s">
        <v>198</v>
      </c>
      <c r="B149" s="133" t="s">
        <v>55</v>
      </c>
      <c r="C149" s="133">
        <v>36011</v>
      </c>
      <c r="D149" s="133"/>
      <c r="E149" s="133"/>
      <c r="F149" s="133"/>
      <c r="G149" s="133"/>
    </row>
    <row r="150" spans="1:7" ht="14.25" customHeight="1" x14ac:dyDescent="0.35">
      <c r="A150" s="130" t="s">
        <v>334</v>
      </c>
      <c r="B150" s="131" t="s">
        <v>52</v>
      </c>
      <c r="C150" s="131">
        <v>23044</v>
      </c>
      <c r="D150" s="131"/>
      <c r="E150" s="131"/>
      <c r="F150" s="131"/>
      <c r="G150" s="131"/>
    </row>
    <row r="151" spans="1:7" ht="14.25" customHeight="1" x14ac:dyDescent="0.35">
      <c r="A151" s="132" t="s">
        <v>68</v>
      </c>
      <c r="B151" s="133" t="s">
        <v>48</v>
      </c>
      <c r="C151" s="133">
        <v>12021</v>
      </c>
      <c r="D151" s="133"/>
      <c r="E151" s="133"/>
      <c r="F151" s="133"/>
      <c r="G151" s="133"/>
    </row>
    <row r="152" spans="1:7" ht="14.25" customHeight="1" x14ac:dyDescent="0.35">
      <c r="A152" s="130" t="s">
        <v>248</v>
      </c>
      <c r="B152" s="131" t="s">
        <v>50</v>
      </c>
      <c r="C152" s="131">
        <v>45063</v>
      </c>
      <c r="D152" s="131"/>
      <c r="E152" s="131"/>
      <c r="F152" s="131"/>
      <c r="G152" s="131"/>
    </row>
    <row r="153" spans="1:7" ht="14.25" customHeight="1" x14ac:dyDescent="0.35">
      <c r="A153" s="132" t="s">
        <v>82</v>
      </c>
      <c r="B153" s="133" t="s">
        <v>50</v>
      </c>
      <c r="C153" s="133">
        <v>44085</v>
      </c>
      <c r="D153" s="133"/>
      <c r="E153" s="133"/>
      <c r="F153" s="133"/>
      <c r="G153" s="133"/>
    </row>
    <row r="154" spans="1:7" ht="14.25" customHeight="1" x14ac:dyDescent="0.35">
      <c r="A154" s="130" t="s">
        <v>161</v>
      </c>
      <c r="B154" s="131" t="s">
        <v>48</v>
      </c>
      <c r="C154" s="131">
        <v>13019</v>
      </c>
      <c r="D154" s="131"/>
      <c r="E154" s="131"/>
      <c r="F154" s="131"/>
      <c r="G154" s="131"/>
    </row>
    <row r="155" spans="1:7" ht="14.25" customHeight="1" x14ac:dyDescent="0.35">
      <c r="A155" s="132" t="s">
        <v>319</v>
      </c>
      <c r="B155" s="133" t="s">
        <v>52</v>
      </c>
      <c r="C155" s="133">
        <v>23100</v>
      </c>
      <c r="D155" s="133"/>
      <c r="E155" s="133"/>
      <c r="F155" s="133"/>
      <c r="G155" s="133"/>
    </row>
    <row r="156" spans="1:7" ht="14.25" customHeight="1" x14ac:dyDescent="0.35">
      <c r="A156" s="130" t="s">
        <v>254</v>
      </c>
      <c r="B156" s="131" t="s">
        <v>48</v>
      </c>
      <c r="C156" s="131">
        <v>11025</v>
      </c>
      <c r="D156" s="131"/>
      <c r="E156" s="131"/>
      <c r="F156" s="131"/>
      <c r="G156" s="131"/>
    </row>
    <row r="157" spans="1:7" ht="14.25" customHeight="1" x14ac:dyDescent="0.35">
      <c r="A157" s="132" t="s">
        <v>193</v>
      </c>
      <c r="B157" s="133" t="s">
        <v>52</v>
      </c>
      <c r="C157" s="133">
        <v>24133</v>
      </c>
      <c r="D157" s="133"/>
      <c r="E157" s="133"/>
      <c r="F157" s="133"/>
      <c r="G157" s="133"/>
    </row>
    <row r="158" spans="1:7" ht="14.25" customHeight="1" x14ac:dyDescent="0.35">
      <c r="A158" s="130" t="s">
        <v>239</v>
      </c>
      <c r="B158" s="131" t="s">
        <v>55</v>
      </c>
      <c r="C158" s="131">
        <v>32030</v>
      </c>
      <c r="D158" s="131"/>
      <c r="E158" s="131"/>
      <c r="F158" s="131"/>
      <c r="G158" s="131"/>
    </row>
    <row r="159" spans="1:7" ht="14.25" customHeight="1" x14ac:dyDescent="0.35">
      <c r="A159" s="132" t="s">
        <v>233</v>
      </c>
      <c r="B159" s="133" t="s">
        <v>50</v>
      </c>
      <c r="C159" s="133">
        <v>44034</v>
      </c>
      <c r="D159" s="133"/>
      <c r="E159" s="133"/>
      <c r="F159" s="133"/>
      <c r="G159" s="133"/>
    </row>
    <row r="160" spans="1:7" ht="14.25" customHeight="1" x14ac:dyDescent="0.35">
      <c r="A160" s="130" t="s">
        <v>72</v>
      </c>
      <c r="B160" s="131" t="s">
        <v>50</v>
      </c>
      <c r="C160" s="131">
        <v>46014</v>
      </c>
      <c r="D160" s="131"/>
      <c r="E160" s="131"/>
      <c r="F160" s="131"/>
      <c r="G160" s="131"/>
    </row>
    <row r="161" spans="1:7" ht="14.25" customHeight="1" x14ac:dyDescent="0.35">
      <c r="A161" s="132" t="s">
        <v>126</v>
      </c>
      <c r="B161" s="133" t="s">
        <v>59</v>
      </c>
      <c r="C161" s="133">
        <v>72020</v>
      </c>
      <c r="D161" s="133"/>
      <c r="E161" s="133"/>
      <c r="F161" s="133"/>
      <c r="G161" s="133"/>
    </row>
    <row r="162" spans="1:7" ht="14.25" customHeight="1" x14ac:dyDescent="0.35">
      <c r="A162" s="130" t="s">
        <v>283</v>
      </c>
      <c r="B162" s="131" t="s">
        <v>52</v>
      </c>
      <c r="C162" s="131">
        <v>23045</v>
      </c>
      <c r="D162" s="131"/>
      <c r="E162" s="131"/>
      <c r="F162" s="131"/>
      <c r="G162" s="131"/>
    </row>
    <row r="163" spans="1:7" ht="14.25" customHeight="1" x14ac:dyDescent="0.35">
      <c r="A163" s="132" t="s">
        <v>139</v>
      </c>
      <c r="B163" s="133" t="s">
        <v>52</v>
      </c>
      <c r="C163" s="133">
        <v>24066</v>
      </c>
      <c r="D163" s="133">
        <v>1</v>
      </c>
      <c r="E163" s="133">
        <v>1</v>
      </c>
      <c r="F163" s="133">
        <v>1</v>
      </c>
      <c r="G163" s="133">
        <v>1</v>
      </c>
    </row>
    <row r="164" spans="1:7" ht="14.25" customHeight="1" x14ac:dyDescent="0.35">
      <c r="A164" s="130" t="s">
        <v>286</v>
      </c>
      <c r="B164" s="131" t="s">
        <v>59</v>
      </c>
      <c r="C164" s="131">
        <v>71037</v>
      </c>
      <c r="D164" s="131"/>
      <c r="E164" s="131"/>
      <c r="F164" s="131"/>
      <c r="G164" s="131"/>
    </row>
    <row r="165" spans="1:7" ht="14.25" customHeight="1" x14ac:dyDescent="0.35">
      <c r="A165" s="132" t="s">
        <v>244</v>
      </c>
      <c r="B165" s="133" t="s">
        <v>50</v>
      </c>
      <c r="C165" s="133">
        <v>45064</v>
      </c>
      <c r="D165" s="133"/>
      <c r="E165" s="133"/>
      <c r="F165" s="133"/>
      <c r="G165" s="133"/>
    </row>
    <row r="166" spans="1:7" ht="14.25" customHeight="1" x14ac:dyDescent="0.35">
      <c r="A166" s="130" t="s">
        <v>211</v>
      </c>
      <c r="B166" s="131" t="s">
        <v>59</v>
      </c>
      <c r="C166" s="131">
        <v>72021</v>
      </c>
      <c r="D166" s="131"/>
      <c r="E166" s="131"/>
      <c r="F166" s="131"/>
      <c r="G166" s="131"/>
    </row>
    <row r="167" spans="1:7" ht="14.25" customHeight="1" x14ac:dyDescent="0.35">
      <c r="A167" s="132" t="s">
        <v>229</v>
      </c>
      <c r="B167" s="133" t="s">
        <v>59</v>
      </c>
      <c r="C167" s="133">
        <v>73107</v>
      </c>
      <c r="D167" s="133"/>
      <c r="E167" s="133"/>
      <c r="F167" s="133"/>
      <c r="G167" s="133"/>
    </row>
    <row r="168" spans="1:7" ht="14.25" customHeight="1" x14ac:dyDescent="0.35">
      <c r="A168" s="130" t="s">
        <v>278</v>
      </c>
      <c r="B168" s="131" t="s">
        <v>52</v>
      </c>
      <c r="C168" s="131">
        <v>23047</v>
      </c>
      <c r="D168" s="131"/>
      <c r="E168" s="131"/>
      <c r="F168" s="131"/>
      <c r="G168" s="131"/>
    </row>
    <row r="169" spans="1:7" ht="14.25" customHeight="1" x14ac:dyDescent="0.35">
      <c r="A169" s="132" t="s">
        <v>165</v>
      </c>
      <c r="B169" s="133" t="s">
        <v>50</v>
      </c>
      <c r="C169" s="133">
        <v>43010</v>
      </c>
      <c r="D169" s="133"/>
      <c r="E169" s="133"/>
      <c r="F169" s="133"/>
      <c r="G169" s="133"/>
    </row>
    <row r="170" spans="1:7" ht="14.25" customHeight="1" x14ac:dyDescent="0.35">
      <c r="A170" s="130" t="s">
        <v>178</v>
      </c>
      <c r="B170" s="131" t="s">
        <v>48</v>
      </c>
      <c r="C170" s="131">
        <v>11057</v>
      </c>
      <c r="D170" s="131"/>
      <c r="E170" s="131"/>
      <c r="F170" s="131"/>
      <c r="G170" s="131"/>
    </row>
    <row r="171" spans="1:7" ht="14.25" customHeight="1" x14ac:dyDescent="0.35">
      <c r="A171" s="132" t="s">
        <v>53</v>
      </c>
      <c r="B171" s="133" t="s">
        <v>48</v>
      </c>
      <c r="C171" s="133">
        <v>12025</v>
      </c>
      <c r="D171" s="133"/>
      <c r="E171" s="133"/>
      <c r="F171" s="133"/>
      <c r="G171" s="133"/>
    </row>
    <row r="172" spans="1:7" ht="14.25" customHeight="1" x14ac:dyDescent="0.35">
      <c r="A172" s="130" t="s">
        <v>172</v>
      </c>
      <c r="B172" s="131" t="s">
        <v>48</v>
      </c>
      <c r="C172" s="131">
        <v>13021</v>
      </c>
      <c r="D172" s="131"/>
      <c r="E172" s="131"/>
      <c r="F172" s="131"/>
      <c r="G172" s="131"/>
    </row>
    <row r="173" spans="1:7" ht="14.25" customHeight="1" x14ac:dyDescent="0.35">
      <c r="A173" s="132" t="s">
        <v>287</v>
      </c>
      <c r="B173" s="133" t="s">
        <v>52</v>
      </c>
      <c r="C173" s="133">
        <v>23050</v>
      </c>
      <c r="D173" s="133"/>
      <c r="E173" s="133"/>
      <c r="F173" s="133"/>
      <c r="G173" s="133"/>
    </row>
    <row r="174" spans="1:7" ht="14.25" customHeight="1" x14ac:dyDescent="0.35">
      <c r="A174" s="130" t="s">
        <v>130</v>
      </c>
      <c r="B174" s="131" t="s">
        <v>55</v>
      </c>
      <c r="C174" s="131">
        <v>34027</v>
      </c>
      <c r="D174" s="131"/>
      <c r="E174" s="131"/>
      <c r="F174" s="131"/>
      <c r="G174" s="131"/>
    </row>
    <row r="175" spans="1:7" ht="14.25" customHeight="1" x14ac:dyDescent="0.35">
      <c r="A175" s="132" t="s">
        <v>281</v>
      </c>
      <c r="B175" s="133" t="s">
        <v>52</v>
      </c>
      <c r="C175" s="133">
        <v>23052</v>
      </c>
      <c r="D175" s="133"/>
      <c r="E175" s="133"/>
      <c r="F175" s="133"/>
      <c r="G175" s="133"/>
    </row>
    <row r="176" spans="1:7" ht="14.25" customHeight="1" x14ac:dyDescent="0.35">
      <c r="A176" s="130" t="s">
        <v>60</v>
      </c>
      <c r="B176" s="131" t="s">
        <v>50</v>
      </c>
      <c r="C176" s="131">
        <v>44043</v>
      </c>
      <c r="D176" s="131">
        <v>2</v>
      </c>
      <c r="E176" s="131">
        <v>2</v>
      </c>
      <c r="F176" s="131">
        <v>2</v>
      </c>
      <c r="G176" s="131">
        <v>2</v>
      </c>
    </row>
    <row r="177" spans="1:7" ht="14.25" customHeight="1" x14ac:dyDescent="0.35">
      <c r="A177" s="132" t="s">
        <v>197</v>
      </c>
      <c r="B177" s="133" t="s">
        <v>48</v>
      </c>
      <c r="C177" s="133">
        <v>13023</v>
      </c>
      <c r="D177" s="133"/>
      <c r="E177" s="133"/>
      <c r="F177" s="133"/>
      <c r="G177" s="133"/>
    </row>
    <row r="178" spans="1:7" ht="14.25" customHeight="1" x14ac:dyDescent="0.35">
      <c r="A178" s="130" t="s">
        <v>238</v>
      </c>
      <c r="B178" s="131" t="s">
        <v>55</v>
      </c>
      <c r="C178" s="131">
        <v>33016</v>
      </c>
      <c r="D178" s="131"/>
      <c r="E178" s="131"/>
      <c r="F178" s="131"/>
      <c r="G178" s="131"/>
    </row>
    <row r="179" spans="1:7" ht="14.25" customHeight="1" x14ac:dyDescent="0.35">
      <c r="A179" s="132" t="s">
        <v>225</v>
      </c>
      <c r="B179" s="133" t="s">
        <v>55</v>
      </c>
      <c r="C179" s="133">
        <v>35011</v>
      </c>
      <c r="D179" s="133"/>
      <c r="E179" s="133"/>
      <c r="F179" s="133"/>
      <c r="G179" s="133"/>
    </row>
    <row r="180" spans="1:7" ht="14.25" customHeight="1" x14ac:dyDescent="0.35">
      <c r="A180" s="130" t="s">
        <v>145</v>
      </c>
      <c r="B180" s="131" t="s">
        <v>48</v>
      </c>
      <c r="C180" s="131">
        <v>13025</v>
      </c>
      <c r="D180" s="131"/>
      <c r="E180" s="131"/>
      <c r="F180" s="131"/>
      <c r="G180" s="131"/>
    </row>
    <row r="181" spans="1:7" ht="14.25" customHeight="1" x14ac:dyDescent="0.35">
      <c r="A181" s="132" t="s">
        <v>174</v>
      </c>
      <c r="B181" s="133" t="s">
        <v>55</v>
      </c>
      <c r="C181" s="133">
        <v>36012</v>
      </c>
      <c r="D181" s="133"/>
      <c r="E181" s="133"/>
      <c r="F181" s="133"/>
      <c r="G181" s="133"/>
    </row>
    <row r="182" spans="1:7" ht="14.25" customHeight="1" x14ac:dyDescent="0.35">
      <c r="A182" s="130" t="s">
        <v>66</v>
      </c>
      <c r="B182" s="131" t="s">
        <v>48</v>
      </c>
      <c r="C182" s="131">
        <v>11029</v>
      </c>
      <c r="D182" s="131"/>
      <c r="E182" s="131"/>
      <c r="F182" s="131"/>
      <c r="G182" s="131"/>
    </row>
    <row r="183" spans="1:7" ht="14.25" customHeight="1" x14ac:dyDescent="0.35">
      <c r="A183" s="132" t="s">
        <v>75</v>
      </c>
      <c r="B183" s="133" t="s">
        <v>50</v>
      </c>
      <c r="C183" s="133">
        <v>44048</v>
      </c>
      <c r="D183" s="133"/>
      <c r="E183" s="133"/>
      <c r="F183" s="133"/>
      <c r="G183" s="133"/>
    </row>
    <row r="184" spans="1:7" ht="14.25" customHeight="1" x14ac:dyDescent="0.35">
      <c r="A184" s="130" t="s">
        <v>203</v>
      </c>
      <c r="B184" s="131" t="s">
        <v>48</v>
      </c>
      <c r="C184" s="131">
        <v>11030</v>
      </c>
      <c r="D184" s="131"/>
      <c r="E184" s="131"/>
      <c r="F184" s="131"/>
      <c r="G184" s="131"/>
    </row>
    <row r="185" spans="1:7" ht="14.25" customHeight="1" x14ac:dyDescent="0.35">
      <c r="A185" s="132" t="s">
        <v>299</v>
      </c>
      <c r="B185" s="133" t="s">
        <v>59</v>
      </c>
      <c r="C185" s="133">
        <v>71045</v>
      </c>
      <c r="D185" s="133"/>
      <c r="E185" s="133"/>
      <c r="F185" s="133"/>
      <c r="G185" s="133"/>
    </row>
    <row r="186" spans="1:7" ht="14.25" customHeight="1" x14ac:dyDescent="0.35">
      <c r="A186" s="130" t="s">
        <v>152</v>
      </c>
      <c r="B186" s="131" t="s">
        <v>55</v>
      </c>
      <c r="C186" s="131">
        <v>38016</v>
      </c>
      <c r="D186" s="131">
        <v>1</v>
      </c>
      <c r="E186" s="131">
        <v>1</v>
      </c>
      <c r="F186" s="131"/>
      <c r="G186" s="131"/>
    </row>
    <row r="187" spans="1:7" ht="14.25" customHeight="1" x14ac:dyDescent="0.35">
      <c r="A187" s="132" t="s">
        <v>124</v>
      </c>
      <c r="B187" s="133" t="s">
        <v>48</v>
      </c>
      <c r="C187" s="133">
        <v>12026</v>
      </c>
      <c r="D187" s="133"/>
      <c r="E187" s="133"/>
      <c r="F187" s="133"/>
      <c r="G187" s="133"/>
    </row>
    <row r="188" spans="1:7" ht="14.25" customHeight="1" x14ac:dyDescent="0.35">
      <c r="A188" s="130" t="s">
        <v>236</v>
      </c>
      <c r="B188" s="131" t="s">
        <v>50</v>
      </c>
      <c r="C188" s="131">
        <v>41048</v>
      </c>
      <c r="D188" s="131"/>
      <c r="E188" s="131"/>
      <c r="F188" s="131"/>
      <c r="G188" s="131"/>
    </row>
    <row r="189" spans="1:7" ht="14.25" customHeight="1" x14ac:dyDescent="0.35">
      <c r="A189" s="132" t="s">
        <v>330</v>
      </c>
      <c r="B189" s="133" t="s">
        <v>48</v>
      </c>
      <c r="C189" s="133">
        <v>13029</v>
      </c>
      <c r="D189" s="133"/>
      <c r="E189" s="133"/>
      <c r="F189" s="133"/>
      <c r="G189" s="133"/>
    </row>
    <row r="190" spans="1:7" ht="14.25" customHeight="1" x14ac:dyDescent="0.35">
      <c r="A190" s="130" t="s">
        <v>64</v>
      </c>
      <c r="B190" s="131" t="s">
        <v>55</v>
      </c>
      <c r="C190" s="131">
        <v>35013</v>
      </c>
      <c r="D190" s="131"/>
      <c r="E190" s="131"/>
      <c r="F190" s="131"/>
      <c r="G190" s="131"/>
    </row>
    <row r="191" spans="1:7" ht="14.25" customHeight="1" x14ac:dyDescent="0.35">
      <c r="A191" s="132" t="s">
        <v>121</v>
      </c>
      <c r="B191" s="133" t="s">
        <v>50</v>
      </c>
      <c r="C191" s="133">
        <v>44052</v>
      </c>
      <c r="D191" s="133"/>
      <c r="E191" s="133"/>
      <c r="F191" s="133"/>
      <c r="G191" s="133"/>
    </row>
    <row r="192" spans="1:7" ht="14.25" customHeight="1" x14ac:dyDescent="0.35">
      <c r="A192" s="130" t="s">
        <v>79</v>
      </c>
      <c r="B192" s="131" t="s">
        <v>55</v>
      </c>
      <c r="C192" s="131">
        <v>31022</v>
      </c>
      <c r="D192" s="131"/>
      <c r="E192" s="131"/>
      <c r="F192" s="131"/>
      <c r="G192" s="131"/>
    </row>
    <row r="193" spans="1:7" ht="14.25" customHeight="1" x14ac:dyDescent="0.35">
      <c r="A193" s="132" t="s">
        <v>194</v>
      </c>
      <c r="B193" s="133" t="s">
        <v>55</v>
      </c>
      <c r="C193" s="133">
        <v>37010</v>
      </c>
      <c r="D193" s="133"/>
      <c r="E193" s="133"/>
      <c r="F193" s="133"/>
      <c r="G193" s="133"/>
    </row>
    <row r="194" spans="1:7" ht="14.25" customHeight="1" x14ac:dyDescent="0.35">
      <c r="A194" s="130" t="s">
        <v>214</v>
      </c>
      <c r="B194" s="131" t="s">
        <v>52</v>
      </c>
      <c r="C194" s="131">
        <v>23060</v>
      </c>
      <c r="D194" s="131"/>
      <c r="E194" s="131"/>
      <c r="F194" s="131"/>
      <c r="G194" s="131"/>
    </row>
    <row r="195" spans="1:7" ht="14.25" customHeight="1" x14ac:dyDescent="0.35">
      <c r="A195" s="132" t="s">
        <v>110</v>
      </c>
      <c r="B195" s="133" t="s">
        <v>52</v>
      </c>
      <c r="C195" s="133">
        <v>24086</v>
      </c>
      <c r="D195" s="133"/>
      <c r="E195" s="133"/>
      <c r="F195" s="133"/>
      <c r="G195" s="133"/>
    </row>
    <row r="196" spans="1:7" ht="14.25" customHeight="1" x14ac:dyDescent="0.35">
      <c r="A196" s="130" t="s">
        <v>159</v>
      </c>
      <c r="B196" s="131" t="s">
        <v>48</v>
      </c>
      <c r="C196" s="131">
        <v>13031</v>
      </c>
      <c r="D196" s="131"/>
      <c r="E196" s="131"/>
      <c r="F196" s="131"/>
      <c r="G196" s="131"/>
    </row>
    <row r="197" spans="1:7" ht="14.25" customHeight="1" x14ac:dyDescent="0.35">
      <c r="A197" s="132" t="s">
        <v>77</v>
      </c>
      <c r="B197" s="133" t="s">
        <v>50</v>
      </c>
      <c r="C197" s="133">
        <v>45035</v>
      </c>
      <c r="D197" s="133">
        <v>2</v>
      </c>
      <c r="E197" s="133">
        <v>2</v>
      </c>
      <c r="F197" s="133">
        <v>3</v>
      </c>
      <c r="G197" s="133">
        <v>3</v>
      </c>
    </row>
    <row r="198" spans="1:7" ht="14.25" customHeight="1" x14ac:dyDescent="0.35">
      <c r="A198" s="130" t="s">
        <v>200</v>
      </c>
      <c r="B198" s="131" t="s">
        <v>55</v>
      </c>
      <c r="C198" s="131">
        <v>35014</v>
      </c>
      <c r="D198" s="131"/>
      <c r="E198" s="131"/>
      <c r="F198" s="131"/>
      <c r="G198" s="131"/>
    </row>
    <row r="199" spans="1:7" ht="14.25" customHeight="1" x14ac:dyDescent="0.35">
      <c r="A199" s="132" t="s">
        <v>234</v>
      </c>
      <c r="B199" s="133" t="s">
        <v>59</v>
      </c>
      <c r="C199" s="133">
        <v>72042</v>
      </c>
      <c r="D199" s="133"/>
      <c r="E199" s="133"/>
      <c r="F199" s="133"/>
      <c r="G199" s="133"/>
    </row>
    <row r="200" spans="1:7" ht="14.25" customHeight="1" x14ac:dyDescent="0.35">
      <c r="A200" s="130" t="s">
        <v>230</v>
      </c>
      <c r="B200" s="131" t="s">
        <v>52</v>
      </c>
      <c r="C200" s="131">
        <v>23062</v>
      </c>
      <c r="D200" s="131"/>
      <c r="E200" s="131"/>
      <c r="F200" s="131"/>
      <c r="G200" s="131"/>
    </row>
    <row r="201" spans="1:7" ht="14.25" customHeight="1" x14ac:dyDescent="0.35">
      <c r="A201" s="132" t="s">
        <v>293</v>
      </c>
      <c r="B201" s="133" t="s">
        <v>52</v>
      </c>
      <c r="C201" s="133"/>
      <c r="D201" s="133"/>
      <c r="E201" s="133"/>
      <c r="F201" s="133"/>
      <c r="G201" s="133"/>
    </row>
    <row r="202" spans="1:7" ht="14.25" customHeight="1" x14ac:dyDescent="0.35">
      <c r="A202" s="130" t="s">
        <v>232</v>
      </c>
      <c r="B202" s="131" t="s">
        <v>59</v>
      </c>
      <c r="C202" s="131">
        <v>72030</v>
      </c>
      <c r="D202" s="131"/>
      <c r="E202" s="131"/>
      <c r="F202" s="131"/>
      <c r="G202" s="131"/>
    </row>
    <row r="203" spans="1:7" ht="14.25" customHeight="1" x14ac:dyDescent="0.35">
      <c r="A203" s="132" t="s">
        <v>310</v>
      </c>
      <c r="B203" s="133" t="s">
        <v>59</v>
      </c>
      <c r="C203" s="133">
        <v>72043</v>
      </c>
      <c r="D203" s="133"/>
      <c r="E203" s="133"/>
      <c r="F203" s="133"/>
      <c r="G203" s="133"/>
    </row>
    <row r="204" spans="1:7" ht="14.25" customHeight="1" x14ac:dyDescent="0.35">
      <c r="A204" s="130" t="s">
        <v>241</v>
      </c>
      <c r="B204" s="131" t="s">
        <v>52</v>
      </c>
      <c r="C204" s="131">
        <v>23064</v>
      </c>
      <c r="D204" s="131"/>
      <c r="E204" s="131"/>
      <c r="F204" s="131"/>
      <c r="G204" s="131"/>
    </row>
    <row r="205" spans="1:7" ht="14.25" customHeight="1" x14ac:dyDescent="0.35">
      <c r="A205" s="132" t="s">
        <v>251</v>
      </c>
      <c r="B205" s="133" t="s">
        <v>55</v>
      </c>
      <c r="C205" s="133">
        <v>37011</v>
      </c>
      <c r="D205" s="133"/>
      <c r="E205" s="133"/>
      <c r="F205" s="133"/>
      <c r="G205" s="133"/>
    </row>
    <row r="206" spans="1:7" ht="14.25" customHeight="1" x14ac:dyDescent="0.35">
      <c r="A206" s="130" t="s">
        <v>98</v>
      </c>
      <c r="B206" s="131" t="s">
        <v>55</v>
      </c>
      <c r="C206" s="131">
        <v>33021</v>
      </c>
      <c r="D206" s="131"/>
      <c r="E206" s="131"/>
      <c r="F206" s="131"/>
      <c r="G206" s="131"/>
    </row>
    <row r="207" spans="1:7" ht="14.25" customHeight="1" x14ac:dyDescent="0.35">
      <c r="A207" s="132" t="s">
        <v>282</v>
      </c>
      <c r="B207" s="133" t="s">
        <v>48</v>
      </c>
      <c r="C207" s="133">
        <v>12029</v>
      </c>
      <c r="D207" s="133"/>
      <c r="E207" s="133"/>
      <c r="F207" s="133"/>
      <c r="G207" s="133"/>
    </row>
    <row r="208" spans="1:7" ht="14.25" customHeight="1" x14ac:dyDescent="0.35">
      <c r="A208" s="130" t="s">
        <v>94</v>
      </c>
      <c r="B208" s="131" t="s">
        <v>48</v>
      </c>
      <c r="C208" s="131">
        <v>12041</v>
      </c>
      <c r="D208" s="131"/>
      <c r="E208" s="131"/>
      <c r="F208" s="131"/>
      <c r="G208" s="131"/>
    </row>
    <row r="209" spans="1:7" ht="14.25" customHeight="1" x14ac:dyDescent="0.35">
      <c r="A209" s="132" t="s">
        <v>284</v>
      </c>
      <c r="B209" s="133" t="s">
        <v>48</v>
      </c>
      <c r="C209" s="133">
        <v>11035</v>
      </c>
      <c r="D209" s="133"/>
      <c r="E209" s="133"/>
      <c r="F209" s="133"/>
      <c r="G209" s="133"/>
    </row>
    <row r="210" spans="1:7" ht="14.25" customHeight="1" x14ac:dyDescent="0.35">
      <c r="A210" s="130" t="s">
        <v>277</v>
      </c>
      <c r="B210" s="131" t="s">
        <v>48</v>
      </c>
      <c r="C210" s="131">
        <v>13035</v>
      </c>
      <c r="D210" s="131"/>
      <c r="E210" s="131"/>
      <c r="F210" s="131"/>
      <c r="G210" s="131"/>
    </row>
    <row r="211" spans="1:7" ht="14.25" customHeight="1" x14ac:dyDescent="0.35">
      <c r="A211" s="132" t="s">
        <v>204</v>
      </c>
      <c r="B211" s="133" t="s">
        <v>48</v>
      </c>
      <c r="C211" s="133">
        <v>13036</v>
      </c>
      <c r="D211" s="133"/>
      <c r="E211" s="133"/>
      <c r="F211" s="133"/>
      <c r="G211" s="133"/>
    </row>
    <row r="212" spans="1:7" ht="14.25" customHeight="1" x14ac:dyDescent="0.35">
      <c r="A212" s="130" t="s">
        <v>332</v>
      </c>
      <c r="B212" s="131" t="s">
        <v>59</v>
      </c>
      <c r="C212" s="131">
        <v>73066</v>
      </c>
      <c r="D212" s="131"/>
      <c r="E212" s="131"/>
      <c r="F212" s="131"/>
      <c r="G212" s="131"/>
    </row>
    <row r="213" spans="1:7" ht="14.25" customHeight="1" x14ac:dyDescent="0.35">
      <c r="A213" s="132" t="s">
        <v>267</v>
      </c>
      <c r="B213" s="133" t="s">
        <v>48</v>
      </c>
      <c r="C213" s="133">
        <v>13037</v>
      </c>
      <c r="D213" s="133"/>
      <c r="E213" s="133"/>
      <c r="F213" s="133"/>
      <c r="G213" s="133"/>
    </row>
    <row r="214" spans="1:7" ht="14.25" customHeight="1" x14ac:dyDescent="0.35">
      <c r="A214" s="130" t="s">
        <v>63</v>
      </c>
      <c r="B214" s="131" t="s">
        <v>55</v>
      </c>
      <c r="C214" s="131">
        <v>36015</v>
      </c>
      <c r="D214" s="131"/>
      <c r="E214" s="131"/>
      <c r="F214" s="131"/>
      <c r="G214" s="131"/>
    </row>
    <row r="215" spans="1:7" ht="14.25" customHeight="1" x14ac:dyDescent="0.35">
      <c r="A215" s="132" t="s">
        <v>141</v>
      </c>
      <c r="B215" s="133" t="s">
        <v>50</v>
      </c>
      <c r="C215" s="133">
        <v>45041</v>
      </c>
      <c r="D215" s="133"/>
      <c r="E215" s="133"/>
      <c r="F215" s="133"/>
      <c r="G215" s="133"/>
    </row>
    <row r="216" spans="1:7" ht="14.25" customHeight="1" x14ac:dyDescent="0.35">
      <c r="A216" s="130" t="s">
        <v>328</v>
      </c>
      <c r="B216" s="131" t="s">
        <v>52</v>
      </c>
      <c r="C216" s="131">
        <v>23097</v>
      </c>
      <c r="D216" s="131"/>
      <c r="E216" s="131"/>
      <c r="F216" s="131"/>
      <c r="G216" s="131"/>
    </row>
    <row r="217" spans="1:7" ht="14.25" customHeight="1" x14ac:dyDescent="0.35">
      <c r="A217" s="132" t="s">
        <v>78</v>
      </c>
      <c r="B217" s="133" t="s">
        <v>52</v>
      </c>
      <c r="C217" s="133">
        <v>24094</v>
      </c>
      <c r="D217" s="133"/>
      <c r="E217" s="133"/>
      <c r="F217" s="133">
        <v>3</v>
      </c>
      <c r="G217" s="133">
        <v>3</v>
      </c>
    </row>
    <row r="218" spans="1:7" ht="14.25" customHeight="1" x14ac:dyDescent="0.35">
      <c r="A218" s="130" t="s">
        <v>160</v>
      </c>
      <c r="B218" s="131" t="s">
        <v>48</v>
      </c>
      <c r="C218" s="131">
        <v>11037</v>
      </c>
      <c r="D218" s="131"/>
      <c r="E218" s="131"/>
      <c r="F218" s="131"/>
      <c r="G218" s="131"/>
    </row>
    <row r="219" spans="1:7" ht="14.25" customHeight="1" x14ac:dyDescent="0.35">
      <c r="A219" s="132" t="s">
        <v>169</v>
      </c>
      <c r="B219" s="133" t="s">
        <v>48</v>
      </c>
      <c r="C219" s="133">
        <v>11038</v>
      </c>
      <c r="D219" s="133"/>
      <c r="E219" s="133"/>
      <c r="F219" s="133"/>
      <c r="G219" s="133"/>
    </row>
    <row r="220" spans="1:7" ht="14.25" customHeight="1" x14ac:dyDescent="0.35">
      <c r="A220" s="130" t="s">
        <v>292</v>
      </c>
      <c r="B220" s="131" t="s">
        <v>52</v>
      </c>
      <c r="C220" s="131">
        <v>24134</v>
      </c>
      <c r="D220" s="131"/>
      <c r="E220" s="131"/>
      <c r="F220" s="131"/>
      <c r="G220" s="131"/>
    </row>
    <row r="221" spans="1:7" ht="14.25" customHeight="1" x14ac:dyDescent="0.35">
      <c r="A221" s="132" t="s">
        <v>311</v>
      </c>
      <c r="B221" s="133" t="s">
        <v>48</v>
      </c>
      <c r="C221" s="133">
        <v>11039</v>
      </c>
      <c r="D221" s="133">
        <v>1</v>
      </c>
      <c r="E221" s="133">
        <v>1</v>
      </c>
      <c r="F221" s="133">
        <v>1</v>
      </c>
      <c r="G221" s="133">
        <v>1</v>
      </c>
    </row>
    <row r="222" spans="1:7" ht="14.25" customHeight="1" x14ac:dyDescent="0.35">
      <c r="A222" s="130" t="s">
        <v>188</v>
      </c>
      <c r="B222" s="131" t="s">
        <v>48</v>
      </c>
      <c r="C222" s="131">
        <v>11040</v>
      </c>
      <c r="D222" s="131"/>
      <c r="E222" s="131"/>
      <c r="F222" s="131"/>
      <c r="G222" s="131"/>
    </row>
    <row r="223" spans="1:7" ht="14.25" customHeight="1" x14ac:dyDescent="0.35">
      <c r="A223" s="132" t="s">
        <v>220</v>
      </c>
      <c r="B223" s="133" t="s">
        <v>52</v>
      </c>
      <c r="C223" s="133">
        <v>23101</v>
      </c>
      <c r="D223" s="133"/>
      <c r="E223" s="133"/>
      <c r="F223" s="133"/>
      <c r="G223" s="133"/>
    </row>
    <row r="224" spans="1:7" ht="14.25" customHeight="1" x14ac:dyDescent="0.35">
      <c r="A224" s="130" t="s">
        <v>226</v>
      </c>
      <c r="B224" s="131" t="s">
        <v>50</v>
      </c>
      <c r="C224" s="131">
        <v>46020</v>
      </c>
      <c r="D224" s="131"/>
      <c r="E224" s="131"/>
      <c r="F224" s="131"/>
      <c r="G224" s="131"/>
    </row>
    <row r="225" spans="1:7" ht="14.25" customHeight="1" x14ac:dyDescent="0.35">
      <c r="A225" s="132" t="s">
        <v>183</v>
      </c>
      <c r="B225" s="133" t="s">
        <v>48</v>
      </c>
      <c r="C225" s="133">
        <v>12035</v>
      </c>
      <c r="D225" s="133"/>
      <c r="E225" s="133"/>
      <c r="F225" s="133"/>
      <c r="G225" s="133"/>
    </row>
    <row r="226" spans="1:7" ht="14.25" customHeight="1" x14ac:dyDescent="0.35">
      <c r="A226" s="130" t="s">
        <v>250</v>
      </c>
      <c r="B226" s="131" t="s">
        <v>50</v>
      </c>
      <c r="C226" s="131">
        <v>43014</v>
      </c>
      <c r="D226" s="131"/>
      <c r="E226" s="131"/>
      <c r="F226" s="131"/>
      <c r="G226" s="131"/>
    </row>
    <row r="227" spans="1:7" ht="14.25" customHeight="1" x14ac:dyDescent="0.35">
      <c r="A227" s="132" t="s">
        <v>202</v>
      </c>
      <c r="B227" s="133" t="s">
        <v>50</v>
      </c>
      <c r="C227" s="133">
        <v>41063</v>
      </c>
      <c r="D227" s="133"/>
      <c r="E227" s="133"/>
      <c r="F227" s="133"/>
      <c r="G227" s="133"/>
    </row>
    <row r="228" spans="1:7" ht="14.25" customHeight="1" x14ac:dyDescent="0.35">
      <c r="A228" s="130" t="s">
        <v>148</v>
      </c>
      <c r="B228" s="131" t="s">
        <v>50</v>
      </c>
      <c r="C228" s="131">
        <v>44064</v>
      </c>
      <c r="D228" s="131">
        <v>6</v>
      </c>
      <c r="E228" s="131">
        <v>6</v>
      </c>
      <c r="F228" s="131">
        <v>5</v>
      </c>
      <c r="G228" s="131">
        <v>5</v>
      </c>
    </row>
    <row r="229" spans="1:7" ht="14.25" customHeight="1" x14ac:dyDescent="0.35">
      <c r="A229" s="132" t="s">
        <v>57</v>
      </c>
      <c r="B229" s="133" t="s">
        <v>50</v>
      </c>
      <c r="C229" s="133">
        <v>46021</v>
      </c>
      <c r="D229" s="133"/>
      <c r="E229" s="133"/>
      <c r="F229" s="133"/>
      <c r="G229" s="133"/>
    </row>
    <row r="230" spans="1:7" ht="14.25" customHeight="1" x14ac:dyDescent="0.35">
      <c r="A230" s="130" t="s">
        <v>132</v>
      </c>
      <c r="B230" s="131" t="s">
        <v>52</v>
      </c>
      <c r="C230" s="131">
        <v>23077</v>
      </c>
      <c r="D230" s="131"/>
      <c r="E230" s="131"/>
      <c r="F230" s="131"/>
      <c r="G230" s="131"/>
    </row>
    <row r="231" spans="1:7" ht="14.25" customHeight="1" x14ac:dyDescent="0.35">
      <c r="A231" s="132" t="s">
        <v>189</v>
      </c>
      <c r="B231" s="133" t="s">
        <v>59</v>
      </c>
      <c r="C231" s="133">
        <v>71053</v>
      </c>
      <c r="D231" s="133"/>
      <c r="E231" s="133"/>
      <c r="F231" s="133"/>
      <c r="G231" s="133"/>
    </row>
    <row r="232" spans="1:7" ht="14.25" customHeight="1" x14ac:dyDescent="0.35">
      <c r="A232" s="130" t="s">
        <v>314</v>
      </c>
      <c r="B232" s="131" t="s">
        <v>55</v>
      </c>
      <c r="C232" s="131">
        <v>34043</v>
      </c>
      <c r="D232" s="131"/>
      <c r="E232" s="131"/>
      <c r="F232" s="131"/>
      <c r="G232" s="131"/>
    </row>
    <row r="233" spans="1:7" ht="14.25" customHeight="1" x14ac:dyDescent="0.35">
      <c r="A233" s="132" t="s">
        <v>336</v>
      </c>
      <c r="B233" s="133" t="s">
        <v>48</v>
      </c>
      <c r="C233" s="133">
        <v>11044</v>
      </c>
      <c r="D233" s="133"/>
      <c r="E233" s="133"/>
      <c r="F233" s="133"/>
      <c r="G233" s="133"/>
    </row>
    <row r="234" spans="1:7" ht="14.25" customHeight="1" x14ac:dyDescent="0.35">
      <c r="A234" s="130" t="s">
        <v>154</v>
      </c>
      <c r="B234" s="131" t="s">
        <v>55</v>
      </c>
      <c r="C234" s="131">
        <v>36019</v>
      </c>
      <c r="D234" s="131"/>
      <c r="E234" s="131"/>
      <c r="F234" s="131"/>
      <c r="G234" s="131"/>
    </row>
    <row r="235" spans="1:7" ht="14.25" customHeight="1" x14ac:dyDescent="0.35">
      <c r="A235" s="132" t="s">
        <v>208</v>
      </c>
      <c r="B235" s="133" t="s">
        <v>52</v>
      </c>
      <c r="C235" s="133">
        <v>23081</v>
      </c>
      <c r="D235" s="133"/>
      <c r="E235" s="133"/>
      <c r="F235" s="133"/>
      <c r="G235" s="133"/>
    </row>
    <row r="236" spans="1:7" ht="14.25" customHeight="1" x14ac:dyDescent="0.35">
      <c r="A236" s="130" t="s">
        <v>285</v>
      </c>
      <c r="B236" s="131" t="s">
        <v>50</v>
      </c>
      <c r="C236" s="131">
        <v>46024</v>
      </c>
      <c r="D236" s="131"/>
      <c r="E236" s="131"/>
      <c r="F236" s="131"/>
      <c r="G236" s="131"/>
    </row>
    <row r="237" spans="1:7" ht="14.25" customHeight="1" x14ac:dyDescent="0.35">
      <c r="A237" s="132" t="s">
        <v>166</v>
      </c>
      <c r="B237" s="133" t="s">
        <v>50</v>
      </c>
      <c r="C237" s="133">
        <v>46025</v>
      </c>
      <c r="D237" s="133"/>
      <c r="E237" s="133"/>
      <c r="F237" s="133"/>
      <c r="G237" s="133"/>
    </row>
    <row r="238" spans="1:7" ht="14.25" customHeight="1" x14ac:dyDescent="0.35">
      <c r="A238" s="130" t="s">
        <v>217</v>
      </c>
      <c r="B238" s="131" t="s">
        <v>52</v>
      </c>
      <c r="C238" s="131">
        <v>23086</v>
      </c>
      <c r="D238" s="131"/>
      <c r="E238" s="131"/>
      <c r="F238" s="131"/>
      <c r="G238" s="131"/>
    </row>
    <row r="239" spans="1:7" ht="14.25" customHeight="1" x14ac:dyDescent="0.35">
      <c r="A239" s="132" t="s">
        <v>87</v>
      </c>
      <c r="B239" s="133" t="s">
        <v>52</v>
      </c>
      <c r="C239" s="133">
        <v>24104</v>
      </c>
      <c r="D239" s="133"/>
      <c r="E239" s="133"/>
      <c r="F239" s="133"/>
      <c r="G239" s="133"/>
    </row>
    <row r="240" spans="1:7" ht="14.25" customHeight="1" x14ac:dyDescent="0.35">
      <c r="A240" s="130" t="s">
        <v>147</v>
      </c>
      <c r="B240" s="131" t="s">
        <v>59</v>
      </c>
      <c r="C240" s="131">
        <v>71057</v>
      </c>
      <c r="D240" s="131"/>
      <c r="E240" s="131"/>
      <c r="F240" s="131"/>
      <c r="G240" s="131"/>
    </row>
    <row r="241" spans="1:7" ht="14.25" customHeight="1" x14ac:dyDescent="0.35">
      <c r="A241" s="132" t="s">
        <v>102</v>
      </c>
      <c r="B241" s="133" t="s">
        <v>55</v>
      </c>
      <c r="C241" s="133">
        <v>37015</v>
      </c>
      <c r="D241" s="133"/>
      <c r="E241" s="133"/>
      <c r="F241" s="133"/>
      <c r="G241" s="133"/>
    </row>
    <row r="242" spans="1:7" ht="14.25" customHeight="1" x14ac:dyDescent="0.35">
      <c r="A242" s="130" t="s">
        <v>302</v>
      </c>
      <c r="B242" s="131" t="s">
        <v>52</v>
      </c>
      <c r="C242" s="131">
        <v>24135</v>
      </c>
      <c r="D242" s="131"/>
      <c r="E242" s="131"/>
      <c r="F242" s="131"/>
      <c r="G242" s="131"/>
    </row>
    <row r="243" spans="1:7" ht="14.25" customHeight="1" x14ac:dyDescent="0.35">
      <c r="A243" s="132" t="s">
        <v>104</v>
      </c>
      <c r="B243" s="133" t="s">
        <v>52</v>
      </c>
      <c r="C243" s="133">
        <v>24107</v>
      </c>
      <c r="D243" s="133"/>
      <c r="E243" s="133"/>
      <c r="F243" s="133"/>
      <c r="G243" s="133"/>
    </row>
    <row r="244" spans="1:7" ht="14.25" customHeight="1" x14ac:dyDescent="0.35">
      <c r="A244" s="130" t="s">
        <v>133</v>
      </c>
      <c r="B244" s="131" t="s">
        <v>59</v>
      </c>
      <c r="C244" s="131">
        <v>73083</v>
      </c>
      <c r="D244" s="131"/>
      <c r="E244" s="131"/>
      <c r="F244" s="131"/>
      <c r="G244" s="131"/>
    </row>
    <row r="245" spans="1:7" ht="14.25" customHeight="1" x14ac:dyDescent="0.35">
      <c r="A245" s="132" t="s">
        <v>93</v>
      </c>
      <c r="B245" s="133" t="s">
        <v>55</v>
      </c>
      <c r="C245" s="133">
        <v>31033</v>
      </c>
      <c r="D245" s="133"/>
      <c r="E245" s="133"/>
      <c r="F245" s="133"/>
      <c r="G245" s="133"/>
    </row>
    <row r="246" spans="1:7" ht="14.25" customHeight="1" x14ac:dyDescent="0.35">
      <c r="A246" s="130" t="s">
        <v>215</v>
      </c>
      <c r="B246" s="131" t="s">
        <v>52</v>
      </c>
      <c r="C246" s="131">
        <v>24109</v>
      </c>
      <c r="D246" s="131"/>
      <c r="E246" s="131"/>
      <c r="F246" s="131"/>
      <c r="G246" s="131"/>
    </row>
    <row r="247" spans="1:7" ht="14.25" customHeight="1" x14ac:dyDescent="0.35">
      <c r="A247" s="132" t="s">
        <v>61</v>
      </c>
      <c r="B247" s="133" t="s">
        <v>48</v>
      </c>
      <c r="C247" s="133">
        <v>13040</v>
      </c>
      <c r="D247" s="133"/>
      <c r="E247" s="133"/>
      <c r="F247" s="133"/>
      <c r="G247" s="133"/>
    </row>
    <row r="248" spans="1:7" ht="14.25" customHeight="1" x14ac:dyDescent="0.35">
      <c r="A248" s="130" t="s">
        <v>175</v>
      </c>
      <c r="B248" s="131" t="s">
        <v>55</v>
      </c>
      <c r="C248" s="131">
        <v>38025</v>
      </c>
      <c r="D248" s="131"/>
      <c r="E248" s="131"/>
      <c r="F248" s="131"/>
      <c r="G248" s="131"/>
    </row>
    <row r="249" spans="1:7" ht="14.25" customHeight="1" x14ac:dyDescent="0.35">
      <c r="A249" s="132" t="s">
        <v>74</v>
      </c>
      <c r="B249" s="133" t="s">
        <v>52</v>
      </c>
      <c r="C249" s="133">
        <v>23088</v>
      </c>
      <c r="D249" s="133"/>
      <c r="E249" s="133"/>
      <c r="F249" s="133"/>
      <c r="G249" s="133"/>
    </row>
    <row r="250" spans="1:7" ht="14.25" customHeight="1" x14ac:dyDescent="0.35">
      <c r="A250" s="130" t="s">
        <v>240</v>
      </c>
      <c r="B250" s="131" t="s">
        <v>55</v>
      </c>
      <c r="C250" s="131">
        <v>33041</v>
      </c>
      <c r="D250" s="131"/>
      <c r="E250" s="131"/>
      <c r="F250" s="131"/>
      <c r="G250" s="131"/>
    </row>
    <row r="251" spans="1:7" ht="14.25" customHeight="1" x14ac:dyDescent="0.35">
      <c r="A251" s="132" t="s">
        <v>318</v>
      </c>
      <c r="B251" s="133" t="s">
        <v>59</v>
      </c>
      <c r="C251" s="133">
        <v>73109</v>
      </c>
      <c r="D251" s="133"/>
      <c r="E251" s="133"/>
      <c r="F251" s="133"/>
      <c r="G251" s="133"/>
    </row>
    <row r="252" spans="1:7" ht="14.25" customHeight="1" x14ac:dyDescent="0.35">
      <c r="A252" s="130" t="s">
        <v>195</v>
      </c>
      <c r="B252" s="131" t="s">
        <v>48</v>
      </c>
      <c r="C252" s="131">
        <v>13044</v>
      </c>
      <c r="D252" s="131"/>
      <c r="E252" s="131"/>
      <c r="F252" s="131"/>
      <c r="G252" s="131"/>
    </row>
    <row r="253" spans="1:7" ht="14.25" customHeight="1" x14ac:dyDescent="0.35">
      <c r="A253" s="132" t="s">
        <v>264</v>
      </c>
      <c r="B253" s="133" t="s">
        <v>48</v>
      </c>
      <c r="C253" s="133">
        <v>13046</v>
      </c>
      <c r="D253" s="133"/>
      <c r="E253" s="133"/>
      <c r="F253" s="133"/>
      <c r="G253" s="133"/>
    </row>
    <row r="254" spans="1:7" ht="14.25" customHeight="1" x14ac:dyDescent="0.35">
      <c r="A254" s="130" t="s">
        <v>262</v>
      </c>
      <c r="B254" s="131" t="s">
        <v>50</v>
      </c>
      <c r="C254" s="131">
        <v>42023</v>
      </c>
      <c r="D254" s="131"/>
      <c r="E254" s="131"/>
      <c r="F254" s="131"/>
      <c r="G254" s="131"/>
    </row>
    <row r="255" spans="1:7" ht="14.25" customHeight="1" x14ac:dyDescent="0.35">
      <c r="A255" s="132" t="s">
        <v>146</v>
      </c>
      <c r="B255" s="133" t="s">
        <v>55</v>
      </c>
      <c r="C255" s="133">
        <v>34040</v>
      </c>
      <c r="D255" s="133"/>
      <c r="E255" s="133"/>
      <c r="F255" s="133"/>
      <c r="G255" s="133"/>
    </row>
    <row r="256" spans="1:7" ht="14.25" customHeight="1" x14ac:dyDescent="0.35">
      <c r="A256" s="130" t="s">
        <v>322</v>
      </c>
      <c r="B256" s="131" t="s">
        <v>59</v>
      </c>
      <c r="C256" s="131">
        <v>73098</v>
      </c>
      <c r="D256" s="131"/>
      <c r="E256" s="131"/>
      <c r="F256" s="131"/>
      <c r="G256" s="131"/>
    </row>
    <row r="257" spans="1:7" ht="14.25" customHeight="1" x14ac:dyDescent="0.35">
      <c r="A257" s="132" t="s">
        <v>162</v>
      </c>
      <c r="B257" s="133" t="s">
        <v>52</v>
      </c>
      <c r="C257" s="133">
        <v>23102</v>
      </c>
      <c r="D257" s="133"/>
      <c r="E257" s="133"/>
      <c r="F257" s="133"/>
      <c r="G257" s="133"/>
    </row>
    <row r="258" spans="1:7" ht="14.25" customHeight="1" x14ac:dyDescent="0.35">
      <c r="A258" s="130" t="s">
        <v>222</v>
      </c>
      <c r="B258" s="131" t="s">
        <v>55</v>
      </c>
      <c r="C258" s="131">
        <v>33029</v>
      </c>
      <c r="D258" s="131"/>
      <c r="E258" s="131"/>
      <c r="F258" s="131"/>
      <c r="G258" s="131"/>
    </row>
    <row r="259" spans="1:7" ht="14.25" customHeight="1" x14ac:dyDescent="0.35">
      <c r="A259" s="132" t="s">
        <v>101</v>
      </c>
      <c r="B259" s="133" t="s">
        <v>48</v>
      </c>
      <c r="C259" s="133">
        <v>13049</v>
      </c>
      <c r="D259" s="133"/>
      <c r="E259" s="133"/>
      <c r="F259" s="133"/>
      <c r="G259" s="133"/>
    </row>
    <row r="260" spans="1:7" ht="14.25" customHeight="1" x14ac:dyDescent="0.35">
      <c r="A260" s="130" t="s">
        <v>89</v>
      </c>
      <c r="B260" s="131" t="s">
        <v>50</v>
      </c>
      <c r="C260" s="131">
        <v>42025</v>
      </c>
      <c r="D260" s="131"/>
      <c r="E260" s="131"/>
      <c r="F260" s="131"/>
      <c r="G260" s="131"/>
    </row>
    <row r="261" spans="1:7" ht="14.25" customHeight="1" x14ac:dyDescent="0.35">
      <c r="A261" s="132" t="s">
        <v>143</v>
      </c>
      <c r="B261" s="133" t="s">
        <v>55</v>
      </c>
      <c r="C261" s="133">
        <v>34041</v>
      </c>
      <c r="D261" s="133"/>
      <c r="E261" s="133"/>
      <c r="F261" s="133"/>
      <c r="G261" s="133"/>
    </row>
    <row r="262" spans="1:7" ht="14.25" customHeight="1" x14ac:dyDescent="0.35">
      <c r="A262" s="130" t="s">
        <v>213</v>
      </c>
      <c r="B262" s="131" t="s">
        <v>52</v>
      </c>
      <c r="C262" s="131">
        <v>23103</v>
      </c>
      <c r="D262" s="131"/>
      <c r="E262" s="131"/>
      <c r="F262" s="131"/>
      <c r="G262" s="131"/>
    </row>
    <row r="263" spans="1:7" ht="14.25" customHeight="1" x14ac:dyDescent="0.35">
      <c r="A263" s="132" t="s">
        <v>205</v>
      </c>
      <c r="B263" s="133" t="s">
        <v>50</v>
      </c>
      <c r="C263" s="133">
        <v>42026</v>
      </c>
      <c r="D263" s="133"/>
      <c r="E263" s="133"/>
      <c r="F263" s="133"/>
      <c r="G263" s="133"/>
    </row>
    <row r="264" spans="1:7" ht="14.25" customHeight="1" x14ac:dyDescent="0.35">
      <c r="A264" s="130" t="s">
        <v>201</v>
      </c>
      <c r="B264" s="131" t="s">
        <v>55</v>
      </c>
      <c r="C264" s="131">
        <v>37017</v>
      </c>
      <c r="D264" s="131"/>
      <c r="E264" s="131"/>
      <c r="F264" s="131"/>
      <c r="G264" s="131"/>
    </row>
    <row r="265" spans="1:7" ht="14.25" customHeight="1" x14ac:dyDescent="0.35">
      <c r="A265" s="132" t="s">
        <v>151</v>
      </c>
      <c r="B265" s="133" t="s">
        <v>48</v>
      </c>
      <c r="C265" s="133">
        <v>11050</v>
      </c>
      <c r="D265" s="133"/>
      <c r="E265" s="133"/>
      <c r="F265" s="133"/>
      <c r="G265" s="133"/>
    </row>
    <row r="266" spans="1:7" ht="14.25" customHeight="1" x14ac:dyDescent="0.35">
      <c r="A266" s="130" t="s">
        <v>142</v>
      </c>
      <c r="B266" s="131" t="s">
        <v>48</v>
      </c>
      <c r="C266" s="131">
        <v>12040</v>
      </c>
      <c r="D266" s="131"/>
      <c r="E266" s="131"/>
      <c r="F266" s="131"/>
      <c r="G266" s="131"/>
    </row>
    <row r="267" spans="1:7" ht="14.25" customHeight="1" x14ac:dyDescent="0.35">
      <c r="A267" s="132" t="s">
        <v>115</v>
      </c>
      <c r="B267" s="133" t="s">
        <v>55</v>
      </c>
      <c r="C267" s="133">
        <v>37018</v>
      </c>
      <c r="D267" s="133"/>
      <c r="E267" s="133"/>
      <c r="F267" s="133"/>
      <c r="G267" s="133"/>
    </row>
    <row r="268" spans="1:7" ht="14.25" customHeight="1" x14ac:dyDescent="0.35">
      <c r="A268" s="130" t="s">
        <v>210</v>
      </c>
      <c r="B268" s="131" t="s">
        <v>48</v>
      </c>
      <c r="C268" s="131">
        <v>11052</v>
      </c>
      <c r="D268" s="131"/>
      <c r="E268" s="131"/>
      <c r="F268" s="131"/>
      <c r="G268" s="131"/>
    </row>
    <row r="269" spans="1:7" ht="14.25" customHeight="1" x14ac:dyDescent="0.35">
      <c r="A269" s="132" t="s">
        <v>246</v>
      </c>
      <c r="B269" s="133" t="s">
        <v>50</v>
      </c>
      <c r="C269" s="133">
        <v>45061</v>
      </c>
      <c r="D269" s="133"/>
      <c r="E269" s="133"/>
      <c r="F269" s="133"/>
      <c r="G269" s="133"/>
    </row>
    <row r="270" spans="1:7" ht="14.25" customHeight="1" x14ac:dyDescent="0.35">
      <c r="A270" s="130" t="s">
        <v>290</v>
      </c>
      <c r="B270" s="131" t="s">
        <v>48</v>
      </c>
      <c r="C270" s="131">
        <v>11053</v>
      </c>
      <c r="D270" s="131"/>
      <c r="E270" s="131"/>
      <c r="F270" s="131"/>
      <c r="G270" s="131"/>
    </row>
    <row r="271" spans="1:7" ht="14.25" customHeight="1" x14ac:dyDescent="0.35">
      <c r="A271" s="132" t="s">
        <v>305</v>
      </c>
      <c r="B271" s="133" t="s">
        <v>48</v>
      </c>
      <c r="C271" s="133">
        <v>11054</v>
      </c>
      <c r="D271" s="133"/>
      <c r="E271" s="133"/>
      <c r="F271" s="133"/>
      <c r="G271" s="133"/>
    </row>
    <row r="272" spans="1:7" ht="14.25" customHeight="1" x14ac:dyDescent="0.35">
      <c r="A272" s="130" t="s">
        <v>105</v>
      </c>
      <c r="B272" s="131" t="s">
        <v>52</v>
      </c>
      <c r="C272" s="131">
        <v>23094</v>
      </c>
      <c r="D272" s="131"/>
      <c r="E272" s="131"/>
      <c r="F272" s="131"/>
      <c r="G272" s="131"/>
    </row>
    <row r="273" spans="1:7" ht="14.25" customHeight="1" x14ac:dyDescent="0.35">
      <c r="A273" s="132" t="s">
        <v>164</v>
      </c>
      <c r="B273" s="133" t="s">
        <v>55</v>
      </c>
      <c r="C273" s="133">
        <v>31040</v>
      </c>
      <c r="D273" s="133"/>
      <c r="E273" s="133"/>
      <c r="F273" s="133"/>
      <c r="G273" s="133"/>
    </row>
    <row r="274" spans="1:7" ht="14.25" customHeight="1" x14ac:dyDescent="0.35">
      <c r="A274" s="130" t="s">
        <v>228</v>
      </c>
      <c r="B274" s="131" t="s">
        <v>50</v>
      </c>
      <c r="C274" s="131">
        <v>42028</v>
      </c>
      <c r="D274" s="131"/>
      <c r="E274" s="131"/>
      <c r="F274" s="131"/>
      <c r="G274" s="131"/>
    </row>
    <row r="275" spans="1:7" ht="14.25" customHeight="1" x14ac:dyDescent="0.35">
      <c r="A275" s="132" t="s">
        <v>269</v>
      </c>
      <c r="B275" s="133" t="s">
        <v>50</v>
      </c>
      <c r="C275" s="133">
        <v>43018</v>
      </c>
      <c r="D275" s="133"/>
      <c r="E275" s="133"/>
      <c r="F275" s="133"/>
      <c r="G275" s="133"/>
    </row>
    <row r="276" spans="1:7" ht="14.25" customHeight="1" x14ac:dyDescent="0.35">
      <c r="A276" s="130" t="s">
        <v>119</v>
      </c>
      <c r="B276" s="131" t="s">
        <v>52</v>
      </c>
      <c r="C276" s="131">
        <v>23096</v>
      </c>
      <c r="D276" s="131"/>
      <c r="E276" s="131"/>
      <c r="F276" s="131"/>
      <c r="G276" s="131"/>
    </row>
    <row r="277" spans="1:7" ht="14.25" customHeight="1" x14ac:dyDescent="0.35">
      <c r="A277" s="132" t="s">
        <v>291</v>
      </c>
      <c r="B277" s="133" t="s">
        <v>48</v>
      </c>
      <c r="C277" s="133">
        <v>11055</v>
      </c>
      <c r="D277" s="133"/>
      <c r="E277" s="133"/>
      <c r="F277" s="133"/>
      <c r="G277" s="133"/>
    </row>
    <row r="278" spans="1:7" ht="14.25" customHeight="1" x14ac:dyDescent="0.35">
      <c r="A278" s="130" t="s">
        <v>289</v>
      </c>
      <c r="B278" s="131" t="s">
        <v>59</v>
      </c>
      <c r="C278" s="131">
        <v>71066</v>
      </c>
      <c r="D278" s="131"/>
      <c r="E278" s="131"/>
      <c r="F278" s="131"/>
      <c r="G278" s="131"/>
    </row>
    <row r="279" spans="1:7" ht="14.25" customHeight="1" x14ac:dyDescent="0.35">
      <c r="A279" s="132" t="s">
        <v>137</v>
      </c>
      <c r="B279" s="133" t="s">
        <v>55</v>
      </c>
      <c r="C279" s="133">
        <v>33037</v>
      </c>
      <c r="D279" s="133"/>
      <c r="E279" s="133"/>
      <c r="F279" s="133"/>
      <c r="G279" s="133"/>
    </row>
    <row r="280" spans="1:7" ht="14.25" customHeight="1" x14ac:dyDescent="0.35">
      <c r="A280" s="130" t="s">
        <v>120</v>
      </c>
      <c r="B280" s="131" t="s">
        <v>50</v>
      </c>
      <c r="C280" s="131">
        <v>41081</v>
      </c>
      <c r="D280" s="131"/>
      <c r="E280" s="131"/>
      <c r="F280" s="131"/>
      <c r="G280" s="131"/>
    </row>
    <row r="281" spans="1:7" ht="14.25" customHeight="1" x14ac:dyDescent="0.35">
      <c r="A281" s="132" t="s">
        <v>255</v>
      </c>
      <c r="B281" s="133" t="s">
        <v>52</v>
      </c>
      <c r="C281" s="133">
        <v>24130</v>
      </c>
      <c r="D281" s="133"/>
      <c r="E281" s="133"/>
      <c r="F281" s="133"/>
      <c r="G281" s="133"/>
    </row>
    <row r="282" spans="1:7" ht="14.25" customHeight="1" x14ac:dyDescent="0.35">
      <c r="A282" s="130" t="s">
        <v>316</v>
      </c>
      <c r="B282" s="131" t="s">
        <v>55</v>
      </c>
      <c r="C282" s="131">
        <v>31042</v>
      </c>
      <c r="D282" s="131"/>
      <c r="E282" s="131"/>
      <c r="F282" s="131"/>
      <c r="G282" s="131"/>
    </row>
    <row r="283" spans="1:7" ht="14.25" customHeight="1" x14ac:dyDescent="0.35">
      <c r="A283" s="132" t="s">
        <v>111</v>
      </c>
      <c r="B283" s="133" t="s">
        <v>50</v>
      </c>
      <c r="C283" s="133">
        <v>44081</v>
      </c>
      <c r="D283" s="133"/>
      <c r="E283" s="133"/>
      <c r="F283" s="133">
        <v>1</v>
      </c>
      <c r="G283" s="133">
        <v>1</v>
      </c>
    </row>
    <row r="284" spans="1:7" ht="14.25" customHeight="1" x14ac:dyDescent="0.35">
      <c r="A284" s="130" t="s">
        <v>321</v>
      </c>
      <c r="B284" s="131" t="s">
        <v>59</v>
      </c>
      <c r="C284" s="131">
        <v>71067</v>
      </c>
      <c r="D284" s="131"/>
      <c r="E284" s="131"/>
      <c r="F284" s="131"/>
      <c r="G284" s="131"/>
    </row>
    <row r="285" spans="1:7" ht="14.25" customHeight="1" x14ac:dyDescent="0.35">
      <c r="A285" s="132" t="s">
        <v>149</v>
      </c>
      <c r="B285" s="133" t="s">
        <v>50</v>
      </c>
      <c r="C285" s="133">
        <v>45065</v>
      </c>
      <c r="D285" s="133"/>
      <c r="E285" s="133"/>
      <c r="F285" s="133"/>
      <c r="G285" s="133"/>
    </row>
    <row r="286" spans="1:7" ht="14.25" customHeight="1" x14ac:dyDescent="0.35">
      <c r="A286" s="130" t="s">
        <v>186</v>
      </c>
      <c r="B286" s="131" t="s">
        <v>55</v>
      </c>
      <c r="C286" s="131">
        <v>34042</v>
      </c>
      <c r="D286" s="131">
        <v>1</v>
      </c>
      <c r="E286" s="131">
        <v>1</v>
      </c>
      <c r="F286" s="131">
        <v>1</v>
      </c>
      <c r="G286" s="131">
        <v>1</v>
      </c>
    </row>
    <row r="287" spans="1:7" ht="14.25" customHeight="1" x14ac:dyDescent="0.35">
      <c r="A287" s="132"/>
      <c r="B287" s="133"/>
      <c r="C287" s="133"/>
      <c r="D287" s="133">
        <f t="shared" ref="D287:G287" si="0">SUM(D2:D286)</f>
        <v>214</v>
      </c>
      <c r="E287" s="133">
        <f t="shared" si="0"/>
        <v>214</v>
      </c>
      <c r="F287" s="133">
        <f t="shared" si="0"/>
        <v>216</v>
      </c>
      <c r="G287" s="133">
        <f t="shared" si="0"/>
        <v>216</v>
      </c>
    </row>
    <row r="288" spans="1:7"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sheetData>
  <autoFilter ref="A1:G287" xr:uid="{00000000-0009-0000-0000-000004000000}"/>
  <dataValidations count="2">
    <dataValidation type="custom" allowBlank="1" showDropDown="1" sqref="C2:C286" xr:uid="{00000000-0002-0000-0400-000000000000}">
      <formula1>AND(ISNUMBER(C2),(NOT(OR(NOT(ISERROR(DATEVALUE(C2))), AND(ISNUMBER(C2), LEFT(CELL("format", C2))="D")))))</formula1>
    </dataValidation>
    <dataValidation type="list" allowBlank="1" showDropDown="1" showErrorMessage="1" sqref="B2:B286" xr:uid="{00000000-0002-0000-0400-000001000000}">
      <formula1>"Oost-Vlaanderen,Vlaams-Brabant,Antwerpen,Limburg,West-Vlaanderen"</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19.81640625" customWidth="1"/>
    <col min="2" max="2" width="15.81640625" customWidth="1"/>
    <col min="3" max="3" width="10.26953125" customWidth="1"/>
    <col min="4" max="4" width="13.26953125" customWidth="1"/>
    <col min="5" max="5" width="14.81640625" customWidth="1"/>
    <col min="6" max="6" width="14.26953125" customWidth="1"/>
    <col min="7" max="7" width="15.26953125" customWidth="1"/>
    <col min="8" max="8" width="8.7265625" customWidth="1"/>
  </cols>
  <sheetData>
    <row r="1" spans="1:7" ht="45.75" customHeight="1" x14ac:dyDescent="0.35">
      <c r="A1" s="128" t="s">
        <v>0</v>
      </c>
      <c r="B1" s="129" t="s">
        <v>1</v>
      </c>
      <c r="C1" s="128" t="s">
        <v>2</v>
      </c>
      <c r="D1" s="128" t="s">
        <v>35</v>
      </c>
      <c r="E1" s="128" t="s">
        <v>36</v>
      </c>
      <c r="F1" s="128" t="s">
        <v>41</v>
      </c>
      <c r="G1" s="128" t="s">
        <v>42</v>
      </c>
    </row>
    <row r="2" spans="1:7" ht="14.25" customHeight="1" x14ac:dyDescent="0.35">
      <c r="A2" s="130" t="s">
        <v>65</v>
      </c>
      <c r="B2" s="131" t="s">
        <v>50</v>
      </c>
      <c r="C2" s="131">
        <v>41002</v>
      </c>
      <c r="D2" s="131">
        <v>18</v>
      </c>
      <c r="E2" s="131">
        <v>1</v>
      </c>
      <c r="F2" s="131">
        <v>18</v>
      </c>
      <c r="G2" s="131">
        <v>1</v>
      </c>
    </row>
    <row r="3" spans="1:7" ht="14.25" customHeight="1" x14ac:dyDescent="0.35">
      <c r="A3" s="132" t="s">
        <v>231</v>
      </c>
      <c r="B3" s="133" t="s">
        <v>50</v>
      </c>
      <c r="C3" s="133">
        <v>44084</v>
      </c>
      <c r="D3" s="133">
        <v>2</v>
      </c>
      <c r="E3" s="133">
        <v>2</v>
      </c>
      <c r="F3" s="133">
        <v>3</v>
      </c>
      <c r="G3" s="133">
        <v>2</v>
      </c>
    </row>
    <row r="4" spans="1:7" ht="14.25" customHeight="1" x14ac:dyDescent="0.35">
      <c r="A4" s="130" t="s">
        <v>84</v>
      </c>
      <c r="B4" s="131" t="s">
        <v>52</v>
      </c>
      <c r="C4" s="131">
        <v>24001</v>
      </c>
      <c r="D4" s="131">
        <v>7</v>
      </c>
      <c r="E4" s="131">
        <v>5</v>
      </c>
      <c r="F4" s="131">
        <v>7</v>
      </c>
      <c r="G4" s="131">
        <v>5</v>
      </c>
    </row>
    <row r="5" spans="1:7" ht="14.25" customHeight="1" x14ac:dyDescent="0.35">
      <c r="A5" s="132" t="s">
        <v>335</v>
      </c>
      <c r="B5" s="133" t="s">
        <v>48</v>
      </c>
      <c r="C5" s="133">
        <v>11001</v>
      </c>
      <c r="D5" s="133"/>
      <c r="E5" s="133"/>
      <c r="F5" s="133"/>
      <c r="G5" s="133"/>
    </row>
    <row r="6" spans="1:7" ht="14.25" customHeight="1" x14ac:dyDescent="0.35">
      <c r="A6" s="130" t="s">
        <v>306</v>
      </c>
      <c r="B6" s="131" t="s">
        <v>52</v>
      </c>
      <c r="C6" s="131">
        <v>23105</v>
      </c>
      <c r="D6" s="131"/>
      <c r="E6" s="131"/>
      <c r="F6" s="131"/>
      <c r="G6" s="131"/>
    </row>
    <row r="7" spans="1:7" ht="14.25" customHeight="1" x14ac:dyDescent="0.35">
      <c r="A7" s="132" t="s">
        <v>279</v>
      </c>
      <c r="B7" s="133" t="s">
        <v>59</v>
      </c>
      <c r="C7" s="133">
        <v>73001</v>
      </c>
      <c r="D7" s="133"/>
      <c r="E7" s="133"/>
      <c r="F7" s="133"/>
      <c r="G7" s="133"/>
    </row>
    <row r="8" spans="1:7" ht="14.25" customHeight="1" x14ac:dyDescent="0.35">
      <c r="A8" s="130" t="s">
        <v>242</v>
      </c>
      <c r="B8" s="131" t="s">
        <v>55</v>
      </c>
      <c r="C8" s="131">
        <v>38002</v>
      </c>
      <c r="D8" s="131"/>
      <c r="E8" s="131"/>
      <c r="F8" s="131"/>
      <c r="G8" s="131"/>
    </row>
    <row r="9" spans="1:7" ht="14.25" customHeight="1" x14ac:dyDescent="0.35">
      <c r="A9" s="132" t="s">
        <v>48</v>
      </c>
      <c r="B9" s="133" t="s">
        <v>48</v>
      </c>
      <c r="C9" s="133">
        <v>11002</v>
      </c>
      <c r="D9" s="133">
        <v>381</v>
      </c>
      <c r="E9" s="133">
        <v>11</v>
      </c>
      <c r="F9" s="133">
        <v>378</v>
      </c>
      <c r="G9" s="133">
        <v>27</v>
      </c>
    </row>
    <row r="10" spans="1:7" ht="14.25" customHeight="1" x14ac:dyDescent="0.35">
      <c r="A10" s="130" t="s">
        <v>276</v>
      </c>
      <c r="B10" s="131" t="s">
        <v>55</v>
      </c>
      <c r="C10" s="131">
        <v>34002</v>
      </c>
      <c r="D10" s="131"/>
      <c r="E10" s="131"/>
      <c r="F10" s="131"/>
      <c r="G10" s="131"/>
    </row>
    <row r="11" spans="1:7" ht="14.25" customHeight="1" x14ac:dyDescent="0.35">
      <c r="A11" s="132" t="s">
        <v>199</v>
      </c>
      <c r="B11" s="133" t="s">
        <v>55</v>
      </c>
      <c r="C11" s="133">
        <v>37020</v>
      </c>
      <c r="D11" s="133"/>
      <c r="E11" s="133"/>
      <c r="F11" s="133"/>
      <c r="G11" s="133"/>
    </row>
    <row r="12" spans="1:7" ht="14.25" customHeight="1" x14ac:dyDescent="0.35">
      <c r="A12" s="130" t="s">
        <v>304</v>
      </c>
      <c r="B12" s="131" t="s">
        <v>48</v>
      </c>
      <c r="C12" s="131">
        <v>13001</v>
      </c>
      <c r="D12" s="131">
        <v>1</v>
      </c>
      <c r="E12" s="131">
        <v>0</v>
      </c>
      <c r="F12" s="131">
        <v>1</v>
      </c>
      <c r="G12" s="131">
        <v>0</v>
      </c>
    </row>
    <row r="13" spans="1:7" ht="14.25" customHeight="1" x14ac:dyDescent="0.35">
      <c r="A13" s="132" t="s">
        <v>307</v>
      </c>
      <c r="B13" s="133" t="s">
        <v>59</v>
      </c>
      <c r="C13" s="133">
        <v>71002</v>
      </c>
      <c r="D13" s="133"/>
      <c r="E13" s="133"/>
      <c r="F13" s="133"/>
      <c r="G13" s="133"/>
    </row>
    <row r="14" spans="1:7" ht="14.25" customHeight="1" x14ac:dyDescent="0.35">
      <c r="A14" s="130" t="s">
        <v>131</v>
      </c>
      <c r="B14" s="131" t="s">
        <v>52</v>
      </c>
      <c r="C14" s="131">
        <v>23002</v>
      </c>
      <c r="D14" s="131">
        <v>2</v>
      </c>
      <c r="E14" s="131">
        <v>2</v>
      </c>
      <c r="F14" s="131">
        <v>2</v>
      </c>
      <c r="G14" s="131">
        <v>2</v>
      </c>
    </row>
    <row r="15" spans="1:7" ht="14.25" customHeight="1" x14ac:dyDescent="0.35">
      <c r="A15" s="132" t="s">
        <v>177</v>
      </c>
      <c r="B15" s="133" t="s">
        <v>50</v>
      </c>
      <c r="C15" s="133">
        <v>43002</v>
      </c>
      <c r="D15" s="133">
        <v>2</v>
      </c>
      <c r="E15" s="133">
        <v>2</v>
      </c>
      <c r="F15" s="133">
        <v>2</v>
      </c>
      <c r="G15" s="133">
        <v>2</v>
      </c>
    </row>
    <row r="16" spans="1:7" ht="14.25" customHeight="1" x14ac:dyDescent="0.35">
      <c r="A16" s="130" t="s">
        <v>260</v>
      </c>
      <c r="B16" s="131" t="s">
        <v>55</v>
      </c>
      <c r="C16" s="131">
        <v>34003</v>
      </c>
      <c r="D16" s="131"/>
      <c r="E16" s="131"/>
      <c r="F16" s="131"/>
      <c r="G16" s="131"/>
    </row>
    <row r="17" spans="1:7" ht="14.25" customHeight="1" x14ac:dyDescent="0.35">
      <c r="A17" s="132" t="s">
        <v>317</v>
      </c>
      <c r="B17" s="133" t="s">
        <v>48</v>
      </c>
      <c r="C17" s="133">
        <v>13002</v>
      </c>
      <c r="D17" s="133"/>
      <c r="E17" s="133"/>
      <c r="F17" s="133"/>
      <c r="G17" s="133"/>
    </row>
    <row r="18" spans="1:7" ht="14.25" customHeight="1" x14ac:dyDescent="0.35">
      <c r="A18" s="130" t="s">
        <v>125</v>
      </c>
      <c r="B18" s="131" t="s">
        <v>48</v>
      </c>
      <c r="C18" s="131">
        <v>13003</v>
      </c>
      <c r="D18" s="131">
        <v>4</v>
      </c>
      <c r="E18" s="131">
        <v>2</v>
      </c>
      <c r="F18" s="131">
        <v>5</v>
      </c>
      <c r="G18" s="131">
        <v>3</v>
      </c>
    </row>
    <row r="19" spans="1:7" ht="14.25" customHeight="1" x14ac:dyDescent="0.35">
      <c r="A19" s="132" t="s">
        <v>112</v>
      </c>
      <c r="B19" s="133" t="s">
        <v>55</v>
      </c>
      <c r="C19" s="133">
        <v>31003</v>
      </c>
      <c r="D19" s="133"/>
      <c r="E19" s="133"/>
      <c r="F19" s="133"/>
      <c r="G19" s="133"/>
    </row>
    <row r="20" spans="1:7" ht="14.25" customHeight="1" x14ac:dyDescent="0.35">
      <c r="A20" s="130" t="s">
        <v>221</v>
      </c>
      <c r="B20" s="131" t="s">
        <v>48</v>
      </c>
      <c r="C20" s="131">
        <v>13004</v>
      </c>
      <c r="D20" s="131"/>
      <c r="E20" s="131"/>
      <c r="F20" s="131"/>
      <c r="G20" s="131"/>
    </row>
    <row r="21" spans="1:7" ht="14.25" customHeight="1" x14ac:dyDescent="0.35">
      <c r="A21" s="132" t="s">
        <v>128</v>
      </c>
      <c r="B21" s="133" t="s">
        <v>52</v>
      </c>
      <c r="C21" s="133">
        <v>23003</v>
      </c>
      <c r="D21" s="133">
        <v>6</v>
      </c>
      <c r="E21" s="133">
        <v>6</v>
      </c>
      <c r="F21" s="133">
        <v>6</v>
      </c>
      <c r="G21" s="133">
        <v>6</v>
      </c>
    </row>
    <row r="22" spans="1:7" ht="14.25" customHeight="1" x14ac:dyDescent="0.35">
      <c r="A22" s="130" t="s">
        <v>327</v>
      </c>
      <c r="B22" s="131" t="s">
        <v>52</v>
      </c>
      <c r="C22" s="131">
        <v>24007</v>
      </c>
      <c r="D22" s="131"/>
      <c r="E22" s="131"/>
      <c r="F22" s="131"/>
      <c r="G22" s="131"/>
    </row>
    <row r="23" spans="1:7" ht="14.25" customHeight="1" x14ac:dyDescent="0.35">
      <c r="A23" s="132" t="s">
        <v>249</v>
      </c>
      <c r="B23" s="133" t="s">
        <v>52</v>
      </c>
      <c r="C23" s="133">
        <v>24008</v>
      </c>
      <c r="D23" s="133"/>
      <c r="E23" s="133"/>
      <c r="F23" s="133"/>
      <c r="G23" s="133"/>
    </row>
    <row r="24" spans="1:7" ht="14.25" customHeight="1" x14ac:dyDescent="0.35">
      <c r="A24" s="130" t="s">
        <v>235</v>
      </c>
      <c r="B24" s="131" t="s">
        <v>59</v>
      </c>
      <c r="C24" s="131">
        <v>71004</v>
      </c>
      <c r="D24" s="131"/>
      <c r="E24" s="131"/>
      <c r="F24" s="131"/>
      <c r="G24" s="131"/>
    </row>
    <row r="25" spans="1:7" ht="14.25" customHeight="1" x14ac:dyDescent="0.35">
      <c r="A25" s="132" t="s">
        <v>136</v>
      </c>
      <c r="B25" s="133" t="s">
        <v>48</v>
      </c>
      <c r="C25" s="133">
        <v>12002</v>
      </c>
      <c r="D25" s="133"/>
      <c r="E25" s="133"/>
      <c r="F25" s="133"/>
      <c r="G25" s="133"/>
    </row>
    <row r="26" spans="1:7" ht="14.25" customHeight="1" x14ac:dyDescent="0.35">
      <c r="A26" s="130" t="s">
        <v>216</v>
      </c>
      <c r="B26" s="131" t="s">
        <v>50</v>
      </c>
      <c r="C26" s="131">
        <v>42003</v>
      </c>
      <c r="D26" s="131"/>
      <c r="E26" s="131"/>
      <c r="F26" s="131"/>
      <c r="G26" s="131"/>
    </row>
    <row r="27" spans="1:7" ht="14.25" customHeight="1" x14ac:dyDescent="0.35">
      <c r="A27" s="132" t="s">
        <v>259</v>
      </c>
      <c r="B27" s="133" t="s">
        <v>52</v>
      </c>
      <c r="C27" s="133">
        <v>24009</v>
      </c>
      <c r="D27" s="133"/>
      <c r="E27" s="133"/>
      <c r="F27" s="133"/>
      <c r="G27" s="133"/>
    </row>
    <row r="28" spans="1:7" ht="14.25" customHeight="1" x14ac:dyDescent="0.35">
      <c r="A28" s="130" t="s">
        <v>315</v>
      </c>
      <c r="B28" s="131" t="s">
        <v>52</v>
      </c>
      <c r="C28" s="131">
        <v>23009</v>
      </c>
      <c r="D28" s="131"/>
      <c r="E28" s="131"/>
      <c r="F28" s="131"/>
      <c r="G28" s="131"/>
    </row>
    <row r="29" spans="1:7" ht="14.25" customHeight="1" x14ac:dyDescent="0.35">
      <c r="A29" s="132" t="s">
        <v>67</v>
      </c>
      <c r="B29" s="133" t="s">
        <v>50</v>
      </c>
      <c r="C29" s="133">
        <v>46003</v>
      </c>
      <c r="D29" s="134">
        <v>4</v>
      </c>
      <c r="E29" s="134">
        <v>0</v>
      </c>
      <c r="F29" s="134">
        <v>4</v>
      </c>
      <c r="G29" s="134">
        <v>0</v>
      </c>
    </row>
    <row r="30" spans="1:7" ht="14.25" customHeight="1" x14ac:dyDescent="0.35">
      <c r="A30" s="130" t="s">
        <v>109</v>
      </c>
      <c r="B30" s="131" t="s">
        <v>52</v>
      </c>
      <c r="C30" s="131">
        <v>24011</v>
      </c>
      <c r="D30" s="131">
        <v>2</v>
      </c>
      <c r="E30" s="131">
        <v>2</v>
      </c>
      <c r="F30" s="131">
        <v>2</v>
      </c>
      <c r="G30" s="131">
        <v>2</v>
      </c>
    </row>
    <row r="31" spans="1:7" ht="14.25" customHeight="1" x14ac:dyDescent="0.35">
      <c r="A31" s="132" t="s">
        <v>237</v>
      </c>
      <c r="B31" s="133" t="s">
        <v>59</v>
      </c>
      <c r="C31" s="133">
        <v>73006</v>
      </c>
      <c r="D31" s="133"/>
      <c r="E31" s="133"/>
      <c r="F31" s="133"/>
      <c r="G31" s="133"/>
    </row>
    <row r="32" spans="1:7" ht="14.25" customHeight="1" x14ac:dyDescent="0.35">
      <c r="A32" s="130" t="s">
        <v>99</v>
      </c>
      <c r="B32" s="131" t="s">
        <v>55</v>
      </c>
      <c r="C32" s="131">
        <v>31004</v>
      </c>
      <c r="D32" s="131">
        <v>3</v>
      </c>
      <c r="E32" s="131">
        <v>2</v>
      </c>
      <c r="F32" s="131">
        <v>3</v>
      </c>
      <c r="G32" s="131">
        <v>2</v>
      </c>
    </row>
    <row r="33" spans="1:7" ht="14.25" customHeight="1" x14ac:dyDescent="0.35">
      <c r="A33" s="132" t="s">
        <v>329</v>
      </c>
      <c r="B33" s="133" t="s">
        <v>59</v>
      </c>
      <c r="C33" s="133">
        <v>72003</v>
      </c>
      <c r="D33" s="133"/>
      <c r="E33" s="133"/>
      <c r="F33" s="133"/>
      <c r="G33" s="133"/>
    </row>
    <row r="34" spans="1:7" ht="14.25" customHeight="1" x14ac:dyDescent="0.35">
      <c r="A34" s="130" t="s">
        <v>271</v>
      </c>
      <c r="B34" s="131" t="s">
        <v>48</v>
      </c>
      <c r="C34" s="131">
        <v>11004</v>
      </c>
      <c r="D34" s="131"/>
      <c r="E34" s="131"/>
      <c r="F34" s="131"/>
      <c r="G34" s="131"/>
    </row>
    <row r="35" spans="1:7" ht="14.25" customHeight="1" x14ac:dyDescent="0.35">
      <c r="A35" s="132" t="s">
        <v>97</v>
      </c>
      <c r="B35" s="133" t="s">
        <v>48</v>
      </c>
      <c r="C35" s="133">
        <v>12005</v>
      </c>
      <c r="D35" s="133"/>
      <c r="E35" s="133"/>
      <c r="F35" s="133"/>
      <c r="G35" s="133"/>
    </row>
    <row r="36" spans="1:7" ht="14.25" customHeight="1" x14ac:dyDescent="0.35">
      <c r="A36" s="130" t="s">
        <v>224</v>
      </c>
      <c r="B36" s="131" t="s">
        <v>48</v>
      </c>
      <c r="C36" s="131">
        <v>11005</v>
      </c>
      <c r="D36" s="131"/>
      <c r="E36" s="131"/>
      <c r="F36" s="131"/>
      <c r="G36" s="131"/>
    </row>
    <row r="37" spans="1:7" ht="14.25" customHeight="1" x14ac:dyDescent="0.35">
      <c r="A37" s="132" t="s">
        <v>157</v>
      </c>
      <c r="B37" s="133" t="s">
        <v>52</v>
      </c>
      <c r="C37" s="133">
        <v>24014</v>
      </c>
      <c r="D37" s="133"/>
      <c r="E37" s="133"/>
      <c r="F37" s="133"/>
      <c r="G37" s="133"/>
    </row>
    <row r="38" spans="1:7" ht="14.25" customHeight="1" x14ac:dyDescent="0.35">
      <c r="A38" s="130" t="s">
        <v>184</v>
      </c>
      <c r="B38" s="131" t="s">
        <v>48</v>
      </c>
      <c r="C38" s="131">
        <v>12007</v>
      </c>
      <c r="D38" s="131"/>
      <c r="E38" s="131"/>
      <c r="F38" s="131"/>
      <c r="G38" s="131"/>
    </row>
    <row r="39" spans="1:7" ht="14.25" customHeight="1" x14ac:dyDescent="0.35">
      <c r="A39" s="132" t="s">
        <v>170</v>
      </c>
      <c r="B39" s="133" t="s">
        <v>52</v>
      </c>
      <c r="C39" s="133">
        <v>24016</v>
      </c>
      <c r="D39" s="133"/>
      <c r="E39" s="133"/>
      <c r="F39" s="133"/>
      <c r="G39" s="133"/>
    </row>
    <row r="40" spans="1:7" ht="14.25" customHeight="1" x14ac:dyDescent="0.35">
      <c r="A40" s="130" t="s">
        <v>275</v>
      </c>
      <c r="B40" s="131" t="s">
        <v>50</v>
      </c>
      <c r="C40" s="131">
        <v>45059</v>
      </c>
      <c r="D40" s="131"/>
      <c r="E40" s="131"/>
      <c r="F40" s="131"/>
      <c r="G40" s="131"/>
    </row>
    <row r="41" spans="1:7" ht="14.25" customHeight="1" x14ac:dyDescent="0.35">
      <c r="A41" s="132" t="s">
        <v>106</v>
      </c>
      <c r="B41" s="133" t="s">
        <v>48</v>
      </c>
      <c r="C41" s="133">
        <v>11008</v>
      </c>
      <c r="D41" s="133"/>
      <c r="E41" s="133"/>
      <c r="F41" s="133"/>
      <c r="G41" s="133"/>
    </row>
    <row r="42" spans="1:7" ht="14.25" customHeight="1" x14ac:dyDescent="0.35">
      <c r="A42" s="130" t="s">
        <v>294</v>
      </c>
      <c r="B42" s="131" t="s">
        <v>48</v>
      </c>
      <c r="C42" s="131">
        <v>11009</v>
      </c>
      <c r="D42" s="131"/>
      <c r="E42" s="131"/>
      <c r="F42" s="131"/>
      <c r="G42" s="131"/>
    </row>
    <row r="43" spans="1:7" ht="14.25" customHeight="1" x14ac:dyDescent="0.35">
      <c r="A43" s="132" t="s">
        <v>219</v>
      </c>
      <c r="B43" s="133" t="s">
        <v>55</v>
      </c>
      <c r="C43" s="133">
        <v>35002</v>
      </c>
      <c r="D43" s="133"/>
      <c r="E43" s="133"/>
      <c r="F43" s="133"/>
      <c r="G43" s="133"/>
    </row>
    <row r="44" spans="1:7" ht="14.25" customHeight="1" x14ac:dyDescent="0.35">
      <c r="A44" s="130" t="s">
        <v>227</v>
      </c>
      <c r="B44" s="131" t="s">
        <v>59</v>
      </c>
      <c r="C44" s="131">
        <v>72004</v>
      </c>
      <c r="D44" s="131"/>
      <c r="E44" s="131"/>
      <c r="F44" s="131"/>
      <c r="G44" s="131"/>
    </row>
    <row r="45" spans="1:7" ht="14.25" customHeight="1" x14ac:dyDescent="0.35">
      <c r="A45" s="132" t="s">
        <v>54</v>
      </c>
      <c r="B45" s="133" t="s">
        <v>55</v>
      </c>
      <c r="C45" s="133">
        <v>31005</v>
      </c>
      <c r="D45" s="133">
        <v>42</v>
      </c>
      <c r="E45" s="133">
        <v>4</v>
      </c>
      <c r="F45" s="133">
        <v>42</v>
      </c>
      <c r="G45" s="133">
        <v>5</v>
      </c>
    </row>
    <row r="46" spans="1:7" ht="14.25" customHeight="1" x14ac:dyDescent="0.35">
      <c r="A46" s="130" t="s">
        <v>274</v>
      </c>
      <c r="B46" s="131" t="s">
        <v>50</v>
      </c>
      <c r="C46" s="131">
        <v>42004</v>
      </c>
      <c r="D46" s="131"/>
      <c r="E46" s="131"/>
      <c r="F46" s="131"/>
      <c r="G46" s="131"/>
    </row>
    <row r="47" spans="1:7" ht="14.25" customHeight="1" x14ac:dyDescent="0.35">
      <c r="A47" s="132" t="s">
        <v>96</v>
      </c>
      <c r="B47" s="133" t="s">
        <v>55</v>
      </c>
      <c r="C47" s="133">
        <v>31006</v>
      </c>
      <c r="D47" s="133"/>
      <c r="E47" s="133"/>
      <c r="F47" s="133"/>
      <c r="G47" s="133"/>
    </row>
    <row r="48" spans="1:7" ht="14.25" customHeight="1" x14ac:dyDescent="0.35">
      <c r="A48" s="130" t="s">
        <v>268</v>
      </c>
      <c r="B48" s="131" t="s">
        <v>55</v>
      </c>
      <c r="C48" s="131">
        <v>35029</v>
      </c>
      <c r="D48" s="131"/>
      <c r="E48" s="131"/>
      <c r="F48" s="131"/>
      <c r="G48" s="131"/>
    </row>
    <row r="49" spans="1:7" ht="14.25" customHeight="1" x14ac:dyDescent="0.35">
      <c r="A49" s="132" t="s">
        <v>135</v>
      </c>
      <c r="B49" s="133" t="s">
        <v>55</v>
      </c>
      <c r="C49" s="133">
        <v>38008</v>
      </c>
      <c r="D49" s="133"/>
      <c r="E49" s="133"/>
      <c r="F49" s="133"/>
      <c r="G49" s="133"/>
    </row>
    <row r="50" spans="1:7" ht="14.25" customHeight="1" x14ac:dyDescent="0.35">
      <c r="A50" s="130" t="s">
        <v>156</v>
      </c>
      <c r="B50" s="131" t="s">
        <v>55</v>
      </c>
      <c r="C50" s="131">
        <v>34009</v>
      </c>
      <c r="D50" s="131"/>
      <c r="E50" s="131"/>
      <c r="F50" s="131"/>
      <c r="G50" s="131"/>
    </row>
    <row r="51" spans="1:7" ht="14.25" customHeight="1" x14ac:dyDescent="0.35">
      <c r="A51" s="132" t="s">
        <v>62</v>
      </c>
      <c r="B51" s="133" t="s">
        <v>50</v>
      </c>
      <c r="C51" s="133">
        <v>44083</v>
      </c>
      <c r="D51" s="133">
        <v>22</v>
      </c>
      <c r="E51" s="133">
        <v>0</v>
      </c>
      <c r="F51" s="133">
        <v>22</v>
      </c>
      <c r="G51" s="133">
        <v>0</v>
      </c>
    </row>
    <row r="52" spans="1:7" ht="14.25" customHeight="1" x14ac:dyDescent="0.35">
      <c r="A52" s="130" t="s">
        <v>182</v>
      </c>
      <c r="B52" s="131" t="s">
        <v>50</v>
      </c>
      <c r="C52" s="131">
        <v>41011</v>
      </c>
      <c r="D52" s="131"/>
      <c r="E52" s="131"/>
      <c r="F52" s="131"/>
      <c r="G52" s="131"/>
    </row>
    <row r="53" spans="1:7" ht="14.25" customHeight="1" x14ac:dyDescent="0.35">
      <c r="A53" s="132" t="s">
        <v>80</v>
      </c>
      <c r="B53" s="133" t="s">
        <v>50</v>
      </c>
      <c r="C53" s="133">
        <v>42006</v>
      </c>
      <c r="D53" s="133">
        <v>5</v>
      </c>
      <c r="E53" s="133">
        <v>1</v>
      </c>
      <c r="F53" s="133">
        <v>5</v>
      </c>
      <c r="G53" s="133">
        <v>1</v>
      </c>
    </row>
    <row r="54" spans="1:7" ht="14.25" customHeight="1" x14ac:dyDescent="0.35">
      <c r="A54" s="130" t="s">
        <v>168</v>
      </c>
      <c r="B54" s="131" t="s">
        <v>55</v>
      </c>
      <c r="C54" s="131">
        <v>37002</v>
      </c>
      <c r="D54" s="131"/>
      <c r="E54" s="131"/>
      <c r="F54" s="131"/>
      <c r="G54" s="131"/>
    </row>
    <row r="55" spans="1:7" ht="14.25" customHeight="1" x14ac:dyDescent="0.35">
      <c r="A55" s="132" t="s">
        <v>301</v>
      </c>
      <c r="B55" s="133" t="s">
        <v>48</v>
      </c>
      <c r="C55" s="133">
        <v>13006</v>
      </c>
      <c r="D55" s="133"/>
      <c r="E55" s="133"/>
      <c r="F55" s="133"/>
      <c r="G55" s="133"/>
    </row>
    <row r="56" spans="1:7" ht="14.25" customHeight="1" x14ac:dyDescent="0.35">
      <c r="A56" s="130" t="s">
        <v>71</v>
      </c>
      <c r="B56" s="131" t="s">
        <v>50</v>
      </c>
      <c r="C56" s="131">
        <v>44013</v>
      </c>
      <c r="D56" s="131">
        <v>4</v>
      </c>
      <c r="E56" s="131">
        <v>3</v>
      </c>
      <c r="F56" s="131">
        <v>4</v>
      </c>
      <c r="G56" s="131">
        <v>3</v>
      </c>
    </row>
    <row r="57" spans="1:7" ht="14.25" customHeight="1" x14ac:dyDescent="0.35">
      <c r="A57" s="132" t="s">
        <v>309</v>
      </c>
      <c r="B57" s="133" t="s">
        <v>59</v>
      </c>
      <c r="C57" s="133">
        <v>71011</v>
      </c>
      <c r="D57" s="133">
        <v>1</v>
      </c>
      <c r="E57" s="133">
        <v>0</v>
      </c>
      <c r="F57" s="133">
        <v>1</v>
      </c>
      <c r="G57" s="133">
        <v>0</v>
      </c>
    </row>
    <row r="58" spans="1:7" ht="14.25" customHeight="1" x14ac:dyDescent="0.35">
      <c r="A58" s="130" t="s">
        <v>88</v>
      </c>
      <c r="B58" s="131" t="s">
        <v>52</v>
      </c>
      <c r="C58" s="131">
        <v>24020</v>
      </c>
      <c r="D58" s="131">
        <v>7</v>
      </c>
      <c r="E58" s="131">
        <v>0</v>
      </c>
      <c r="F58" s="131">
        <v>7</v>
      </c>
      <c r="G58" s="131">
        <v>0</v>
      </c>
    </row>
    <row r="59" spans="1:7" ht="14.25" customHeight="1" x14ac:dyDescent="0.35">
      <c r="A59" s="132" t="s">
        <v>280</v>
      </c>
      <c r="B59" s="133" t="s">
        <v>55</v>
      </c>
      <c r="C59" s="133">
        <v>32003</v>
      </c>
      <c r="D59" s="133"/>
      <c r="E59" s="133"/>
      <c r="F59" s="133"/>
      <c r="G59" s="133"/>
    </row>
    <row r="60" spans="1:7" ht="14.25" customHeight="1" x14ac:dyDescent="0.35">
      <c r="A60" s="130" t="s">
        <v>85</v>
      </c>
      <c r="B60" s="131" t="s">
        <v>52</v>
      </c>
      <c r="C60" s="131">
        <v>23016</v>
      </c>
      <c r="D60" s="131">
        <v>11</v>
      </c>
      <c r="E60" s="131">
        <v>11</v>
      </c>
      <c r="F60" s="131">
        <v>11</v>
      </c>
      <c r="G60" s="131">
        <v>11</v>
      </c>
    </row>
    <row r="61" spans="1:7" ht="14.25" customHeight="1" x14ac:dyDescent="0.35">
      <c r="A61" s="132" t="s">
        <v>333</v>
      </c>
      <c r="B61" s="133" t="s">
        <v>59</v>
      </c>
      <c r="C61" s="133">
        <v>72041</v>
      </c>
      <c r="D61" s="133"/>
      <c r="E61" s="133"/>
      <c r="F61" s="133"/>
      <c r="G61" s="133"/>
    </row>
    <row r="62" spans="1:7" ht="14.25" customHeight="1" x14ac:dyDescent="0.35">
      <c r="A62" s="130" t="s">
        <v>298</v>
      </c>
      <c r="B62" s="131" t="s">
        <v>52</v>
      </c>
      <c r="C62" s="131">
        <v>23098</v>
      </c>
      <c r="D62" s="131"/>
      <c r="E62" s="131"/>
      <c r="F62" s="131"/>
      <c r="G62" s="131"/>
    </row>
    <row r="63" spans="1:7" ht="14.25" customHeight="1" x14ac:dyDescent="0.35">
      <c r="A63" s="132" t="s">
        <v>140</v>
      </c>
      <c r="B63" s="133" t="s">
        <v>48</v>
      </c>
      <c r="C63" s="133">
        <v>12009</v>
      </c>
      <c r="D63" s="133"/>
      <c r="E63" s="133"/>
      <c r="F63" s="133"/>
      <c r="G63" s="133"/>
    </row>
    <row r="64" spans="1:7" ht="14.25" customHeight="1" x14ac:dyDescent="0.35">
      <c r="A64" s="130" t="s">
        <v>123</v>
      </c>
      <c r="B64" s="131" t="s">
        <v>48</v>
      </c>
      <c r="C64" s="131">
        <v>11013</v>
      </c>
      <c r="D64" s="131">
        <v>2</v>
      </c>
      <c r="E64" s="131">
        <v>2</v>
      </c>
      <c r="F64" s="131">
        <v>1</v>
      </c>
      <c r="G64" s="131">
        <v>0</v>
      </c>
    </row>
    <row r="65" spans="1:7" ht="14.25" customHeight="1" x14ac:dyDescent="0.35">
      <c r="A65" s="132" t="s">
        <v>118</v>
      </c>
      <c r="B65" s="133" t="s">
        <v>50</v>
      </c>
      <c r="C65" s="133">
        <v>43005</v>
      </c>
      <c r="D65" s="133">
        <v>3</v>
      </c>
      <c r="E65" s="133">
        <v>0</v>
      </c>
      <c r="F65" s="133">
        <v>3</v>
      </c>
      <c r="G65" s="133">
        <v>0</v>
      </c>
    </row>
    <row r="66" spans="1:7" ht="14.25" customHeight="1" x14ac:dyDescent="0.35">
      <c r="A66" s="130" t="s">
        <v>116</v>
      </c>
      <c r="B66" s="131" t="s">
        <v>50</v>
      </c>
      <c r="C66" s="131">
        <v>41082</v>
      </c>
      <c r="D66" s="131"/>
      <c r="E66" s="131"/>
      <c r="F66" s="131"/>
      <c r="G66" s="131"/>
    </row>
    <row r="67" spans="1:7" ht="14.25" customHeight="1" x14ac:dyDescent="0.35">
      <c r="A67" s="132" t="s">
        <v>180</v>
      </c>
      <c r="B67" s="133" t="s">
        <v>48</v>
      </c>
      <c r="C67" s="133">
        <v>11016</v>
      </c>
      <c r="D67" s="133">
        <v>2</v>
      </c>
      <c r="E67" s="133">
        <v>2</v>
      </c>
      <c r="F67" s="133">
        <v>2</v>
      </c>
      <c r="G67" s="133">
        <v>2</v>
      </c>
    </row>
    <row r="68" spans="1:7" ht="14.25" customHeight="1" x14ac:dyDescent="0.35">
      <c r="A68" s="130" t="s">
        <v>90</v>
      </c>
      <c r="B68" s="131" t="s">
        <v>50</v>
      </c>
      <c r="C68" s="131">
        <v>44019</v>
      </c>
      <c r="D68" s="131">
        <v>6</v>
      </c>
      <c r="E68" s="131">
        <v>6</v>
      </c>
      <c r="F68" s="131">
        <v>6</v>
      </c>
      <c r="G68" s="131">
        <v>6</v>
      </c>
    </row>
    <row r="69" spans="1:7" ht="14.25" customHeight="1" x14ac:dyDescent="0.35">
      <c r="A69" s="132" t="s">
        <v>209</v>
      </c>
      <c r="B69" s="133" t="s">
        <v>50</v>
      </c>
      <c r="C69" s="133">
        <v>44020</v>
      </c>
      <c r="D69" s="133">
        <v>2</v>
      </c>
      <c r="E69" s="133">
        <v>2</v>
      </c>
      <c r="F69" s="133">
        <v>2</v>
      </c>
      <c r="G69" s="133">
        <v>2</v>
      </c>
    </row>
    <row r="70" spans="1:7" ht="14.25" customHeight="1" x14ac:dyDescent="0.35">
      <c r="A70" s="130" t="s">
        <v>91</v>
      </c>
      <c r="B70" s="131" t="s">
        <v>48</v>
      </c>
      <c r="C70" s="131">
        <v>13008</v>
      </c>
      <c r="D70" s="131">
        <v>9</v>
      </c>
      <c r="E70" s="131">
        <v>4</v>
      </c>
      <c r="F70" s="131">
        <v>9</v>
      </c>
      <c r="G70" s="131">
        <v>4</v>
      </c>
    </row>
    <row r="71" spans="1:7" ht="14.25" customHeight="1" x14ac:dyDescent="0.35">
      <c r="A71" s="132" t="s">
        <v>245</v>
      </c>
      <c r="B71" s="133" t="s">
        <v>52</v>
      </c>
      <c r="C71" s="133">
        <v>24028</v>
      </c>
      <c r="D71" s="133"/>
      <c r="E71" s="133"/>
      <c r="F71" s="133"/>
      <c r="G71" s="133"/>
    </row>
    <row r="72" spans="1:7" ht="14.25" customHeight="1" x14ac:dyDescent="0.35">
      <c r="A72" s="130" t="s">
        <v>95</v>
      </c>
      <c r="B72" s="131" t="s">
        <v>59</v>
      </c>
      <c r="C72" s="131">
        <v>71016</v>
      </c>
      <c r="D72" s="131">
        <v>9</v>
      </c>
      <c r="E72" s="131">
        <v>2</v>
      </c>
      <c r="F72" s="131">
        <v>9</v>
      </c>
      <c r="G72" s="131">
        <v>2</v>
      </c>
    </row>
    <row r="73" spans="1:7" ht="14.25" customHeight="1" x14ac:dyDescent="0.35">
      <c r="A73" s="132" t="s">
        <v>49</v>
      </c>
      <c r="B73" s="133" t="s">
        <v>50</v>
      </c>
      <c r="C73" s="133">
        <v>44021</v>
      </c>
      <c r="D73" s="133">
        <v>408</v>
      </c>
      <c r="E73" s="133">
        <v>63</v>
      </c>
      <c r="F73" s="133">
        <v>421</v>
      </c>
      <c r="G73" s="133">
        <v>59</v>
      </c>
    </row>
    <row r="74" spans="1:7" ht="14.25" customHeight="1" x14ac:dyDescent="0.35">
      <c r="A74" s="130" t="s">
        <v>144</v>
      </c>
      <c r="B74" s="131" t="s">
        <v>50</v>
      </c>
      <c r="C74" s="131">
        <v>41018</v>
      </c>
      <c r="D74" s="131"/>
      <c r="E74" s="131"/>
      <c r="F74" s="131"/>
      <c r="G74" s="131"/>
    </row>
    <row r="75" spans="1:7" ht="14.25" customHeight="1" x14ac:dyDescent="0.35">
      <c r="A75" s="132" t="s">
        <v>323</v>
      </c>
      <c r="B75" s="133" t="s">
        <v>59</v>
      </c>
      <c r="C75" s="133">
        <v>71017</v>
      </c>
      <c r="D75" s="133"/>
      <c r="E75" s="133"/>
      <c r="F75" s="133"/>
      <c r="G75" s="133"/>
    </row>
    <row r="76" spans="1:7" ht="14.25" customHeight="1" x14ac:dyDescent="0.35">
      <c r="A76" s="130" t="s">
        <v>206</v>
      </c>
      <c r="B76" s="131" t="s">
        <v>55</v>
      </c>
      <c r="C76" s="131">
        <v>35005</v>
      </c>
      <c r="D76" s="131"/>
      <c r="E76" s="131"/>
      <c r="F76" s="131"/>
      <c r="G76" s="131"/>
    </row>
    <row r="77" spans="1:7" ht="14.25" customHeight="1" x14ac:dyDescent="0.35">
      <c r="A77" s="132" t="s">
        <v>243</v>
      </c>
      <c r="B77" s="133" t="s">
        <v>52</v>
      </c>
      <c r="C77" s="133">
        <v>24137</v>
      </c>
      <c r="D77" s="133"/>
      <c r="E77" s="133"/>
      <c r="F77" s="133"/>
      <c r="G77" s="133"/>
    </row>
    <row r="78" spans="1:7" ht="14.25" customHeight="1" x14ac:dyDescent="0.35">
      <c r="A78" s="130" t="s">
        <v>107</v>
      </c>
      <c r="B78" s="131" t="s">
        <v>52</v>
      </c>
      <c r="C78" s="131">
        <v>23025</v>
      </c>
      <c r="D78" s="131">
        <v>5</v>
      </c>
      <c r="E78" s="131">
        <v>4</v>
      </c>
      <c r="F78" s="131">
        <v>5</v>
      </c>
      <c r="G78" s="131">
        <v>4</v>
      </c>
    </row>
    <row r="79" spans="1:7" ht="14.25" customHeight="1" x14ac:dyDescent="0.35">
      <c r="A79" s="132" t="s">
        <v>303</v>
      </c>
      <c r="B79" s="133" t="s">
        <v>48</v>
      </c>
      <c r="C79" s="133">
        <v>13010</v>
      </c>
      <c r="D79" s="133"/>
      <c r="E79" s="133"/>
      <c r="F79" s="133"/>
      <c r="G79" s="133"/>
    </row>
    <row r="80" spans="1:7" ht="14.25" customHeight="1" x14ac:dyDescent="0.35">
      <c r="A80" s="130" t="s">
        <v>92</v>
      </c>
      <c r="B80" s="131" t="s">
        <v>52</v>
      </c>
      <c r="C80" s="131">
        <v>24033</v>
      </c>
      <c r="D80" s="131">
        <v>3</v>
      </c>
      <c r="E80" s="131">
        <v>3</v>
      </c>
      <c r="F80" s="131">
        <v>3</v>
      </c>
      <c r="G80" s="131">
        <v>3</v>
      </c>
    </row>
    <row r="81" spans="1:7" ht="14.25" customHeight="1" x14ac:dyDescent="0.35">
      <c r="A81" s="132" t="s">
        <v>223</v>
      </c>
      <c r="B81" s="133" t="s">
        <v>50</v>
      </c>
      <c r="C81" s="133">
        <v>41024</v>
      </c>
      <c r="D81" s="133"/>
      <c r="E81" s="133"/>
      <c r="F81" s="133"/>
      <c r="G81" s="133"/>
    </row>
    <row r="82" spans="1:7" ht="14.25" customHeight="1" x14ac:dyDescent="0.35">
      <c r="A82" s="130" t="s">
        <v>324</v>
      </c>
      <c r="B82" s="131" t="s">
        <v>59</v>
      </c>
      <c r="C82" s="131">
        <v>71020</v>
      </c>
      <c r="D82" s="131"/>
      <c r="E82" s="131"/>
      <c r="F82" s="131"/>
      <c r="G82" s="131"/>
    </row>
    <row r="83" spans="1:7" ht="14.25" customHeight="1" x14ac:dyDescent="0.35">
      <c r="A83" s="132" t="s">
        <v>70</v>
      </c>
      <c r="B83" s="133" t="s">
        <v>52</v>
      </c>
      <c r="C83" s="133">
        <v>23027</v>
      </c>
      <c r="D83" s="133">
        <v>10</v>
      </c>
      <c r="E83" s="133">
        <v>1</v>
      </c>
      <c r="F83" s="133">
        <v>11</v>
      </c>
      <c r="G83" s="133">
        <v>1</v>
      </c>
    </row>
    <row r="84" spans="1:7" ht="14.25" customHeight="1" x14ac:dyDescent="0.35">
      <c r="A84" s="130" t="s">
        <v>127</v>
      </c>
      <c r="B84" s="131" t="s">
        <v>50</v>
      </c>
      <c r="C84" s="131">
        <v>42008</v>
      </c>
      <c r="D84" s="131"/>
      <c r="E84" s="131"/>
      <c r="F84" s="131"/>
      <c r="G84" s="131"/>
    </row>
    <row r="85" spans="1:7" ht="14.25" customHeight="1" x14ac:dyDescent="0.35">
      <c r="A85" s="132" t="s">
        <v>331</v>
      </c>
      <c r="B85" s="133" t="s">
        <v>59</v>
      </c>
      <c r="C85" s="133">
        <v>72037</v>
      </c>
      <c r="D85" s="133"/>
      <c r="E85" s="133"/>
      <c r="F85" s="133"/>
      <c r="G85" s="133"/>
    </row>
    <row r="86" spans="1:7" ht="14.25" customHeight="1" x14ac:dyDescent="0.35">
      <c r="A86" s="130" t="s">
        <v>73</v>
      </c>
      <c r="B86" s="131" t="s">
        <v>55</v>
      </c>
      <c r="C86" s="131">
        <v>34013</v>
      </c>
      <c r="D86" s="131">
        <v>2</v>
      </c>
      <c r="E86" s="131">
        <v>0</v>
      </c>
      <c r="F86" s="131">
        <v>2</v>
      </c>
      <c r="G86" s="131">
        <v>0</v>
      </c>
    </row>
    <row r="87" spans="1:7" ht="14.25" customHeight="1" x14ac:dyDescent="0.35">
      <c r="A87" s="132" t="s">
        <v>58</v>
      </c>
      <c r="B87" s="133" t="s">
        <v>59</v>
      </c>
      <c r="C87" s="133">
        <v>71022</v>
      </c>
      <c r="D87" s="133">
        <v>37</v>
      </c>
      <c r="E87" s="133">
        <v>4</v>
      </c>
      <c r="F87" s="133">
        <v>38</v>
      </c>
      <c r="G87" s="133">
        <v>4</v>
      </c>
    </row>
    <row r="88" spans="1:7" ht="14.25" customHeight="1" x14ac:dyDescent="0.35">
      <c r="A88" s="130" t="s">
        <v>265</v>
      </c>
      <c r="B88" s="131" t="s">
        <v>59</v>
      </c>
      <c r="C88" s="131">
        <v>72038</v>
      </c>
      <c r="D88" s="131"/>
      <c r="E88" s="131"/>
      <c r="F88" s="131"/>
      <c r="G88" s="131"/>
    </row>
    <row r="89" spans="1:7" ht="14.25" customHeight="1" x14ac:dyDescent="0.35">
      <c r="A89" s="132" t="s">
        <v>300</v>
      </c>
      <c r="B89" s="133" t="s">
        <v>59</v>
      </c>
      <c r="C89" s="133">
        <v>73022</v>
      </c>
      <c r="D89" s="133"/>
      <c r="E89" s="133"/>
      <c r="F89" s="133"/>
      <c r="G89" s="133"/>
    </row>
    <row r="90" spans="1:7" ht="14.25" customHeight="1" x14ac:dyDescent="0.35">
      <c r="A90" s="130" t="s">
        <v>108</v>
      </c>
      <c r="B90" s="131" t="s">
        <v>48</v>
      </c>
      <c r="C90" s="131">
        <v>12014</v>
      </c>
      <c r="D90" s="131">
        <v>7</v>
      </c>
      <c r="E90" s="131">
        <v>1</v>
      </c>
      <c r="F90" s="131">
        <v>8</v>
      </c>
      <c r="G90" s="131">
        <v>2</v>
      </c>
    </row>
    <row r="91" spans="1:7" ht="14.25" customHeight="1" x14ac:dyDescent="0.35">
      <c r="A91" s="132" t="s">
        <v>266</v>
      </c>
      <c r="B91" s="133" t="s">
        <v>48</v>
      </c>
      <c r="C91" s="133">
        <v>11018</v>
      </c>
      <c r="D91" s="133"/>
      <c r="E91" s="133"/>
      <c r="F91" s="133"/>
      <c r="G91" s="133"/>
    </row>
    <row r="92" spans="1:7" ht="14.25" customHeight="1" x14ac:dyDescent="0.35">
      <c r="A92" s="130" t="s">
        <v>69</v>
      </c>
      <c r="B92" s="131" t="s">
        <v>52</v>
      </c>
      <c r="C92" s="131">
        <v>24038</v>
      </c>
      <c r="D92" s="131">
        <v>7</v>
      </c>
      <c r="E92" s="131">
        <v>3</v>
      </c>
      <c r="F92" s="131">
        <v>7</v>
      </c>
      <c r="G92" s="131">
        <v>2</v>
      </c>
    </row>
    <row r="93" spans="1:7" ht="14.25" customHeight="1" x14ac:dyDescent="0.35">
      <c r="A93" s="132" t="s">
        <v>83</v>
      </c>
      <c r="B93" s="133" t="s">
        <v>48</v>
      </c>
      <c r="C93" s="133">
        <v>13011</v>
      </c>
      <c r="D93" s="133">
        <v>6</v>
      </c>
      <c r="E93" s="133">
        <v>6</v>
      </c>
      <c r="F93" s="133">
        <v>7</v>
      </c>
      <c r="G93" s="133">
        <v>7</v>
      </c>
    </row>
    <row r="94" spans="1:7" ht="14.25" customHeight="1" x14ac:dyDescent="0.35">
      <c r="A94" s="130" t="s">
        <v>326</v>
      </c>
      <c r="B94" s="131" t="s">
        <v>48</v>
      </c>
      <c r="C94" s="131">
        <v>13012</v>
      </c>
      <c r="D94" s="131"/>
      <c r="E94" s="131"/>
      <c r="F94" s="131"/>
      <c r="G94" s="131"/>
    </row>
    <row r="95" spans="1:7" ht="14.25" customHeight="1" x14ac:dyDescent="0.35">
      <c r="A95" s="132" t="s">
        <v>187</v>
      </c>
      <c r="B95" s="133" t="s">
        <v>59</v>
      </c>
      <c r="C95" s="133">
        <v>71024</v>
      </c>
      <c r="D95" s="133"/>
      <c r="E95" s="133"/>
      <c r="F95" s="133"/>
      <c r="G95" s="133"/>
    </row>
    <row r="96" spans="1:7" ht="14.25" customHeight="1" x14ac:dyDescent="0.35">
      <c r="A96" s="130" t="s">
        <v>272</v>
      </c>
      <c r="B96" s="131" t="s">
        <v>48</v>
      </c>
      <c r="C96" s="131">
        <v>13013</v>
      </c>
      <c r="D96" s="131">
        <v>2</v>
      </c>
      <c r="E96" s="131">
        <v>2</v>
      </c>
      <c r="F96" s="131">
        <v>2</v>
      </c>
      <c r="G96" s="131">
        <v>2</v>
      </c>
    </row>
    <row r="97" spans="1:7" ht="14.25" customHeight="1" x14ac:dyDescent="0.35">
      <c r="A97" s="132" t="s">
        <v>313</v>
      </c>
      <c r="B97" s="133" t="s">
        <v>59</v>
      </c>
      <c r="C97" s="133">
        <v>73028</v>
      </c>
      <c r="D97" s="133"/>
      <c r="E97" s="133"/>
      <c r="F97" s="133"/>
      <c r="G97" s="133"/>
    </row>
    <row r="98" spans="1:7" ht="14.25" customHeight="1" x14ac:dyDescent="0.35">
      <c r="A98" s="130" t="s">
        <v>113</v>
      </c>
      <c r="B98" s="131" t="s">
        <v>50</v>
      </c>
      <c r="C98" s="131">
        <v>41027</v>
      </c>
      <c r="D98" s="131"/>
      <c r="E98" s="131"/>
      <c r="F98" s="131"/>
      <c r="G98" s="131"/>
    </row>
    <row r="99" spans="1:7" ht="14.25" customHeight="1" x14ac:dyDescent="0.35">
      <c r="A99" s="132" t="s">
        <v>190</v>
      </c>
      <c r="B99" s="133" t="s">
        <v>59</v>
      </c>
      <c r="C99" s="133">
        <v>71070</v>
      </c>
      <c r="D99" s="133"/>
      <c r="E99" s="133"/>
      <c r="F99" s="133"/>
      <c r="G99" s="133"/>
    </row>
    <row r="100" spans="1:7" ht="14.25" customHeight="1" x14ac:dyDescent="0.35">
      <c r="A100" s="130" t="s">
        <v>167</v>
      </c>
      <c r="B100" s="131" t="s">
        <v>55</v>
      </c>
      <c r="C100" s="131">
        <v>33039</v>
      </c>
      <c r="D100" s="131"/>
      <c r="E100" s="131"/>
      <c r="F100" s="131"/>
      <c r="G100" s="131"/>
    </row>
    <row r="101" spans="1:7" ht="14.25" customHeight="1" x14ac:dyDescent="0.35">
      <c r="A101" s="132" t="s">
        <v>192</v>
      </c>
      <c r="B101" s="133" t="s">
        <v>52</v>
      </c>
      <c r="C101" s="133">
        <v>24041</v>
      </c>
      <c r="D101" s="133"/>
      <c r="E101" s="133"/>
      <c r="F101" s="133"/>
      <c r="G101" s="133"/>
    </row>
    <row r="102" spans="1:7" ht="14.25" customHeight="1" x14ac:dyDescent="0.35">
      <c r="A102" s="130" t="s">
        <v>153</v>
      </c>
      <c r="B102" s="131" t="s">
        <v>52</v>
      </c>
      <c r="C102" s="131">
        <v>23033</v>
      </c>
      <c r="D102" s="131">
        <v>3</v>
      </c>
      <c r="E102" s="131">
        <v>1</v>
      </c>
      <c r="F102" s="131">
        <v>3</v>
      </c>
      <c r="G102" s="131">
        <v>1</v>
      </c>
    </row>
    <row r="103" spans="1:7" ht="14.25" customHeight="1" x14ac:dyDescent="0.35">
      <c r="A103" s="132" t="s">
        <v>86</v>
      </c>
      <c r="B103" s="133" t="s">
        <v>52</v>
      </c>
      <c r="C103" s="133">
        <v>24043</v>
      </c>
      <c r="D103" s="133">
        <v>2</v>
      </c>
      <c r="E103" s="133">
        <v>2</v>
      </c>
      <c r="F103" s="133">
        <v>2</v>
      </c>
      <c r="G103" s="133">
        <v>2</v>
      </c>
    </row>
    <row r="104" spans="1:7" ht="14.25" customHeight="1" x14ac:dyDescent="0.35">
      <c r="A104" s="130" t="s">
        <v>150</v>
      </c>
      <c r="B104" s="131" t="s">
        <v>55</v>
      </c>
      <c r="C104" s="131">
        <v>36006</v>
      </c>
      <c r="D104" s="131"/>
      <c r="E104" s="131"/>
      <c r="F104" s="131"/>
      <c r="G104" s="131"/>
    </row>
    <row r="105" spans="1:7" ht="14.25" customHeight="1" x14ac:dyDescent="0.35">
      <c r="A105" s="132" t="s">
        <v>185</v>
      </c>
      <c r="B105" s="133" t="s">
        <v>48</v>
      </c>
      <c r="C105" s="133">
        <v>13014</v>
      </c>
      <c r="D105" s="133">
        <v>4</v>
      </c>
      <c r="E105" s="133">
        <v>4</v>
      </c>
      <c r="F105" s="133">
        <v>4</v>
      </c>
      <c r="G105" s="133">
        <v>4</v>
      </c>
    </row>
    <row r="106" spans="1:7" ht="14.25" customHeight="1" x14ac:dyDescent="0.35">
      <c r="A106" s="130" t="s">
        <v>297</v>
      </c>
      <c r="B106" s="131" t="s">
        <v>50</v>
      </c>
      <c r="C106" s="131">
        <v>45062</v>
      </c>
      <c r="D106" s="131"/>
      <c r="E106" s="131"/>
      <c r="F106" s="131"/>
      <c r="G106" s="131"/>
    </row>
    <row r="107" spans="1:7" ht="14.25" customHeight="1" x14ac:dyDescent="0.35">
      <c r="A107" s="132" t="s">
        <v>296</v>
      </c>
      <c r="B107" s="133" t="s">
        <v>59</v>
      </c>
      <c r="C107" s="133">
        <v>72039</v>
      </c>
      <c r="D107" s="133"/>
      <c r="E107" s="133"/>
      <c r="F107" s="133"/>
      <c r="G107" s="133"/>
    </row>
    <row r="108" spans="1:7" ht="14.25" customHeight="1" x14ac:dyDescent="0.35">
      <c r="A108" s="130" t="s">
        <v>261</v>
      </c>
      <c r="B108" s="131" t="s">
        <v>55</v>
      </c>
      <c r="C108" s="131">
        <v>32006</v>
      </c>
      <c r="D108" s="131"/>
      <c r="E108" s="131"/>
      <c r="F108" s="131"/>
      <c r="G108" s="131"/>
    </row>
    <row r="109" spans="1:7" ht="14.25" customHeight="1" x14ac:dyDescent="0.35">
      <c r="A109" s="132" t="s">
        <v>196</v>
      </c>
      <c r="B109" s="133" t="s">
        <v>48</v>
      </c>
      <c r="C109" s="133">
        <v>11021</v>
      </c>
      <c r="D109" s="133">
        <v>2</v>
      </c>
      <c r="E109" s="133">
        <v>0</v>
      </c>
      <c r="F109" s="133">
        <v>2</v>
      </c>
      <c r="G109" s="133">
        <v>0</v>
      </c>
    </row>
    <row r="110" spans="1:7" ht="14.25" customHeight="1" x14ac:dyDescent="0.35">
      <c r="A110" s="130" t="s">
        <v>134</v>
      </c>
      <c r="B110" s="131" t="s">
        <v>52</v>
      </c>
      <c r="C110" s="131">
        <v>24045</v>
      </c>
      <c r="D110" s="131"/>
      <c r="E110" s="131"/>
      <c r="F110" s="131"/>
      <c r="G110" s="131"/>
    </row>
    <row r="111" spans="1:7" ht="14.25" customHeight="1" x14ac:dyDescent="0.35">
      <c r="A111" s="132" t="s">
        <v>173</v>
      </c>
      <c r="B111" s="133" t="s">
        <v>48</v>
      </c>
      <c r="C111" s="133">
        <v>13016</v>
      </c>
      <c r="D111" s="133">
        <v>4</v>
      </c>
      <c r="E111" s="133">
        <v>3</v>
      </c>
      <c r="F111" s="133">
        <v>4</v>
      </c>
      <c r="G111" s="133">
        <v>3</v>
      </c>
    </row>
    <row r="112" spans="1:7" ht="14.25" customHeight="1" x14ac:dyDescent="0.35">
      <c r="A112" s="130" t="s">
        <v>212</v>
      </c>
      <c r="B112" s="131" t="s">
        <v>55</v>
      </c>
      <c r="C112" s="131">
        <v>35006</v>
      </c>
      <c r="D112" s="131"/>
      <c r="E112" s="131"/>
      <c r="F112" s="131"/>
      <c r="G112" s="131"/>
    </row>
    <row r="113" spans="1:7" ht="14.25" customHeight="1" x14ac:dyDescent="0.35">
      <c r="A113" s="132" t="s">
        <v>76</v>
      </c>
      <c r="B113" s="133" t="s">
        <v>55</v>
      </c>
      <c r="C113" s="133">
        <v>33011</v>
      </c>
      <c r="D113" s="133">
        <v>5</v>
      </c>
      <c r="E113" s="133">
        <v>0</v>
      </c>
      <c r="F113" s="133">
        <v>4</v>
      </c>
      <c r="G113" s="133">
        <v>0</v>
      </c>
    </row>
    <row r="114" spans="1:7" ht="14.25" customHeight="1" x14ac:dyDescent="0.35">
      <c r="A114" s="130" t="s">
        <v>263</v>
      </c>
      <c r="B114" s="131" t="s">
        <v>55</v>
      </c>
      <c r="C114" s="131">
        <v>36007</v>
      </c>
      <c r="D114" s="131"/>
      <c r="E114" s="131"/>
      <c r="F114" s="131"/>
      <c r="G114" s="131"/>
    </row>
    <row r="115" spans="1:7" ht="14.25" customHeight="1" x14ac:dyDescent="0.35">
      <c r="A115" s="132" t="s">
        <v>129</v>
      </c>
      <c r="B115" s="133" t="s">
        <v>55</v>
      </c>
      <c r="C115" s="133">
        <v>36008</v>
      </c>
      <c r="D115" s="133"/>
      <c r="E115" s="133"/>
      <c r="F115" s="133"/>
      <c r="G115" s="133"/>
    </row>
    <row r="116" spans="1:7" ht="14.25" customHeight="1" x14ac:dyDescent="0.35">
      <c r="A116" s="130" t="s">
        <v>273</v>
      </c>
      <c r="B116" s="131" t="s">
        <v>55</v>
      </c>
      <c r="C116" s="131">
        <v>31012</v>
      </c>
      <c r="D116" s="131"/>
      <c r="E116" s="131"/>
      <c r="F116" s="131"/>
      <c r="G116" s="131"/>
    </row>
    <row r="117" spans="1:7" ht="14.25" customHeight="1" x14ac:dyDescent="0.35">
      <c r="A117" s="132" t="s">
        <v>163</v>
      </c>
      <c r="B117" s="133" t="s">
        <v>48</v>
      </c>
      <c r="C117" s="133">
        <v>11022</v>
      </c>
      <c r="D117" s="133">
        <v>2</v>
      </c>
      <c r="E117" s="133">
        <v>2</v>
      </c>
      <c r="F117" s="133">
        <v>2</v>
      </c>
      <c r="G117" s="133">
        <v>2</v>
      </c>
    </row>
    <row r="118" spans="1:7" ht="14.25" customHeight="1" x14ac:dyDescent="0.35">
      <c r="A118" s="130" t="s">
        <v>207</v>
      </c>
      <c r="B118" s="131" t="s">
        <v>52</v>
      </c>
      <c r="C118" s="131">
        <v>23038</v>
      </c>
      <c r="D118" s="131">
        <v>3</v>
      </c>
      <c r="E118" s="131">
        <v>2</v>
      </c>
      <c r="F118" s="131">
        <v>2</v>
      </c>
      <c r="G118" s="131">
        <v>2</v>
      </c>
    </row>
    <row r="119" spans="1:7" ht="14.25" customHeight="1" x14ac:dyDescent="0.35">
      <c r="A119" s="132" t="s">
        <v>258</v>
      </c>
      <c r="B119" s="133" t="s">
        <v>52</v>
      </c>
      <c r="C119" s="133">
        <v>23039</v>
      </c>
      <c r="D119" s="133">
        <v>2</v>
      </c>
      <c r="E119" s="133">
        <v>0</v>
      </c>
      <c r="F119" s="133">
        <v>2</v>
      </c>
      <c r="G119" s="133">
        <v>0</v>
      </c>
    </row>
    <row r="120" spans="1:7" ht="14.25" customHeight="1" x14ac:dyDescent="0.35">
      <c r="A120" s="130" t="s">
        <v>312</v>
      </c>
      <c r="B120" s="131" t="s">
        <v>48</v>
      </c>
      <c r="C120" s="131">
        <v>11023</v>
      </c>
      <c r="D120" s="131"/>
      <c r="E120" s="131"/>
      <c r="F120" s="131"/>
      <c r="G120" s="131"/>
    </row>
    <row r="121" spans="1:7" ht="14.25" customHeight="1" x14ac:dyDescent="0.35">
      <c r="A121" s="132" t="s">
        <v>247</v>
      </c>
      <c r="B121" s="133" t="s">
        <v>50</v>
      </c>
      <c r="C121" s="133">
        <v>43007</v>
      </c>
      <c r="D121" s="133"/>
      <c r="E121" s="133"/>
      <c r="F121" s="133"/>
      <c r="G121" s="133"/>
    </row>
    <row r="122" spans="1:7" ht="14.25" customHeight="1" x14ac:dyDescent="0.35">
      <c r="A122" s="130" t="s">
        <v>181</v>
      </c>
      <c r="B122" s="131" t="s">
        <v>48</v>
      </c>
      <c r="C122" s="131">
        <v>13017</v>
      </c>
      <c r="D122" s="131">
        <v>2</v>
      </c>
      <c r="E122" s="131">
        <v>2</v>
      </c>
      <c r="F122" s="131">
        <v>2</v>
      </c>
      <c r="G122" s="131">
        <v>2</v>
      </c>
    </row>
    <row r="123" spans="1:7" ht="14.25" customHeight="1" x14ac:dyDescent="0.35">
      <c r="A123" s="132" t="s">
        <v>176</v>
      </c>
      <c r="B123" s="133" t="s">
        <v>52</v>
      </c>
      <c r="C123" s="133">
        <v>24048</v>
      </c>
      <c r="D123" s="133">
        <v>2</v>
      </c>
      <c r="E123" s="133">
        <v>2</v>
      </c>
      <c r="F123" s="133">
        <v>2</v>
      </c>
      <c r="G123" s="133">
        <v>2</v>
      </c>
    </row>
    <row r="124" spans="1:7" ht="14.25" customHeight="1" x14ac:dyDescent="0.35">
      <c r="A124" s="130" t="s">
        <v>325</v>
      </c>
      <c r="B124" s="131" t="s">
        <v>59</v>
      </c>
      <c r="C124" s="131">
        <v>72018</v>
      </c>
      <c r="D124" s="131"/>
      <c r="E124" s="131"/>
      <c r="F124" s="131"/>
      <c r="G124" s="131"/>
    </row>
    <row r="125" spans="1:7" ht="14.25" customHeight="1" x14ac:dyDescent="0.35">
      <c r="A125" s="132" t="s">
        <v>191</v>
      </c>
      <c r="B125" s="133" t="s">
        <v>50</v>
      </c>
      <c r="C125" s="133">
        <v>45060</v>
      </c>
      <c r="D125" s="133"/>
      <c r="E125" s="133"/>
      <c r="F125" s="133"/>
      <c r="G125" s="133"/>
    </row>
    <row r="126" spans="1:7" ht="14.25" customHeight="1" x14ac:dyDescent="0.35">
      <c r="A126" s="130" t="s">
        <v>103</v>
      </c>
      <c r="B126" s="131" t="s">
        <v>55</v>
      </c>
      <c r="C126" s="131">
        <v>31043</v>
      </c>
      <c r="D126" s="131"/>
      <c r="E126" s="131"/>
      <c r="F126" s="131"/>
      <c r="G126" s="131"/>
    </row>
    <row r="127" spans="1:7" ht="14.25" customHeight="1" x14ac:dyDescent="0.35">
      <c r="A127" s="132" t="s">
        <v>256</v>
      </c>
      <c r="B127" s="133" t="s">
        <v>55</v>
      </c>
      <c r="C127" s="133">
        <v>32010</v>
      </c>
      <c r="D127" s="133"/>
      <c r="E127" s="133"/>
      <c r="F127" s="133"/>
      <c r="G127" s="133"/>
    </row>
    <row r="128" spans="1:7" ht="14.25" customHeight="1" x14ac:dyDescent="0.35">
      <c r="A128" s="130" t="s">
        <v>100</v>
      </c>
      <c r="B128" s="131" t="s">
        <v>55</v>
      </c>
      <c r="C128" s="131">
        <v>38014</v>
      </c>
      <c r="D128" s="131"/>
      <c r="E128" s="131"/>
      <c r="F128" s="131"/>
      <c r="G128" s="131"/>
    </row>
    <row r="129" spans="1:7" ht="14.25" customHeight="1" x14ac:dyDescent="0.35">
      <c r="A129" s="132" t="s">
        <v>288</v>
      </c>
      <c r="B129" s="133" t="s">
        <v>48</v>
      </c>
      <c r="C129" s="133">
        <v>11024</v>
      </c>
      <c r="D129" s="133"/>
      <c r="E129" s="133"/>
      <c r="F129" s="133"/>
      <c r="G129" s="133"/>
    </row>
    <row r="130" spans="1:7" ht="14.25" customHeight="1" x14ac:dyDescent="0.35">
      <c r="A130" s="130" t="s">
        <v>138</v>
      </c>
      <c r="B130" s="131" t="s">
        <v>55</v>
      </c>
      <c r="C130" s="131">
        <v>32011</v>
      </c>
      <c r="D130" s="131"/>
      <c r="E130" s="131"/>
      <c r="F130" s="131"/>
      <c r="G130" s="131"/>
    </row>
    <row r="131" spans="1:7" ht="14.25" customHeight="1" x14ac:dyDescent="0.35">
      <c r="A131" s="132" t="s">
        <v>252</v>
      </c>
      <c r="B131" s="133" t="s">
        <v>52</v>
      </c>
      <c r="C131" s="133">
        <v>24054</v>
      </c>
      <c r="D131" s="133"/>
      <c r="E131" s="133"/>
      <c r="F131" s="133"/>
      <c r="G131" s="133"/>
    </row>
    <row r="132" spans="1:7" ht="14.25" customHeight="1" x14ac:dyDescent="0.35">
      <c r="A132" s="130" t="s">
        <v>117</v>
      </c>
      <c r="B132" s="131" t="s">
        <v>52</v>
      </c>
      <c r="C132" s="131">
        <v>24055</v>
      </c>
      <c r="D132" s="131"/>
      <c r="E132" s="131"/>
      <c r="F132" s="131"/>
      <c r="G132" s="131"/>
    </row>
    <row r="133" spans="1:7" ht="14.25" customHeight="1" x14ac:dyDescent="0.35">
      <c r="A133" s="132" t="s">
        <v>56</v>
      </c>
      <c r="B133" s="133" t="s">
        <v>55</v>
      </c>
      <c r="C133" s="133">
        <v>34022</v>
      </c>
      <c r="D133" s="133">
        <v>19</v>
      </c>
      <c r="E133" s="133">
        <v>1</v>
      </c>
      <c r="F133" s="133">
        <v>19</v>
      </c>
      <c r="G133" s="133">
        <v>1</v>
      </c>
    </row>
    <row r="134" spans="1:7" ht="14.25" customHeight="1" x14ac:dyDescent="0.35">
      <c r="A134" s="130" t="s">
        <v>270</v>
      </c>
      <c r="B134" s="131" t="s">
        <v>52</v>
      </c>
      <c r="C134" s="131">
        <v>23099</v>
      </c>
      <c r="D134" s="131">
        <v>2</v>
      </c>
      <c r="E134" s="131">
        <v>2</v>
      </c>
      <c r="F134" s="131">
        <v>2</v>
      </c>
      <c r="G134" s="131">
        <v>2</v>
      </c>
    </row>
    <row r="135" spans="1:7" ht="14.25" customHeight="1" x14ac:dyDescent="0.35">
      <c r="A135" s="132" t="s">
        <v>122</v>
      </c>
      <c r="B135" s="133" t="s">
        <v>50</v>
      </c>
      <c r="C135" s="133">
        <v>45068</v>
      </c>
      <c r="D135" s="133">
        <v>4</v>
      </c>
      <c r="E135" s="133">
        <v>4</v>
      </c>
      <c r="F135" s="133">
        <v>4</v>
      </c>
      <c r="G135" s="133">
        <v>4</v>
      </c>
    </row>
    <row r="136" spans="1:7" ht="14.25" customHeight="1" x14ac:dyDescent="0.35">
      <c r="A136" s="130" t="s">
        <v>158</v>
      </c>
      <c r="B136" s="131" t="s">
        <v>55</v>
      </c>
      <c r="C136" s="131">
        <v>34023</v>
      </c>
      <c r="D136" s="131"/>
      <c r="E136" s="131"/>
      <c r="F136" s="131"/>
      <c r="G136" s="131"/>
    </row>
    <row r="137" spans="1:7" ht="14.25" customHeight="1" x14ac:dyDescent="0.35">
      <c r="A137" s="132" t="s">
        <v>218</v>
      </c>
      <c r="B137" s="133" t="s">
        <v>48</v>
      </c>
      <c r="C137" s="133">
        <v>13053</v>
      </c>
      <c r="D137" s="133">
        <v>2</v>
      </c>
      <c r="E137" s="133">
        <v>2</v>
      </c>
      <c r="F137" s="133">
        <v>2</v>
      </c>
      <c r="G137" s="133">
        <v>2</v>
      </c>
    </row>
    <row r="138" spans="1:7" ht="14.25" customHeight="1" x14ac:dyDescent="0.35">
      <c r="A138" s="130" t="s">
        <v>155</v>
      </c>
      <c r="B138" s="131" t="s">
        <v>50</v>
      </c>
      <c r="C138" s="131">
        <v>42010</v>
      </c>
      <c r="D138" s="131">
        <v>5</v>
      </c>
      <c r="E138" s="131">
        <v>3</v>
      </c>
      <c r="F138" s="131">
        <v>5</v>
      </c>
      <c r="G138" s="131">
        <v>3</v>
      </c>
    </row>
    <row r="139" spans="1:7" ht="14.25" customHeight="1" x14ac:dyDescent="0.35">
      <c r="A139" s="132" t="s">
        <v>295</v>
      </c>
      <c r="B139" s="133" t="s">
        <v>59</v>
      </c>
      <c r="C139" s="133">
        <v>73042</v>
      </c>
      <c r="D139" s="133"/>
      <c r="E139" s="133"/>
      <c r="F139" s="133"/>
      <c r="G139" s="133"/>
    </row>
    <row r="140" spans="1:7" ht="14.25" customHeight="1" x14ac:dyDescent="0.35">
      <c r="A140" s="130" t="s">
        <v>81</v>
      </c>
      <c r="B140" s="131" t="s">
        <v>52</v>
      </c>
      <c r="C140" s="131">
        <v>24059</v>
      </c>
      <c r="D140" s="131">
        <v>6</v>
      </c>
      <c r="E140" s="131">
        <v>6</v>
      </c>
      <c r="F140" s="131">
        <v>6</v>
      </c>
      <c r="G140" s="131">
        <v>6</v>
      </c>
    </row>
    <row r="141" spans="1:7" ht="14.25" customHeight="1" x14ac:dyDescent="0.35">
      <c r="A141" s="132" t="s">
        <v>253</v>
      </c>
      <c r="B141" s="133" t="s">
        <v>55</v>
      </c>
      <c r="C141" s="133">
        <v>33040</v>
      </c>
      <c r="D141" s="133"/>
      <c r="E141" s="133"/>
      <c r="F141" s="133"/>
      <c r="G141" s="133"/>
    </row>
    <row r="142" spans="1:7" ht="14.25" customHeight="1" x14ac:dyDescent="0.35">
      <c r="A142" s="130" t="s">
        <v>114</v>
      </c>
      <c r="B142" s="131" t="s">
        <v>50</v>
      </c>
      <c r="C142" s="131">
        <v>42011</v>
      </c>
      <c r="D142" s="131"/>
      <c r="E142" s="131"/>
      <c r="F142" s="131"/>
      <c r="G142" s="131"/>
    </row>
    <row r="143" spans="1:7" ht="14.25" customHeight="1" x14ac:dyDescent="0.35">
      <c r="A143" s="132" t="s">
        <v>179</v>
      </c>
      <c r="B143" s="133" t="s">
        <v>50</v>
      </c>
      <c r="C143" s="133">
        <v>41034</v>
      </c>
      <c r="D143" s="133"/>
      <c r="E143" s="133"/>
      <c r="F143" s="133"/>
      <c r="G143" s="133"/>
    </row>
    <row r="144" spans="1:7" ht="14.25" customHeight="1" x14ac:dyDescent="0.35">
      <c r="A144" s="130" t="s">
        <v>171</v>
      </c>
      <c r="B144" s="131" t="s">
        <v>55</v>
      </c>
      <c r="C144" s="131">
        <v>36010</v>
      </c>
      <c r="D144" s="131"/>
      <c r="E144" s="131"/>
      <c r="F144" s="131"/>
      <c r="G144" s="131"/>
    </row>
    <row r="145" spans="1:7" ht="14.25" customHeight="1" x14ac:dyDescent="0.35">
      <c r="A145" s="132" t="s">
        <v>320</v>
      </c>
      <c r="B145" s="133" t="s">
        <v>55</v>
      </c>
      <c r="C145" s="133">
        <v>34025</v>
      </c>
      <c r="D145" s="133"/>
      <c r="E145" s="133"/>
      <c r="F145" s="133"/>
      <c r="G145" s="133"/>
    </row>
    <row r="146" spans="1:7" ht="14.25" customHeight="1" x14ac:dyDescent="0.35">
      <c r="A146" s="130" t="s">
        <v>257</v>
      </c>
      <c r="B146" s="131" t="s">
        <v>52</v>
      </c>
      <c r="C146" s="131">
        <v>23104</v>
      </c>
      <c r="D146" s="131"/>
      <c r="E146" s="131"/>
      <c r="F146" s="131"/>
      <c r="G146" s="131"/>
    </row>
    <row r="147" spans="1:7" ht="14.25" customHeight="1" x14ac:dyDescent="0.35">
      <c r="A147" s="132" t="s">
        <v>308</v>
      </c>
      <c r="B147" s="133" t="s">
        <v>59</v>
      </c>
      <c r="C147" s="133">
        <v>71034</v>
      </c>
      <c r="D147" s="133"/>
      <c r="E147" s="133"/>
      <c r="F147" s="133"/>
      <c r="G147" s="133"/>
    </row>
    <row r="148" spans="1:7" ht="14.25" customHeight="1" x14ac:dyDescent="0.35">
      <c r="A148" s="130" t="s">
        <v>51</v>
      </c>
      <c r="B148" s="131" t="s">
        <v>52</v>
      </c>
      <c r="C148" s="131">
        <v>24062</v>
      </c>
      <c r="D148" s="131">
        <v>202</v>
      </c>
      <c r="E148" s="131">
        <v>32</v>
      </c>
      <c r="F148" s="131">
        <v>208</v>
      </c>
      <c r="G148" s="131">
        <v>32</v>
      </c>
    </row>
    <row r="149" spans="1:7" ht="14.25" customHeight="1" x14ac:dyDescent="0.35">
      <c r="A149" s="132" t="s">
        <v>198</v>
      </c>
      <c r="B149" s="133" t="s">
        <v>55</v>
      </c>
      <c r="C149" s="133">
        <v>36011</v>
      </c>
      <c r="D149" s="133"/>
      <c r="E149" s="133"/>
      <c r="F149" s="133"/>
      <c r="G149" s="133"/>
    </row>
    <row r="150" spans="1:7" ht="14.25" customHeight="1" x14ac:dyDescent="0.35">
      <c r="A150" s="130" t="s">
        <v>334</v>
      </c>
      <c r="B150" s="131" t="s">
        <v>52</v>
      </c>
      <c r="C150" s="131">
        <v>23044</v>
      </c>
      <c r="D150" s="131"/>
      <c r="E150" s="131"/>
      <c r="F150" s="131"/>
      <c r="G150" s="131"/>
    </row>
    <row r="151" spans="1:7" ht="14.25" customHeight="1" x14ac:dyDescent="0.35">
      <c r="A151" s="132" t="s">
        <v>68</v>
      </c>
      <c r="B151" s="133" t="s">
        <v>48</v>
      </c>
      <c r="C151" s="133">
        <v>12021</v>
      </c>
      <c r="D151" s="133">
        <v>23</v>
      </c>
      <c r="E151" s="133">
        <v>1</v>
      </c>
      <c r="F151" s="133">
        <v>22</v>
      </c>
      <c r="G151" s="133">
        <v>1</v>
      </c>
    </row>
    <row r="152" spans="1:7" ht="14.25" customHeight="1" x14ac:dyDescent="0.35">
      <c r="A152" s="130" t="s">
        <v>248</v>
      </c>
      <c r="B152" s="131" t="s">
        <v>50</v>
      </c>
      <c r="C152" s="131">
        <v>45063</v>
      </c>
      <c r="D152" s="131"/>
      <c r="E152" s="131"/>
      <c r="F152" s="131"/>
      <c r="G152" s="131"/>
    </row>
    <row r="153" spans="1:7" ht="14.25" customHeight="1" x14ac:dyDescent="0.35">
      <c r="A153" s="132" t="s">
        <v>82</v>
      </c>
      <c r="B153" s="133" t="s">
        <v>50</v>
      </c>
      <c r="C153" s="133">
        <v>44085</v>
      </c>
      <c r="D153" s="133">
        <v>4</v>
      </c>
      <c r="E153" s="133">
        <v>3</v>
      </c>
      <c r="F153" s="133">
        <v>4</v>
      </c>
      <c r="G153" s="133">
        <v>3</v>
      </c>
    </row>
    <row r="154" spans="1:7" ht="14.25" customHeight="1" x14ac:dyDescent="0.35">
      <c r="A154" s="130" t="s">
        <v>161</v>
      </c>
      <c r="B154" s="131" t="s">
        <v>48</v>
      </c>
      <c r="C154" s="131">
        <v>13019</v>
      </c>
      <c r="D154" s="131">
        <v>2</v>
      </c>
      <c r="E154" s="131">
        <v>2</v>
      </c>
      <c r="F154" s="131">
        <v>2</v>
      </c>
      <c r="G154" s="131">
        <v>2</v>
      </c>
    </row>
    <row r="155" spans="1:7" ht="14.25" customHeight="1" x14ac:dyDescent="0.35">
      <c r="A155" s="132" t="s">
        <v>319</v>
      </c>
      <c r="B155" s="133" t="s">
        <v>52</v>
      </c>
      <c r="C155" s="133">
        <v>23100</v>
      </c>
      <c r="D155" s="133"/>
      <c r="E155" s="133"/>
      <c r="F155" s="133"/>
      <c r="G155" s="133"/>
    </row>
    <row r="156" spans="1:7" ht="14.25" customHeight="1" x14ac:dyDescent="0.35">
      <c r="A156" s="130" t="s">
        <v>254</v>
      </c>
      <c r="B156" s="131" t="s">
        <v>48</v>
      </c>
      <c r="C156" s="131">
        <v>11025</v>
      </c>
      <c r="D156" s="131">
        <v>2</v>
      </c>
      <c r="E156" s="131">
        <v>1</v>
      </c>
      <c r="F156" s="131">
        <v>2</v>
      </c>
      <c r="G156" s="131">
        <v>1</v>
      </c>
    </row>
    <row r="157" spans="1:7" ht="14.25" customHeight="1" x14ac:dyDescent="0.35">
      <c r="A157" s="132" t="s">
        <v>193</v>
      </c>
      <c r="B157" s="133" t="s">
        <v>52</v>
      </c>
      <c r="C157" s="133">
        <v>24133</v>
      </c>
      <c r="D157" s="133"/>
      <c r="E157" s="133"/>
      <c r="F157" s="133"/>
      <c r="G157" s="133"/>
    </row>
    <row r="158" spans="1:7" ht="14.25" customHeight="1" x14ac:dyDescent="0.35">
      <c r="A158" s="130" t="s">
        <v>239</v>
      </c>
      <c r="B158" s="131" t="s">
        <v>55</v>
      </c>
      <c r="C158" s="131">
        <v>32030</v>
      </c>
      <c r="D158" s="131"/>
      <c r="E158" s="131"/>
      <c r="F158" s="131"/>
      <c r="G158" s="131"/>
    </row>
    <row r="159" spans="1:7" ht="14.25" customHeight="1" x14ac:dyDescent="0.35">
      <c r="A159" s="132" t="s">
        <v>233</v>
      </c>
      <c r="B159" s="133" t="s">
        <v>50</v>
      </c>
      <c r="C159" s="133">
        <v>44034</v>
      </c>
      <c r="D159" s="133">
        <v>2</v>
      </c>
      <c r="E159" s="133">
        <v>2</v>
      </c>
      <c r="F159" s="133">
        <v>2</v>
      </c>
      <c r="G159" s="133">
        <v>2</v>
      </c>
    </row>
    <row r="160" spans="1:7" ht="14.25" customHeight="1" x14ac:dyDescent="0.35">
      <c r="A160" s="130" t="s">
        <v>72</v>
      </c>
      <c r="B160" s="131" t="s">
        <v>50</v>
      </c>
      <c r="C160" s="131">
        <v>46014</v>
      </c>
      <c r="D160" s="131">
        <v>8</v>
      </c>
      <c r="E160" s="131">
        <v>1</v>
      </c>
      <c r="F160" s="131">
        <v>8</v>
      </c>
      <c r="G160" s="131">
        <v>1</v>
      </c>
    </row>
    <row r="161" spans="1:7" ht="14.25" customHeight="1" x14ac:dyDescent="0.35">
      <c r="A161" s="132" t="s">
        <v>126</v>
      </c>
      <c r="B161" s="133" t="s">
        <v>59</v>
      </c>
      <c r="C161" s="133">
        <v>72020</v>
      </c>
      <c r="D161" s="133"/>
      <c r="E161" s="133"/>
      <c r="F161" s="133"/>
      <c r="G161" s="133"/>
    </row>
    <row r="162" spans="1:7" ht="14.25" customHeight="1" x14ac:dyDescent="0.35">
      <c r="A162" s="130" t="s">
        <v>283</v>
      </c>
      <c r="B162" s="131" t="s">
        <v>52</v>
      </c>
      <c r="C162" s="131">
        <v>23045</v>
      </c>
      <c r="D162" s="131"/>
      <c r="E162" s="131"/>
      <c r="F162" s="131"/>
      <c r="G162" s="131"/>
    </row>
    <row r="163" spans="1:7" ht="14.25" customHeight="1" x14ac:dyDescent="0.35">
      <c r="A163" s="132" t="s">
        <v>139</v>
      </c>
      <c r="B163" s="133" t="s">
        <v>52</v>
      </c>
      <c r="C163" s="133">
        <v>24066</v>
      </c>
      <c r="D163" s="133">
        <v>2</v>
      </c>
      <c r="E163" s="133">
        <v>2</v>
      </c>
      <c r="F163" s="133">
        <v>2</v>
      </c>
      <c r="G163" s="133">
        <v>2</v>
      </c>
    </row>
    <row r="164" spans="1:7" ht="14.25" customHeight="1" x14ac:dyDescent="0.35">
      <c r="A164" s="130" t="s">
        <v>286</v>
      </c>
      <c r="B164" s="131" t="s">
        <v>59</v>
      </c>
      <c r="C164" s="131">
        <v>71037</v>
      </c>
      <c r="D164" s="131">
        <v>2</v>
      </c>
      <c r="E164" s="131">
        <v>1</v>
      </c>
      <c r="F164" s="131">
        <v>2</v>
      </c>
      <c r="G164" s="131">
        <v>1</v>
      </c>
    </row>
    <row r="165" spans="1:7" ht="14.25" customHeight="1" x14ac:dyDescent="0.35">
      <c r="A165" s="132" t="s">
        <v>244</v>
      </c>
      <c r="B165" s="133" t="s">
        <v>50</v>
      </c>
      <c r="C165" s="133">
        <v>45064</v>
      </c>
      <c r="D165" s="133"/>
      <c r="E165" s="133"/>
      <c r="F165" s="133"/>
      <c r="G165" s="133"/>
    </row>
    <row r="166" spans="1:7" ht="14.25" customHeight="1" x14ac:dyDescent="0.35">
      <c r="A166" s="130" t="s">
        <v>211</v>
      </c>
      <c r="B166" s="131" t="s">
        <v>59</v>
      </c>
      <c r="C166" s="131">
        <v>72021</v>
      </c>
      <c r="D166" s="131"/>
      <c r="E166" s="131"/>
      <c r="F166" s="131"/>
      <c r="G166" s="131"/>
    </row>
    <row r="167" spans="1:7" ht="14.25" customHeight="1" x14ac:dyDescent="0.35">
      <c r="A167" s="132" t="s">
        <v>229</v>
      </c>
      <c r="B167" s="133" t="s">
        <v>59</v>
      </c>
      <c r="C167" s="133">
        <v>73107</v>
      </c>
      <c r="D167" s="133"/>
      <c r="E167" s="133"/>
      <c r="F167" s="133"/>
      <c r="G167" s="133"/>
    </row>
    <row r="168" spans="1:7" ht="14.25" customHeight="1" x14ac:dyDescent="0.35">
      <c r="A168" s="130" t="s">
        <v>278</v>
      </c>
      <c r="B168" s="131" t="s">
        <v>52</v>
      </c>
      <c r="C168" s="131">
        <v>23047</v>
      </c>
      <c r="D168" s="131">
        <v>2</v>
      </c>
      <c r="E168" s="131">
        <v>2</v>
      </c>
      <c r="F168" s="131">
        <v>2</v>
      </c>
      <c r="G168" s="131">
        <v>2</v>
      </c>
    </row>
    <row r="169" spans="1:7" ht="14.25" customHeight="1" x14ac:dyDescent="0.35">
      <c r="A169" s="132" t="s">
        <v>165</v>
      </c>
      <c r="B169" s="133" t="s">
        <v>50</v>
      </c>
      <c r="C169" s="133">
        <v>43010</v>
      </c>
      <c r="D169" s="133">
        <v>5</v>
      </c>
      <c r="E169" s="133">
        <v>1</v>
      </c>
      <c r="F169" s="133">
        <v>5</v>
      </c>
      <c r="G169" s="133">
        <v>2</v>
      </c>
    </row>
    <row r="170" spans="1:7" ht="14.25" customHeight="1" x14ac:dyDescent="0.35">
      <c r="A170" s="130" t="s">
        <v>178</v>
      </c>
      <c r="B170" s="131" t="s">
        <v>48</v>
      </c>
      <c r="C170" s="131">
        <v>11057</v>
      </c>
      <c r="D170" s="131">
        <v>4</v>
      </c>
      <c r="E170" s="131">
        <v>4</v>
      </c>
      <c r="F170" s="131">
        <v>4</v>
      </c>
      <c r="G170" s="131">
        <v>4</v>
      </c>
    </row>
    <row r="171" spans="1:7" ht="14.25" customHeight="1" x14ac:dyDescent="0.35">
      <c r="A171" s="132" t="s">
        <v>53</v>
      </c>
      <c r="B171" s="133" t="s">
        <v>48</v>
      </c>
      <c r="C171" s="133">
        <v>12025</v>
      </c>
      <c r="D171" s="133">
        <v>121</v>
      </c>
      <c r="E171" s="133">
        <v>35</v>
      </c>
      <c r="F171" s="133">
        <v>118</v>
      </c>
      <c r="G171" s="133">
        <v>38</v>
      </c>
    </row>
    <row r="172" spans="1:7" ht="14.25" customHeight="1" x14ac:dyDescent="0.35">
      <c r="A172" s="130" t="s">
        <v>172</v>
      </c>
      <c r="B172" s="131" t="s">
        <v>48</v>
      </c>
      <c r="C172" s="131">
        <v>13021</v>
      </c>
      <c r="D172" s="131">
        <v>3</v>
      </c>
      <c r="E172" s="131">
        <v>3</v>
      </c>
      <c r="F172" s="131">
        <v>3</v>
      </c>
      <c r="G172" s="131">
        <v>3</v>
      </c>
    </row>
    <row r="173" spans="1:7" ht="14.25" customHeight="1" x14ac:dyDescent="0.35">
      <c r="A173" s="132" t="s">
        <v>287</v>
      </c>
      <c r="B173" s="133" t="s">
        <v>52</v>
      </c>
      <c r="C173" s="133">
        <v>23050</v>
      </c>
      <c r="D173" s="133"/>
      <c r="E173" s="133"/>
      <c r="F173" s="133"/>
      <c r="G173" s="133"/>
    </row>
    <row r="174" spans="1:7" ht="14.25" customHeight="1" x14ac:dyDescent="0.35">
      <c r="A174" s="130" t="s">
        <v>130</v>
      </c>
      <c r="B174" s="131" t="s">
        <v>55</v>
      </c>
      <c r="C174" s="131">
        <v>34027</v>
      </c>
      <c r="D174" s="131"/>
      <c r="E174" s="131"/>
      <c r="F174" s="131"/>
      <c r="G174" s="131"/>
    </row>
    <row r="175" spans="1:7" ht="14.25" customHeight="1" x14ac:dyDescent="0.35">
      <c r="A175" s="132" t="s">
        <v>281</v>
      </c>
      <c r="B175" s="133" t="s">
        <v>52</v>
      </c>
      <c r="C175" s="133">
        <v>23052</v>
      </c>
      <c r="D175" s="133"/>
      <c r="E175" s="133"/>
      <c r="F175" s="133"/>
      <c r="G175" s="133"/>
    </row>
    <row r="176" spans="1:7" ht="14.25" customHeight="1" x14ac:dyDescent="0.35">
      <c r="A176" s="130" t="s">
        <v>60</v>
      </c>
      <c r="B176" s="131" t="s">
        <v>50</v>
      </c>
      <c r="C176" s="131">
        <v>44043</v>
      </c>
      <c r="D176" s="131">
        <v>11</v>
      </c>
      <c r="E176" s="131">
        <v>6</v>
      </c>
      <c r="F176" s="131">
        <v>11</v>
      </c>
      <c r="G176" s="131">
        <v>5</v>
      </c>
    </row>
    <row r="177" spans="1:7" ht="14.25" customHeight="1" x14ac:dyDescent="0.35">
      <c r="A177" s="132" t="s">
        <v>197</v>
      </c>
      <c r="B177" s="133" t="s">
        <v>48</v>
      </c>
      <c r="C177" s="133">
        <v>13023</v>
      </c>
      <c r="D177" s="133"/>
      <c r="E177" s="133"/>
      <c r="F177" s="133"/>
      <c r="G177" s="133"/>
    </row>
    <row r="178" spans="1:7" ht="14.25" customHeight="1" x14ac:dyDescent="0.35">
      <c r="A178" s="130" t="s">
        <v>238</v>
      </c>
      <c r="B178" s="131" t="s">
        <v>55</v>
      </c>
      <c r="C178" s="131">
        <v>33016</v>
      </c>
      <c r="D178" s="131"/>
      <c r="E178" s="131"/>
      <c r="F178" s="131"/>
      <c r="G178" s="131"/>
    </row>
    <row r="179" spans="1:7" ht="14.25" customHeight="1" x14ac:dyDescent="0.35">
      <c r="A179" s="132" t="s">
        <v>225</v>
      </c>
      <c r="B179" s="133" t="s">
        <v>55</v>
      </c>
      <c r="C179" s="133">
        <v>35011</v>
      </c>
      <c r="D179" s="133"/>
      <c r="E179" s="133"/>
      <c r="F179" s="133"/>
      <c r="G179" s="133"/>
    </row>
    <row r="180" spans="1:7" ht="14.25" customHeight="1" x14ac:dyDescent="0.35">
      <c r="A180" s="130" t="s">
        <v>145</v>
      </c>
      <c r="B180" s="131" t="s">
        <v>48</v>
      </c>
      <c r="C180" s="131">
        <v>13025</v>
      </c>
      <c r="D180" s="131">
        <v>3</v>
      </c>
      <c r="E180" s="131">
        <v>3</v>
      </c>
      <c r="F180" s="131">
        <v>3</v>
      </c>
      <c r="G180" s="131">
        <v>3</v>
      </c>
    </row>
    <row r="181" spans="1:7" ht="14.25" customHeight="1" x14ac:dyDescent="0.35">
      <c r="A181" s="132" t="s">
        <v>174</v>
      </c>
      <c r="B181" s="133" t="s">
        <v>55</v>
      </c>
      <c r="C181" s="133">
        <v>36012</v>
      </c>
      <c r="D181" s="133"/>
      <c r="E181" s="133"/>
      <c r="F181" s="133"/>
      <c r="G181" s="133"/>
    </row>
    <row r="182" spans="1:7" ht="14.25" customHeight="1" x14ac:dyDescent="0.35">
      <c r="A182" s="130" t="s">
        <v>66</v>
      </c>
      <c r="B182" s="131" t="s">
        <v>48</v>
      </c>
      <c r="C182" s="131">
        <v>11029</v>
      </c>
      <c r="D182" s="131">
        <v>26</v>
      </c>
      <c r="E182" s="131">
        <v>1</v>
      </c>
      <c r="F182" s="131">
        <v>26</v>
      </c>
      <c r="G182" s="131">
        <v>1</v>
      </c>
    </row>
    <row r="183" spans="1:7" ht="14.25" customHeight="1" x14ac:dyDescent="0.35">
      <c r="A183" s="132" t="s">
        <v>75</v>
      </c>
      <c r="B183" s="133" t="s">
        <v>50</v>
      </c>
      <c r="C183" s="133">
        <v>44048</v>
      </c>
      <c r="D183" s="133">
        <v>7</v>
      </c>
      <c r="E183" s="133">
        <v>1</v>
      </c>
      <c r="F183" s="133">
        <v>7</v>
      </c>
      <c r="G183" s="133">
        <v>3</v>
      </c>
    </row>
    <row r="184" spans="1:7" ht="14.25" customHeight="1" x14ac:dyDescent="0.35">
      <c r="A184" s="130" t="s">
        <v>203</v>
      </c>
      <c r="B184" s="131" t="s">
        <v>48</v>
      </c>
      <c r="C184" s="131">
        <v>11030</v>
      </c>
      <c r="D184" s="131"/>
      <c r="E184" s="131"/>
      <c r="F184" s="131"/>
      <c r="G184" s="131"/>
    </row>
    <row r="185" spans="1:7" ht="14.25" customHeight="1" x14ac:dyDescent="0.35">
      <c r="A185" s="132" t="s">
        <v>299</v>
      </c>
      <c r="B185" s="133" t="s">
        <v>59</v>
      </c>
      <c r="C185" s="133">
        <v>71045</v>
      </c>
      <c r="D185" s="133"/>
      <c r="E185" s="133"/>
      <c r="F185" s="133"/>
      <c r="G185" s="133"/>
    </row>
    <row r="186" spans="1:7" ht="14.25" customHeight="1" x14ac:dyDescent="0.35">
      <c r="A186" s="130" t="s">
        <v>152</v>
      </c>
      <c r="B186" s="131" t="s">
        <v>55</v>
      </c>
      <c r="C186" s="131">
        <v>38016</v>
      </c>
      <c r="D186" s="131"/>
      <c r="E186" s="131"/>
      <c r="F186" s="131"/>
      <c r="G186" s="131"/>
    </row>
    <row r="187" spans="1:7" ht="14.25" customHeight="1" x14ac:dyDescent="0.35">
      <c r="A187" s="132" t="s">
        <v>124</v>
      </c>
      <c r="B187" s="133" t="s">
        <v>48</v>
      </c>
      <c r="C187" s="133">
        <v>12026</v>
      </c>
      <c r="D187" s="133">
        <v>4</v>
      </c>
      <c r="E187" s="133">
        <v>4</v>
      </c>
      <c r="F187" s="133">
        <v>4</v>
      </c>
      <c r="G187" s="133">
        <v>4</v>
      </c>
    </row>
    <row r="188" spans="1:7" ht="14.25" customHeight="1" x14ac:dyDescent="0.35">
      <c r="A188" s="130" t="s">
        <v>236</v>
      </c>
      <c r="B188" s="131" t="s">
        <v>50</v>
      </c>
      <c r="C188" s="131">
        <v>41048</v>
      </c>
      <c r="D188" s="131">
        <v>2</v>
      </c>
      <c r="E188" s="131">
        <v>2</v>
      </c>
      <c r="F188" s="131">
        <v>2</v>
      </c>
      <c r="G188" s="131">
        <v>2</v>
      </c>
    </row>
    <row r="189" spans="1:7" ht="14.25" customHeight="1" x14ac:dyDescent="0.35">
      <c r="A189" s="132" t="s">
        <v>330</v>
      </c>
      <c r="B189" s="133" t="s">
        <v>48</v>
      </c>
      <c r="C189" s="133">
        <v>13029</v>
      </c>
      <c r="D189" s="133"/>
      <c r="E189" s="133"/>
      <c r="F189" s="133"/>
      <c r="G189" s="133"/>
    </row>
    <row r="190" spans="1:7" ht="14.25" customHeight="1" x14ac:dyDescent="0.35">
      <c r="A190" s="130" t="s">
        <v>64</v>
      </c>
      <c r="B190" s="131" t="s">
        <v>55</v>
      </c>
      <c r="C190" s="131">
        <v>35013</v>
      </c>
      <c r="D190" s="131">
        <v>29</v>
      </c>
      <c r="E190" s="131">
        <v>1</v>
      </c>
      <c r="F190" s="131">
        <v>29</v>
      </c>
      <c r="G190" s="131">
        <v>2</v>
      </c>
    </row>
    <row r="191" spans="1:7" ht="14.25" customHeight="1" x14ac:dyDescent="0.35">
      <c r="A191" s="132" t="s">
        <v>121</v>
      </c>
      <c r="B191" s="133" t="s">
        <v>50</v>
      </c>
      <c r="C191" s="133">
        <v>44052</v>
      </c>
      <c r="D191" s="133"/>
      <c r="E191" s="133"/>
      <c r="F191" s="133"/>
      <c r="G191" s="133"/>
    </row>
    <row r="192" spans="1:7" ht="14.25" customHeight="1" x14ac:dyDescent="0.35">
      <c r="A192" s="130" t="s">
        <v>79</v>
      </c>
      <c r="B192" s="131" t="s">
        <v>55</v>
      </c>
      <c r="C192" s="131">
        <v>31022</v>
      </c>
      <c r="D192" s="131"/>
      <c r="E192" s="131"/>
      <c r="F192" s="131"/>
      <c r="G192" s="131"/>
    </row>
    <row r="193" spans="1:7" ht="14.25" customHeight="1" x14ac:dyDescent="0.35">
      <c r="A193" s="132" t="s">
        <v>194</v>
      </c>
      <c r="B193" s="133" t="s">
        <v>55</v>
      </c>
      <c r="C193" s="133">
        <v>37010</v>
      </c>
      <c r="D193" s="133"/>
      <c r="E193" s="133"/>
      <c r="F193" s="133"/>
      <c r="G193" s="133"/>
    </row>
    <row r="194" spans="1:7" ht="14.25" customHeight="1" x14ac:dyDescent="0.35">
      <c r="A194" s="130" t="s">
        <v>214</v>
      </c>
      <c r="B194" s="131" t="s">
        <v>52</v>
      </c>
      <c r="C194" s="131">
        <v>23060</v>
      </c>
      <c r="D194" s="131">
        <v>2</v>
      </c>
      <c r="E194" s="131">
        <v>2</v>
      </c>
      <c r="F194" s="131">
        <v>2</v>
      </c>
      <c r="G194" s="131">
        <v>2</v>
      </c>
    </row>
    <row r="195" spans="1:7" ht="14.25" customHeight="1" x14ac:dyDescent="0.35">
      <c r="A195" s="132" t="s">
        <v>110</v>
      </c>
      <c r="B195" s="133" t="s">
        <v>52</v>
      </c>
      <c r="C195" s="133">
        <v>24086</v>
      </c>
      <c r="D195" s="133">
        <v>5</v>
      </c>
      <c r="E195" s="133">
        <v>5</v>
      </c>
      <c r="F195" s="133">
        <v>5</v>
      </c>
      <c r="G195" s="133">
        <v>4</v>
      </c>
    </row>
    <row r="196" spans="1:7" ht="14.25" customHeight="1" x14ac:dyDescent="0.35">
      <c r="A196" s="130" t="s">
        <v>159</v>
      </c>
      <c r="B196" s="131" t="s">
        <v>48</v>
      </c>
      <c r="C196" s="131">
        <v>13031</v>
      </c>
      <c r="D196" s="131"/>
      <c r="E196" s="131"/>
      <c r="F196" s="131">
        <v>2</v>
      </c>
      <c r="G196" s="131">
        <v>2</v>
      </c>
    </row>
    <row r="197" spans="1:7" ht="14.25" customHeight="1" x14ac:dyDescent="0.35">
      <c r="A197" s="132" t="s">
        <v>77</v>
      </c>
      <c r="B197" s="133" t="s">
        <v>50</v>
      </c>
      <c r="C197" s="133">
        <v>45035</v>
      </c>
      <c r="D197" s="133">
        <v>3</v>
      </c>
      <c r="E197" s="133">
        <v>2</v>
      </c>
      <c r="F197" s="133">
        <v>4</v>
      </c>
      <c r="G197" s="133">
        <v>2</v>
      </c>
    </row>
    <row r="198" spans="1:7" ht="14.25" customHeight="1" x14ac:dyDescent="0.35">
      <c r="A198" s="130" t="s">
        <v>200</v>
      </c>
      <c r="B198" s="131" t="s">
        <v>55</v>
      </c>
      <c r="C198" s="131">
        <v>35014</v>
      </c>
      <c r="D198" s="131"/>
      <c r="E198" s="131"/>
      <c r="F198" s="131"/>
      <c r="G198" s="131"/>
    </row>
    <row r="199" spans="1:7" ht="14.25" customHeight="1" x14ac:dyDescent="0.35">
      <c r="A199" s="132" t="s">
        <v>234</v>
      </c>
      <c r="B199" s="133" t="s">
        <v>59</v>
      </c>
      <c r="C199" s="133">
        <v>72042</v>
      </c>
      <c r="D199" s="133"/>
      <c r="E199" s="133"/>
      <c r="F199" s="133"/>
      <c r="G199" s="133"/>
    </row>
    <row r="200" spans="1:7" ht="14.25" customHeight="1" x14ac:dyDescent="0.35">
      <c r="A200" s="130" t="s">
        <v>230</v>
      </c>
      <c r="B200" s="131" t="s">
        <v>52</v>
      </c>
      <c r="C200" s="131">
        <v>23062</v>
      </c>
      <c r="D200" s="131"/>
      <c r="E200" s="131"/>
      <c r="F200" s="131"/>
      <c r="G200" s="131"/>
    </row>
    <row r="201" spans="1:7" ht="14.25" customHeight="1" x14ac:dyDescent="0.35">
      <c r="A201" s="132" t="s">
        <v>293</v>
      </c>
      <c r="B201" s="133" t="s">
        <v>52</v>
      </c>
      <c r="C201" s="133"/>
      <c r="D201" s="133"/>
      <c r="E201" s="133"/>
      <c r="F201" s="133"/>
      <c r="G201" s="133"/>
    </row>
    <row r="202" spans="1:7" ht="14.25" customHeight="1" x14ac:dyDescent="0.35">
      <c r="A202" s="130" t="s">
        <v>232</v>
      </c>
      <c r="B202" s="131" t="s">
        <v>59</v>
      </c>
      <c r="C202" s="131">
        <v>72030</v>
      </c>
      <c r="D202" s="131"/>
      <c r="E202" s="131"/>
      <c r="F202" s="131"/>
      <c r="G202" s="131"/>
    </row>
    <row r="203" spans="1:7" ht="14.25" customHeight="1" x14ac:dyDescent="0.35">
      <c r="A203" s="132" t="s">
        <v>310</v>
      </c>
      <c r="B203" s="133" t="s">
        <v>59</v>
      </c>
      <c r="C203" s="133">
        <v>72043</v>
      </c>
      <c r="D203" s="133"/>
      <c r="E203" s="133"/>
      <c r="F203" s="133"/>
      <c r="G203" s="133"/>
    </row>
    <row r="204" spans="1:7" ht="14.25" customHeight="1" x14ac:dyDescent="0.35">
      <c r="A204" s="130" t="s">
        <v>241</v>
      </c>
      <c r="B204" s="131" t="s">
        <v>52</v>
      </c>
      <c r="C204" s="131">
        <v>23064</v>
      </c>
      <c r="D204" s="131">
        <v>2</v>
      </c>
      <c r="E204" s="131">
        <v>2</v>
      </c>
      <c r="F204" s="131">
        <v>2</v>
      </c>
      <c r="G204" s="131">
        <v>2</v>
      </c>
    </row>
    <row r="205" spans="1:7" ht="14.25" customHeight="1" x14ac:dyDescent="0.35">
      <c r="A205" s="132" t="s">
        <v>251</v>
      </c>
      <c r="B205" s="133" t="s">
        <v>55</v>
      </c>
      <c r="C205" s="133">
        <v>37011</v>
      </c>
      <c r="D205" s="133"/>
      <c r="E205" s="133"/>
      <c r="F205" s="133"/>
      <c r="G205" s="133"/>
    </row>
    <row r="206" spans="1:7" ht="14.25" customHeight="1" x14ac:dyDescent="0.35">
      <c r="A206" s="130" t="s">
        <v>98</v>
      </c>
      <c r="B206" s="131" t="s">
        <v>55</v>
      </c>
      <c r="C206" s="131">
        <v>33021</v>
      </c>
      <c r="D206" s="131"/>
      <c r="E206" s="131"/>
      <c r="F206" s="131"/>
      <c r="G206" s="131"/>
    </row>
    <row r="207" spans="1:7" ht="14.25" customHeight="1" x14ac:dyDescent="0.35">
      <c r="A207" s="132" t="s">
        <v>282</v>
      </c>
      <c r="B207" s="133" t="s">
        <v>48</v>
      </c>
      <c r="C207" s="133">
        <v>12029</v>
      </c>
      <c r="D207" s="133"/>
      <c r="E207" s="133"/>
      <c r="F207" s="133"/>
      <c r="G207" s="133"/>
    </row>
    <row r="208" spans="1:7" ht="14.25" customHeight="1" x14ac:dyDescent="0.35">
      <c r="A208" s="130" t="s">
        <v>94</v>
      </c>
      <c r="B208" s="131" t="s">
        <v>48</v>
      </c>
      <c r="C208" s="131">
        <v>12041</v>
      </c>
      <c r="D208" s="131"/>
      <c r="E208" s="131"/>
      <c r="F208" s="131"/>
      <c r="G208" s="131"/>
    </row>
    <row r="209" spans="1:7" ht="14.25" customHeight="1" x14ac:dyDescent="0.35">
      <c r="A209" s="132" t="s">
        <v>284</v>
      </c>
      <c r="B209" s="133" t="s">
        <v>48</v>
      </c>
      <c r="C209" s="133">
        <v>11035</v>
      </c>
      <c r="D209" s="133"/>
      <c r="E209" s="133"/>
      <c r="F209" s="133"/>
      <c r="G209" s="133"/>
    </row>
    <row r="210" spans="1:7" ht="14.25" customHeight="1" x14ac:dyDescent="0.35">
      <c r="A210" s="130" t="s">
        <v>277</v>
      </c>
      <c r="B210" s="131" t="s">
        <v>48</v>
      </c>
      <c r="C210" s="131">
        <v>13035</v>
      </c>
      <c r="D210" s="131">
        <v>2</v>
      </c>
      <c r="E210" s="131">
        <v>2</v>
      </c>
      <c r="F210" s="131">
        <v>2</v>
      </c>
      <c r="G210" s="131">
        <v>2</v>
      </c>
    </row>
    <row r="211" spans="1:7" ht="14.25" customHeight="1" x14ac:dyDescent="0.35">
      <c r="A211" s="132" t="s">
        <v>204</v>
      </c>
      <c r="B211" s="133" t="s">
        <v>48</v>
      </c>
      <c r="C211" s="133">
        <v>13036</v>
      </c>
      <c r="D211" s="133">
        <v>2</v>
      </c>
      <c r="E211" s="133">
        <v>2</v>
      </c>
      <c r="F211" s="133">
        <v>2</v>
      </c>
      <c r="G211" s="133">
        <v>2</v>
      </c>
    </row>
    <row r="212" spans="1:7" ht="14.25" customHeight="1" x14ac:dyDescent="0.35">
      <c r="A212" s="130" t="s">
        <v>332</v>
      </c>
      <c r="B212" s="131" t="s">
        <v>59</v>
      </c>
      <c r="C212" s="131">
        <v>73066</v>
      </c>
      <c r="D212" s="131"/>
      <c r="E212" s="131"/>
      <c r="F212" s="131"/>
      <c r="G212" s="131"/>
    </row>
    <row r="213" spans="1:7" ht="14.25" customHeight="1" x14ac:dyDescent="0.35">
      <c r="A213" s="132" t="s">
        <v>267</v>
      </c>
      <c r="B213" s="133" t="s">
        <v>48</v>
      </c>
      <c r="C213" s="133">
        <v>13037</v>
      </c>
      <c r="D213" s="133">
        <v>2</v>
      </c>
      <c r="E213" s="133">
        <v>1</v>
      </c>
      <c r="F213" s="133">
        <v>2</v>
      </c>
      <c r="G213" s="133">
        <v>1</v>
      </c>
    </row>
    <row r="214" spans="1:7" ht="14.25" customHeight="1" x14ac:dyDescent="0.35">
      <c r="A214" s="130" t="s">
        <v>63</v>
      </c>
      <c r="B214" s="131" t="s">
        <v>55</v>
      </c>
      <c r="C214" s="131">
        <v>36015</v>
      </c>
      <c r="D214" s="131">
        <v>12</v>
      </c>
      <c r="E214" s="131">
        <v>2</v>
      </c>
      <c r="F214" s="131">
        <v>12</v>
      </c>
      <c r="G214" s="131">
        <v>2</v>
      </c>
    </row>
    <row r="215" spans="1:7" ht="14.25" customHeight="1" x14ac:dyDescent="0.35">
      <c r="A215" s="132" t="s">
        <v>141</v>
      </c>
      <c r="B215" s="133" t="s">
        <v>50</v>
      </c>
      <c r="C215" s="133">
        <v>45041</v>
      </c>
      <c r="D215" s="133"/>
      <c r="E215" s="133"/>
      <c r="F215" s="133"/>
      <c r="G215" s="133"/>
    </row>
    <row r="216" spans="1:7" ht="14.25" customHeight="1" x14ac:dyDescent="0.35">
      <c r="A216" s="130" t="s">
        <v>328</v>
      </c>
      <c r="B216" s="131" t="s">
        <v>52</v>
      </c>
      <c r="C216" s="131">
        <v>23097</v>
      </c>
      <c r="D216" s="131"/>
      <c r="E216" s="131"/>
      <c r="F216" s="131"/>
      <c r="G216" s="131"/>
    </row>
    <row r="217" spans="1:7" ht="14.25" customHeight="1" x14ac:dyDescent="0.35">
      <c r="A217" s="132" t="s">
        <v>78</v>
      </c>
      <c r="B217" s="133" t="s">
        <v>52</v>
      </c>
      <c r="C217" s="133">
        <v>24094</v>
      </c>
      <c r="D217" s="133">
        <v>9</v>
      </c>
      <c r="E217" s="133">
        <v>0</v>
      </c>
      <c r="F217" s="133">
        <v>9</v>
      </c>
      <c r="G217" s="133">
        <v>0</v>
      </c>
    </row>
    <row r="218" spans="1:7" ht="14.25" customHeight="1" x14ac:dyDescent="0.35">
      <c r="A218" s="130" t="s">
        <v>160</v>
      </c>
      <c r="B218" s="131" t="s">
        <v>48</v>
      </c>
      <c r="C218" s="131">
        <v>11037</v>
      </c>
      <c r="D218" s="131"/>
      <c r="E218" s="131"/>
      <c r="F218" s="131"/>
      <c r="G218" s="131"/>
    </row>
    <row r="219" spans="1:7" ht="14.25" customHeight="1" x14ac:dyDescent="0.35">
      <c r="A219" s="132" t="s">
        <v>169</v>
      </c>
      <c r="B219" s="133" t="s">
        <v>48</v>
      </c>
      <c r="C219" s="133">
        <v>11038</v>
      </c>
      <c r="D219" s="133"/>
      <c r="E219" s="133"/>
      <c r="F219" s="133"/>
      <c r="G219" s="133"/>
    </row>
    <row r="220" spans="1:7" ht="14.25" customHeight="1" x14ac:dyDescent="0.35">
      <c r="A220" s="130" t="s">
        <v>292</v>
      </c>
      <c r="B220" s="131" t="s">
        <v>52</v>
      </c>
      <c r="C220" s="131">
        <v>24134</v>
      </c>
      <c r="D220" s="131"/>
      <c r="E220" s="131"/>
      <c r="F220" s="131"/>
      <c r="G220" s="131"/>
    </row>
    <row r="221" spans="1:7" ht="14.25" customHeight="1" x14ac:dyDescent="0.35">
      <c r="A221" s="132" t="s">
        <v>311</v>
      </c>
      <c r="B221" s="133" t="s">
        <v>48</v>
      </c>
      <c r="C221" s="133">
        <v>11039</v>
      </c>
      <c r="D221" s="133"/>
      <c r="E221" s="133"/>
      <c r="F221" s="133"/>
      <c r="G221" s="133"/>
    </row>
    <row r="222" spans="1:7" ht="14.25" customHeight="1" x14ac:dyDescent="0.35">
      <c r="A222" s="130" t="s">
        <v>188</v>
      </c>
      <c r="B222" s="131" t="s">
        <v>48</v>
      </c>
      <c r="C222" s="131">
        <v>11040</v>
      </c>
      <c r="D222" s="131"/>
      <c r="E222" s="131"/>
      <c r="F222" s="131"/>
      <c r="G222" s="131"/>
    </row>
    <row r="223" spans="1:7" ht="14.25" customHeight="1" x14ac:dyDescent="0.35">
      <c r="A223" s="132" t="s">
        <v>220</v>
      </c>
      <c r="B223" s="133" t="s">
        <v>52</v>
      </c>
      <c r="C223" s="133">
        <v>23101</v>
      </c>
      <c r="D223" s="133">
        <v>2</v>
      </c>
      <c r="E223" s="133">
        <v>2</v>
      </c>
      <c r="F223" s="133">
        <v>2</v>
      </c>
      <c r="G223" s="133">
        <v>2</v>
      </c>
    </row>
    <row r="224" spans="1:7" ht="14.25" customHeight="1" x14ac:dyDescent="0.35">
      <c r="A224" s="130" t="s">
        <v>226</v>
      </c>
      <c r="B224" s="131" t="s">
        <v>50</v>
      </c>
      <c r="C224" s="131">
        <v>46020</v>
      </c>
      <c r="D224" s="131"/>
      <c r="E224" s="131"/>
      <c r="F224" s="131"/>
      <c r="G224" s="131"/>
    </row>
    <row r="225" spans="1:7" ht="14.25" customHeight="1" x14ac:dyDescent="0.35">
      <c r="A225" s="132" t="s">
        <v>183</v>
      </c>
      <c r="B225" s="133" t="s">
        <v>48</v>
      </c>
      <c r="C225" s="133">
        <v>12035</v>
      </c>
      <c r="D225" s="133">
        <v>2</v>
      </c>
      <c r="E225" s="133">
        <v>0</v>
      </c>
      <c r="F225" s="133">
        <v>2</v>
      </c>
      <c r="G225" s="133">
        <v>0</v>
      </c>
    </row>
    <row r="226" spans="1:7" ht="14.25" customHeight="1" x14ac:dyDescent="0.35">
      <c r="A226" s="130" t="s">
        <v>250</v>
      </c>
      <c r="B226" s="131" t="s">
        <v>50</v>
      </c>
      <c r="C226" s="131">
        <v>43014</v>
      </c>
      <c r="D226" s="131">
        <v>2</v>
      </c>
      <c r="E226" s="131">
        <v>1</v>
      </c>
      <c r="F226" s="131">
        <v>2</v>
      </c>
      <c r="G226" s="131">
        <v>1</v>
      </c>
    </row>
    <row r="227" spans="1:7" ht="14.25" customHeight="1" x14ac:dyDescent="0.35">
      <c r="A227" s="132" t="s">
        <v>202</v>
      </c>
      <c r="B227" s="133" t="s">
        <v>50</v>
      </c>
      <c r="C227" s="133">
        <v>41063</v>
      </c>
      <c r="D227" s="133"/>
      <c r="E227" s="133"/>
      <c r="F227" s="133"/>
      <c r="G227" s="133"/>
    </row>
    <row r="228" spans="1:7" ht="14.25" customHeight="1" x14ac:dyDescent="0.35">
      <c r="A228" s="130" t="s">
        <v>148</v>
      </c>
      <c r="B228" s="131" t="s">
        <v>50</v>
      </c>
      <c r="C228" s="131">
        <v>44064</v>
      </c>
      <c r="D228" s="131"/>
      <c r="E228" s="131"/>
      <c r="F228" s="131"/>
      <c r="G228" s="131"/>
    </row>
    <row r="229" spans="1:7" ht="14.25" customHeight="1" x14ac:dyDescent="0.35">
      <c r="A229" s="132" t="s">
        <v>57</v>
      </c>
      <c r="B229" s="133" t="s">
        <v>50</v>
      </c>
      <c r="C229" s="133">
        <v>46021</v>
      </c>
      <c r="D229" s="133">
        <v>29</v>
      </c>
      <c r="E229" s="133">
        <v>1</v>
      </c>
      <c r="F229" s="133">
        <v>28</v>
      </c>
      <c r="G229" s="133">
        <v>4</v>
      </c>
    </row>
    <row r="230" spans="1:7" ht="14.25" customHeight="1" x14ac:dyDescent="0.35">
      <c r="A230" s="130" t="s">
        <v>132</v>
      </c>
      <c r="B230" s="131" t="s">
        <v>52</v>
      </c>
      <c r="C230" s="131">
        <v>23077</v>
      </c>
      <c r="D230" s="131"/>
      <c r="E230" s="131"/>
      <c r="F230" s="131"/>
      <c r="G230" s="131"/>
    </row>
    <row r="231" spans="1:7" ht="14.25" customHeight="1" x14ac:dyDescent="0.35">
      <c r="A231" s="132" t="s">
        <v>189</v>
      </c>
      <c r="B231" s="133" t="s">
        <v>59</v>
      </c>
      <c r="C231" s="133">
        <v>71053</v>
      </c>
      <c r="D231" s="133">
        <v>2</v>
      </c>
      <c r="E231" s="133">
        <v>2</v>
      </c>
      <c r="F231" s="133">
        <v>3</v>
      </c>
      <c r="G231" s="133">
        <v>3</v>
      </c>
    </row>
    <row r="232" spans="1:7" ht="14.25" customHeight="1" x14ac:dyDescent="0.35">
      <c r="A232" s="130" t="s">
        <v>314</v>
      </c>
      <c r="B232" s="131" t="s">
        <v>55</v>
      </c>
      <c r="C232" s="131">
        <v>34043</v>
      </c>
      <c r="D232" s="131"/>
      <c r="E232" s="131"/>
      <c r="F232" s="131"/>
      <c r="G232" s="131"/>
    </row>
    <row r="233" spans="1:7" ht="14.25" customHeight="1" x14ac:dyDescent="0.35">
      <c r="A233" s="132" t="s">
        <v>336</v>
      </c>
      <c r="B233" s="133" t="s">
        <v>48</v>
      </c>
      <c r="C233" s="133">
        <v>11044</v>
      </c>
      <c r="D233" s="133"/>
      <c r="E233" s="133"/>
      <c r="F233" s="133"/>
      <c r="G233" s="133"/>
    </row>
    <row r="234" spans="1:7" ht="14.25" customHeight="1" x14ac:dyDescent="0.35">
      <c r="A234" s="130" t="s">
        <v>154</v>
      </c>
      <c r="B234" s="131" t="s">
        <v>55</v>
      </c>
      <c r="C234" s="131">
        <v>36019</v>
      </c>
      <c r="D234" s="131"/>
      <c r="E234" s="131"/>
      <c r="F234" s="131"/>
      <c r="G234" s="131"/>
    </row>
    <row r="235" spans="1:7" ht="14.25" customHeight="1" x14ac:dyDescent="0.35">
      <c r="A235" s="132" t="s">
        <v>208</v>
      </c>
      <c r="B235" s="133" t="s">
        <v>52</v>
      </c>
      <c r="C235" s="133">
        <v>23081</v>
      </c>
      <c r="D235" s="133">
        <v>2</v>
      </c>
      <c r="E235" s="133">
        <v>2</v>
      </c>
      <c r="F235" s="133">
        <v>2</v>
      </c>
      <c r="G235" s="133">
        <v>2</v>
      </c>
    </row>
    <row r="236" spans="1:7" ht="14.25" customHeight="1" x14ac:dyDescent="0.35">
      <c r="A236" s="130" t="s">
        <v>285</v>
      </c>
      <c r="B236" s="131" t="s">
        <v>50</v>
      </c>
      <c r="C236" s="131">
        <v>46024</v>
      </c>
      <c r="D236" s="131"/>
      <c r="E236" s="131"/>
      <c r="F236" s="131"/>
      <c r="G236" s="131"/>
    </row>
    <row r="237" spans="1:7" ht="14.25" customHeight="1" x14ac:dyDescent="0.35">
      <c r="A237" s="132" t="s">
        <v>166</v>
      </c>
      <c r="B237" s="133" t="s">
        <v>50</v>
      </c>
      <c r="C237" s="133">
        <v>46025</v>
      </c>
      <c r="D237" s="133"/>
      <c r="E237" s="133"/>
      <c r="F237" s="133"/>
      <c r="G237" s="133"/>
    </row>
    <row r="238" spans="1:7" ht="14.25" customHeight="1" x14ac:dyDescent="0.35">
      <c r="A238" s="130" t="s">
        <v>217</v>
      </c>
      <c r="B238" s="131" t="s">
        <v>52</v>
      </c>
      <c r="C238" s="131">
        <v>23086</v>
      </c>
      <c r="D238" s="131">
        <v>2</v>
      </c>
      <c r="E238" s="131">
        <v>2</v>
      </c>
      <c r="F238" s="131">
        <v>2</v>
      </c>
      <c r="G238" s="131">
        <v>2</v>
      </c>
    </row>
    <row r="239" spans="1:7" ht="14.25" customHeight="1" x14ac:dyDescent="0.35">
      <c r="A239" s="132" t="s">
        <v>87</v>
      </c>
      <c r="B239" s="133" t="s">
        <v>52</v>
      </c>
      <c r="C239" s="133">
        <v>24104</v>
      </c>
      <c r="D239" s="133">
        <v>4</v>
      </c>
      <c r="E239" s="133">
        <v>1</v>
      </c>
      <c r="F239" s="133">
        <v>5</v>
      </c>
      <c r="G239" s="133">
        <v>2</v>
      </c>
    </row>
    <row r="240" spans="1:7" ht="14.25" customHeight="1" x14ac:dyDescent="0.35">
      <c r="A240" s="130" t="s">
        <v>147</v>
      </c>
      <c r="B240" s="131" t="s">
        <v>59</v>
      </c>
      <c r="C240" s="131">
        <v>71057</v>
      </c>
      <c r="D240" s="131">
        <v>6</v>
      </c>
      <c r="E240" s="131">
        <v>0</v>
      </c>
      <c r="F240" s="131">
        <v>6</v>
      </c>
      <c r="G240" s="131">
        <v>0</v>
      </c>
    </row>
    <row r="241" spans="1:7" ht="14.25" customHeight="1" x14ac:dyDescent="0.35">
      <c r="A241" s="132" t="s">
        <v>102</v>
      </c>
      <c r="B241" s="133" t="s">
        <v>55</v>
      </c>
      <c r="C241" s="133">
        <v>37015</v>
      </c>
      <c r="D241" s="133">
        <v>2</v>
      </c>
      <c r="E241" s="133">
        <v>0</v>
      </c>
      <c r="F241" s="133">
        <v>2</v>
      </c>
      <c r="G241" s="133">
        <v>0</v>
      </c>
    </row>
    <row r="242" spans="1:7" ht="14.25" customHeight="1" x14ac:dyDescent="0.35">
      <c r="A242" s="130" t="s">
        <v>302</v>
      </c>
      <c r="B242" s="131" t="s">
        <v>52</v>
      </c>
      <c r="C242" s="131">
        <v>24135</v>
      </c>
      <c r="D242" s="131"/>
      <c r="E242" s="131"/>
      <c r="F242" s="131"/>
      <c r="G242" s="131"/>
    </row>
    <row r="243" spans="1:7" ht="14.25" customHeight="1" x14ac:dyDescent="0.35">
      <c r="A243" s="132" t="s">
        <v>104</v>
      </c>
      <c r="B243" s="133" t="s">
        <v>52</v>
      </c>
      <c r="C243" s="133">
        <v>24107</v>
      </c>
      <c r="D243" s="133">
        <v>4</v>
      </c>
      <c r="E243" s="133">
        <v>3</v>
      </c>
      <c r="F243" s="133">
        <v>6</v>
      </c>
      <c r="G243" s="133">
        <v>4</v>
      </c>
    </row>
    <row r="244" spans="1:7" ht="14.25" customHeight="1" x14ac:dyDescent="0.35">
      <c r="A244" s="130" t="s">
        <v>133</v>
      </c>
      <c r="B244" s="131" t="s">
        <v>59</v>
      </c>
      <c r="C244" s="131">
        <v>73083</v>
      </c>
      <c r="D244" s="135">
        <v>3</v>
      </c>
      <c r="E244" s="135">
        <v>1</v>
      </c>
      <c r="F244" s="135">
        <v>4</v>
      </c>
      <c r="G244" s="135">
        <v>1</v>
      </c>
    </row>
    <row r="245" spans="1:7" ht="14.25" customHeight="1" x14ac:dyDescent="0.35">
      <c r="A245" s="132" t="s">
        <v>93</v>
      </c>
      <c r="B245" s="133" t="s">
        <v>55</v>
      </c>
      <c r="C245" s="133">
        <v>31033</v>
      </c>
      <c r="D245" s="133">
        <v>2</v>
      </c>
      <c r="E245" s="133">
        <v>0</v>
      </c>
      <c r="F245" s="133">
        <v>2</v>
      </c>
      <c r="G245" s="133">
        <v>0</v>
      </c>
    </row>
    <row r="246" spans="1:7" ht="14.25" customHeight="1" x14ac:dyDescent="0.35">
      <c r="A246" s="130" t="s">
        <v>215</v>
      </c>
      <c r="B246" s="131" t="s">
        <v>52</v>
      </c>
      <c r="C246" s="131">
        <v>24109</v>
      </c>
      <c r="D246" s="131"/>
      <c r="E246" s="131"/>
      <c r="F246" s="131"/>
      <c r="G246" s="131"/>
    </row>
    <row r="247" spans="1:7" ht="14.25" customHeight="1" x14ac:dyDescent="0.35">
      <c r="A247" s="132" t="s">
        <v>61</v>
      </c>
      <c r="B247" s="133" t="s">
        <v>48</v>
      </c>
      <c r="C247" s="133">
        <v>13040</v>
      </c>
      <c r="D247" s="133">
        <v>13</v>
      </c>
      <c r="E247" s="133">
        <v>3</v>
      </c>
      <c r="F247" s="133">
        <v>13</v>
      </c>
      <c r="G247" s="133">
        <v>3</v>
      </c>
    </row>
    <row r="248" spans="1:7" ht="14.25" customHeight="1" x14ac:dyDescent="0.35">
      <c r="A248" s="130" t="s">
        <v>175</v>
      </c>
      <c r="B248" s="131" t="s">
        <v>55</v>
      </c>
      <c r="C248" s="131">
        <v>38025</v>
      </c>
      <c r="D248" s="131"/>
      <c r="E248" s="131"/>
      <c r="F248" s="131"/>
      <c r="G248" s="131"/>
    </row>
    <row r="249" spans="1:7" ht="14.25" customHeight="1" x14ac:dyDescent="0.35">
      <c r="A249" s="132" t="s">
        <v>74</v>
      </c>
      <c r="B249" s="133" t="s">
        <v>52</v>
      </c>
      <c r="C249" s="133">
        <v>23088</v>
      </c>
      <c r="D249" s="133">
        <v>13</v>
      </c>
      <c r="E249" s="133">
        <v>0</v>
      </c>
      <c r="F249" s="133">
        <v>15</v>
      </c>
      <c r="G249" s="133">
        <v>0</v>
      </c>
    </row>
    <row r="250" spans="1:7" ht="14.25" customHeight="1" x14ac:dyDescent="0.35">
      <c r="A250" s="130" t="s">
        <v>240</v>
      </c>
      <c r="B250" s="131" t="s">
        <v>55</v>
      </c>
      <c r="C250" s="131">
        <v>33041</v>
      </c>
      <c r="D250" s="131"/>
      <c r="E250" s="131"/>
      <c r="F250" s="131"/>
      <c r="G250" s="131"/>
    </row>
    <row r="251" spans="1:7" ht="14.25" customHeight="1" x14ac:dyDescent="0.35">
      <c r="A251" s="132" t="s">
        <v>318</v>
      </c>
      <c r="B251" s="133" t="s">
        <v>59</v>
      </c>
      <c r="C251" s="133">
        <v>73109</v>
      </c>
      <c r="D251" s="133"/>
      <c r="E251" s="133"/>
      <c r="F251" s="133"/>
      <c r="G251" s="133"/>
    </row>
    <row r="252" spans="1:7" ht="14.25" customHeight="1" x14ac:dyDescent="0.35">
      <c r="A252" s="130" t="s">
        <v>195</v>
      </c>
      <c r="B252" s="131" t="s">
        <v>48</v>
      </c>
      <c r="C252" s="131">
        <v>13044</v>
      </c>
      <c r="D252" s="131"/>
      <c r="E252" s="131"/>
      <c r="F252" s="131"/>
      <c r="G252" s="131"/>
    </row>
    <row r="253" spans="1:7" ht="14.25" customHeight="1" x14ac:dyDescent="0.35">
      <c r="A253" s="132" t="s">
        <v>264</v>
      </c>
      <c r="B253" s="133" t="s">
        <v>48</v>
      </c>
      <c r="C253" s="133">
        <v>13046</v>
      </c>
      <c r="D253" s="133"/>
      <c r="E253" s="133"/>
      <c r="F253" s="133"/>
      <c r="G253" s="133"/>
    </row>
    <row r="254" spans="1:7" ht="14.25" customHeight="1" x14ac:dyDescent="0.35">
      <c r="A254" s="130" t="s">
        <v>262</v>
      </c>
      <c r="B254" s="131" t="s">
        <v>50</v>
      </c>
      <c r="C254" s="131">
        <v>42023</v>
      </c>
      <c r="D254" s="131"/>
      <c r="E254" s="131"/>
      <c r="F254" s="131"/>
      <c r="G254" s="131"/>
    </row>
    <row r="255" spans="1:7" ht="14.25" customHeight="1" x14ac:dyDescent="0.35">
      <c r="A255" s="132" t="s">
        <v>146</v>
      </c>
      <c r="B255" s="133" t="s">
        <v>55</v>
      </c>
      <c r="C255" s="133">
        <v>34040</v>
      </c>
      <c r="D255" s="133"/>
      <c r="E255" s="133"/>
      <c r="F255" s="133"/>
      <c r="G255" s="133"/>
    </row>
    <row r="256" spans="1:7" ht="14.25" customHeight="1" x14ac:dyDescent="0.35">
      <c r="A256" s="130" t="s">
        <v>322</v>
      </c>
      <c r="B256" s="131" t="s">
        <v>59</v>
      </c>
      <c r="C256" s="131">
        <v>73098</v>
      </c>
      <c r="D256" s="131"/>
      <c r="E256" s="131"/>
      <c r="F256" s="131"/>
      <c r="G256" s="131"/>
    </row>
    <row r="257" spans="1:7" ht="14.25" customHeight="1" x14ac:dyDescent="0.35">
      <c r="A257" s="132" t="s">
        <v>162</v>
      </c>
      <c r="B257" s="133" t="s">
        <v>52</v>
      </c>
      <c r="C257" s="133">
        <v>23102</v>
      </c>
      <c r="D257" s="133">
        <v>4</v>
      </c>
      <c r="E257" s="133">
        <v>4</v>
      </c>
      <c r="F257" s="133">
        <v>4</v>
      </c>
      <c r="G257" s="133">
        <v>4</v>
      </c>
    </row>
    <row r="258" spans="1:7" ht="14.25" customHeight="1" x14ac:dyDescent="0.35">
      <c r="A258" s="130" t="s">
        <v>222</v>
      </c>
      <c r="B258" s="131" t="s">
        <v>55</v>
      </c>
      <c r="C258" s="131">
        <v>33029</v>
      </c>
      <c r="D258" s="131"/>
      <c r="E258" s="131"/>
      <c r="F258" s="131"/>
      <c r="G258" s="131"/>
    </row>
    <row r="259" spans="1:7" ht="14.25" customHeight="1" x14ac:dyDescent="0.35">
      <c r="A259" s="132" t="s">
        <v>101</v>
      </c>
      <c r="B259" s="133" t="s">
        <v>48</v>
      </c>
      <c r="C259" s="133">
        <v>13049</v>
      </c>
      <c r="D259" s="133">
        <v>4</v>
      </c>
      <c r="E259" s="133">
        <v>4</v>
      </c>
      <c r="F259" s="133">
        <v>4</v>
      </c>
      <c r="G259" s="133">
        <v>4</v>
      </c>
    </row>
    <row r="260" spans="1:7" ht="14.25" customHeight="1" x14ac:dyDescent="0.35">
      <c r="A260" s="130" t="s">
        <v>89</v>
      </c>
      <c r="B260" s="131" t="s">
        <v>50</v>
      </c>
      <c r="C260" s="131">
        <v>42025</v>
      </c>
      <c r="D260" s="131">
        <v>5</v>
      </c>
      <c r="E260" s="131">
        <v>2</v>
      </c>
      <c r="F260" s="131">
        <v>5</v>
      </c>
      <c r="G260" s="131">
        <v>2</v>
      </c>
    </row>
    <row r="261" spans="1:7" ht="14.25" customHeight="1" x14ac:dyDescent="0.35">
      <c r="A261" s="132" t="s">
        <v>143</v>
      </c>
      <c r="B261" s="133" t="s">
        <v>55</v>
      </c>
      <c r="C261" s="133">
        <v>34041</v>
      </c>
      <c r="D261" s="133">
        <v>3</v>
      </c>
      <c r="E261" s="133">
        <v>3</v>
      </c>
      <c r="F261" s="133">
        <v>3</v>
      </c>
      <c r="G261" s="133">
        <v>3</v>
      </c>
    </row>
    <row r="262" spans="1:7" ht="14.25" customHeight="1" x14ac:dyDescent="0.35">
      <c r="A262" s="130" t="s">
        <v>213</v>
      </c>
      <c r="B262" s="131" t="s">
        <v>52</v>
      </c>
      <c r="C262" s="131">
        <v>23103</v>
      </c>
      <c r="D262" s="131"/>
      <c r="E262" s="131"/>
      <c r="F262" s="131"/>
      <c r="G262" s="131"/>
    </row>
    <row r="263" spans="1:7" ht="14.25" customHeight="1" x14ac:dyDescent="0.35">
      <c r="A263" s="132" t="s">
        <v>205</v>
      </c>
      <c r="B263" s="133" t="s">
        <v>50</v>
      </c>
      <c r="C263" s="133">
        <v>42026</v>
      </c>
      <c r="D263" s="133"/>
      <c r="E263" s="133"/>
      <c r="F263" s="133"/>
      <c r="G263" s="133"/>
    </row>
    <row r="264" spans="1:7" ht="14.25" customHeight="1" x14ac:dyDescent="0.35">
      <c r="A264" s="130" t="s">
        <v>201</v>
      </c>
      <c r="B264" s="131" t="s">
        <v>55</v>
      </c>
      <c r="C264" s="131">
        <v>37017</v>
      </c>
      <c r="D264" s="131"/>
      <c r="E264" s="131"/>
      <c r="F264" s="131"/>
      <c r="G264" s="131"/>
    </row>
    <row r="265" spans="1:7" ht="14.25" customHeight="1" x14ac:dyDescent="0.35">
      <c r="A265" s="132" t="s">
        <v>151</v>
      </c>
      <c r="B265" s="133" t="s">
        <v>48</v>
      </c>
      <c r="C265" s="133">
        <v>11050</v>
      </c>
      <c r="D265" s="133"/>
      <c r="E265" s="133"/>
      <c r="F265" s="133"/>
      <c r="G265" s="133"/>
    </row>
    <row r="266" spans="1:7" ht="14.25" customHeight="1" x14ac:dyDescent="0.35">
      <c r="A266" s="130" t="s">
        <v>142</v>
      </c>
      <c r="B266" s="131" t="s">
        <v>48</v>
      </c>
      <c r="C266" s="131">
        <v>12040</v>
      </c>
      <c r="D266" s="131"/>
      <c r="E266" s="131"/>
      <c r="F266" s="131"/>
      <c r="G266" s="131"/>
    </row>
    <row r="267" spans="1:7" ht="14.25" customHeight="1" x14ac:dyDescent="0.35">
      <c r="A267" s="132" t="s">
        <v>115</v>
      </c>
      <c r="B267" s="133" t="s">
        <v>55</v>
      </c>
      <c r="C267" s="133">
        <v>37018</v>
      </c>
      <c r="D267" s="133"/>
      <c r="E267" s="133"/>
      <c r="F267" s="133"/>
      <c r="G267" s="133"/>
    </row>
    <row r="268" spans="1:7" ht="14.25" customHeight="1" x14ac:dyDescent="0.35">
      <c r="A268" s="130" t="s">
        <v>210</v>
      </c>
      <c r="B268" s="131" t="s">
        <v>48</v>
      </c>
      <c r="C268" s="131">
        <v>11052</v>
      </c>
      <c r="D268" s="131"/>
      <c r="E268" s="131"/>
      <c r="F268" s="131"/>
      <c r="G268" s="131"/>
    </row>
    <row r="269" spans="1:7" ht="14.25" customHeight="1" x14ac:dyDescent="0.35">
      <c r="A269" s="132" t="s">
        <v>246</v>
      </c>
      <c r="B269" s="133" t="s">
        <v>50</v>
      </c>
      <c r="C269" s="133">
        <v>45061</v>
      </c>
      <c r="D269" s="133"/>
      <c r="E269" s="133"/>
      <c r="F269" s="133"/>
      <c r="G269" s="133"/>
    </row>
    <row r="270" spans="1:7" ht="14.25" customHeight="1" x14ac:dyDescent="0.35">
      <c r="A270" s="130" t="s">
        <v>290</v>
      </c>
      <c r="B270" s="131" t="s">
        <v>48</v>
      </c>
      <c r="C270" s="131">
        <v>11053</v>
      </c>
      <c r="D270" s="131"/>
      <c r="E270" s="131"/>
      <c r="F270" s="131"/>
      <c r="G270" s="131"/>
    </row>
    <row r="271" spans="1:7" ht="14.25" customHeight="1" x14ac:dyDescent="0.35">
      <c r="A271" s="132" t="s">
        <v>305</v>
      </c>
      <c r="B271" s="133" t="s">
        <v>48</v>
      </c>
      <c r="C271" s="133">
        <v>11054</v>
      </c>
      <c r="D271" s="133"/>
      <c r="E271" s="133"/>
      <c r="F271" s="133"/>
      <c r="G271" s="133"/>
    </row>
    <row r="272" spans="1:7" ht="14.25" customHeight="1" x14ac:dyDescent="0.35">
      <c r="A272" s="130" t="s">
        <v>105</v>
      </c>
      <c r="B272" s="131" t="s">
        <v>52</v>
      </c>
      <c r="C272" s="131">
        <v>23094</v>
      </c>
      <c r="D272" s="131">
        <v>5</v>
      </c>
      <c r="E272" s="131">
        <v>2</v>
      </c>
      <c r="F272" s="131">
        <v>5</v>
      </c>
      <c r="G272" s="131">
        <v>2</v>
      </c>
    </row>
    <row r="273" spans="1:7" ht="14.25" customHeight="1" x14ac:dyDescent="0.35">
      <c r="A273" s="132" t="s">
        <v>164</v>
      </c>
      <c r="B273" s="133" t="s">
        <v>55</v>
      </c>
      <c r="C273" s="133">
        <v>31040</v>
      </c>
      <c r="D273" s="133"/>
      <c r="E273" s="133"/>
      <c r="F273" s="133"/>
      <c r="G273" s="133"/>
    </row>
    <row r="274" spans="1:7" ht="14.25" customHeight="1" x14ac:dyDescent="0.35">
      <c r="A274" s="130" t="s">
        <v>228</v>
      </c>
      <c r="B274" s="131" t="s">
        <v>50</v>
      </c>
      <c r="C274" s="131">
        <v>42028</v>
      </c>
      <c r="D274" s="131"/>
      <c r="E274" s="131"/>
      <c r="F274" s="131"/>
      <c r="G274" s="131"/>
    </row>
    <row r="275" spans="1:7" ht="14.25" customHeight="1" x14ac:dyDescent="0.35">
      <c r="A275" s="132" t="s">
        <v>269</v>
      </c>
      <c r="B275" s="133" t="s">
        <v>50</v>
      </c>
      <c r="C275" s="133">
        <v>43018</v>
      </c>
      <c r="D275" s="133"/>
      <c r="E275" s="133"/>
      <c r="F275" s="133">
        <v>2</v>
      </c>
      <c r="G275" s="133">
        <v>2</v>
      </c>
    </row>
    <row r="276" spans="1:7" ht="14.25" customHeight="1" x14ac:dyDescent="0.35">
      <c r="A276" s="130" t="s">
        <v>119</v>
      </c>
      <c r="B276" s="131" t="s">
        <v>52</v>
      </c>
      <c r="C276" s="131">
        <v>23096</v>
      </c>
      <c r="D276" s="131">
        <v>1</v>
      </c>
      <c r="E276" s="131">
        <v>1</v>
      </c>
      <c r="F276" s="131">
        <v>2</v>
      </c>
      <c r="G276" s="131">
        <v>1</v>
      </c>
    </row>
    <row r="277" spans="1:7" ht="14.25" customHeight="1" x14ac:dyDescent="0.35">
      <c r="A277" s="132" t="s">
        <v>291</v>
      </c>
      <c r="B277" s="133" t="s">
        <v>48</v>
      </c>
      <c r="C277" s="133">
        <v>11055</v>
      </c>
      <c r="D277" s="133"/>
      <c r="E277" s="133"/>
      <c r="F277" s="133"/>
      <c r="G277" s="133"/>
    </row>
    <row r="278" spans="1:7" ht="14.25" customHeight="1" x14ac:dyDescent="0.35">
      <c r="A278" s="130" t="s">
        <v>289</v>
      </c>
      <c r="B278" s="131" t="s">
        <v>59</v>
      </c>
      <c r="C278" s="131">
        <v>71066</v>
      </c>
      <c r="D278" s="131"/>
      <c r="E278" s="131"/>
      <c r="F278" s="131"/>
      <c r="G278" s="131"/>
    </row>
    <row r="279" spans="1:7" ht="14.25" customHeight="1" x14ac:dyDescent="0.35">
      <c r="A279" s="132" t="s">
        <v>137</v>
      </c>
      <c r="B279" s="133" t="s">
        <v>55</v>
      </c>
      <c r="C279" s="133">
        <v>33037</v>
      </c>
      <c r="D279" s="133"/>
      <c r="E279" s="133"/>
      <c r="F279" s="133"/>
      <c r="G279" s="133"/>
    </row>
    <row r="280" spans="1:7" ht="14.25" customHeight="1" x14ac:dyDescent="0.35">
      <c r="A280" s="130" t="s">
        <v>120</v>
      </c>
      <c r="B280" s="131" t="s">
        <v>50</v>
      </c>
      <c r="C280" s="131">
        <v>41081</v>
      </c>
      <c r="D280" s="131"/>
      <c r="E280" s="131"/>
      <c r="F280" s="131"/>
      <c r="G280" s="131"/>
    </row>
    <row r="281" spans="1:7" ht="14.25" customHeight="1" x14ac:dyDescent="0.35">
      <c r="A281" s="132" t="s">
        <v>255</v>
      </c>
      <c r="B281" s="133" t="s">
        <v>52</v>
      </c>
      <c r="C281" s="133">
        <v>24130</v>
      </c>
      <c r="D281" s="133">
        <v>2</v>
      </c>
      <c r="E281" s="133">
        <v>2</v>
      </c>
      <c r="F281" s="133"/>
      <c r="G281" s="133"/>
    </row>
    <row r="282" spans="1:7" ht="14.25" customHeight="1" x14ac:dyDescent="0.35">
      <c r="A282" s="130" t="s">
        <v>316</v>
      </c>
      <c r="B282" s="131" t="s">
        <v>55</v>
      </c>
      <c r="C282" s="131">
        <v>31042</v>
      </c>
      <c r="D282" s="131"/>
      <c r="E282" s="131"/>
      <c r="F282" s="131"/>
      <c r="G282" s="131"/>
    </row>
    <row r="283" spans="1:7" ht="14.25" customHeight="1" x14ac:dyDescent="0.35">
      <c r="A283" s="132" t="s">
        <v>111</v>
      </c>
      <c r="B283" s="133" t="s">
        <v>50</v>
      </c>
      <c r="C283" s="133">
        <v>44081</v>
      </c>
      <c r="D283" s="133"/>
      <c r="E283" s="133"/>
      <c r="F283" s="133"/>
      <c r="G283" s="133"/>
    </row>
    <row r="284" spans="1:7" ht="14.25" customHeight="1" x14ac:dyDescent="0.35">
      <c r="A284" s="130" t="s">
        <v>321</v>
      </c>
      <c r="B284" s="131" t="s">
        <v>59</v>
      </c>
      <c r="C284" s="131">
        <v>71067</v>
      </c>
      <c r="D284" s="131"/>
      <c r="E284" s="131"/>
      <c r="F284" s="131"/>
      <c r="G284" s="131"/>
    </row>
    <row r="285" spans="1:7" ht="14.25" customHeight="1" x14ac:dyDescent="0.35">
      <c r="A285" s="132" t="s">
        <v>149</v>
      </c>
      <c r="B285" s="133" t="s">
        <v>50</v>
      </c>
      <c r="C285" s="133">
        <v>45065</v>
      </c>
      <c r="D285" s="133"/>
      <c r="E285" s="133"/>
      <c r="F285" s="133"/>
      <c r="G285" s="133"/>
    </row>
    <row r="286" spans="1:7" ht="14.25" customHeight="1" x14ac:dyDescent="0.35">
      <c r="A286" s="130" t="s">
        <v>186</v>
      </c>
      <c r="B286" s="131" t="s">
        <v>55</v>
      </c>
      <c r="C286" s="131">
        <v>34042</v>
      </c>
      <c r="D286" s="131"/>
      <c r="E286" s="131"/>
      <c r="F286" s="131"/>
      <c r="G286" s="131"/>
    </row>
    <row r="287" spans="1:7" ht="14.25" customHeight="1" x14ac:dyDescent="0.35">
      <c r="A287" s="132"/>
      <c r="B287" s="133"/>
      <c r="C287" s="133"/>
      <c r="D287" s="133">
        <f t="shared" ref="D287:G287" si="0">SUM(D2:D286)</f>
        <v>1728</v>
      </c>
      <c r="E287" s="133">
        <f t="shared" si="0"/>
        <v>357</v>
      </c>
      <c r="F287" s="133">
        <f t="shared" si="0"/>
        <v>1753</v>
      </c>
      <c r="G287" s="133">
        <f t="shared" si="0"/>
        <v>383</v>
      </c>
    </row>
    <row r="288" spans="1:7"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G287" xr:uid="{00000000-0009-0000-0000-000005000000}"/>
  <dataValidations count="2">
    <dataValidation type="custom" allowBlank="1" showDropDown="1" sqref="C2:C286" xr:uid="{00000000-0002-0000-0500-000000000000}">
      <formula1>AND(ISNUMBER(C2),(NOT(OR(NOT(ISERROR(DATEVALUE(C2))), AND(ISNUMBER(C2), LEFT(CELL("format", C2))="D")))))</formula1>
    </dataValidation>
    <dataValidation type="list" allowBlank="1" showDropDown="1" showErrorMessage="1" sqref="B2:B286" xr:uid="{00000000-0002-0000-0500-000001000000}">
      <formula1>"Oost-Vlaanderen,Vlaams-Brabant,Antwerpen,Limburg,West-Vlaanderen"</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G1000"/>
  <sheetViews>
    <sheetView workbookViewId="0"/>
  </sheetViews>
  <sheetFormatPr defaultColWidth="14.453125" defaultRowHeight="15" customHeight="1" x14ac:dyDescent="0.35"/>
  <cols>
    <col min="1" max="1" width="21.453125" customWidth="1"/>
    <col min="2" max="2" width="15.81640625" customWidth="1"/>
    <col min="3" max="5" width="8.7265625" customWidth="1"/>
    <col min="6" max="6" width="14" customWidth="1"/>
    <col min="7" max="7" width="15.453125" customWidth="1"/>
    <col min="8" max="8" width="8.7265625" customWidth="1"/>
  </cols>
  <sheetData>
    <row r="1" spans="1:7" ht="44.25" customHeight="1" x14ac:dyDescent="0.35">
      <c r="A1" s="128" t="s">
        <v>0</v>
      </c>
      <c r="B1" s="129" t="s">
        <v>1</v>
      </c>
      <c r="C1" s="128" t="s">
        <v>2</v>
      </c>
      <c r="D1" s="128" t="s">
        <v>35</v>
      </c>
      <c r="E1" s="128" t="s">
        <v>36</v>
      </c>
      <c r="F1" s="128" t="s">
        <v>41</v>
      </c>
      <c r="G1" s="128" t="s">
        <v>42</v>
      </c>
    </row>
    <row r="2" spans="1:7" ht="14.25" hidden="1" customHeight="1" x14ac:dyDescent="0.35">
      <c r="A2" s="130" t="s">
        <v>65</v>
      </c>
      <c r="B2" s="131" t="s">
        <v>50</v>
      </c>
      <c r="C2" s="131">
        <v>41002</v>
      </c>
      <c r="D2" s="131"/>
      <c r="E2" s="131"/>
      <c r="F2" s="131"/>
      <c r="G2" s="131"/>
    </row>
    <row r="3" spans="1:7" ht="14.25" hidden="1" customHeight="1" x14ac:dyDescent="0.35">
      <c r="A3" s="132" t="s">
        <v>231</v>
      </c>
      <c r="B3" s="133" t="s">
        <v>50</v>
      </c>
      <c r="C3" s="133">
        <v>44084</v>
      </c>
      <c r="D3" s="133"/>
      <c r="E3" s="133"/>
      <c r="F3" s="133"/>
      <c r="G3" s="133"/>
    </row>
    <row r="4" spans="1:7" ht="14.25" hidden="1" customHeight="1" x14ac:dyDescent="0.35">
      <c r="A4" s="130" t="s">
        <v>84</v>
      </c>
      <c r="B4" s="131" t="s">
        <v>52</v>
      </c>
      <c r="C4" s="131">
        <v>24001</v>
      </c>
      <c r="D4" s="131"/>
      <c r="E4" s="131"/>
      <c r="F4" s="131"/>
      <c r="G4" s="131"/>
    </row>
    <row r="5" spans="1:7" ht="14.25" hidden="1" customHeight="1" x14ac:dyDescent="0.35">
      <c r="A5" s="132" t="s">
        <v>335</v>
      </c>
      <c r="B5" s="133" t="s">
        <v>48</v>
      </c>
      <c r="C5" s="133">
        <v>11001</v>
      </c>
      <c r="D5" s="133"/>
      <c r="E5" s="133"/>
      <c r="F5" s="133"/>
      <c r="G5" s="133"/>
    </row>
    <row r="6" spans="1:7" ht="14.25" hidden="1" customHeight="1" x14ac:dyDescent="0.35">
      <c r="A6" s="130" t="s">
        <v>306</v>
      </c>
      <c r="B6" s="131" t="s">
        <v>52</v>
      </c>
      <c r="C6" s="131">
        <v>23105</v>
      </c>
      <c r="D6" s="131"/>
      <c r="E6" s="131"/>
      <c r="F6" s="131"/>
      <c r="G6" s="131"/>
    </row>
    <row r="7" spans="1:7" ht="14.25" hidden="1" customHeight="1" x14ac:dyDescent="0.35">
      <c r="A7" s="132" t="s">
        <v>279</v>
      </c>
      <c r="B7" s="133" t="s">
        <v>59</v>
      </c>
      <c r="C7" s="133">
        <v>73001</v>
      </c>
      <c r="D7" s="133"/>
      <c r="E7" s="133"/>
      <c r="F7" s="133"/>
      <c r="G7" s="133"/>
    </row>
    <row r="8" spans="1:7" ht="14.25" customHeight="1" x14ac:dyDescent="0.35">
      <c r="A8" s="130" t="s">
        <v>242</v>
      </c>
      <c r="B8" s="131" t="s">
        <v>55</v>
      </c>
      <c r="C8" s="131">
        <v>38002</v>
      </c>
      <c r="D8" s="131">
        <v>1</v>
      </c>
      <c r="E8" s="131">
        <v>0</v>
      </c>
      <c r="F8" s="131">
        <v>2</v>
      </c>
      <c r="G8" s="131">
        <v>1</v>
      </c>
    </row>
    <row r="9" spans="1:7" ht="14.25" hidden="1" customHeight="1" x14ac:dyDescent="0.35">
      <c r="A9" s="132" t="s">
        <v>48</v>
      </c>
      <c r="B9" s="133" t="s">
        <v>48</v>
      </c>
      <c r="C9" s="133">
        <v>11002</v>
      </c>
      <c r="D9" s="133"/>
      <c r="E9" s="133"/>
      <c r="F9" s="133"/>
      <c r="G9" s="133"/>
    </row>
    <row r="10" spans="1:7" ht="14.25" customHeight="1" x14ac:dyDescent="0.35">
      <c r="A10" s="130" t="s">
        <v>276</v>
      </c>
      <c r="B10" s="131" t="s">
        <v>55</v>
      </c>
      <c r="C10" s="131">
        <v>34002</v>
      </c>
      <c r="D10" s="131"/>
      <c r="E10" s="131"/>
      <c r="F10" s="131"/>
      <c r="G10" s="131"/>
    </row>
    <row r="11" spans="1:7" ht="14.25" customHeight="1" x14ac:dyDescent="0.35">
      <c r="A11" s="132" t="s">
        <v>199</v>
      </c>
      <c r="B11" s="133" t="s">
        <v>55</v>
      </c>
      <c r="C11" s="133">
        <v>37020</v>
      </c>
      <c r="D11" s="133">
        <v>2</v>
      </c>
      <c r="E11" s="133">
        <v>1</v>
      </c>
      <c r="F11" s="133">
        <v>2</v>
      </c>
      <c r="G11" s="133">
        <v>1</v>
      </c>
    </row>
    <row r="12" spans="1:7" ht="14.25" hidden="1" customHeight="1" x14ac:dyDescent="0.35">
      <c r="A12" s="130" t="s">
        <v>304</v>
      </c>
      <c r="B12" s="131" t="s">
        <v>48</v>
      </c>
      <c r="C12" s="131">
        <v>13001</v>
      </c>
      <c r="D12" s="131"/>
      <c r="E12" s="131"/>
      <c r="F12" s="131"/>
      <c r="G12" s="131"/>
    </row>
    <row r="13" spans="1:7" ht="14.25" hidden="1" customHeight="1" x14ac:dyDescent="0.35">
      <c r="A13" s="132" t="s">
        <v>307</v>
      </c>
      <c r="B13" s="133" t="s">
        <v>59</v>
      </c>
      <c r="C13" s="133">
        <v>71002</v>
      </c>
      <c r="D13" s="133"/>
      <c r="E13" s="133"/>
      <c r="F13" s="133"/>
      <c r="G13" s="133"/>
    </row>
    <row r="14" spans="1:7" ht="14.25" hidden="1" customHeight="1" x14ac:dyDescent="0.35">
      <c r="A14" s="130" t="s">
        <v>131</v>
      </c>
      <c r="B14" s="131" t="s">
        <v>52</v>
      </c>
      <c r="C14" s="131">
        <v>23002</v>
      </c>
      <c r="D14" s="131"/>
      <c r="E14" s="131"/>
      <c r="F14" s="131"/>
      <c r="G14" s="131"/>
    </row>
    <row r="15" spans="1:7" ht="14.25" hidden="1" customHeight="1" x14ac:dyDescent="0.35">
      <c r="A15" s="132" t="s">
        <v>177</v>
      </c>
      <c r="B15" s="133" t="s">
        <v>50</v>
      </c>
      <c r="C15" s="133">
        <v>43002</v>
      </c>
      <c r="D15" s="133"/>
      <c r="E15" s="133"/>
      <c r="F15" s="133"/>
      <c r="G15" s="133"/>
    </row>
    <row r="16" spans="1:7" ht="14.25" customHeight="1" x14ac:dyDescent="0.35">
      <c r="A16" s="130" t="s">
        <v>260</v>
      </c>
      <c r="B16" s="131" t="s">
        <v>55</v>
      </c>
      <c r="C16" s="131">
        <v>34003</v>
      </c>
      <c r="D16" s="131"/>
      <c r="E16" s="131"/>
      <c r="F16" s="131"/>
      <c r="G16" s="131"/>
    </row>
    <row r="17" spans="1:7" ht="14.25" hidden="1" customHeight="1" x14ac:dyDescent="0.35">
      <c r="A17" s="132" t="s">
        <v>317</v>
      </c>
      <c r="B17" s="133" t="s">
        <v>48</v>
      </c>
      <c r="C17" s="133">
        <v>13002</v>
      </c>
      <c r="D17" s="133"/>
      <c r="E17" s="133"/>
      <c r="F17" s="133"/>
      <c r="G17" s="133"/>
    </row>
    <row r="18" spans="1:7" ht="14.25" hidden="1" customHeight="1" x14ac:dyDescent="0.35">
      <c r="A18" s="130" t="s">
        <v>125</v>
      </c>
      <c r="B18" s="131" t="s">
        <v>48</v>
      </c>
      <c r="C18" s="131">
        <v>13003</v>
      </c>
      <c r="D18" s="131"/>
      <c r="E18" s="131"/>
      <c r="F18" s="131"/>
      <c r="G18" s="131"/>
    </row>
    <row r="19" spans="1:7" ht="14.25" customHeight="1" x14ac:dyDescent="0.35">
      <c r="A19" s="132" t="s">
        <v>112</v>
      </c>
      <c r="B19" s="133" t="s">
        <v>55</v>
      </c>
      <c r="C19" s="133">
        <v>31003</v>
      </c>
      <c r="D19" s="133">
        <v>3</v>
      </c>
      <c r="E19" s="133">
        <v>3</v>
      </c>
      <c r="F19" s="133">
        <v>5</v>
      </c>
      <c r="G19" s="133">
        <v>5</v>
      </c>
    </row>
    <row r="20" spans="1:7" ht="14.25" hidden="1" customHeight="1" x14ac:dyDescent="0.35">
      <c r="A20" s="130" t="s">
        <v>221</v>
      </c>
      <c r="B20" s="131" t="s">
        <v>48</v>
      </c>
      <c r="C20" s="131">
        <v>13004</v>
      </c>
      <c r="D20" s="131"/>
      <c r="E20" s="131"/>
      <c r="F20" s="131"/>
      <c r="G20" s="131"/>
    </row>
    <row r="21" spans="1:7" ht="14.25" hidden="1" customHeight="1" x14ac:dyDescent="0.35">
      <c r="A21" s="132" t="s">
        <v>128</v>
      </c>
      <c r="B21" s="133" t="s">
        <v>52</v>
      </c>
      <c r="C21" s="133">
        <v>23003</v>
      </c>
      <c r="D21" s="133"/>
      <c r="E21" s="133"/>
      <c r="F21" s="133"/>
      <c r="G21" s="133"/>
    </row>
    <row r="22" spans="1:7" ht="14.25" hidden="1" customHeight="1" x14ac:dyDescent="0.35">
      <c r="A22" s="130" t="s">
        <v>327</v>
      </c>
      <c r="B22" s="131" t="s">
        <v>52</v>
      </c>
      <c r="C22" s="131">
        <v>24007</v>
      </c>
      <c r="D22" s="131"/>
      <c r="E22" s="131"/>
      <c r="F22" s="131"/>
      <c r="G22" s="131"/>
    </row>
    <row r="23" spans="1:7" ht="14.25" hidden="1" customHeight="1" x14ac:dyDescent="0.35">
      <c r="A23" s="132" t="s">
        <v>249</v>
      </c>
      <c r="B23" s="133" t="s">
        <v>52</v>
      </c>
      <c r="C23" s="133">
        <v>24008</v>
      </c>
      <c r="D23" s="133"/>
      <c r="E23" s="133"/>
      <c r="F23" s="133"/>
      <c r="G23" s="133"/>
    </row>
    <row r="24" spans="1:7" ht="14.25" hidden="1" customHeight="1" x14ac:dyDescent="0.35">
      <c r="A24" s="130" t="s">
        <v>235</v>
      </c>
      <c r="B24" s="131" t="s">
        <v>59</v>
      </c>
      <c r="C24" s="131">
        <v>71004</v>
      </c>
      <c r="D24" s="131"/>
      <c r="E24" s="131"/>
      <c r="F24" s="131"/>
      <c r="G24" s="131"/>
    </row>
    <row r="25" spans="1:7" ht="14.25" hidden="1" customHeight="1" x14ac:dyDescent="0.35">
      <c r="A25" s="132" t="s">
        <v>136</v>
      </c>
      <c r="B25" s="133" t="s">
        <v>48</v>
      </c>
      <c r="C25" s="133">
        <v>12002</v>
      </c>
      <c r="D25" s="133"/>
      <c r="E25" s="133"/>
      <c r="F25" s="133"/>
      <c r="G25" s="133"/>
    </row>
    <row r="26" spans="1:7" ht="14.25" hidden="1" customHeight="1" x14ac:dyDescent="0.35">
      <c r="A26" s="130" t="s">
        <v>216</v>
      </c>
      <c r="B26" s="131" t="s">
        <v>50</v>
      </c>
      <c r="C26" s="131">
        <v>42003</v>
      </c>
      <c r="D26" s="131"/>
      <c r="E26" s="131"/>
      <c r="F26" s="131"/>
      <c r="G26" s="131"/>
    </row>
    <row r="27" spans="1:7" ht="14.25" hidden="1" customHeight="1" x14ac:dyDescent="0.35">
      <c r="A27" s="132" t="s">
        <v>259</v>
      </c>
      <c r="B27" s="133" t="s">
        <v>52</v>
      </c>
      <c r="C27" s="133">
        <v>24009</v>
      </c>
      <c r="D27" s="133"/>
      <c r="E27" s="133"/>
      <c r="F27" s="133"/>
      <c r="G27" s="133"/>
    </row>
    <row r="28" spans="1:7" ht="14.25" hidden="1" customHeight="1" x14ac:dyDescent="0.35">
      <c r="A28" s="130" t="s">
        <v>315</v>
      </c>
      <c r="B28" s="131" t="s">
        <v>52</v>
      </c>
      <c r="C28" s="131">
        <v>23009</v>
      </c>
      <c r="D28" s="131"/>
      <c r="E28" s="131"/>
      <c r="F28" s="131"/>
      <c r="G28" s="131"/>
    </row>
    <row r="29" spans="1:7" ht="14.25" hidden="1" customHeight="1" x14ac:dyDescent="0.35">
      <c r="A29" s="132" t="s">
        <v>67</v>
      </c>
      <c r="B29" s="133" t="s">
        <v>50</v>
      </c>
      <c r="C29" s="133">
        <v>46003</v>
      </c>
      <c r="D29" s="133"/>
      <c r="E29" s="133"/>
      <c r="F29" s="133"/>
      <c r="G29" s="133"/>
    </row>
    <row r="30" spans="1:7" ht="14.25" hidden="1" customHeight="1" x14ac:dyDescent="0.35">
      <c r="A30" s="130" t="s">
        <v>109</v>
      </c>
      <c r="B30" s="131" t="s">
        <v>52</v>
      </c>
      <c r="C30" s="131">
        <v>24011</v>
      </c>
      <c r="D30" s="131"/>
      <c r="E30" s="131"/>
      <c r="F30" s="131"/>
      <c r="G30" s="131"/>
    </row>
    <row r="31" spans="1:7" ht="14.25" hidden="1" customHeight="1" x14ac:dyDescent="0.35">
      <c r="A31" s="132" t="s">
        <v>237</v>
      </c>
      <c r="B31" s="133" t="s">
        <v>59</v>
      </c>
      <c r="C31" s="133">
        <v>73006</v>
      </c>
      <c r="D31" s="133"/>
      <c r="E31" s="133"/>
      <c r="F31" s="133"/>
      <c r="G31" s="133"/>
    </row>
    <row r="32" spans="1:7" ht="14.25" customHeight="1" x14ac:dyDescent="0.35">
      <c r="A32" s="130" t="s">
        <v>99</v>
      </c>
      <c r="B32" s="131" t="s">
        <v>55</v>
      </c>
      <c r="C32" s="131">
        <v>31004</v>
      </c>
      <c r="D32" s="131"/>
      <c r="E32" s="131"/>
      <c r="F32" s="131">
        <v>2</v>
      </c>
      <c r="G32" s="131">
        <v>2</v>
      </c>
    </row>
    <row r="33" spans="1:7" ht="14.25" hidden="1" customHeight="1" x14ac:dyDescent="0.35">
      <c r="A33" s="132" t="s">
        <v>329</v>
      </c>
      <c r="B33" s="133" t="s">
        <v>59</v>
      </c>
      <c r="C33" s="133">
        <v>72003</v>
      </c>
      <c r="D33" s="133"/>
      <c r="E33" s="133"/>
      <c r="F33" s="133"/>
      <c r="G33" s="133"/>
    </row>
    <row r="34" spans="1:7" ht="14.25" hidden="1" customHeight="1" x14ac:dyDescent="0.35">
      <c r="A34" s="130" t="s">
        <v>271</v>
      </c>
      <c r="B34" s="131" t="s">
        <v>48</v>
      </c>
      <c r="C34" s="131">
        <v>11004</v>
      </c>
      <c r="D34" s="131"/>
      <c r="E34" s="131"/>
      <c r="F34" s="131"/>
      <c r="G34" s="131"/>
    </row>
    <row r="35" spans="1:7" ht="14.25" hidden="1" customHeight="1" x14ac:dyDescent="0.35">
      <c r="A35" s="132" t="s">
        <v>97</v>
      </c>
      <c r="B35" s="133" t="s">
        <v>48</v>
      </c>
      <c r="C35" s="133">
        <v>12005</v>
      </c>
      <c r="D35" s="133"/>
      <c r="E35" s="133"/>
      <c r="F35" s="133"/>
      <c r="G35" s="133"/>
    </row>
    <row r="36" spans="1:7" ht="14.25" hidden="1" customHeight="1" x14ac:dyDescent="0.35">
      <c r="A36" s="130" t="s">
        <v>224</v>
      </c>
      <c r="B36" s="131" t="s">
        <v>48</v>
      </c>
      <c r="C36" s="131">
        <v>11005</v>
      </c>
      <c r="D36" s="131"/>
      <c r="E36" s="131"/>
      <c r="F36" s="131"/>
      <c r="G36" s="131"/>
    </row>
    <row r="37" spans="1:7" ht="14.25" hidden="1" customHeight="1" x14ac:dyDescent="0.35">
      <c r="A37" s="132" t="s">
        <v>157</v>
      </c>
      <c r="B37" s="133" t="s">
        <v>52</v>
      </c>
      <c r="C37" s="133">
        <v>24014</v>
      </c>
      <c r="D37" s="133"/>
      <c r="E37" s="133"/>
      <c r="F37" s="133"/>
      <c r="G37" s="133"/>
    </row>
    <row r="38" spans="1:7" ht="14.25" hidden="1" customHeight="1" x14ac:dyDescent="0.35">
      <c r="A38" s="130" t="s">
        <v>184</v>
      </c>
      <c r="B38" s="131" t="s">
        <v>48</v>
      </c>
      <c r="C38" s="131">
        <v>12007</v>
      </c>
      <c r="D38" s="131"/>
      <c r="E38" s="131"/>
      <c r="F38" s="131"/>
      <c r="G38" s="131"/>
    </row>
    <row r="39" spans="1:7" ht="14.25" hidden="1" customHeight="1" x14ac:dyDescent="0.35">
      <c r="A39" s="132" t="s">
        <v>170</v>
      </c>
      <c r="B39" s="133" t="s">
        <v>52</v>
      </c>
      <c r="C39" s="133">
        <v>24016</v>
      </c>
      <c r="D39" s="133"/>
      <c r="E39" s="133"/>
      <c r="F39" s="133"/>
      <c r="G39" s="133"/>
    </row>
    <row r="40" spans="1:7" ht="14.25" hidden="1" customHeight="1" x14ac:dyDescent="0.35">
      <c r="A40" s="130" t="s">
        <v>275</v>
      </c>
      <c r="B40" s="131" t="s">
        <v>50</v>
      </c>
      <c r="C40" s="131">
        <v>45059</v>
      </c>
      <c r="D40" s="131"/>
      <c r="E40" s="131"/>
      <c r="F40" s="131"/>
      <c r="G40" s="131"/>
    </row>
    <row r="41" spans="1:7" ht="14.25" hidden="1" customHeight="1" x14ac:dyDescent="0.35">
      <c r="A41" s="132" t="s">
        <v>106</v>
      </c>
      <c r="B41" s="133" t="s">
        <v>48</v>
      </c>
      <c r="C41" s="133">
        <v>11008</v>
      </c>
      <c r="D41" s="133"/>
      <c r="E41" s="133"/>
      <c r="F41" s="133"/>
      <c r="G41" s="133"/>
    </row>
    <row r="42" spans="1:7" ht="14.25" hidden="1" customHeight="1" x14ac:dyDescent="0.35">
      <c r="A42" s="130" t="s">
        <v>294</v>
      </c>
      <c r="B42" s="131" t="s">
        <v>48</v>
      </c>
      <c r="C42" s="131">
        <v>11009</v>
      </c>
      <c r="D42" s="131"/>
      <c r="E42" s="131"/>
      <c r="F42" s="131"/>
      <c r="G42" s="131"/>
    </row>
    <row r="43" spans="1:7" ht="14.25" customHeight="1" x14ac:dyDescent="0.35">
      <c r="A43" s="132" t="s">
        <v>219</v>
      </c>
      <c r="B43" s="133" t="s">
        <v>55</v>
      </c>
      <c r="C43" s="133">
        <v>35002</v>
      </c>
      <c r="D43" s="133">
        <v>1</v>
      </c>
      <c r="E43" s="133">
        <v>1</v>
      </c>
      <c r="F43" s="133">
        <v>3</v>
      </c>
      <c r="G43" s="133">
        <v>3</v>
      </c>
    </row>
    <row r="44" spans="1:7" ht="14.25" hidden="1" customHeight="1" x14ac:dyDescent="0.35">
      <c r="A44" s="130" t="s">
        <v>227</v>
      </c>
      <c r="B44" s="131" t="s">
        <v>59</v>
      </c>
      <c r="C44" s="131">
        <v>72004</v>
      </c>
      <c r="D44" s="131"/>
      <c r="E44" s="131"/>
      <c r="F44" s="131"/>
      <c r="G44" s="131"/>
    </row>
    <row r="45" spans="1:7" ht="14.25" customHeight="1" x14ac:dyDescent="0.35">
      <c r="A45" s="132" t="s">
        <v>54</v>
      </c>
      <c r="B45" s="133" t="s">
        <v>55</v>
      </c>
      <c r="C45" s="133">
        <v>31005</v>
      </c>
      <c r="D45" s="133">
        <v>5</v>
      </c>
      <c r="E45" s="133">
        <v>0</v>
      </c>
      <c r="F45" s="133">
        <v>7</v>
      </c>
      <c r="G45" s="133">
        <v>0</v>
      </c>
    </row>
    <row r="46" spans="1:7" ht="14.25" hidden="1" customHeight="1" x14ac:dyDescent="0.35">
      <c r="A46" s="130" t="s">
        <v>274</v>
      </c>
      <c r="B46" s="131" t="s">
        <v>50</v>
      </c>
      <c r="C46" s="131">
        <v>42004</v>
      </c>
      <c r="D46" s="131"/>
      <c r="E46" s="131"/>
      <c r="F46" s="131"/>
      <c r="G46" s="131"/>
    </row>
    <row r="47" spans="1:7" ht="14.25" customHeight="1" x14ac:dyDescent="0.35">
      <c r="A47" s="132" t="s">
        <v>96</v>
      </c>
      <c r="B47" s="133" t="s">
        <v>55</v>
      </c>
      <c r="C47" s="133">
        <v>31006</v>
      </c>
      <c r="D47" s="133"/>
      <c r="E47" s="133"/>
      <c r="F47" s="133">
        <v>2</v>
      </c>
      <c r="G47" s="133">
        <v>2</v>
      </c>
    </row>
    <row r="48" spans="1:7" ht="14.25" customHeight="1" x14ac:dyDescent="0.35">
      <c r="A48" s="130" t="s">
        <v>268</v>
      </c>
      <c r="B48" s="131" t="s">
        <v>55</v>
      </c>
      <c r="C48" s="131">
        <v>35029</v>
      </c>
      <c r="D48" s="131"/>
      <c r="E48" s="131"/>
      <c r="F48" s="131">
        <v>2</v>
      </c>
      <c r="G48" s="131">
        <v>2</v>
      </c>
    </row>
    <row r="49" spans="1:7" ht="14.25" customHeight="1" x14ac:dyDescent="0.35">
      <c r="A49" s="132" t="s">
        <v>135</v>
      </c>
      <c r="B49" s="133" t="s">
        <v>55</v>
      </c>
      <c r="C49" s="133">
        <v>38008</v>
      </c>
      <c r="D49" s="133">
        <v>2</v>
      </c>
      <c r="E49" s="133">
        <v>1</v>
      </c>
      <c r="F49" s="133">
        <v>4</v>
      </c>
      <c r="G49" s="133">
        <v>3</v>
      </c>
    </row>
    <row r="50" spans="1:7" ht="14.25" customHeight="1" x14ac:dyDescent="0.35">
      <c r="A50" s="130" t="s">
        <v>156</v>
      </c>
      <c r="B50" s="131" t="s">
        <v>55</v>
      </c>
      <c r="C50" s="131">
        <v>34009</v>
      </c>
      <c r="D50" s="131"/>
      <c r="E50" s="131"/>
      <c r="F50" s="131"/>
      <c r="G50" s="131"/>
    </row>
    <row r="51" spans="1:7" ht="14.25" hidden="1" customHeight="1" x14ac:dyDescent="0.35">
      <c r="A51" s="132" t="s">
        <v>62</v>
      </c>
      <c r="B51" s="133" t="s">
        <v>50</v>
      </c>
      <c r="C51" s="133">
        <v>44083</v>
      </c>
      <c r="D51" s="133"/>
      <c r="E51" s="133"/>
      <c r="F51" s="133"/>
      <c r="G51" s="133"/>
    </row>
    <row r="52" spans="1:7" ht="14.25" hidden="1" customHeight="1" x14ac:dyDescent="0.35">
      <c r="A52" s="130" t="s">
        <v>182</v>
      </c>
      <c r="B52" s="131" t="s">
        <v>50</v>
      </c>
      <c r="C52" s="131">
        <v>41011</v>
      </c>
      <c r="D52" s="131"/>
      <c r="E52" s="131"/>
      <c r="F52" s="131"/>
      <c r="G52" s="131"/>
    </row>
    <row r="53" spans="1:7" ht="14.25" hidden="1" customHeight="1" x14ac:dyDescent="0.35">
      <c r="A53" s="132" t="s">
        <v>80</v>
      </c>
      <c r="B53" s="133" t="s">
        <v>50</v>
      </c>
      <c r="C53" s="133">
        <v>42006</v>
      </c>
      <c r="D53" s="133"/>
      <c r="E53" s="133"/>
      <c r="F53" s="133"/>
      <c r="G53" s="133"/>
    </row>
    <row r="54" spans="1:7" ht="14.25" customHeight="1" x14ac:dyDescent="0.35">
      <c r="A54" s="130" t="s">
        <v>168</v>
      </c>
      <c r="B54" s="131" t="s">
        <v>55</v>
      </c>
      <c r="C54" s="131">
        <v>37002</v>
      </c>
      <c r="D54" s="131">
        <v>1</v>
      </c>
      <c r="E54" s="131">
        <v>0</v>
      </c>
      <c r="F54" s="131">
        <v>3</v>
      </c>
      <c r="G54" s="131">
        <v>2</v>
      </c>
    </row>
    <row r="55" spans="1:7" ht="14.25" hidden="1" customHeight="1" x14ac:dyDescent="0.35">
      <c r="A55" s="132" t="s">
        <v>301</v>
      </c>
      <c r="B55" s="133" t="s">
        <v>48</v>
      </c>
      <c r="C55" s="133">
        <v>13006</v>
      </c>
      <c r="D55" s="133"/>
      <c r="E55" s="133"/>
      <c r="F55" s="133"/>
      <c r="G55" s="133"/>
    </row>
    <row r="56" spans="1:7" ht="14.25" hidden="1" customHeight="1" x14ac:dyDescent="0.35">
      <c r="A56" s="130" t="s">
        <v>71</v>
      </c>
      <c r="B56" s="131" t="s">
        <v>50</v>
      </c>
      <c r="C56" s="131">
        <v>44013</v>
      </c>
      <c r="D56" s="131"/>
      <c r="E56" s="131"/>
      <c r="F56" s="131"/>
      <c r="G56" s="131"/>
    </row>
    <row r="57" spans="1:7" ht="14.25" hidden="1" customHeight="1" x14ac:dyDescent="0.35">
      <c r="A57" s="132" t="s">
        <v>309</v>
      </c>
      <c r="B57" s="133" t="s">
        <v>59</v>
      </c>
      <c r="C57" s="133">
        <v>71011</v>
      </c>
      <c r="D57" s="133"/>
      <c r="E57" s="133"/>
      <c r="F57" s="133"/>
      <c r="G57" s="133"/>
    </row>
    <row r="58" spans="1:7" ht="14.25" hidden="1" customHeight="1" x14ac:dyDescent="0.35">
      <c r="A58" s="130" t="s">
        <v>88</v>
      </c>
      <c r="B58" s="131" t="s">
        <v>52</v>
      </c>
      <c r="C58" s="131">
        <v>24020</v>
      </c>
      <c r="D58" s="131"/>
      <c r="E58" s="131"/>
      <c r="F58" s="131"/>
      <c r="G58" s="131"/>
    </row>
    <row r="59" spans="1:7" ht="14.25" customHeight="1" x14ac:dyDescent="0.35">
      <c r="A59" s="132" t="s">
        <v>280</v>
      </c>
      <c r="B59" s="133" t="s">
        <v>55</v>
      </c>
      <c r="C59" s="133">
        <v>32003</v>
      </c>
      <c r="D59" s="133">
        <v>1</v>
      </c>
      <c r="E59" s="133">
        <v>0</v>
      </c>
      <c r="F59" s="133">
        <v>2</v>
      </c>
      <c r="G59" s="133">
        <v>1</v>
      </c>
    </row>
    <row r="60" spans="1:7" ht="14.25" hidden="1" customHeight="1" x14ac:dyDescent="0.35">
      <c r="A60" s="130" t="s">
        <v>85</v>
      </c>
      <c r="B60" s="131" t="s">
        <v>52</v>
      </c>
      <c r="C60" s="131">
        <v>23016</v>
      </c>
      <c r="D60" s="131"/>
      <c r="E60" s="131"/>
      <c r="F60" s="131"/>
      <c r="G60" s="131"/>
    </row>
    <row r="61" spans="1:7" ht="14.25" hidden="1" customHeight="1" x14ac:dyDescent="0.35">
      <c r="A61" s="132" t="s">
        <v>333</v>
      </c>
      <c r="B61" s="133" t="s">
        <v>59</v>
      </c>
      <c r="C61" s="133">
        <v>72041</v>
      </c>
      <c r="D61" s="133"/>
      <c r="E61" s="133"/>
      <c r="F61" s="133"/>
      <c r="G61" s="133"/>
    </row>
    <row r="62" spans="1:7" ht="14.25" hidden="1" customHeight="1" x14ac:dyDescent="0.35">
      <c r="A62" s="130" t="s">
        <v>298</v>
      </c>
      <c r="B62" s="131" t="s">
        <v>52</v>
      </c>
      <c r="C62" s="131">
        <v>23098</v>
      </c>
      <c r="D62" s="131"/>
      <c r="E62" s="131"/>
      <c r="F62" s="131"/>
      <c r="G62" s="131"/>
    </row>
    <row r="63" spans="1:7" ht="14.25" hidden="1" customHeight="1" x14ac:dyDescent="0.35">
      <c r="A63" s="132" t="s">
        <v>140</v>
      </c>
      <c r="B63" s="133" t="s">
        <v>48</v>
      </c>
      <c r="C63" s="133">
        <v>12009</v>
      </c>
      <c r="D63" s="133"/>
      <c r="E63" s="133"/>
      <c r="F63" s="133"/>
      <c r="G63" s="133"/>
    </row>
    <row r="64" spans="1:7" ht="14.25" hidden="1" customHeight="1" x14ac:dyDescent="0.35">
      <c r="A64" s="130" t="s">
        <v>123</v>
      </c>
      <c r="B64" s="131" t="s">
        <v>48</v>
      </c>
      <c r="C64" s="131">
        <v>11013</v>
      </c>
      <c r="D64" s="131"/>
      <c r="E64" s="131"/>
      <c r="F64" s="131"/>
      <c r="G64" s="131"/>
    </row>
    <row r="65" spans="1:7" ht="14.25" hidden="1" customHeight="1" x14ac:dyDescent="0.35">
      <c r="A65" s="132" t="s">
        <v>118</v>
      </c>
      <c r="B65" s="133" t="s">
        <v>50</v>
      </c>
      <c r="C65" s="133">
        <v>43005</v>
      </c>
      <c r="D65" s="133"/>
      <c r="E65" s="133"/>
      <c r="F65" s="133"/>
      <c r="G65" s="133"/>
    </row>
    <row r="66" spans="1:7" ht="14.25" hidden="1" customHeight="1" x14ac:dyDescent="0.35">
      <c r="A66" s="130" t="s">
        <v>116</v>
      </c>
      <c r="B66" s="131" t="s">
        <v>50</v>
      </c>
      <c r="C66" s="131">
        <v>41082</v>
      </c>
      <c r="D66" s="131"/>
      <c r="E66" s="131"/>
      <c r="F66" s="131"/>
      <c r="G66" s="131"/>
    </row>
    <row r="67" spans="1:7" ht="14.25" hidden="1" customHeight="1" x14ac:dyDescent="0.35">
      <c r="A67" s="132" t="s">
        <v>180</v>
      </c>
      <c r="B67" s="133" t="s">
        <v>48</v>
      </c>
      <c r="C67" s="133">
        <v>11016</v>
      </c>
      <c r="D67" s="133"/>
      <c r="E67" s="133"/>
      <c r="F67" s="133"/>
      <c r="G67" s="133"/>
    </row>
    <row r="68" spans="1:7" ht="14.25" hidden="1" customHeight="1" x14ac:dyDescent="0.35">
      <c r="A68" s="130" t="s">
        <v>90</v>
      </c>
      <c r="B68" s="131" t="s">
        <v>50</v>
      </c>
      <c r="C68" s="131">
        <v>44019</v>
      </c>
      <c r="D68" s="131"/>
      <c r="E68" s="131"/>
      <c r="F68" s="131"/>
      <c r="G68" s="131"/>
    </row>
    <row r="69" spans="1:7" ht="14.25" hidden="1" customHeight="1" x14ac:dyDescent="0.35">
      <c r="A69" s="132" t="s">
        <v>209</v>
      </c>
      <c r="B69" s="133" t="s">
        <v>50</v>
      </c>
      <c r="C69" s="133">
        <v>44020</v>
      </c>
      <c r="D69" s="133"/>
      <c r="E69" s="133"/>
      <c r="F69" s="133"/>
      <c r="G69" s="133"/>
    </row>
    <row r="70" spans="1:7" ht="14.25" hidden="1" customHeight="1" x14ac:dyDescent="0.35">
      <c r="A70" s="130" t="s">
        <v>91</v>
      </c>
      <c r="B70" s="131" t="s">
        <v>48</v>
      </c>
      <c r="C70" s="131">
        <v>13008</v>
      </c>
      <c r="D70" s="131"/>
      <c r="E70" s="131"/>
      <c r="F70" s="131"/>
      <c r="G70" s="131"/>
    </row>
    <row r="71" spans="1:7" ht="14.25" hidden="1" customHeight="1" x14ac:dyDescent="0.35">
      <c r="A71" s="132" t="s">
        <v>245</v>
      </c>
      <c r="B71" s="133" t="s">
        <v>52</v>
      </c>
      <c r="C71" s="133">
        <v>24028</v>
      </c>
      <c r="D71" s="133"/>
      <c r="E71" s="133"/>
      <c r="F71" s="133"/>
      <c r="G71" s="133"/>
    </row>
    <row r="72" spans="1:7" ht="14.25" hidden="1" customHeight="1" x14ac:dyDescent="0.35">
      <c r="A72" s="130" t="s">
        <v>95</v>
      </c>
      <c r="B72" s="131" t="s">
        <v>59</v>
      </c>
      <c r="C72" s="131">
        <v>71016</v>
      </c>
      <c r="D72" s="131"/>
      <c r="E72" s="131"/>
      <c r="F72" s="131"/>
      <c r="G72" s="131"/>
    </row>
    <row r="73" spans="1:7" ht="14.25" hidden="1" customHeight="1" x14ac:dyDescent="0.35">
      <c r="A73" s="132" t="s">
        <v>49</v>
      </c>
      <c r="B73" s="133" t="s">
        <v>50</v>
      </c>
      <c r="C73" s="133">
        <v>44021</v>
      </c>
      <c r="D73" s="133"/>
      <c r="E73" s="133"/>
      <c r="F73" s="133"/>
      <c r="G73" s="133"/>
    </row>
    <row r="74" spans="1:7" ht="14.25" hidden="1" customHeight="1" x14ac:dyDescent="0.35">
      <c r="A74" s="130" t="s">
        <v>144</v>
      </c>
      <c r="B74" s="131" t="s">
        <v>50</v>
      </c>
      <c r="C74" s="131">
        <v>41018</v>
      </c>
      <c r="D74" s="131"/>
      <c r="E74" s="131"/>
      <c r="F74" s="131"/>
      <c r="G74" s="131"/>
    </row>
    <row r="75" spans="1:7" ht="14.25" hidden="1" customHeight="1" x14ac:dyDescent="0.35">
      <c r="A75" s="132" t="s">
        <v>323</v>
      </c>
      <c r="B75" s="133" t="s">
        <v>59</v>
      </c>
      <c r="C75" s="133">
        <v>71017</v>
      </c>
      <c r="D75" s="133"/>
      <c r="E75" s="133"/>
      <c r="F75" s="133"/>
      <c r="G75" s="133"/>
    </row>
    <row r="76" spans="1:7" ht="14.25" customHeight="1" x14ac:dyDescent="0.35">
      <c r="A76" s="130" t="s">
        <v>206</v>
      </c>
      <c r="B76" s="131" t="s">
        <v>55</v>
      </c>
      <c r="C76" s="131">
        <v>35005</v>
      </c>
      <c r="D76" s="131">
        <v>1</v>
      </c>
      <c r="E76" s="131">
        <v>1</v>
      </c>
      <c r="F76" s="131">
        <v>2</v>
      </c>
      <c r="G76" s="131">
        <v>2</v>
      </c>
    </row>
    <row r="77" spans="1:7" ht="14.25" hidden="1" customHeight="1" x14ac:dyDescent="0.35">
      <c r="A77" s="132" t="s">
        <v>243</v>
      </c>
      <c r="B77" s="133" t="s">
        <v>52</v>
      </c>
      <c r="C77" s="133">
        <v>24137</v>
      </c>
      <c r="D77" s="133"/>
      <c r="E77" s="133"/>
      <c r="F77" s="133"/>
      <c r="G77" s="133"/>
    </row>
    <row r="78" spans="1:7" ht="14.25" hidden="1" customHeight="1" x14ac:dyDescent="0.35">
      <c r="A78" s="130" t="s">
        <v>107</v>
      </c>
      <c r="B78" s="131" t="s">
        <v>52</v>
      </c>
      <c r="C78" s="131">
        <v>23025</v>
      </c>
      <c r="D78" s="131"/>
      <c r="E78" s="131"/>
      <c r="F78" s="131"/>
      <c r="G78" s="131"/>
    </row>
    <row r="79" spans="1:7" ht="14.25" hidden="1" customHeight="1" x14ac:dyDescent="0.35">
      <c r="A79" s="132" t="s">
        <v>303</v>
      </c>
      <c r="B79" s="133" t="s">
        <v>48</v>
      </c>
      <c r="C79" s="133">
        <v>13010</v>
      </c>
      <c r="D79" s="133"/>
      <c r="E79" s="133"/>
      <c r="F79" s="133"/>
      <c r="G79" s="133"/>
    </row>
    <row r="80" spans="1:7" ht="14.25" hidden="1" customHeight="1" x14ac:dyDescent="0.35">
      <c r="A80" s="130" t="s">
        <v>92</v>
      </c>
      <c r="B80" s="131" t="s">
        <v>52</v>
      </c>
      <c r="C80" s="131">
        <v>24033</v>
      </c>
      <c r="D80" s="131"/>
      <c r="E80" s="131"/>
      <c r="F80" s="131"/>
      <c r="G80" s="131"/>
    </row>
    <row r="81" spans="1:7" ht="14.25" hidden="1" customHeight="1" x14ac:dyDescent="0.35">
      <c r="A81" s="132" t="s">
        <v>223</v>
      </c>
      <c r="B81" s="133" t="s">
        <v>50</v>
      </c>
      <c r="C81" s="133">
        <v>41024</v>
      </c>
      <c r="D81" s="133"/>
      <c r="E81" s="133"/>
      <c r="F81" s="133"/>
      <c r="G81" s="133"/>
    </row>
    <row r="82" spans="1:7" ht="14.25" hidden="1" customHeight="1" x14ac:dyDescent="0.35">
      <c r="A82" s="130" t="s">
        <v>324</v>
      </c>
      <c r="B82" s="131" t="s">
        <v>59</v>
      </c>
      <c r="C82" s="131">
        <v>71020</v>
      </c>
      <c r="D82" s="131"/>
      <c r="E82" s="131"/>
      <c r="F82" s="131"/>
      <c r="G82" s="131"/>
    </row>
    <row r="83" spans="1:7" ht="14.25" hidden="1" customHeight="1" x14ac:dyDescent="0.35">
      <c r="A83" s="132" t="s">
        <v>70</v>
      </c>
      <c r="B83" s="133" t="s">
        <v>52</v>
      </c>
      <c r="C83" s="133">
        <v>23027</v>
      </c>
      <c r="D83" s="133"/>
      <c r="E83" s="133"/>
      <c r="F83" s="133"/>
      <c r="G83" s="133"/>
    </row>
    <row r="84" spans="1:7" ht="14.25" hidden="1" customHeight="1" x14ac:dyDescent="0.35">
      <c r="A84" s="130" t="s">
        <v>127</v>
      </c>
      <c r="B84" s="131" t="s">
        <v>50</v>
      </c>
      <c r="C84" s="131">
        <v>42008</v>
      </c>
      <c r="D84" s="131"/>
      <c r="E84" s="131"/>
      <c r="F84" s="131"/>
      <c r="G84" s="131"/>
    </row>
    <row r="85" spans="1:7" ht="14.25" hidden="1" customHeight="1" x14ac:dyDescent="0.35">
      <c r="A85" s="132" t="s">
        <v>331</v>
      </c>
      <c r="B85" s="133" t="s">
        <v>59</v>
      </c>
      <c r="C85" s="133">
        <v>72037</v>
      </c>
      <c r="D85" s="133"/>
      <c r="E85" s="133"/>
      <c r="F85" s="133"/>
      <c r="G85" s="133"/>
    </row>
    <row r="86" spans="1:7" ht="14.25" customHeight="1" x14ac:dyDescent="0.35">
      <c r="A86" s="130" t="s">
        <v>73</v>
      </c>
      <c r="B86" s="131" t="s">
        <v>55</v>
      </c>
      <c r="C86" s="131">
        <v>34013</v>
      </c>
      <c r="D86" s="131"/>
      <c r="E86" s="131"/>
      <c r="F86" s="131"/>
      <c r="G86" s="131"/>
    </row>
    <row r="87" spans="1:7" ht="14.25" hidden="1" customHeight="1" x14ac:dyDescent="0.35">
      <c r="A87" s="132" t="s">
        <v>58</v>
      </c>
      <c r="B87" s="133" t="s">
        <v>59</v>
      </c>
      <c r="C87" s="133">
        <v>71022</v>
      </c>
      <c r="D87" s="133"/>
      <c r="E87" s="133"/>
      <c r="F87" s="133"/>
      <c r="G87" s="133"/>
    </row>
    <row r="88" spans="1:7" ht="14.25" hidden="1" customHeight="1" x14ac:dyDescent="0.35">
      <c r="A88" s="130" t="s">
        <v>265</v>
      </c>
      <c r="B88" s="131" t="s">
        <v>59</v>
      </c>
      <c r="C88" s="131">
        <v>72038</v>
      </c>
      <c r="D88" s="131"/>
      <c r="E88" s="131"/>
      <c r="F88" s="131"/>
      <c r="G88" s="131"/>
    </row>
    <row r="89" spans="1:7" ht="14.25" hidden="1" customHeight="1" x14ac:dyDescent="0.35">
      <c r="A89" s="132" t="s">
        <v>300</v>
      </c>
      <c r="B89" s="133" t="s">
        <v>59</v>
      </c>
      <c r="C89" s="133">
        <v>73022</v>
      </c>
      <c r="D89" s="133"/>
      <c r="E89" s="133"/>
      <c r="F89" s="133"/>
      <c r="G89" s="133"/>
    </row>
    <row r="90" spans="1:7" ht="14.25" hidden="1" customHeight="1" x14ac:dyDescent="0.35">
      <c r="A90" s="130" t="s">
        <v>108</v>
      </c>
      <c r="B90" s="131" t="s">
        <v>48</v>
      </c>
      <c r="C90" s="131">
        <v>12014</v>
      </c>
      <c r="D90" s="131"/>
      <c r="E90" s="131"/>
      <c r="F90" s="131"/>
      <c r="G90" s="131"/>
    </row>
    <row r="91" spans="1:7" ht="14.25" hidden="1" customHeight="1" x14ac:dyDescent="0.35">
      <c r="A91" s="132" t="s">
        <v>266</v>
      </c>
      <c r="B91" s="133" t="s">
        <v>48</v>
      </c>
      <c r="C91" s="133">
        <v>11018</v>
      </c>
      <c r="D91" s="133"/>
      <c r="E91" s="133"/>
      <c r="F91" s="133"/>
      <c r="G91" s="133"/>
    </row>
    <row r="92" spans="1:7" ht="14.25" hidden="1" customHeight="1" x14ac:dyDescent="0.35">
      <c r="A92" s="130" t="s">
        <v>69</v>
      </c>
      <c r="B92" s="131" t="s">
        <v>52</v>
      </c>
      <c r="C92" s="131">
        <v>24038</v>
      </c>
      <c r="D92" s="131"/>
      <c r="E92" s="131"/>
      <c r="F92" s="131"/>
      <c r="G92" s="131"/>
    </row>
    <row r="93" spans="1:7" ht="14.25" hidden="1" customHeight="1" x14ac:dyDescent="0.35">
      <c r="A93" s="132" t="s">
        <v>83</v>
      </c>
      <c r="B93" s="133" t="s">
        <v>48</v>
      </c>
      <c r="C93" s="133">
        <v>13011</v>
      </c>
      <c r="D93" s="133"/>
      <c r="E93" s="133"/>
      <c r="F93" s="133"/>
      <c r="G93" s="133"/>
    </row>
    <row r="94" spans="1:7" ht="14.25" hidden="1" customHeight="1" x14ac:dyDescent="0.35">
      <c r="A94" s="130" t="s">
        <v>326</v>
      </c>
      <c r="B94" s="131" t="s">
        <v>48</v>
      </c>
      <c r="C94" s="131">
        <v>13012</v>
      </c>
      <c r="D94" s="131"/>
      <c r="E94" s="131"/>
      <c r="F94" s="131"/>
      <c r="G94" s="131"/>
    </row>
    <row r="95" spans="1:7" ht="14.25" hidden="1" customHeight="1" x14ac:dyDescent="0.35">
      <c r="A95" s="132" t="s">
        <v>187</v>
      </c>
      <c r="B95" s="133" t="s">
        <v>59</v>
      </c>
      <c r="C95" s="133">
        <v>71024</v>
      </c>
      <c r="D95" s="133"/>
      <c r="E95" s="133"/>
      <c r="F95" s="133"/>
      <c r="G95" s="133"/>
    </row>
    <row r="96" spans="1:7" ht="14.25" hidden="1" customHeight="1" x14ac:dyDescent="0.35">
      <c r="A96" s="130" t="s">
        <v>272</v>
      </c>
      <c r="B96" s="131" t="s">
        <v>48</v>
      </c>
      <c r="C96" s="131">
        <v>13013</v>
      </c>
      <c r="D96" s="131"/>
      <c r="E96" s="131"/>
      <c r="F96" s="131"/>
      <c r="G96" s="131"/>
    </row>
    <row r="97" spans="1:7" ht="14.25" hidden="1" customHeight="1" x14ac:dyDescent="0.35">
      <c r="A97" s="132" t="s">
        <v>313</v>
      </c>
      <c r="B97" s="133" t="s">
        <v>59</v>
      </c>
      <c r="C97" s="133">
        <v>73028</v>
      </c>
      <c r="D97" s="133"/>
      <c r="E97" s="133"/>
      <c r="F97" s="133"/>
      <c r="G97" s="133"/>
    </row>
    <row r="98" spans="1:7" ht="14.25" hidden="1" customHeight="1" x14ac:dyDescent="0.35">
      <c r="A98" s="130" t="s">
        <v>113</v>
      </c>
      <c r="B98" s="131" t="s">
        <v>50</v>
      </c>
      <c r="C98" s="131">
        <v>41027</v>
      </c>
      <c r="D98" s="131"/>
      <c r="E98" s="131"/>
      <c r="F98" s="131"/>
      <c r="G98" s="131"/>
    </row>
    <row r="99" spans="1:7" ht="14.25" hidden="1" customHeight="1" x14ac:dyDescent="0.35">
      <c r="A99" s="132" t="s">
        <v>190</v>
      </c>
      <c r="B99" s="133" t="s">
        <v>59</v>
      </c>
      <c r="C99" s="133">
        <v>71070</v>
      </c>
      <c r="D99" s="133"/>
      <c r="E99" s="133"/>
      <c r="F99" s="133"/>
      <c r="G99" s="133"/>
    </row>
    <row r="100" spans="1:7" ht="14.25" customHeight="1" x14ac:dyDescent="0.35">
      <c r="A100" s="130" t="s">
        <v>167</v>
      </c>
      <c r="B100" s="131" t="s">
        <v>55</v>
      </c>
      <c r="C100" s="131">
        <v>33039</v>
      </c>
      <c r="D100" s="131">
        <v>3</v>
      </c>
      <c r="E100" s="131">
        <v>1</v>
      </c>
      <c r="F100" s="131">
        <v>4</v>
      </c>
      <c r="G100" s="131">
        <v>1</v>
      </c>
    </row>
    <row r="101" spans="1:7" ht="14.25" hidden="1" customHeight="1" x14ac:dyDescent="0.35">
      <c r="A101" s="132" t="s">
        <v>192</v>
      </c>
      <c r="B101" s="133" t="s">
        <v>52</v>
      </c>
      <c r="C101" s="133">
        <v>24041</v>
      </c>
      <c r="D101" s="133"/>
      <c r="E101" s="133"/>
      <c r="F101" s="133"/>
      <c r="G101" s="133"/>
    </row>
    <row r="102" spans="1:7" ht="14.25" hidden="1" customHeight="1" x14ac:dyDescent="0.35">
      <c r="A102" s="130" t="s">
        <v>153</v>
      </c>
      <c r="B102" s="131" t="s">
        <v>52</v>
      </c>
      <c r="C102" s="131">
        <v>23033</v>
      </c>
      <c r="D102" s="131"/>
      <c r="E102" s="131"/>
      <c r="F102" s="131"/>
      <c r="G102" s="131"/>
    </row>
    <row r="103" spans="1:7" ht="14.25" hidden="1" customHeight="1" x14ac:dyDescent="0.35">
      <c r="A103" s="132" t="s">
        <v>86</v>
      </c>
      <c r="B103" s="133" t="s">
        <v>52</v>
      </c>
      <c r="C103" s="133">
        <v>24043</v>
      </c>
      <c r="D103" s="133"/>
      <c r="E103" s="133"/>
      <c r="F103" s="133"/>
      <c r="G103" s="133"/>
    </row>
    <row r="104" spans="1:7" ht="14.25" customHeight="1" x14ac:dyDescent="0.35">
      <c r="A104" s="130" t="s">
        <v>150</v>
      </c>
      <c r="B104" s="131" t="s">
        <v>55</v>
      </c>
      <c r="C104" s="131">
        <v>36006</v>
      </c>
      <c r="D104" s="131">
        <v>1</v>
      </c>
      <c r="E104" s="131">
        <v>1</v>
      </c>
      <c r="F104" s="131">
        <v>3</v>
      </c>
      <c r="G104" s="131">
        <v>2</v>
      </c>
    </row>
    <row r="105" spans="1:7" ht="14.25" hidden="1" customHeight="1" x14ac:dyDescent="0.35">
      <c r="A105" s="132" t="s">
        <v>185</v>
      </c>
      <c r="B105" s="133" t="s">
        <v>48</v>
      </c>
      <c r="C105" s="133">
        <v>13014</v>
      </c>
      <c r="D105" s="133"/>
      <c r="E105" s="133"/>
      <c r="F105" s="133"/>
      <c r="G105" s="133"/>
    </row>
    <row r="106" spans="1:7" ht="14.25" hidden="1" customHeight="1" x14ac:dyDescent="0.35">
      <c r="A106" s="130" t="s">
        <v>297</v>
      </c>
      <c r="B106" s="131" t="s">
        <v>50</v>
      </c>
      <c r="C106" s="131">
        <v>45062</v>
      </c>
      <c r="D106" s="131"/>
      <c r="E106" s="131"/>
      <c r="F106" s="131"/>
      <c r="G106" s="131"/>
    </row>
    <row r="107" spans="1:7" ht="14.25" hidden="1" customHeight="1" x14ac:dyDescent="0.35">
      <c r="A107" s="132" t="s">
        <v>296</v>
      </c>
      <c r="B107" s="133" t="s">
        <v>59</v>
      </c>
      <c r="C107" s="133">
        <v>72039</v>
      </c>
      <c r="D107" s="133"/>
      <c r="E107" s="133"/>
      <c r="F107" s="133"/>
      <c r="G107" s="133"/>
    </row>
    <row r="108" spans="1:7" ht="14.25" customHeight="1" x14ac:dyDescent="0.35">
      <c r="A108" s="130" t="s">
        <v>261</v>
      </c>
      <c r="B108" s="131" t="s">
        <v>55</v>
      </c>
      <c r="C108" s="131">
        <v>32006</v>
      </c>
      <c r="D108" s="131">
        <v>2</v>
      </c>
      <c r="E108" s="131">
        <v>1</v>
      </c>
      <c r="F108" s="131">
        <v>2</v>
      </c>
      <c r="G108" s="131">
        <v>1</v>
      </c>
    </row>
    <row r="109" spans="1:7" ht="14.25" hidden="1" customHeight="1" x14ac:dyDescent="0.35">
      <c r="A109" s="132" t="s">
        <v>196</v>
      </c>
      <c r="B109" s="133" t="s">
        <v>48</v>
      </c>
      <c r="C109" s="133">
        <v>11021</v>
      </c>
      <c r="D109" s="133"/>
      <c r="E109" s="133"/>
      <c r="F109" s="133"/>
      <c r="G109" s="133"/>
    </row>
    <row r="110" spans="1:7" ht="14.25" hidden="1" customHeight="1" x14ac:dyDescent="0.35">
      <c r="A110" s="130" t="s">
        <v>134</v>
      </c>
      <c r="B110" s="131" t="s">
        <v>52</v>
      </c>
      <c r="C110" s="131">
        <v>24045</v>
      </c>
      <c r="D110" s="131"/>
      <c r="E110" s="131"/>
      <c r="F110" s="131"/>
      <c r="G110" s="131"/>
    </row>
    <row r="111" spans="1:7" ht="14.25" hidden="1" customHeight="1" x14ac:dyDescent="0.35">
      <c r="A111" s="132" t="s">
        <v>173</v>
      </c>
      <c r="B111" s="133" t="s">
        <v>48</v>
      </c>
      <c r="C111" s="133">
        <v>13016</v>
      </c>
      <c r="D111" s="133"/>
      <c r="E111" s="133"/>
      <c r="F111" s="133"/>
      <c r="G111" s="133"/>
    </row>
    <row r="112" spans="1:7" ht="14.25" customHeight="1" x14ac:dyDescent="0.35">
      <c r="A112" s="130" t="s">
        <v>212</v>
      </c>
      <c r="B112" s="131" t="s">
        <v>55</v>
      </c>
      <c r="C112" s="131">
        <v>35006</v>
      </c>
      <c r="D112" s="131"/>
      <c r="E112" s="131"/>
      <c r="F112" s="131">
        <v>2</v>
      </c>
      <c r="G112" s="131">
        <v>2</v>
      </c>
    </row>
    <row r="113" spans="1:7" ht="14.25" customHeight="1" x14ac:dyDescent="0.35">
      <c r="A113" s="132" t="s">
        <v>76</v>
      </c>
      <c r="B113" s="133" t="s">
        <v>55</v>
      </c>
      <c r="C113" s="133">
        <v>33011</v>
      </c>
      <c r="D113" s="133">
        <v>6</v>
      </c>
      <c r="E113" s="133">
        <v>1</v>
      </c>
      <c r="F113" s="133">
        <v>9</v>
      </c>
      <c r="G113" s="133">
        <v>1</v>
      </c>
    </row>
    <row r="114" spans="1:7" ht="14.25" customHeight="1" x14ac:dyDescent="0.35">
      <c r="A114" s="130" t="s">
        <v>263</v>
      </c>
      <c r="B114" s="131" t="s">
        <v>55</v>
      </c>
      <c r="C114" s="131">
        <v>36007</v>
      </c>
      <c r="D114" s="131">
        <v>1</v>
      </c>
      <c r="E114" s="131">
        <v>0</v>
      </c>
      <c r="F114" s="131">
        <v>2</v>
      </c>
      <c r="G114" s="131">
        <v>1</v>
      </c>
    </row>
    <row r="115" spans="1:7" ht="14.25" customHeight="1" x14ac:dyDescent="0.35">
      <c r="A115" s="132" t="s">
        <v>129</v>
      </c>
      <c r="B115" s="133" t="s">
        <v>55</v>
      </c>
      <c r="C115" s="133">
        <v>36008</v>
      </c>
      <c r="D115" s="133">
        <v>6</v>
      </c>
      <c r="E115" s="133">
        <v>2</v>
      </c>
      <c r="F115" s="133">
        <v>7</v>
      </c>
      <c r="G115" s="133">
        <v>1</v>
      </c>
    </row>
    <row r="116" spans="1:7" ht="14.25" customHeight="1" x14ac:dyDescent="0.35">
      <c r="A116" s="130" t="s">
        <v>273</v>
      </c>
      <c r="B116" s="131" t="s">
        <v>55</v>
      </c>
      <c r="C116" s="131">
        <v>31012</v>
      </c>
      <c r="D116" s="131">
        <v>1</v>
      </c>
      <c r="E116" s="131">
        <v>1</v>
      </c>
      <c r="F116" s="131">
        <v>2</v>
      </c>
      <c r="G116" s="131">
        <v>2</v>
      </c>
    </row>
    <row r="117" spans="1:7" ht="14.25" hidden="1" customHeight="1" x14ac:dyDescent="0.35">
      <c r="A117" s="132" t="s">
        <v>163</v>
      </c>
      <c r="B117" s="133" t="s">
        <v>48</v>
      </c>
      <c r="C117" s="133">
        <v>11022</v>
      </c>
      <c r="D117" s="133"/>
      <c r="E117" s="133"/>
      <c r="F117" s="133"/>
      <c r="G117" s="133"/>
    </row>
    <row r="118" spans="1:7" ht="14.25" hidden="1" customHeight="1" x14ac:dyDescent="0.35">
      <c r="A118" s="130" t="s">
        <v>207</v>
      </c>
      <c r="B118" s="131" t="s">
        <v>52</v>
      </c>
      <c r="C118" s="131">
        <v>23038</v>
      </c>
      <c r="D118" s="131"/>
      <c r="E118" s="131"/>
      <c r="F118" s="131"/>
      <c r="G118" s="131"/>
    </row>
    <row r="119" spans="1:7" ht="14.25" hidden="1" customHeight="1" x14ac:dyDescent="0.35">
      <c r="A119" s="132" t="s">
        <v>258</v>
      </c>
      <c r="B119" s="133" t="s">
        <v>52</v>
      </c>
      <c r="C119" s="133">
        <v>23039</v>
      </c>
      <c r="D119" s="133"/>
      <c r="E119" s="133"/>
      <c r="F119" s="133"/>
      <c r="G119" s="133"/>
    </row>
    <row r="120" spans="1:7" ht="14.25" hidden="1" customHeight="1" x14ac:dyDescent="0.35">
      <c r="A120" s="130" t="s">
        <v>312</v>
      </c>
      <c r="B120" s="131" t="s">
        <v>48</v>
      </c>
      <c r="C120" s="131">
        <v>11023</v>
      </c>
      <c r="D120" s="131"/>
      <c r="E120" s="131"/>
      <c r="F120" s="131"/>
      <c r="G120" s="131"/>
    </row>
    <row r="121" spans="1:7" ht="14.25" hidden="1" customHeight="1" x14ac:dyDescent="0.35">
      <c r="A121" s="132" t="s">
        <v>247</v>
      </c>
      <c r="B121" s="133" t="s">
        <v>50</v>
      </c>
      <c r="C121" s="133">
        <v>43007</v>
      </c>
      <c r="D121" s="133"/>
      <c r="E121" s="133"/>
      <c r="F121" s="133"/>
      <c r="G121" s="133"/>
    </row>
    <row r="122" spans="1:7" ht="14.25" hidden="1" customHeight="1" x14ac:dyDescent="0.35">
      <c r="A122" s="130" t="s">
        <v>181</v>
      </c>
      <c r="B122" s="131" t="s">
        <v>48</v>
      </c>
      <c r="C122" s="131">
        <v>13017</v>
      </c>
      <c r="D122" s="131"/>
      <c r="E122" s="131"/>
      <c r="F122" s="131"/>
      <c r="G122" s="131"/>
    </row>
    <row r="123" spans="1:7" ht="14.25" hidden="1" customHeight="1" x14ac:dyDescent="0.35">
      <c r="A123" s="132" t="s">
        <v>176</v>
      </c>
      <c r="B123" s="133" t="s">
        <v>52</v>
      </c>
      <c r="C123" s="133">
        <v>24048</v>
      </c>
      <c r="D123" s="133"/>
      <c r="E123" s="133"/>
      <c r="F123" s="133"/>
      <c r="G123" s="133"/>
    </row>
    <row r="124" spans="1:7" ht="14.25" hidden="1" customHeight="1" x14ac:dyDescent="0.35">
      <c r="A124" s="130" t="s">
        <v>325</v>
      </c>
      <c r="B124" s="131" t="s">
        <v>59</v>
      </c>
      <c r="C124" s="131">
        <v>72018</v>
      </c>
      <c r="D124" s="131"/>
      <c r="E124" s="131"/>
      <c r="F124" s="131"/>
      <c r="G124" s="131"/>
    </row>
    <row r="125" spans="1:7" ht="14.25" hidden="1" customHeight="1" x14ac:dyDescent="0.35">
      <c r="A125" s="132" t="s">
        <v>191</v>
      </c>
      <c r="B125" s="133" t="s">
        <v>50</v>
      </c>
      <c r="C125" s="133">
        <v>45060</v>
      </c>
      <c r="D125" s="133"/>
      <c r="E125" s="133"/>
      <c r="F125" s="133"/>
      <c r="G125" s="133"/>
    </row>
    <row r="126" spans="1:7" ht="14.25" customHeight="1" x14ac:dyDescent="0.35">
      <c r="A126" s="130" t="s">
        <v>103</v>
      </c>
      <c r="B126" s="131" t="s">
        <v>55</v>
      </c>
      <c r="C126" s="131">
        <v>31043</v>
      </c>
      <c r="D126" s="131"/>
      <c r="E126" s="131"/>
      <c r="F126" s="131"/>
      <c r="G126" s="131"/>
    </row>
    <row r="127" spans="1:7" ht="14.25" customHeight="1" x14ac:dyDescent="0.35">
      <c r="A127" s="132" t="s">
        <v>256</v>
      </c>
      <c r="B127" s="133" t="s">
        <v>55</v>
      </c>
      <c r="C127" s="133">
        <v>32010</v>
      </c>
      <c r="D127" s="133">
        <v>2</v>
      </c>
      <c r="E127" s="133">
        <v>1</v>
      </c>
      <c r="F127" s="133">
        <v>2</v>
      </c>
      <c r="G127" s="133">
        <v>1</v>
      </c>
    </row>
    <row r="128" spans="1:7" ht="14.25" customHeight="1" x14ac:dyDescent="0.35">
      <c r="A128" s="130" t="s">
        <v>100</v>
      </c>
      <c r="B128" s="131" t="s">
        <v>55</v>
      </c>
      <c r="C128" s="131">
        <v>38014</v>
      </c>
      <c r="D128" s="131">
        <v>8</v>
      </c>
      <c r="E128" s="131">
        <v>3</v>
      </c>
      <c r="F128" s="131">
        <v>9</v>
      </c>
      <c r="G128" s="131">
        <v>4</v>
      </c>
    </row>
    <row r="129" spans="1:7" ht="14.25" hidden="1" customHeight="1" x14ac:dyDescent="0.35">
      <c r="A129" s="132" t="s">
        <v>288</v>
      </c>
      <c r="B129" s="133" t="s">
        <v>48</v>
      </c>
      <c r="C129" s="133">
        <v>11024</v>
      </c>
      <c r="D129" s="133"/>
      <c r="E129" s="133"/>
      <c r="F129" s="133"/>
      <c r="G129" s="133"/>
    </row>
    <row r="130" spans="1:7" ht="14.25" customHeight="1" x14ac:dyDescent="0.35">
      <c r="A130" s="130" t="s">
        <v>138</v>
      </c>
      <c r="B130" s="131" t="s">
        <v>55</v>
      </c>
      <c r="C130" s="131">
        <v>32011</v>
      </c>
      <c r="D130" s="131">
        <v>2</v>
      </c>
      <c r="E130" s="131">
        <v>1</v>
      </c>
      <c r="F130" s="131">
        <v>4</v>
      </c>
      <c r="G130" s="131">
        <v>2</v>
      </c>
    </row>
    <row r="131" spans="1:7" ht="14.25" hidden="1" customHeight="1" x14ac:dyDescent="0.35">
      <c r="A131" s="132" t="s">
        <v>252</v>
      </c>
      <c r="B131" s="133" t="s">
        <v>52</v>
      </c>
      <c r="C131" s="133">
        <v>24054</v>
      </c>
      <c r="D131" s="133"/>
      <c r="E131" s="133"/>
      <c r="F131" s="133"/>
      <c r="G131" s="133"/>
    </row>
    <row r="132" spans="1:7" ht="14.25" hidden="1" customHeight="1" x14ac:dyDescent="0.35">
      <c r="A132" s="130" t="s">
        <v>117</v>
      </c>
      <c r="B132" s="131" t="s">
        <v>52</v>
      </c>
      <c r="C132" s="131">
        <v>24055</v>
      </c>
      <c r="D132" s="131"/>
      <c r="E132" s="131"/>
      <c r="F132" s="131"/>
      <c r="G132" s="131"/>
    </row>
    <row r="133" spans="1:7" ht="14.25" customHeight="1" x14ac:dyDescent="0.35">
      <c r="A133" s="132" t="s">
        <v>56</v>
      </c>
      <c r="B133" s="133" t="s">
        <v>55</v>
      </c>
      <c r="C133" s="133">
        <v>34022</v>
      </c>
      <c r="D133" s="133">
        <v>1</v>
      </c>
      <c r="E133" s="133">
        <v>0</v>
      </c>
      <c r="F133" s="133">
        <v>1</v>
      </c>
      <c r="G133" s="133">
        <v>0</v>
      </c>
    </row>
    <row r="134" spans="1:7" ht="14.25" hidden="1" customHeight="1" x14ac:dyDescent="0.35">
      <c r="A134" s="130" t="s">
        <v>270</v>
      </c>
      <c r="B134" s="131" t="s">
        <v>52</v>
      </c>
      <c r="C134" s="131">
        <v>23099</v>
      </c>
      <c r="D134" s="131"/>
      <c r="E134" s="131"/>
      <c r="F134" s="131"/>
      <c r="G134" s="131"/>
    </row>
    <row r="135" spans="1:7" ht="14.25" hidden="1" customHeight="1" x14ac:dyDescent="0.35">
      <c r="A135" s="132" t="s">
        <v>122</v>
      </c>
      <c r="B135" s="133" t="s">
        <v>50</v>
      </c>
      <c r="C135" s="133">
        <v>45068</v>
      </c>
      <c r="D135" s="133"/>
      <c r="E135" s="133"/>
      <c r="F135" s="133"/>
      <c r="G135" s="133"/>
    </row>
    <row r="136" spans="1:7" ht="14.25" customHeight="1" x14ac:dyDescent="0.35">
      <c r="A136" s="130" t="s">
        <v>158</v>
      </c>
      <c r="B136" s="131" t="s">
        <v>55</v>
      </c>
      <c r="C136" s="131">
        <v>34023</v>
      </c>
      <c r="D136" s="131"/>
      <c r="E136" s="131"/>
      <c r="F136" s="131"/>
      <c r="G136" s="131"/>
    </row>
    <row r="137" spans="1:7" ht="14.25" hidden="1" customHeight="1" x14ac:dyDescent="0.35">
      <c r="A137" s="132" t="s">
        <v>218</v>
      </c>
      <c r="B137" s="133" t="s">
        <v>48</v>
      </c>
      <c r="C137" s="133">
        <v>13053</v>
      </c>
      <c r="D137" s="133"/>
      <c r="E137" s="133"/>
      <c r="F137" s="133"/>
      <c r="G137" s="133"/>
    </row>
    <row r="138" spans="1:7" ht="14.25" hidden="1" customHeight="1" x14ac:dyDescent="0.35">
      <c r="A138" s="130" t="s">
        <v>155</v>
      </c>
      <c r="B138" s="131" t="s">
        <v>50</v>
      </c>
      <c r="C138" s="131">
        <v>42010</v>
      </c>
      <c r="D138" s="131"/>
      <c r="E138" s="131"/>
      <c r="F138" s="131"/>
      <c r="G138" s="131"/>
    </row>
    <row r="139" spans="1:7" ht="14.25" hidden="1" customHeight="1" x14ac:dyDescent="0.35">
      <c r="A139" s="132" t="s">
        <v>295</v>
      </c>
      <c r="B139" s="133" t="s">
        <v>59</v>
      </c>
      <c r="C139" s="133">
        <v>73042</v>
      </c>
      <c r="D139" s="133"/>
      <c r="E139" s="133"/>
      <c r="F139" s="133"/>
      <c r="G139" s="133"/>
    </row>
    <row r="140" spans="1:7" ht="14.25" hidden="1" customHeight="1" x14ac:dyDescent="0.35">
      <c r="A140" s="130" t="s">
        <v>81</v>
      </c>
      <c r="B140" s="131" t="s">
        <v>52</v>
      </c>
      <c r="C140" s="131">
        <v>24059</v>
      </c>
      <c r="D140" s="131"/>
      <c r="E140" s="131"/>
      <c r="F140" s="131"/>
      <c r="G140" s="131"/>
    </row>
    <row r="141" spans="1:7" ht="14.25" customHeight="1" x14ac:dyDescent="0.35">
      <c r="A141" s="132" t="s">
        <v>253</v>
      </c>
      <c r="B141" s="133" t="s">
        <v>55</v>
      </c>
      <c r="C141" s="133">
        <v>33040</v>
      </c>
      <c r="D141" s="133">
        <v>2</v>
      </c>
      <c r="E141" s="133">
        <v>1</v>
      </c>
      <c r="F141" s="133">
        <v>2</v>
      </c>
      <c r="G141" s="133">
        <v>1</v>
      </c>
    </row>
    <row r="142" spans="1:7" ht="14.25" hidden="1" customHeight="1" x14ac:dyDescent="0.35">
      <c r="A142" s="130" t="s">
        <v>114</v>
      </c>
      <c r="B142" s="131" t="s">
        <v>50</v>
      </c>
      <c r="C142" s="131">
        <v>42011</v>
      </c>
      <c r="D142" s="131"/>
      <c r="E142" s="131"/>
      <c r="F142" s="131"/>
      <c r="G142" s="131"/>
    </row>
    <row r="143" spans="1:7" ht="14.25" hidden="1" customHeight="1" x14ac:dyDescent="0.35">
      <c r="A143" s="132" t="s">
        <v>179</v>
      </c>
      <c r="B143" s="133" t="s">
        <v>50</v>
      </c>
      <c r="C143" s="133">
        <v>41034</v>
      </c>
      <c r="D143" s="133"/>
      <c r="E143" s="133"/>
      <c r="F143" s="133"/>
      <c r="G143" s="133"/>
    </row>
    <row r="144" spans="1:7" ht="14.25" customHeight="1" x14ac:dyDescent="0.35">
      <c r="A144" s="130" t="s">
        <v>171</v>
      </c>
      <c r="B144" s="131" t="s">
        <v>55</v>
      </c>
      <c r="C144" s="131">
        <v>36010</v>
      </c>
      <c r="D144" s="131">
        <v>3</v>
      </c>
      <c r="E144" s="131">
        <v>0</v>
      </c>
      <c r="F144" s="131">
        <v>4</v>
      </c>
      <c r="G144" s="131">
        <v>1</v>
      </c>
    </row>
    <row r="145" spans="1:7" ht="14.25" customHeight="1" x14ac:dyDescent="0.35">
      <c r="A145" s="132" t="s">
        <v>320</v>
      </c>
      <c r="B145" s="133" t="s">
        <v>55</v>
      </c>
      <c r="C145" s="133">
        <v>34025</v>
      </c>
      <c r="D145" s="133"/>
      <c r="E145" s="133"/>
      <c r="F145" s="133"/>
      <c r="G145" s="133"/>
    </row>
    <row r="146" spans="1:7" ht="14.25" hidden="1" customHeight="1" x14ac:dyDescent="0.35">
      <c r="A146" s="130" t="s">
        <v>257</v>
      </c>
      <c r="B146" s="131" t="s">
        <v>52</v>
      </c>
      <c r="C146" s="131">
        <v>23104</v>
      </c>
      <c r="D146" s="131"/>
      <c r="E146" s="131"/>
      <c r="F146" s="131"/>
      <c r="G146" s="131"/>
    </row>
    <row r="147" spans="1:7" ht="14.25" hidden="1" customHeight="1" x14ac:dyDescent="0.35">
      <c r="A147" s="132" t="s">
        <v>308</v>
      </c>
      <c r="B147" s="133" t="s">
        <v>59</v>
      </c>
      <c r="C147" s="133">
        <v>71034</v>
      </c>
      <c r="D147" s="133"/>
      <c r="E147" s="133"/>
      <c r="F147" s="133"/>
      <c r="G147" s="133"/>
    </row>
    <row r="148" spans="1:7" ht="14.25" hidden="1" customHeight="1" x14ac:dyDescent="0.35">
      <c r="A148" s="130" t="s">
        <v>51</v>
      </c>
      <c r="B148" s="131" t="s">
        <v>52</v>
      </c>
      <c r="C148" s="131">
        <v>24062</v>
      </c>
      <c r="D148" s="131"/>
      <c r="E148" s="131"/>
      <c r="F148" s="131"/>
      <c r="G148" s="131"/>
    </row>
    <row r="149" spans="1:7" ht="14.25" customHeight="1" x14ac:dyDescent="0.35">
      <c r="A149" s="132" t="s">
        <v>198</v>
      </c>
      <c r="B149" s="133" t="s">
        <v>55</v>
      </c>
      <c r="C149" s="133">
        <v>36011</v>
      </c>
      <c r="D149" s="133">
        <v>2</v>
      </c>
      <c r="E149" s="133">
        <v>1</v>
      </c>
      <c r="F149" s="133">
        <v>3</v>
      </c>
      <c r="G149" s="133">
        <v>2</v>
      </c>
    </row>
    <row r="150" spans="1:7" ht="14.25" hidden="1" customHeight="1" x14ac:dyDescent="0.35">
      <c r="A150" s="130" t="s">
        <v>334</v>
      </c>
      <c r="B150" s="131" t="s">
        <v>52</v>
      </c>
      <c r="C150" s="131">
        <v>23044</v>
      </c>
      <c r="D150" s="131"/>
      <c r="E150" s="131"/>
      <c r="F150" s="131"/>
      <c r="G150" s="131"/>
    </row>
    <row r="151" spans="1:7" ht="14.25" hidden="1" customHeight="1" x14ac:dyDescent="0.35">
      <c r="A151" s="132" t="s">
        <v>68</v>
      </c>
      <c r="B151" s="133" t="s">
        <v>48</v>
      </c>
      <c r="C151" s="133">
        <v>12021</v>
      </c>
      <c r="D151" s="133"/>
      <c r="E151" s="133"/>
      <c r="F151" s="133"/>
      <c r="G151" s="133"/>
    </row>
    <row r="152" spans="1:7" ht="14.25" hidden="1" customHeight="1" x14ac:dyDescent="0.35">
      <c r="A152" s="130" t="s">
        <v>248</v>
      </c>
      <c r="B152" s="131" t="s">
        <v>50</v>
      </c>
      <c r="C152" s="131">
        <v>45063</v>
      </c>
      <c r="D152" s="131"/>
      <c r="E152" s="131"/>
      <c r="F152" s="131"/>
      <c r="G152" s="131"/>
    </row>
    <row r="153" spans="1:7" ht="14.25" hidden="1" customHeight="1" x14ac:dyDescent="0.35">
      <c r="A153" s="132" t="s">
        <v>82</v>
      </c>
      <c r="B153" s="133" t="s">
        <v>50</v>
      </c>
      <c r="C153" s="133">
        <v>44085</v>
      </c>
      <c r="D153" s="133"/>
      <c r="E153" s="133"/>
      <c r="F153" s="133"/>
      <c r="G153" s="133"/>
    </row>
    <row r="154" spans="1:7" ht="14.25" hidden="1" customHeight="1" x14ac:dyDescent="0.35">
      <c r="A154" s="130" t="s">
        <v>161</v>
      </c>
      <c r="B154" s="131" t="s">
        <v>48</v>
      </c>
      <c r="C154" s="131">
        <v>13019</v>
      </c>
      <c r="D154" s="131"/>
      <c r="E154" s="131"/>
      <c r="F154" s="131"/>
      <c r="G154" s="131"/>
    </row>
    <row r="155" spans="1:7" ht="14.25" hidden="1" customHeight="1" x14ac:dyDescent="0.35">
      <c r="A155" s="132" t="s">
        <v>319</v>
      </c>
      <c r="B155" s="133" t="s">
        <v>52</v>
      </c>
      <c r="C155" s="133">
        <v>23100</v>
      </c>
      <c r="D155" s="133"/>
      <c r="E155" s="133"/>
      <c r="F155" s="133"/>
      <c r="G155" s="133"/>
    </row>
    <row r="156" spans="1:7" ht="14.25" hidden="1" customHeight="1" x14ac:dyDescent="0.35">
      <c r="A156" s="130" t="s">
        <v>254</v>
      </c>
      <c r="B156" s="131" t="s">
        <v>48</v>
      </c>
      <c r="C156" s="131">
        <v>11025</v>
      </c>
      <c r="D156" s="131"/>
      <c r="E156" s="131"/>
      <c r="F156" s="131"/>
      <c r="G156" s="131"/>
    </row>
    <row r="157" spans="1:7" ht="14.25" hidden="1" customHeight="1" x14ac:dyDescent="0.35">
      <c r="A157" s="132" t="s">
        <v>193</v>
      </c>
      <c r="B157" s="133" t="s">
        <v>52</v>
      </c>
      <c r="C157" s="133">
        <v>24133</v>
      </c>
      <c r="D157" s="133"/>
      <c r="E157" s="133"/>
      <c r="F157" s="133"/>
      <c r="G157" s="133"/>
    </row>
    <row r="158" spans="1:7" ht="14.25" customHeight="1" x14ac:dyDescent="0.35">
      <c r="A158" s="130" t="s">
        <v>239</v>
      </c>
      <c r="B158" s="131" t="s">
        <v>55</v>
      </c>
      <c r="C158" s="131">
        <v>32030</v>
      </c>
      <c r="D158" s="131">
        <v>2</v>
      </c>
      <c r="E158" s="131">
        <v>1</v>
      </c>
      <c r="F158" s="131">
        <v>2</v>
      </c>
      <c r="G158" s="131">
        <v>1</v>
      </c>
    </row>
    <row r="159" spans="1:7" ht="14.25" hidden="1" customHeight="1" x14ac:dyDescent="0.35">
      <c r="A159" s="132" t="s">
        <v>233</v>
      </c>
      <c r="B159" s="133" t="s">
        <v>50</v>
      </c>
      <c r="C159" s="133">
        <v>44034</v>
      </c>
      <c r="D159" s="133"/>
      <c r="E159" s="133"/>
      <c r="F159" s="133"/>
      <c r="G159" s="133"/>
    </row>
    <row r="160" spans="1:7" ht="14.25" hidden="1" customHeight="1" x14ac:dyDescent="0.35">
      <c r="A160" s="130" t="s">
        <v>72</v>
      </c>
      <c r="B160" s="131" t="s">
        <v>50</v>
      </c>
      <c r="C160" s="131">
        <v>46014</v>
      </c>
      <c r="D160" s="131"/>
      <c r="E160" s="131"/>
      <c r="F160" s="131"/>
      <c r="G160" s="131"/>
    </row>
    <row r="161" spans="1:7" ht="14.25" hidden="1" customHeight="1" x14ac:dyDescent="0.35">
      <c r="A161" s="132" t="s">
        <v>126</v>
      </c>
      <c r="B161" s="133" t="s">
        <v>59</v>
      </c>
      <c r="C161" s="133">
        <v>72020</v>
      </c>
      <c r="D161" s="133"/>
      <c r="E161" s="133"/>
      <c r="F161" s="133"/>
      <c r="G161" s="133"/>
    </row>
    <row r="162" spans="1:7" ht="14.25" hidden="1" customHeight="1" x14ac:dyDescent="0.35">
      <c r="A162" s="130" t="s">
        <v>283</v>
      </c>
      <c r="B162" s="131" t="s">
        <v>52</v>
      </c>
      <c r="C162" s="131">
        <v>23045</v>
      </c>
      <c r="D162" s="131"/>
      <c r="E162" s="131"/>
      <c r="F162" s="131"/>
      <c r="G162" s="131"/>
    </row>
    <row r="163" spans="1:7" ht="14.25" hidden="1" customHeight="1" x14ac:dyDescent="0.35">
      <c r="A163" s="132" t="s">
        <v>139</v>
      </c>
      <c r="B163" s="133" t="s">
        <v>52</v>
      </c>
      <c r="C163" s="133">
        <v>24066</v>
      </c>
      <c r="D163" s="133"/>
      <c r="E163" s="133"/>
      <c r="F163" s="133"/>
      <c r="G163" s="133"/>
    </row>
    <row r="164" spans="1:7" ht="14.25" hidden="1" customHeight="1" x14ac:dyDescent="0.35">
      <c r="A164" s="130" t="s">
        <v>286</v>
      </c>
      <c r="B164" s="131" t="s">
        <v>59</v>
      </c>
      <c r="C164" s="131">
        <v>71037</v>
      </c>
      <c r="D164" s="131"/>
      <c r="E164" s="131"/>
      <c r="F164" s="131"/>
      <c r="G164" s="131"/>
    </row>
    <row r="165" spans="1:7" ht="14.25" hidden="1" customHeight="1" x14ac:dyDescent="0.35">
      <c r="A165" s="132" t="s">
        <v>244</v>
      </c>
      <c r="B165" s="133" t="s">
        <v>50</v>
      </c>
      <c r="C165" s="133">
        <v>45064</v>
      </c>
      <c r="D165" s="133"/>
      <c r="E165" s="133"/>
      <c r="F165" s="133"/>
      <c r="G165" s="133"/>
    </row>
    <row r="166" spans="1:7" ht="14.25" hidden="1" customHeight="1" x14ac:dyDescent="0.35">
      <c r="A166" s="130" t="s">
        <v>211</v>
      </c>
      <c r="B166" s="131" t="s">
        <v>59</v>
      </c>
      <c r="C166" s="131">
        <v>72021</v>
      </c>
      <c r="D166" s="131"/>
      <c r="E166" s="131"/>
      <c r="F166" s="131"/>
      <c r="G166" s="131"/>
    </row>
    <row r="167" spans="1:7" ht="14.25" hidden="1" customHeight="1" x14ac:dyDescent="0.35">
      <c r="A167" s="132" t="s">
        <v>229</v>
      </c>
      <c r="B167" s="133" t="s">
        <v>59</v>
      </c>
      <c r="C167" s="133">
        <v>73107</v>
      </c>
      <c r="D167" s="133"/>
      <c r="E167" s="133"/>
      <c r="F167" s="133"/>
      <c r="G167" s="133"/>
    </row>
    <row r="168" spans="1:7" ht="14.25" hidden="1" customHeight="1" x14ac:dyDescent="0.35">
      <c r="A168" s="130" t="s">
        <v>278</v>
      </c>
      <c r="B168" s="131" t="s">
        <v>52</v>
      </c>
      <c r="C168" s="131">
        <v>23047</v>
      </c>
      <c r="D168" s="131"/>
      <c r="E168" s="131"/>
      <c r="F168" s="131"/>
      <c r="G168" s="131"/>
    </row>
    <row r="169" spans="1:7" ht="14.25" hidden="1" customHeight="1" x14ac:dyDescent="0.35">
      <c r="A169" s="132" t="s">
        <v>165</v>
      </c>
      <c r="B169" s="133" t="s">
        <v>50</v>
      </c>
      <c r="C169" s="133">
        <v>43010</v>
      </c>
      <c r="D169" s="133"/>
      <c r="E169" s="133"/>
      <c r="F169" s="133"/>
      <c r="G169" s="133"/>
    </row>
    <row r="170" spans="1:7" ht="14.25" hidden="1" customHeight="1" x14ac:dyDescent="0.35">
      <c r="A170" s="130" t="s">
        <v>178</v>
      </c>
      <c r="B170" s="131" t="s">
        <v>48</v>
      </c>
      <c r="C170" s="131">
        <v>11057</v>
      </c>
      <c r="D170" s="131"/>
      <c r="E170" s="131"/>
      <c r="F170" s="131"/>
      <c r="G170" s="131"/>
    </row>
    <row r="171" spans="1:7" ht="14.25" hidden="1" customHeight="1" x14ac:dyDescent="0.35">
      <c r="A171" s="132" t="s">
        <v>53</v>
      </c>
      <c r="B171" s="133" t="s">
        <v>48</v>
      </c>
      <c r="C171" s="133">
        <v>12025</v>
      </c>
      <c r="D171" s="133"/>
      <c r="E171" s="133"/>
      <c r="F171" s="133"/>
      <c r="G171" s="133"/>
    </row>
    <row r="172" spans="1:7" ht="14.25" hidden="1" customHeight="1" x14ac:dyDescent="0.35">
      <c r="A172" s="130" t="s">
        <v>172</v>
      </c>
      <c r="B172" s="131" t="s">
        <v>48</v>
      </c>
      <c r="C172" s="131">
        <v>13021</v>
      </c>
      <c r="D172" s="131"/>
      <c r="E172" s="131"/>
      <c r="F172" s="131"/>
      <c r="G172" s="131"/>
    </row>
    <row r="173" spans="1:7" ht="14.25" hidden="1" customHeight="1" x14ac:dyDescent="0.35">
      <c r="A173" s="132" t="s">
        <v>287</v>
      </c>
      <c r="B173" s="133" t="s">
        <v>52</v>
      </c>
      <c r="C173" s="133">
        <v>23050</v>
      </c>
      <c r="D173" s="133"/>
      <c r="E173" s="133"/>
      <c r="F173" s="133"/>
      <c r="G173" s="133"/>
    </row>
    <row r="174" spans="1:7" ht="14.25" customHeight="1" x14ac:dyDescent="0.35">
      <c r="A174" s="130" t="s">
        <v>130</v>
      </c>
      <c r="B174" s="131" t="s">
        <v>55</v>
      </c>
      <c r="C174" s="131">
        <v>34027</v>
      </c>
      <c r="D174" s="131"/>
      <c r="E174" s="131"/>
      <c r="F174" s="131"/>
      <c r="G174" s="131"/>
    </row>
    <row r="175" spans="1:7" ht="14.25" hidden="1" customHeight="1" x14ac:dyDescent="0.35">
      <c r="A175" s="132" t="s">
        <v>281</v>
      </c>
      <c r="B175" s="133" t="s">
        <v>52</v>
      </c>
      <c r="C175" s="133">
        <v>23052</v>
      </c>
      <c r="D175" s="133"/>
      <c r="E175" s="133"/>
      <c r="F175" s="133"/>
      <c r="G175" s="133"/>
    </row>
    <row r="176" spans="1:7" ht="14.25" hidden="1" customHeight="1" x14ac:dyDescent="0.35">
      <c r="A176" s="130" t="s">
        <v>60</v>
      </c>
      <c r="B176" s="131" t="s">
        <v>50</v>
      </c>
      <c r="C176" s="131">
        <v>44043</v>
      </c>
      <c r="D176" s="131"/>
      <c r="E176" s="131"/>
      <c r="F176" s="131"/>
      <c r="G176" s="131"/>
    </row>
    <row r="177" spans="1:7" ht="14.25" hidden="1" customHeight="1" x14ac:dyDescent="0.35">
      <c r="A177" s="132" t="s">
        <v>197</v>
      </c>
      <c r="B177" s="133" t="s">
        <v>48</v>
      </c>
      <c r="C177" s="133">
        <v>13023</v>
      </c>
      <c r="D177" s="133"/>
      <c r="E177" s="133"/>
      <c r="F177" s="133"/>
      <c r="G177" s="133"/>
    </row>
    <row r="178" spans="1:7" ht="14.25" customHeight="1" x14ac:dyDescent="0.35">
      <c r="A178" s="130" t="s">
        <v>238</v>
      </c>
      <c r="B178" s="131" t="s">
        <v>55</v>
      </c>
      <c r="C178" s="131">
        <v>33016</v>
      </c>
      <c r="D178" s="131">
        <v>1</v>
      </c>
      <c r="E178" s="131">
        <v>0</v>
      </c>
      <c r="F178" s="131">
        <v>2</v>
      </c>
      <c r="G178" s="131">
        <v>1</v>
      </c>
    </row>
    <row r="179" spans="1:7" ht="14.25" customHeight="1" x14ac:dyDescent="0.35">
      <c r="A179" s="132" t="s">
        <v>225</v>
      </c>
      <c r="B179" s="133" t="s">
        <v>55</v>
      </c>
      <c r="C179" s="133">
        <v>35011</v>
      </c>
      <c r="D179" s="133">
        <v>1</v>
      </c>
      <c r="E179" s="133">
        <v>1</v>
      </c>
      <c r="F179" s="133">
        <v>3</v>
      </c>
      <c r="G179" s="133">
        <v>3</v>
      </c>
    </row>
    <row r="180" spans="1:7" ht="14.25" hidden="1" customHeight="1" x14ac:dyDescent="0.35">
      <c r="A180" s="130" t="s">
        <v>145</v>
      </c>
      <c r="B180" s="131" t="s">
        <v>48</v>
      </c>
      <c r="C180" s="131">
        <v>13025</v>
      </c>
      <c r="D180" s="131"/>
      <c r="E180" s="131"/>
      <c r="F180" s="131"/>
      <c r="G180" s="131"/>
    </row>
    <row r="181" spans="1:7" ht="14.25" customHeight="1" x14ac:dyDescent="0.35">
      <c r="A181" s="132" t="s">
        <v>174</v>
      </c>
      <c r="B181" s="133" t="s">
        <v>55</v>
      </c>
      <c r="C181" s="133">
        <v>36012</v>
      </c>
      <c r="D181" s="133">
        <v>2</v>
      </c>
      <c r="E181" s="133">
        <v>0</v>
      </c>
      <c r="F181" s="133">
        <v>4</v>
      </c>
      <c r="G181" s="133">
        <v>1</v>
      </c>
    </row>
    <row r="182" spans="1:7" ht="14.25" hidden="1" customHeight="1" x14ac:dyDescent="0.35">
      <c r="A182" s="130" t="s">
        <v>66</v>
      </c>
      <c r="B182" s="131" t="s">
        <v>48</v>
      </c>
      <c r="C182" s="131">
        <v>11029</v>
      </c>
      <c r="D182" s="131"/>
      <c r="E182" s="131"/>
      <c r="F182" s="131"/>
      <c r="G182" s="131"/>
    </row>
    <row r="183" spans="1:7" ht="14.25" hidden="1" customHeight="1" x14ac:dyDescent="0.35">
      <c r="A183" s="132" t="s">
        <v>75</v>
      </c>
      <c r="B183" s="133" t="s">
        <v>50</v>
      </c>
      <c r="C183" s="133">
        <v>44048</v>
      </c>
      <c r="D183" s="133"/>
      <c r="E183" s="133"/>
      <c r="F183" s="133"/>
      <c r="G183" s="133"/>
    </row>
    <row r="184" spans="1:7" ht="14.25" hidden="1" customHeight="1" x14ac:dyDescent="0.35">
      <c r="A184" s="130" t="s">
        <v>203</v>
      </c>
      <c r="B184" s="131" t="s">
        <v>48</v>
      </c>
      <c r="C184" s="131">
        <v>11030</v>
      </c>
      <c r="D184" s="131"/>
      <c r="E184" s="131"/>
      <c r="F184" s="131"/>
      <c r="G184" s="131"/>
    </row>
    <row r="185" spans="1:7" ht="14.25" hidden="1" customHeight="1" x14ac:dyDescent="0.35">
      <c r="A185" s="132" t="s">
        <v>299</v>
      </c>
      <c r="B185" s="133" t="s">
        <v>59</v>
      </c>
      <c r="C185" s="133">
        <v>71045</v>
      </c>
      <c r="D185" s="133"/>
      <c r="E185" s="133"/>
      <c r="F185" s="133"/>
      <c r="G185" s="133"/>
    </row>
    <row r="186" spans="1:7" ht="14.25" customHeight="1" x14ac:dyDescent="0.35">
      <c r="A186" s="130" t="s">
        <v>152</v>
      </c>
      <c r="B186" s="131" t="s">
        <v>55</v>
      </c>
      <c r="C186" s="131">
        <v>38016</v>
      </c>
      <c r="D186" s="131">
        <v>1</v>
      </c>
      <c r="E186" s="131">
        <v>1</v>
      </c>
      <c r="F186" s="131">
        <v>3</v>
      </c>
      <c r="G186" s="131">
        <v>3</v>
      </c>
    </row>
    <row r="187" spans="1:7" ht="14.25" hidden="1" customHeight="1" x14ac:dyDescent="0.35">
      <c r="A187" s="132" t="s">
        <v>124</v>
      </c>
      <c r="B187" s="133" t="s">
        <v>48</v>
      </c>
      <c r="C187" s="133">
        <v>12026</v>
      </c>
      <c r="D187" s="133"/>
      <c r="E187" s="133"/>
      <c r="F187" s="133"/>
      <c r="G187" s="133"/>
    </row>
    <row r="188" spans="1:7" ht="14.25" hidden="1" customHeight="1" x14ac:dyDescent="0.35">
      <c r="A188" s="130" t="s">
        <v>236</v>
      </c>
      <c r="B188" s="131" t="s">
        <v>50</v>
      </c>
      <c r="C188" s="131">
        <v>41048</v>
      </c>
      <c r="D188" s="131"/>
      <c r="E188" s="131"/>
      <c r="F188" s="131"/>
      <c r="G188" s="131"/>
    </row>
    <row r="189" spans="1:7" ht="14.25" hidden="1" customHeight="1" x14ac:dyDescent="0.35">
      <c r="A189" s="132" t="s">
        <v>330</v>
      </c>
      <c r="B189" s="133" t="s">
        <v>48</v>
      </c>
      <c r="C189" s="133">
        <v>13029</v>
      </c>
      <c r="D189" s="133"/>
      <c r="E189" s="133"/>
      <c r="F189" s="133"/>
      <c r="G189" s="133"/>
    </row>
    <row r="190" spans="1:7" ht="14.25" customHeight="1" x14ac:dyDescent="0.35">
      <c r="A190" s="130" t="s">
        <v>64</v>
      </c>
      <c r="B190" s="131" t="s">
        <v>55</v>
      </c>
      <c r="C190" s="131">
        <v>35013</v>
      </c>
      <c r="D190" s="131"/>
      <c r="E190" s="131"/>
      <c r="F190" s="131"/>
      <c r="G190" s="131"/>
    </row>
    <row r="191" spans="1:7" ht="14.25" hidden="1" customHeight="1" x14ac:dyDescent="0.35">
      <c r="A191" s="132" t="s">
        <v>121</v>
      </c>
      <c r="B191" s="133" t="s">
        <v>50</v>
      </c>
      <c r="C191" s="133">
        <v>44052</v>
      </c>
      <c r="D191" s="133"/>
      <c r="E191" s="133"/>
      <c r="F191" s="133"/>
      <c r="G191" s="133"/>
    </row>
    <row r="192" spans="1:7" ht="14.25" customHeight="1" x14ac:dyDescent="0.35">
      <c r="A192" s="130" t="s">
        <v>79</v>
      </c>
      <c r="B192" s="131" t="s">
        <v>55</v>
      </c>
      <c r="C192" s="131">
        <v>31022</v>
      </c>
      <c r="D192" s="131"/>
      <c r="E192" s="131"/>
      <c r="F192" s="131">
        <v>3</v>
      </c>
      <c r="G192" s="131">
        <v>3</v>
      </c>
    </row>
    <row r="193" spans="1:7" ht="14.25" customHeight="1" x14ac:dyDescent="0.35">
      <c r="A193" s="132" t="s">
        <v>194</v>
      </c>
      <c r="B193" s="133" t="s">
        <v>55</v>
      </c>
      <c r="C193" s="133">
        <v>37010</v>
      </c>
      <c r="D193" s="133">
        <v>1</v>
      </c>
      <c r="E193" s="133">
        <v>0</v>
      </c>
      <c r="F193" s="133">
        <v>1</v>
      </c>
      <c r="G193" s="133">
        <v>0</v>
      </c>
    </row>
    <row r="194" spans="1:7" ht="14.25" hidden="1" customHeight="1" x14ac:dyDescent="0.35">
      <c r="A194" s="130" t="s">
        <v>214</v>
      </c>
      <c r="B194" s="131" t="s">
        <v>52</v>
      </c>
      <c r="C194" s="131">
        <v>23060</v>
      </c>
      <c r="D194" s="131"/>
      <c r="E194" s="131"/>
      <c r="F194" s="131"/>
      <c r="G194" s="131"/>
    </row>
    <row r="195" spans="1:7" ht="14.25" hidden="1" customHeight="1" x14ac:dyDescent="0.35">
      <c r="A195" s="132" t="s">
        <v>110</v>
      </c>
      <c r="B195" s="133" t="s">
        <v>52</v>
      </c>
      <c r="C195" s="133">
        <v>24086</v>
      </c>
      <c r="D195" s="133"/>
      <c r="E195" s="133"/>
      <c r="F195" s="133"/>
      <c r="G195" s="133"/>
    </row>
    <row r="196" spans="1:7" ht="14.25" hidden="1" customHeight="1" x14ac:dyDescent="0.35">
      <c r="A196" s="130" t="s">
        <v>159</v>
      </c>
      <c r="B196" s="131" t="s">
        <v>48</v>
      </c>
      <c r="C196" s="131">
        <v>13031</v>
      </c>
      <c r="D196" s="131"/>
      <c r="E196" s="131"/>
      <c r="F196" s="131"/>
      <c r="G196" s="131"/>
    </row>
    <row r="197" spans="1:7" ht="14.25" hidden="1" customHeight="1" x14ac:dyDescent="0.35">
      <c r="A197" s="132" t="s">
        <v>77</v>
      </c>
      <c r="B197" s="133" t="s">
        <v>50</v>
      </c>
      <c r="C197" s="133">
        <v>45035</v>
      </c>
      <c r="D197" s="133"/>
      <c r="E197" s="133"/>
      <c r="F197" s="133"/>
      <c r="G197" s="133"/>
    </row>
    <row r="198" spans="1:7" ht="14.25" customHeight="1" x14ac:dyDescent="0.35">
      <c r="A198" s="130" t="s">
        <v>200</v>
      </c>
      <c r="B198" s="131" t="s">
        <v>55</v>
      </c>
      <c r="C198" s="131">
        <v>35014</v>
      </c>
      <c r="D198" s="131"/>
      <c r="E198" s="131"/>
      <c r="F198" s="131">
        <v>2</v>
      </c>
      <c r="G198" s="131">
        <v>2</v>
      </c>
    </row>
    <row r="199" spans="1:7" ht="14.25" hidden="1" customHeight="1" x14ac:dyDescent="0.35">
      <c r="A199" s="132" t="s">
        <v>234</v>
      </c>
      <c r="B199" s="133" t="s">
        <v>59</v>
      </c>
      <c r="C199" s="133">
        <v>72042</v>
      </c>
      <c r="D199" s="133"/>
      <c r="E199" s="133"/>
      <c r="F199" s="133"/>
      <c r="G199" s="133"/>
    </row>
    <row r="200" spans="1:7" ht="14.25" hidden="1" customHeight="1" x14ac:dyDescent="0.35">
      <c r="A200" s="130" t="s">
        <v>230</v>
      </c>
      <c r="B200" s="131" t="s">
        <v>52</v>
      </c>
      <c r="C200" s="131">
        <v>23062</v>
      </c>
      <c r="D200" s="131"/>
      <c r="E200" s="131"/>
      <c r="F200" s="131"/>
      <c r="G200" s="131"/>
    </row>
    <row r="201" spans="1:7" ht="14.25" hidden="1" customHeight="1" x14ac:dyDescent="0.35">
      <c r="A201" s="132" t="s">
        <v>293</v>
      </c>
      <c r="B201" s="133" t="s">
        <v>52</v>
      </c>
      <c r="C201" s="133"/>
      <c r="D201" s="133"/>
      <c r="E201" s="133"/>
      <c r="F201" s="133"/>
      <c r="G201" s="133"/>
    </row>
    <row r="202" spans="1:7" ht="14.25" hidden="1" customHeight="1" x14ac:dyDescent="0.35">
      <c r="A202" s="130" t="s">
        <v>232</v>
      </c>
      <c r="B202" s="131" t="s">
        <v>59</v>
      </c>
      <c r="C202" s="131">
        <v>72030</v>
      </c>
      <c r="D202" s="131"/>
      <c r="E202" s="131"/>
      <c r="F202" s="131"/>
      <c r="G202" s="131"/>
    </row>
    <row r="203" spans="1:7" ht="14.25" hidden="1" customHeight="1" x14ac:dyDescent="0.35">
      <c r="A203" s="132" t="s">
        <v>310</v>
      </c>
      <c r="B203" s="133" t="s">
        <v>59</v>
      </c>
      <c r="C203" s="133">
        <v>72043</v>
      </c>
      <c r="D203" s="133"/>
      <c r="E203" s="133"/>
      <c r="F203" s="133"/>
      <c r="G203" s="133"/>
    </row>
    <row r="204" spans="1:7" ht="14.25" hidden="1" customHeight="1" x14ac:dyDescent="0.35">
      <c r="A204" s="130" t="s">
        <v>241</v>
      </c>
      <c r="B204" s="131" t="s">
        <v>52</v>
      </c>
      <c r="C204" s="131">
        <v>23064</v>
      </c>
      <c r="D204" s="131"/>
      <c r="E204" s="131"/>
      <c r="F204" s="131"/>
      <c r="G204" s="131"/>
    </row>
    <row r="205" spans="1:7" ht="14.25" customHeight="1" x14ac:dyDescent="0.35">
      <c r="A205" s="132" t="s">
        <v>251</v>
      </c>
      <c r="B205" s="133" t="s">
        <v>55</v>
      </c>
      <c r="C205" s="133">
        <v>37011</v>
      </c>
      <c r="D205" s="133">
        <v>2</v>
      </c>
      <c r="E205" s="133">
        <v>1</v>
      </c>
      <c r="F205" s="133">
        <v>2</v>
      </c>
      <c r="G205" s="133">
        <v>1</v>
      </c>
    </row>
    <row r="206" spans="1:7" ht="14.25" customHeight="1" x14ac:dyDescent="0.35">
      <c r="A206" s="130" t="s">
        <v>98</v>
      </c>
      <c r="B206" s="131" t="s">
        <v>55</v>
      </c>
      <c r="C206" s="131">
        <v>33021</v>
      </c>
      <c r="D206" s="131">
        <v>2</v>
      </c>
      <c r="E206" s="131">
        <v>1</v>
      </c>
      <c r="F206" s="131">
        <v>3</v>
      </c>
      <c r="G206" s="131">
        <v>2</v>
      </c>
    </row>
    <row r="207" spans="1:7" ht="14.25" hidden="1" customHeight="1" x14ac:dyDescent="0.35">
      <c r="A207" s="132" t="s">
        <v>282</v>
      </c>
      <c r="B207" s="133" t="s">
        <v>48</v>
      </c>
      <c r="C207" s="133">
        <v>12029</v>
      </c>
      <c r="D207" s="133"/>
      <c r="E207" s="133"/>
      <c r="F207" s="133"/>
      <c r="G207" s="133"/>
    </row>
    <row r="208" spans="1:7" ht="14.25" hidden="1" customHeight="1" x14ac:dyDescent="0.35">
      <c r="A208" s="130" t="s">
        <v>94</v>
      </c>
      <c r="B208" s="131" t="s">
        <v>48</v>
      </c>
      <c r="C208" s="131">
        <v>12041</v>
      </c>
      <c r="D208" s="131"/>
      <c r="E208" s="131"/>
      <c r="F208" s="131"/>
      <c r="G208" s="131"/>
    </row>
    <row r="209" spans="1:7" ht="14.25" hidden="1" customHeight="1" x14ac:dyDescent="0.35">
      <c r="A209" s="132" t="s">
        <v>284</v>
      </c>
      <c r="B209" s="133" t="s">
        <v>48</v>
      </c>
      <c r="C209" s="133">
        <v>11035</v>
      </c>
      <c r="D209" s="133"/>
      <c r="E209" s="133"/>
      <c r="F209" s="133"/>
      <c r="G209" s="133"/>
    </row>
    <row r="210" spans="1:7" ht="14.25" hidden="1" customHeight="1" x14ac:dyDescent="0.35">
      <c r="A210" s="130" t="s">
        <v>277</v>
      </c>
      <c r="B210" s="131" t="s">
        <v>48</v>
      </c>
      <c r="C210" s="131">
        <v>13035</v>
      </c>
      <c r="D210" s="131"/>
      <c r="E210" s="131"/>
      <c r="F210" s="131"/>
      <c r="G210" s="131"/>
    </row>
    <row r="211" spans="1:7" ht="14.25" hidden="1" customHeight="1" x14ac:dyDescent="0.35">
      <c r="A211" s="132" t="s">
        <v>204</v>
      </c>
      <c r="B211" s="133" t="s">
        <v>48</v>
      </c>
      <c r="C211" s="133">
        <v>13036</v>
      </c>
      <c r="D211" s="133"/>
      <c r="E211" s="133"/>
      <c r="F211" s="133"/>
      <c r="G211" s="133"/>
    </row>
    <row r="212" spans="1:7" ht="14.25" hidden="1" customHeight="1" x14ac:dyDescent="0.35">
      <c r="A212" s="130" t="s">
        <v>332</v>
      </c>
      <c r="B212" s="131" t="s">
        <v>59</v>
      </c>
      <c r="C212" s="131">
        <v>73066</v>
      </c>
      <c r="D212" s="131"/>
      <c r="E212" s="131"/>
      <c r="F212" s="131"/>
      <c r="G212" s="131"/>
    </row>
    <row r="213" spans="1:7" ht="14.25" hidden="1" customHeight="1" x14ac:dyDescent="0.35">
      <c r="A213" s="132" t="s">
        <v>267</v>
      </c>
      <c r="B213" s="133" t="s">
        <v>48</v>
      </c>
      <c r="C213" s="133">
        <v>13037</v>
      </c>
      <c r="D213" s="133"/>
      <c r="E213" s="133"/>
      <c r="F213" s="133"/>
      <c r="G213" s="133"/>
    </row>
    <row r="214" spans="1:7" ht="14.25" customHeight="1" x14ac:dyDescent="0.35">
      <c r="A214" s="130" t="s">
        <v>63</v>
      </c>
      <c r="B214" s="131" t="s">
        <v>55</v>
      </c>
      <c r="C214" s="131">
        <v>36015</v>
      </c>
      <c r="D214" s="131">
        <v>3</v>
      </c>
      <c r="E214" s="131">
        <v>1</v>
      </c>
      <c r="F214" s="131">
        <v>8</v>
      </c>
      <c r="G214" s="131">
        <v>1</v>
      </c>
    </row>
    <row r="215" spans="1:7" ht="14.25" hidden="1" customHeight="1" x14ac:dyDescent="0.35">
      <c r="A215" s="132" t="s">
        <v>141</v>
      </c>
      <c r="B215" s="133" t="s">
        <v>50</v>
      </c>
      <c r="C215" s="133">
        <v>45041</v>
      </c>
      <c r="D215" s="133"/>
      <c r="E215" s="133"/>
      <c r="F215" s="133"/>
      <c r="G215" s="133"/>
    </row>
    <row r="216" spans="1:7" ht="14.25" hidden="1" customHeight="1" x14ac:dyDescent="0.35">
      <c r="A216" s="130" t="s">
        <v>328</v>
      </c>
      <c r="B216" s="131" t="s">
        <v>52</v>
      </c>
      <c r="C216" s="131">
        <v>23097</v>
      </c>
      <c r="D216" s="131"/>
      <c r="E216" s="131"/>
      <c r="F216" s="131"/>
      <c r="G216" s="131"/>
    </row>
    <row r="217" spans="1:7" ht="14.25" hidden="1" customHeight="1" x14ac:dyDescent="0.35">
      <c r="A217" s="132" t="s">
        <v>78</v>
      </c>
      <c r="B217" s="133" t="s">
        <v>52</v>
      </c>
      <c r="C217" s="133">
        <v>24094</v>
      </c>
      <c r="D217" s="133"/>
      <c r="E217" s="133"/>
      <c r="F217" s="133"/>
      <c r="G217" s="133"/>
    </row>
    <row r="218" spans="1:7" ht="14.25" hidden="1" customHeight="1" x14ac:dyDescent="0.35">
      <c r="A218" s="130" t="s">
        <v>160</v>
      </c>
      <c r="B218" s="131" t="s">
        <v>48</v>
      </c>
      <c r="C218" s="131">
        <v>11037</v>
      </c>
      <c r="D218" s="131"/>
      <c r="E218" s="131"/>
      <c r="F218" s="131"/>
      <c r="G218" s="131"/>
    </row>
    <row r="219" spans="1:7" ht="14.25" hidden="1" customHeight="1" x14ac:dyDescent="0.35">
      <c r="A219" s="132" t="s">
        <v>169</v>
      </c>
      <c r="B219" s="133" t="s">
        <v>48</v>
      </c>
      <c r="C219" s="133">
        <v>11038</v>
      </c>
      <c r="D219" s="133"/>
      <c r="E219" s="133"/>
      <c r="F219" s="133"/>
      <c r="G219" s="133"/>
    </row>
    <row r="220" spans="1:7" ht="14.25" hidden="1" customHeight="1" x14ac:dyDescent="0.35">
      <c r="A220" s="130" t="s">
        <v>292</v>
      </c>
      <c r="B220" s="131" t="s">
        <v>52</v>
      </c>
      <c r="C220" s="131">
        <v>24134</v>
      </c>
      <c r="D220" s="131"/>
      <c r="E220" s="131"/>
      <c r="F220" s="131"/>
      <c r="G220" s="131"/>
    </row>
    <row r="221" spans="1:7" ht="14.25" hidden="1" customHeight="1" x14ac:dyDescent="0.35">
      <c r="A221" s="132" t="s">
        <v>311</v>
      </c>
      <c r="B221" s="133" t="s">
        <v>48</v>
      </c>
      <c r="C221" s="133">
        <v>11039</v>
      </c>
      <c r="D221" s="133"/>
      <c r="E221" s="133"/>
      <c r="F221" s="133"/>
      <c r="G221" s="133"/>
    </row>
    <row r="222" spans="1:7" ht="14.25" hidden="1" customHeight="1" x14ac:dyDescent="0.35">
      <c r="A222" s="130" t="s">
        <v>188</v>
      </c>
      <c r="B222" s="131" t="s">
        <v>48</v>
      </c>
      <c r="C222" s="131">
        <v>11040</v>
      </c>
      <c r="D222" s="131"/>
      <c r="E222" s="131"/>
      <c r="F222" s="131"/>
      <c r="G222" s="131"/>
    </row>
    <row r="223" spans="1:7" ht="14.25" hidden="1" customHeight="1" x14ac:dyDescent="0.35">
      <c r="A223" s="132" t="s">
        <v>220</v>
      </c>
      <c r="B223" s="133" t="s">
        <v>52</v>
      </c>
      <c r="C223" s="133">
        <v>23101</v>
      </c>
      <c r="D223" s="133"/>
      <c r="E223" s="133"/>
      <c r="F223" s="133"/>
      <c r="G223" s="133"/>
    </row>
    <row r="224" spans="1:7" ht="14.25" hidden="1" customHeight="1" x14ac:dyDescent="0.35">
      <c r="A224" s="130" t="s">
        <v>226</v>
      </c>
      <c r="B224" s="131" t="s">
        <v>50</v>
      </c>
      <c r="C224" s="131">
        <v>46020</v>
      </c>
      <c r="D224" s="131"/>
      <c r="E224" s="131"/>
      <c r="F224" s="131"/>
      <c r="G224" s="131"/>
    </row>
    <row r="225" spans="1:7" ht="14.25" hidden="1" customHeight="1" x14ac:dyDescent="0.35">
      <c r="A225" s="132" t="s">
        <v>183</v>
      </c>
      <c r="B225" s="133" t="s">
        <v>48</v>
      </c>
      <c r="C225" s="133">
        <v>12035</v>
      </c>
      <c r="D225" s="133"/>
      <c r="E225" s="133"/>
      <c r="F225" s="133"/>
      <c r="G225" s="133"/>
    </row>
    <row r="226" spans="1:7" ht="14.25" hidden="1" customHeight="1" x14ac:dyDescent="0.35">
      <c r="A226" s="130" t="s">
        <v>250</v>
      </c>
      <c r="B226" s="131" t="s">
        <v>50</v>
      </c>
      <c r="C226" s="131">
        <v>43014</v>
      </c>
      <c r="D226" s="131"/>
      <c r="E226" s="131"/>
      <c r="F226" s="131"/>
      <c r="G226" s="131"/>
    </row>
    <row r="227" spans="1:7" ht="14.25" hidden="1" customHeight="1" x14ac:dyDescent="0.35">
      <c r="A227" s="132" t="s">
        <v>202</v>
      </c>
      <c r="B227" s="133" t="s">
        <v>50</v>
      </c>
      <c r="C227" s="133">
        <v>41063</v>
      </c>
      <c r="D227" s="133"/>
      <c r="E227" s="133"/>
      <c r="F227" s="133"/>
      <c r="G227" s="133"/>
    </row>
    <row r="228" spans="1:7" ht="14.25" hidden="1" customHeight="1" x14ac:dyDescent="0.35">
      <c r="A228" s="130" t="s">
        <v>148</v>
      </c>
      <c r="B228" s="131" t="s">
        <v>50</v>
      </c>
      <c r="C228" s="131">
        <v>44064</v>
      </c>
      <c r="D228" s="131"/>
      <c r="E228" s="131"/>
      <c r="F228" s="131"/>
      <c r="G228" s="131"/>
    </row>
    <row r="229" spans="1:7" ht="14.25" hidden="1" customHeight="1" x14ac:dyDescent="0.35">
      <c r="A229" s="132" t="s">
        <v>57</v>
      </c>
      <c r="B229" s="133" t="s">
        <v>50</v>
      </c>
      <c r="C229" s="133">
        <v>46021</v>
      </c>
      <c r="D229" s="133"/>
      <c r="E229" s="133"/>
      <c r="F229" s="133"/>
      <c r="G229" s="133"/>
    </row>
    <row r="230" spans="1:7" ht="14.25" hidden="1" customHeight="1" x14ac:dyDescent="0.35">
      <c r="A230" s="130" t="s">
        <v>132</v>
      </c>
      <c r="B230" s="131" t="s">
        <v>52</v>
      </c>
      <c r="C230" s="131">
        <v>23077</v>
      </c>
      <c r="D230" s="131"/>
      <c r="E230" s="131"/>
      <c r="F230" s="131"/>
      <c r="G230" s="131"/>
    </row>
    <row r="231" spans="1:7" ht="14.25" hidden="1" customHeight="1" x14ac:dyDescent="0.35">
      <c r="A231" s="132" t="s">
        <v>189</v>
      </c>
      <c r="B231" s="133" t="s">
        <v>59</v>
      </c>
      <c r="C231" s="133">
        <v>71053</v>
      </c>
      <c r="D231" s="133"/>
      <c r="E231" s="133"/>
      <c r="F231" s="133"/>
      <c r="G231" s="133"/>
    </row>
    <row r="232" spans="1:7" ht="14.25" customHeight="1" x14ac:dyDescent="0.35">
      <c r="A232" s="130" t="s">
        <v>314</v>
      </c>
      <c r="B232" s="131" t="s">
        <v>55</v>
      </c>
      <c r="C232" s="131">
        <v>34043</v>
      </c>
      <c r="D232" s="131"/>
      <c r="E232" s="131"/>
      <c r="F232" s="131"/>
      <c r="G232" s="131"/>
    </row>
    <row r="233" spans="1:7" ht="14.25" hidden="1" customHeight="1" x14ac:dyDescent="0.35">
      <c r="A233" s="132" t="s">
        <v>336</v>
      </c>
      <c r="B233" s="133" t="s">
        <v>48</v>
      </c>
      <c r="C233" s="133">
        <v>11044</v>
      </c>
      <c r="D233" s="133"/>
      <c r="E233" s="133"/>
      <c r="F233" s="133"/>
      <c r="G233" s="133"/>
    </row>
    <row r="234" spans="1:7" ht="14.25" customHeight="1" x14ac:dyDescent="0.35">
      <c r="A234" s="130" t="s">
        <v>154</v>
      </c>
      <c r="B234" s="131" t="s">
        <v>55</v>
      </c>
      <c r="C234" s="131">
        <v>36019</v>
      </c>
      <c r="D234" s="131">
        <v>4</v>
      </c>
      <c r="E234" s="131">
        <v>1</v>
      </c>
      <c r="F234" s="131">
        <v>5</v>
      </c>
      <c r="G234" s="131">
        <v>1</v>
      </c>
    </row>
    <row r="235" spans="1:7" ht="14.25" hidden="1" customHeight="1" x14ac:dyDescent="0.35">
      <c r="A235" s="132" t="s">
        <v>208</v>
      </c>
      <c r="B235" s="133" t="s">
        <v>52</v>
      </c>
      <c r="C235" s="133">
        <v>23081</v>
      </c>
      <c r="D235" s="133"/>
      <c r="E235" s="133"/>
      <c r="F235" s="133"/>
      <c r="G235" s="133"/>
    </row>
    <row r="236" spans="1:7" ht="14.25" hidden="1" customHeight="1" x14ac:dyDescent="0.35">
      <c r="A236" s="130" t="s">
        <v>285</v>
      </c>
      <c r="B236" s="131" t="s">
        <v>50</v>
      </c>
      <c r="C236" s="131">
        <v>46024</v>
      </c>
      <c r="D236" s="131"/>
      <c r="E236" s="131"/>
      <c r="F236" s="131"/>
      <c r="G236" s="131"/>
    </row>
    <row r="237" spans="1:7" ht="14.25" hidden="1" customHeight="1" x14ac:dyDescent="0.35">
      <c r="A237" s="132" t="s">
        <v>166</v>
      </c>
      <c r="B237" s="133" t="s">
        <v>50</v>
      </c>
      <c r="C237" s="133">
        <v>46025</v>
      </c>
      <c r="D237" s="133"/>
      <c r="E237" s="133"/>
      <c r="F237" s="133"/>
      <c r="G237" s="133"/>
    </row>
    <row r="238" spans="1:7" ht="14.25" hidden="1" customHeight="1" x14ac:dyDescent="0.35">
      <c r="A238" s="130" t="s">
        <v>217</v>
      </c>
      <c r="B238" s="131" t="s">
        <v>52</v>
      </c>
      <c r="C238" s="131">
        <v>23086</v>
      </c>
      <c r="D238" s="131"/>
      <c r="E238" s="131"/>
      <c r="F238" s="131"/>
      <c r="G238" s="131"/>
    </row>
    <row r="239" spans="1:7" ht="14.25" hidden="1" customHeight="1" x14ac:dyDescent="0.35">
      <c r="A239" s="132" t="s">
        <v>87</v>
      </c>
      <c r="B239" s="133" t="s">
        <v>52</v>
      </c>
      <c r="C239" s="133">
        <v>24104</v>
      </c>
      <c r="D239" s="133"/>
      <c r="E239" s="133"/>
      <c r="F239" s="133"/>
      <c r="G239" s="133"/>
    </row>
    <row r="240" spans="1:7" ht="14.25" hidden="1" customHeight="1" x14ac:dyDescent="0.35">
      <c r="A240" s="130" t="s">
        <v>147</v>
      </c>
      <c r="B240" s="131" t="s">
        <v>59</v>
      </c>
      <c r="C240" s="131">
        <v>71057</v>
      </c>
      <c r="D240" s="131"/>
      <c r="E240" s="131"/>
      <c r="F240" s="131"/>
      <c r="G240" s="131"/>
    </row>
    <row r="241" spans="1:7" ht="14.25" customHeight="1" x14ac:dyDescent="0.35">
      <c r="A241" s="132" t="s">
        <v>102</v>
      </c>
      <c r="B241" s="133" t="s">
        <v>55</v>
      </c>
      <c r="C241" s="133">
        <v>37015</v>
      </c>
      <c r="D241" s="133">
        <v>4</v>
      </c>
      <c r="E241" s="133">
        <v>1</v>
      </c>
      <c r="F241" s="133">
        <v>6</v>
      </c>
      <c r="G241" s="133">
        <v>2</v>
      </c>
    </row>
    <row r="242" spans="1:7" ht="14.25" hidden="1" customHeight="1" x14ac:dyDescent="0.35">
      <c r="A242" s="130" t="s">
        <v>302</v>
      </c>
      <c r="B242" s="131" t="s">
        <v>52</v>
      </c>
      <c r="C242" s="131">
        <v>24135</v>
      </c>
      <c r="D242" s="131"/>
      <c r="E242" s="131"/>
      <c r="F242" s="131"/>
      <c r="G242" s="131"/>
    </row>
    <row r="243" spans="1:7" ht="14.25" hidden="1" customHeight="1" x14ac:dyDescent="0.35">
      <c r="A243" s="132" t="s">
        <v>104</v>
      </c>
      <c r="B243" s="133" t="s">
        <v>52</v>
      </c>
      <c r="C243" s="133">
        <v>24107</v>
      </c>
      <c r="D243" s="133"/>
      <c r="E243" s="133"/>
      <c r="F243" s="133"/>
      <c r="G243" s="133"/>
    </row>
    <row r="244" spans="1:7" ht="14.25" hidden="1" customHeight="1" x14ac:dyDescent="0.35">
      <c r="A244" s="130" t="s">
        <v>133</v>
      </c>
      <c r="B244" s="131" t="s">
        <v>59</v>
      </c>
      <c r="C244" s="131">
        <v>73083</v>
      </c>
      <c r="D244" s="131"/>
      <c r="E244" s="131"/>
      <c r="F244" s="131"/>
      <c r="G244" s="131"/>
    </row>
    <row r="245" spans="1:7" ht="14.25" customHeight="1" x14ac:dyDescent="0.35">
      <c r="A245" s="132" t="s">
        <v>93</v>
      </c>
      <c r="B245" s="133" t="s">
        <v>55</v>
      </c>
      <c r="C245" s="133">
        <v>31033</v>
      </c>
      <c r="D245" s="133">
        <v>2</v>
      </c>
      <c r="E245" s="133">
        <v>1</v>
      </c>
      <c r="F245" s="133">
        <v>4</v>
      </c>
      <c r="G245" s="133">
        <v>1</v>
      </c>
    </row>
    <row r="246" spans="1:7" ht="14.25" hidden="1" customHeight="1" x14ac:dyDescent="0.35">
      <c r="A246" s="130" t="s">
        <v>215</v>
      </c>
      <c r="B246" s="131" t="s">
        <v>52</v>
      </c>
      <c r="C246" s="131">
        <v>24109</v>
      </c>
      <c r="D246" s="131"/>
      <c r="E246" s="131"/>
      <c r="F246" s="131"/>
      <c r="G246" s="131"/>
    </row>
    <row r="247" spans="1:7" ht="14.25" hidden="1" customHeight="1" x14ac:dyDescent="0.35">
      <c r="A247" s="132" t="s">
        <v>61</v>
      </c>
      <c r="B247" s="133" t="s">
        <v>48</v>
      </c>
      <c r="C247" s="133">
        <v>13040</v>
      </c>
      <c r="D247" s="133"/>
      <c r="E247" s="133"/>
      <c r="F247" s="133"/>
      <c r="G247" s="133"/>
    </row>
    <row r="248" spans="1:7" ht="14.25" customHeight="1" x14ac:dyDescent="0.35">
      <c r="A248" s="130" t="s">
        <v>175</v>
      </c>
      <c r="B248" s="131" t="s">
        <v>55</v>
      </c>
      <c r="C248" s="131">
        <v>38025</v>
      </c>
      <c r="D248" s="131">
        <v>3</v>
      </c>
      <c r="E248" s="131">
        <v>2</v>
      </c>
      <c r="F248" s="131">
        <v>4</v>
      </c>
      <c r="G248" s="131">
        <v>3</v>
      </c>
    </row>
    <row r="249" spans="1:7" ht="14.25" hidden="1" customHeight="1" x14ac:dyDescent="0.35">
      <c r="A249" s="132" t="s">
        <v>74</v>
      </c>
      <c r="B249" s="133" t="s">
        <v>52</v>
      </c>
      <c r="C249" s="133">
        <v>23088</v>
      </c>
      <c r="D249" s="133"/>
      <c r="E249" s="133"/>
      <c r="F249" s="133"/>
      <c r="G249" s="133"/>
    </row>
    <row r="250" spans="1:7" ht="14.25" customHeight="1" x14ac:dyDescent="0.35">
      <c r="A250" s="130" t="s">
        <v>240</v>
      </c>
      <c r="B250" s="131" t="s">
        <v>55</v>
      </c>
      <c r="C250" s="131">
        <v>33041</v>
      </c>
      <c r="D250" s="131">
        <v>1</v>
      </c>
      <c r="E250" s="131">
        <v>0</v>
      </c>
      <c r="F250" s="131">
        <v>2</v>
      </c>
      <c r="G250" s="131">
        <v>1</v>
      </c>
    </row>
    <row r="251" spans="1:7" ht="14.25" hidden="1" customHeight="1" x14ac:dyDescent="0.35">
      <c r="A251" s="132" t="s">
        <v>318</v>
      </c>
      <c r="B251" s="133" t="s">
        <v>59</v>
      </c>
      <c r="C251" s="133">
        <v>73109</v>
      </c>
      <c r="D251" s="133"/>
      <c r="E251" s="133"/>
      <c r="F251" s="133"/>
      <c r="G251" s="133"/>
    </row>
    <row r="252" spans="1:7" ht="14.25" hidden="1" customHeight="1" x14ac:dyDescent="0.35">
      <c r="A252" s="130" t="s">
        <v>195</v>
      </c>
      <c r="B252" s="131" t="s">
        <v>48</v>
      </c>
      <c r="C252" s="131">
        <v>13044</v>
      </c>
      <c r="D252" s="131"/>
      <c r="E252" s="131"/>
      <c r="F252" s="131"/>
      <c r="G252" s="131"/>
    </row>
    <row r="253" spans="1:7" ht="14.25" hidden="1" customHeight="1" x14ac:dyDescent="0.35">
      <c r="A253" s="132" t="s">
        <v>264</v>
      </c>
      <c r="B253" s="133" t="s">
        <v>48</v>
      </c>
      <c r="C253" s="133">
        <v>13046</v>
      </c>
      <c r="D253" s="133"/>
      <c r="E253" s="133"/>
      <c r="F253" s="133"/>
      <c r="G253" s="133"/>
    </row>
    <row r="254" spans="1:7" ht="14.25" hidden="1" customHeight="1" x14ac:dyDescent="0.35">
      <c r="A254" s="130" t="s">
        <v>262</v>
      </c>
      <c r="B254" s="131" t="s">
        <v>50</v>
      </c>
      <c r="C254" s="131">
        <v>42023</v>
      </c>
      <c r="D254" s="131"/>
      <c r="E254" s="131"/>
      <c r="F254" s="131"/>
      <c r="G254" s="131"/>
    </row>
    <row r="255" spans="1:7" ht="14.25" customHeight="1" x14ac:dyDescent="0.35">
      <c r="A255" s="132" t="s">
        <v>146</v>
      </c>
      <c r="B255" s="133" t="s">
        <v>55</v>
      </c>
      <c r="C255" s="133">
        <v>34040</v>
      </c>
      <c r="D255" s="133"/>
      <c r="E255" s="133"/>
      <c r="F255" s="133"/>
      <c r="G255" s="133"/>
    </row>
    <row r="256" spans="1:7" ht="14.25" hidden="1" customHeight="1" x14ac:dyDescent="0.35">
      <c r="A256" s="130" t="s">
        <v>322</v>
      </c>
      <c r="B256" s="131" t="s">
        <v>59</v>
      </c>
      <c r="C256" s="131">
        <v>73098</v>
      </c>
      <c r="D256" s="131"/>
      <c r="E256" s="131"/>
      <c r="F256" s="131"/>
      <c r="G256" s="131"/>
    </row>
    <row r="257" spans="1:7" ht="14.25" hidden="1" customHeight="1" x14ac:dyDescent="0.35">
      <c r="A257" s="132" t="s">
        <v>162</v>
      </c>
      <c r="B257" s="133" t="s">
        <v>52</v>
      </c>
      <c r="C257" s="133">
        <v>23102</v>
      </c>
      <c r="D257" s="133"/>
      <c r="E257" s="133"/>
      <c r="F257" s="133"/>
      <c r="G257" s="133"/>
    </row>
    <row r="258" spans="1:7" ht="14.25" customHeight="1" x14ac:dyDescent="0.35">
      <c r="A258" s="130" t="s">
        <v>222</v>
      </c>
      <c r="B258" s="131" t="s">
        <v>55</v>
      </c>
      <c r="C258" s="131">
        <v>33029</v>
      </c>
      <c r="D258" s="131">
        <v>2</v>
      </c>
      <c r="E258" s="131">
        <v>0</v>
      </c>
      <c r="F258" s="131">
        <v>3</v>
      </c>
      <c r="G258" s="131">
        <v>0</v>
      </c>
    </row>
    <row r="259" spans="1:7" ht="14.25" hidden="1" customHeight="1" x14ac:dyDescent="0.35">
      <c r="A259" s="132" t="s">
        <v>101</v>
      </c>
      <c r="B259" s="133" t="s">
        <v>48</v>
      </c>
      <c r="C259" s="133">
        <v>13049</v>
      </c>
      <c r="D259" s="133"/>
      <c r="E259" s="133"/>
      <c r="F259" s="133"/>
      <c r="G259" s="133"/>
    </row>
    <row r="260" spans="1:7" ht="14.25" hidden="1" customHeight="1" x14ac:dyDescent="0.35">
      <c r="A260" s="130" t="s">
        <v>89</v>
      </c>
      <c r="B260" s="131" t="s">
        <v>50</v>
      </c>
      <c r="C260" s="131">
        <v>42025</v>
      </c>
      <c r="D260" s="131"/>
      <c r="E260" s="131"/>
      <c r="F260" s="131"/>
      <c r="G260" s="131"/>
    </row>
    <row r="261" spans="1:7" ht="14.25" customHeight="1" x14ac:dyDescent="0.35">
      <c r="A261" s="132" t="s">
        <v>143</v>
      </c>
      <c r="B261" s="133" t="s">
        <v>55</v>
      </c>
      <c r="C261" s="133">
        <v>34041</v>
      </c>
      <c r="D261" s="133"/>
      <c r="E261" s="133"/>
      <c r="F261" s="133"/>
      <c r="G261" s="133"/>
    </row>
    <row r="262" spans="1:7" ht="14.25" hidden="1" customHeight="1" x14ac:dyDescent="0.35">
      <c r="A262" s="130" t="s">
        <v>213</v>
      </c>
      <c r="B262" s="131" t="s">
        <v>52</v>
      </c>
      <c r="C262" s="131">
        <v>23103</v>
      </c>
      <c r="D262" s="131"/>
      <c r="E262" s="131"/>
      <c r="F262" s="131"/>
      <c r="G262" s="131"/>
    </row>
    <row r="263" spans="1:7" ht="14.25" hidden="1" customHeight="1" x14ac:dyDescent="0.35">
      <c r="A263" s="132" t="s">
        <v>205</v>
      </c>
      <c r="B263" s="133" t="s">
        <v>50</v>
      </c>
      <c r="C263" s="133">
        <v>42026</v>
      </c>
      <c r="D263" s="133"/>
      <c r="E263" s="133"/>
      <c r="F263" s="133"/>
      <c r="G263" s="133"/>
    </row>
    <row r="264" spans="1:7" ht="14.25" customHeight="1" x14ac:dyDescent="0.35">
      <c r="A264" s="130" t="s">
        <v>201</v>
      </c>
      <c r="B264" s="131" t="s">
        <v>55</v>
      </c>
      <c r="C264" s="131">
        <v>37017</v>
      </c>
      <c r="D264" s="131">
        <v>2</v>
      </c>
      <c r="E264" s="131">
        <v>1</v>
      </c>
      <c r="F264" s="131">
        <v>3</v>
      </c>
      <c r="G264" s="131">
        <v>1</v>
      </c>
    </row>
    <row r="265" spans="1:7" ht="14.25" hidden="1" customHeight="1" x14ac:dyDescent="0.35">
      <c r="A265" s="132" t="s">
        <v>151</v>
      </c>
      <c r="B265" s="133" t="s">
        <v>48</v>
      </c>
      <c r="C265" s="133">
        <v>11050</v>
      </c>
      <c r="D265" s="133"/>
      <c r="E265" s="133"/>
      <c r="F265" s="133"/>
      <c r="G265" s="133"/>
    </row>
    <row r="266" spans="1:7" ht="14.25" hidden="1" customHeight="1" x14ac:dyDescent="0.35">
      <c r="A266" s="130" t="s">
        <v>142</v>
      </c>
      <c r="B266" s="131" t="s">
        <v>48</v>
      </c>
      <c r="C266" s="131">
        <v>12040</v>
      </c>
      <c r="D266" s="131"/>
      <c r="E266" s="131"/>
      <c r="F266" s="131"/>
      <c r="G266" s="131"/>
    </row>
    <row r="267" spans="1:7" ht="14.25" customHeight="1" x14ac:dyDescent="0.35">
      <c r="A267" s="132" t="s">
        <v>115</v>
      </c>
      <c r="B267" s="133" t="s">
        <v>55</v>
      </c>
      <c r="C267" s="133">
        <v>37018</v>
      </c>
      <c r="D267" s="133">
        <v>6</v>
      </c>
      <c r="E267" s="133">
        <v>2</v>
      </c>
      <c r="F267" s="133">
        <v>8</v>
      </c>
      <c r="G267" s="133">
        <v>3</v>
      </c>
    </row>
    <row r="268" spans="1:7" ht="14.25" hidden="1" customHeight="1" x14ac:dyDescent="0.35">
      <c r="A268" s="130" t="s">
        <v>210</v>
      </c>
      <c r="B268" s="131" t="s">
        <v>48</v>
      </c>
      <c r="C268" s="131">
        <v>11052</v>
      </c>
      <c r="D268" s="131"/>
      <c r="E268" s="131"/>
      <c r="F268" s="131"/>
      <c r="G268" s="131"/>
    </row>
    <row r="269" spans="1:7" ht="14.25" hidden="1" customHeight="1" x14ac:dyDescent="0.35">
      <c r="A269" s="132" t="s">
        <v>246</v>
      </c>
      <c r="B269" s="133" t="s">
        <v>50</v>
      </c>
      <c r="C269" s="133">
        <v>45061</v>
      </c>
      <c r="D269" s="133"/>
      <c r="E269" s="133"/>
      <c r="F269" s="133"/>
      <c r="G269" s="133"/>
    </row>
    <row r="270" spans="1:7" ht="14.25" hidden="1" customHeight="1" x14ac:dyDescent="0.35">
      <c r="A270" s="130" t="s">
        <v>290</v>
      </c>
      <c r="B270" s="131" t="s">
        <v>48</v>
      </c>
      <c r="C270" s="131">
        <v>11053</v>
      </c>
      <c r="D270" s="131"/>
      <c r="E270" s="131"/>
      <c r="F270" s="131"/>
      <c r="G270" s="131"/>
    </row>
    <row r="271" spans="1:7" ht="14.25" hidden="1" customHeight="1" x14ac:dyDescent="0.35">
      <c r="A271" s="132" t="s">
        <v>305</v>
      </c>
      <c r="B271" s="133" t="s">
        <v>48</v>
      </c>
      <c r="C271" s="133">
        <v>11054</v>
      </c>
      <c r="D271" s="133"/>
      <c r="E271" s="133"/>
      <c r="F271" s="133"/>
      <c r="G271" s="133"/>
    </row>
    <row r="272" spans="1:7" ht="14.25" hidden="1" customHeight="1" x14ac:dyDescent="0.35">
      <c r="A272" s="130" t="s">
        <v>105</v>
      </c>
      <c r="B272" s="131" t="s">
        <v>52</v>
      </c>
      <c r="C272" s="131">
        <v>23094</v>
      </c>
      <c r="D272" s="131"/>
      <c r="E272" s="131"/>
      <c r="F272" s="131"/>
      <c r="G272" s="131"/>
    </row>
    <row r="273" spans="1:7" ht="14.25" customHeight="1" x14ac:dyDescent="0.35">
      <c r="A273" s="132" t="s">
        <v>164</v>
      </c>
      <c r="B273" s="133" t="s">
        <v>55</v>
      </c>
      <c r="C273" s="133">
        <v>31040</v>
      </c>
      <c r="D273" s="133"/>
      <c r="E273" s="133"/>
      <c r="F273" s="133">
        <v>4</v>
      </c>
      <c r="G273" s="133">
        <v>4</v>
      </c>
    </row>
    <row r="274" spans="1:7" ht="14.25" hidden="1" customHeight="1" x14ac:dyDescent="0.35">
      <c r="A274" s="130" t="s">
        <v>228</v>
      </c>
      <c r="B274" s="131" t="s">
        <v>50</v>
      </c>
      <c r="C274" s="131">
        <v>42028</v>
      </c>
      <c r="D274" s="131"/>
      <c r="E274" s="131"/>
      <c r="F274" s="131"/>
      <c r="G274" s="131"/>
    </row>
    <row r="275" spans="1:7" ht="14.25" hidden="1" customHeight="1" x14ac:dyDescent="0.35">
      <c r="A275" s="132" t="s">
        <v>269</v>
      </c>
      <c r="B275" s="133" t="s">
        <v>50</v>
      </c>
      <c r="C275" s="133">
        <v>43018</v>
      </c>
      <c r="D275" s="133"/>
      <c r="E275" s="133"/>
      <c r="F275" s="133"/>
      <c r="G275" s="133"/>
    </row>
    <row r="276" spans="1:7" ht="14.25" hidden="1" customHeight="1" x14ac:dyDescent="0.35">
      <c r="A276" s="130" t="s">
        <v>119</v>
      </c>
      <c r="B276" s="131" t="s">
        <v>52</v>
      </c>
      <c r="C276" s="131">
        <v>23096</v>
      </c>
      <c r="D276" s="131"/>
      <c r="E276" s="131"/>
      <c r="F276" s="131"/>
      <c r="G276" s="131"/>
    </row>
    <row r="277" spans="1:7" ht="14.25" hidden="1" customHeight="1" x14ac:dyDescent="0.35">
      <c r="A277" s="132" t="s">
        <v>291</v>
      </c>
      <c r="B277" s="133" t="s">
        <v>48</v>
      </c>
      <c r="C277" s="133">
        <v>11055</v>
      </c>
      <c r="D277" s="133"/>
      <c r="E277" s="133"/>
      <c r="F277" s="133"/>
      <c r="G277" s="133"/>
    </row>
    <row r="278" spans="1:7" ht="13.5" hidden="1" customHeight="1" x14ac:dyDescent="0.35">
      <c r="A278" s="130" t="s">
        <v>289</v>
      </c>
      <c r="B278" s="131" t="s">
        <v>59</v>
      </c>
      <c r="C278" s="131">
        <v>71066</v>
      </c>
      <c r="D278" s="131"/>
      <c r="E278" s="131"/>
      <c r="F278" s="131"/>
      <c r="G278" s="131"/>
    </row>
    <row r="279" spans="1:7" ht="14.25" customHeight="1" x14ac:dyDescent="0.35">
      <c r="A279" s="132" t="s">
        <v>137</v>
      </c>
      <c r="B279" s="133" t="s">
        <v>55</v>
      </c>
      <c r="C279" s="133">
        <v>33037</v>
      </c>
      <c r="D279" s="133">
        <v>6</v>
      </c>
      <c r="E279" s="133">
        <v>1</v>
      </c>
      <c r="F279" s="133">
        <v>6</v>
      </c>
      <c r="G279" s="133">
        <v>1</v>
      </c>
    </row>
    <row r="280" spans="1:7" ht="14.25" hidden="1" customHeight="1" x14ac:dyDescent="0.35">
      <c r="A280" s="130" t="s">
        <v>120</v>
      </c>
      <c r="B280" s="131" t="s">
        <v>50</v>
      </c>
      <c r="C280" s="131">
        <v>41081</v>
      </c>
      <c r="D280" s="131"/>
      <c r="E280" s="131"/>
      <c r="F280" s="131"/>
      <c r="G280" s="131"/>
    </row>
    <row r="281" spans="1:7" ht="14.25" hidden="1" customHeight="1" x14ac:dyDescent="0.35">
      <c r="A281" s="132" t="s">
        <v>255</v>
      </c>
      <c r="B281" s="133" t="s">
        <v>52</v>
      </c>
      <c r="C281" s="133">
        <v>24130</v>
      </c>
      <c r="D281" s="133"/>
      <c r="E281" s="133"/>
      <c r="F281" s="133"/>
      <c r="G281" s="133"/>
    </row>
    <row r="282" spans="1:7" ht="14.25" customHeight="1" x14ac:dyDescent="0.35">
      <c r="A282" s="130" t="s">
        <v>316</v>
      </c>
      <c r="B282" s="131" t="s">
        <v>55</v>
      </c>
      <c r="C282" s="131">
        <v>31042</v>
      </c>
      <c r="D282" s="131"/>
      <c r="E282" s="131"/>
      <c r="F282" s="131"/>
      <c r="G282" s="131"/>
    </row>
    <row r="283" spans="1:7" ht="14.25" hidden="1" customHeight="1" x14ac:dyDescent="0.35">
      <c r="A283" s="132" t="s">
        <v>111</v>
      </c>
      <c r="B283" s="133" t="s">
        <v>50</v>
      </c>
      <c r="C283" s="133">
        <v>44081</v>
      </c>
      <c r="D283" s="133"/>
      <c r="E283" s="133"/>
      <c r="F283" s="133">
        <v>1</v>
      </c>
      <c r="G283" s="133">
        <v>0</v>
      </c>
    </row>
    <row r="284" spans="1:7" ht="14.25" hidden="1" customHeight="1" x14ac:dyDescent="0.35">
      <c r="A284" s="130" t="s">
        <v>321</v>
      </c>
      <c r="B284" s="131" t="s">
        <v>59</v>
      </c>
      <c r="C284" s="131">
        <v>71067</v>
      </c>
      <c r="D284" s="131"/>
      <c r="E284" s="131"/>
      <c r="F284" s="131"/>
      <c r="G284" s="131"/>
    </row>
    <row r="285" spans="1:7" ht="14.25" hidden="1" customHeight="1" x14ac:dyDescent="0.35">
      <c r="A285" s="132" t="s">
        <v>149</v>
      </c>
      <c r="B285" s="133" t="s">
        <v>50</v>
      </c>
      <c r="C285" s="133">
        <v>45065</v>
      </c>
      <c r="D285" s="133"/>
      <c r="E285" s="133"/>
      <c r="F285" s="133"/>
      <c r="G285" s="133"/>
    </row>
    <row r="286" spans="1:7" ht="14.25" customHeight="1" x14ac:dyDescent="0.35">
      <c r="A286" s="130" t="s">
        <v>186</v>
      </c>
      <c r="B286" s="131" t="s">
        <v>55</v>
      </c>
      <c r="C286" s="131">
        <v>34042</v>
      </c>
      <c r="D286" s="131"/>
      <c r="E286" s="131"/>
      <c r="F286" s="131"/>
      <c r="G286" s="131"/>
    </row>
    <row r="287" spans="1:7" ht="14.25" hidden="1" customHeight="1" x14ac:dyDescent="0.35">
      <c r="A287" s="132"/>
      <c r="B287" s="133"/>
      <c r="C287" s="133"/>
      <c r="D287" s="133">
        <f t="shared" ref="D287:G287" si="0">SUM(D2:D286)</f>
        <v>102</v>
      </c>
      <c r="E287" s="133">
        <f t="shared" si="0"/>
        <v>36</v>
      </c>
      <c r="F287" s="133">
        <f t="shared" si="0"/>
        <v>171</v>
      </c>
      <c r="G287" s="133">
        <f t="shared" si="0"/>
        <v>81</v>
      </c>
    </row>
    <row r="288" spans="1:7"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G287" xr:uid="{00000000-0009-0000-0000-000006000000}">
    <filterColumn colId="1">
      <filters>
        <filter val="West-Vlaanderen"/>
      </filters>
    </filterColumn>
  </autoFilter>
  <dataValidations count="2">
    <dataValidation type="custom" allowBlank="1" showDropDown="1" sqref="C2:C286" xr:uid="{00000000-0002-0000-0600-000000000000}">
      <formula1>AND(ISNUMBER(C2),(NOT(OR(NOT(ISERROR(DATEVALUE(C2))), AND(ISNUMBER(C2), LEFT(CELL("format", C2))="D")))))</formula1>
    </dataValidation>
    <dataValidation type="list" allowBlank="1" showDropDown="1" showErrorMessage="1" sqref="B2:B286" xr:uid="{00000000-0002-0000-0600-000001000000}">
      <formula1>"Oost-Vlaanderen,Vlaams-Brabant,Antwerpen,Limburg,West-Vlaanderen"</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20.26953125" customWidth="1"/>
    <col min="2" max="2" width="15.81640625" customWidth="1"/>
    <col min="3" max="3" width="10.7265625" customWidth="1"/>
    <col min="4" max="9" width="8.7265625" customWidth="1"/>
  </cols>
  <sheetData>
    <row r="1" spans="1:9" ht="46.5" customHeight="1" x14ac:dyDescent="0.35">
      <c r="A1" s="128" t="s">
        <v>0</v>
      </c>
      <c r="B1" s="129" t="s">
        <v>1</v>
      </c>
      <c r="C1" s="128" t="s">
        <v>2</v>
      </c>
      <c r="D1" s="128" t="s">
        <v>35</v>
      </c>
      <c r="E1" s="128" t="s">
        <v>36</v>
      </c>
      <c r="F1" s="128" t="s">
        <v>41</v>
      </c>
      <c r="G1" s="128" t="s">
        <v>42</v>
      </c>
      <c r="H1" s="20"/>
      <c r="I1" s="20"/>
    </row>
    <row r="2" spans="1:9" ht="14.25" customHeight="1" x14ac:dyDescent="0.35">
      <c r="A2" s="130" t="s">
        <v>65</v>
      </c>
      <c r="B2" s="131" t="s">
        <v>50</v>
      </c>
      <c r="C2" s="131">
        <v>41002</v>
      </c>
      <c r="D2" s="131"/>
      <c r="E2" s="131"/>
      <c r="F2" s="131"/>
      <c r="G2" s="131"/>
      <c r="H2" s="20"/>
      <c r="I2" s="20"/>
    </row>
    <row r="3" spans="1:9" ht="14.25" customHeight="1" x14ac:dyDescent="0.35">
      <c r="A3" s="132" t="s">
        <v>231</v>
      </c>
      <c r="B3" s="133" t="s">
        <v>50</v>
      </c>
      <c r="C3" s="133">
        <v>44084</v>
      </c>
      <c r="D3" s="133"/>
      <c r="E3" s="133"/>
      <c r="F3" s="133"/>
      <c r="G3" s="133"/>
      <c r="H3" s="20"/>
      <c r="I3" s="20"/>
    </row>
    <row r="4" spans="1:9" ht="14.25" customHeight="1" x14ac:dyDescent="0.35">
      <c r="A4" s="130" t="s">
        <v>84</v>
      </c>
      <c r="B4" s="131" t="s">
        <v>52</v>
      </c>
      <c r="C4" s="131">
        <v>24001</v>
      </c>
      <c r="D4" s="131"/>
      <c r="E4" s="131"/>
      <c r="F4" s="131"/>
      <c r="G4" s="131"/>
      <c r="H4" s="20"/>
      <c r="I4" s="20"/>
    </row>
    <row r="5" spans="1:9" ht="14.25" customHeight="1" x14ac:dyDescent="0.35">
      <c r="A5" s="132" t="s">
        <v>335</v>
      </c>
      <c r="B5" s="133" t="s">
        <v>48</v>
      </c>
      <c r="C5" s="133">
        <v>11001</v>
      </c>
      <c r="D5" s="133"/>
      <c r="E5" s="133"/>
      <c r="F5" s="133"/>
      <c r="G5" s="133"/>
      <c r="H5" s="20"/>
      <c r="I5" s="20"/>
    </row>
    <row r="6" spans="1:9" ht="14.25" customHeight="1" x14ac:dyDescent="0.35">
      <c r="A6" s="130" t="s">
        <v>306</v>
      </c>
      <c r="B6" s="131" t="s">
        <v>52</v>
      </c>
      <c r="C6" s="131">
        <v>23105</v>
      </c>
      <c r="D6" s="131"/>
      <c r="E6" s="131"/>
      <c r="F6" s="131"/>
      <c r="G6" s="131"/>
      <c r="H6" s="20"/>
      <c r="I6" s="20"/>
    </row>
    <row r="7" spans="1:9" ht="14.25" customHeight="1" x14ac:dyDescent="0.35">
      <c r="A7" s="132" t="s">
        <v>279</v>
      </c>
      <c r="B7" s="133" t="s">
        <v>59</v>
      </c>
      <c r="C7" s="133">
        <v>73001</v>
      </c>
      <c r="D7" s="133"/>
      <c r="E7" s="133"/>
      <c r="F7" s="133"/>
      <c r="G7" s="133"/>
      <c r="H7" s="20"/>
      <c r="I7" s="20"/>
    </row>
    <row r="8" spans="1:9" ht="14.25" customHeight="1" x14ac:dyDescent="0.35">
      <c r="A8" s="130" t="s">
        <v>242</v>
      </c>
      <c r="B8" s="131" t="s">
        <v>55</v>
      </c>
      <c r="C8" s="131">
        <v>38002</v>
      </c>
      <c r="D8" s="131"/>
      <c r="E8" s="131"/>
      <c r="F8" s="131"/>
      <c r="G8" s="131"/>
      <c r="H8" s="20"/>
      <c r="I8" s="20"/>
    </row>
    <row r="9" spans="1:9" ht="14.25" customHeight="1" x14ac:dyDescent="0.35">
      <c r="A9" s="132" t="s">
        <v>48</v>
      </c>
      <c r="B9" s="133" t="s">
        <v>48</v>
      </c>
      <c r="C9" s="133">
        <v>11002</v>
      </c>
      <c r="D9" s="133"/>
      <c r="E9" s="133"/>
      <c r="F9" s="133"/>
      <c r="G9" s="133"/>
      <c r="H9" s="20"/>
      <c r="I9" s="20"/>
    </row>
    <row r="10" spans="1:9" ht="14.25" customHeight="1" x14ac:dyDescent="0.35">
      <c r="A10" s="130" t="s">
        <v>276</v>
      </c>
      <c r="B10" s="131" t="s">
        <v>55</v>
      </c>
      <c r="C10" s="131">
        <v>34002</v>
      </c>
      <c r="D10" s="131"/>
      <c r="E10" s="131"/>
      <c r="F10" s="131"/>
      <c r="G10" s="131"/>
      <c r="H10" s="20"/>
      <c r="I10" s="20"/>
    </row>
    <row r="11" spans="1:9" ht="14.25" customHeight="1" x14ac:dyDescent="0.35">
      <c r="A11" s="132" t="s">
        <v>199</v>
      </c>
      <c r="B11" s="133" t="s">
        <v>55</v>
      </c>
      <c r="C11" s="133">
        <v>37020</v>
      </c>
      <c r="D11" s="133"/>
      <c r="E11" s="133"/>
      <c r="F11" s="133"/>
      <c r="G11" s="133"/>
      <c r="H11" s="20"/>
      <c r="I11" s="20"/>
    </row>
    <row r="12" spans="1:9" ht="14.25" customHeight="1" x14ac:dyDescent="0.35">
      <c r="A12" s="130" t="s">
        <v>304</v>
      </c>
      <c r="B12" s="131" t="s">
        <v>48</v>
      </c>
      <c r="C12" s="131">
        <v>13001</v>
      </c>
      <c r="D12" s="131"/>
      <c r="E12" s="131"/>
      <c r="F12" s="131"/>
      <c r="G12" s="131"/>
      <c r="H12" s="20"/>
      <c r="I12" s="20"/>
    </row>
    <row r="13" spans="1:9" ht="14.25" customHeight="1" x14ac:dyDescent="0.35">
      <c r="A13" s="132" t="s">
        <v>307</v>
      </c>
      <c r="B13" s="133" t="s">
        <v>59</v>
      </c>
      <c r="C13" s="133">
        <v>71002</v>
      </c>
      <c r="D13" s="133"/>
      <c r="E13" s="133"/>
      <c r="F13" s="133"/>
      <c r="G13" s="133"/>
      <c r="H13" s="20"/>
      <c r="I13" s="20"/>
    </row>
    <row r="14" spans="1:9" ht="14.25" customHeight="1" x14ac:dyDescent="0.35">
      <c r="A14" s="130" t="s">
        <v>131</v>
      </c>
      <c r="B14" s="131" t="s">
        <v>52</v>
      </c>
      <c r="C14" s="131">
        <v>23002</v>
      </c>
      <c r="D14" s="131"/>
      <c r="E14" s="131"/>
      <c r="F14" s="131"/>
      <c r="G14" s="131"/>
      <c r="H14" s="20"/>
      <c r="I14" s="20"/>
    </row>
    <row r="15" spans="1:9" ht="14.25" customHeight="1" x14ac:dyDescent="0.35">
      <c r="A15" s="132" t="s">
        <v>177</v>
      </c>
      <c r="B15" s="133" t="s">
        <v>50</v>
      </c>
      <c r="C15" s="133">
        <v>43002</v>
      </c>
      <c r="D15" s="133"/>
      <c r="E15" s="133"/>
      <c r="F15" s="133"/>
      <c r="G15" s="133"/>
      <c r="H15" s="20"/>
      <c r="I15" s="20"/>
    </row>
    <row r="16" spans="1:9" ht="14.25" customHeight="1" x14ac:dyDescent="0.35">
      <c r="A16" s="130" t="s">
        <v>260</v>
      </c>
      <c r="B16" s="131" t="s">
        <v>55</v>
      </c>
      <c r="C16" s="131">
        <v>34003</v>
      </c>
      <c r="D16" s="131"/>
      <c r="E16" s="131"/>
      <c r="F16" s="131"/>
      <c r="G16" s="131"/>
      <c r="H16" s="20"/>
      <c r="I16" s="20"/>
    </row>
    <row r="17" spans="1:9" ht="14.25" customHeight="1" x14ac:dyDescent="0.35">
      <c r="A17" s="132" t="s">
        <v>317</v>
      </c>
      <c r="B17" s="133" t="s">
        <v>48</v>
      </c>
      <c r="C17" s="133">
        <v>13002</v>
      </c>
      <c r="D17" s="133"/>
      <c r="E17" s="133"/>
      <c r="F17" s="133"/>
      <c r="G17" s="133"/>
      <c r="H17" s="20"/>
      <c r="I17" s="20"/>
    </row>
    <row r="18" spans="1:9" ht="14.25" customHeight="1" x14ac:dyDescent="0.35">
      <c r="A18" s="130" t="s">
        <v>125</v>
      </c>
      <c r="B18" s="131" t="s">
        <v>48</v>
      </c>
      <c r="C18" s="131">
        <v>13003</v>
      </c>
      <c r="D18" s="131"/>
      <c r="E18" s="131"/>
      <c r="F18" s="131"/>
      <c r="G18" s="131"/>
      <c r="H18" s="20"/>
      <c r="I18" s="20"/>
    </row>
    <row r="19" spans="1:9" ht="14.25" customHeight="1" x14ac:dyDescent="0.35">
      <c r="A19" s="132" t="s">
        <v>112</v>
      </c>
      <c r="B19" s="133" t="s">
        <v>55</v>
      </c>
      <c r="C19" s="133">
        <v>31003</v>
      </c>
      <c r="D19" s="133">
        <v>2</v>
      </c>
      <c r="E19" s="133">
        <v>2</v>
      </c>
      <c r="F19" s="133">
        <v>2</v>
      </c>
      <c r="G19" s="133">
        <v>2</v>
      </c>
      <c r="H19" s="20"/>
      <c r="I19" s="20"/>
    </row>
    <row r="20" spans="1:9" ht="14.25" customHeight="1" x14ac:dyDescent="0.35">
      <c r="A20" s="130" t="s">
        <v>221</v>
      </c>
      <c r="B20" s="131" t="s">
        <v>48</v>
      </c>
      <c r="C20" s="131">
        <v>13004</v>
      </c>
      <c r="D20" s="131"/>
      <c r="E20" s="131"/>
      <c r="F20" s="131"/>
      <c r="G20" s="131"/>
      <c r="H20" s="20"/>
      <c r="I20" s="20"/>
    </row>
    <row r="21" spans="1:9" ht="14.25" customHeight="1" x14ac:dyDescent="0.35">
      <c r="A21" s="132" t="s">
        <v>128</v>
      </c>
      <c r="B21" s="133" t="s">
        <v>52</v>
      </c>
      <c r="C21" s="133">
        <v>23003</v>
      </c>
      <c r="D21" s="133"/>
      <c r="E21" s="133"/>
      <c r="F21" s="133"/>
      <c r="G21" s="133"/>
      <c r="H21" s="20"/>
      <c r="I21" s="20"/>
    </row>
    <row r="22" spans="1:9" ht="14.25" customHeight="1" x14ac:dyDescent="0.35">
      <c r="A22" s="130" t="s">
        <v>327</v>
      </c>
      <c r="B22" s="131" t="s">
        <v>52</v>
      </c>
      <c r="C22" s="131">
        <v>24007</v>
      </c>
      <c r="D22" s="131"/>
      <c r="E22" s="131"/>
      <c r="F22" s="131"/>
      <c r="G22" s="131"/>
      <c r="H22" s="20"/>
      <c r="I22" s="20"/>
    </row>
    <row r="23" spans="1:9" ht="14.25" customHeight="1" x14ac:dyDescent="0.35">
      <c r="A23" s="132" t="s">
        <v>249</v>
      </c>
      <c r="B23" s="133" t="s">
        <v>52</v>
      </c>
      <c r="C23" s="133">
        <v>24008</v>
      </c>
      <c r="D23" s="133"/>
      <c r="E23" s="133"/>
      <c r="F23" s="133"/>
      <c r="G23" s="133"/>
      <c r="H23" s="20"/>
      <c r="I23" s="20"/>
    </row>
    <row r="24" spans="1:9" ht="14.25" customHeight="1" x14ac:dyDescent="0.35">
      <c r="A24" s="130" t="s">
        <v>235</v>
      </c>
      <c r="B24" s="131" t="s">
        <v>59</v>
      </c>
      <c r="C24" s="131">
        <v>71004</v>
      </c>
      <c r="D24" s="131"/>
      <c r="E24" s="131"/>
      <c r="F24" s="131"/>
      <c r="G24" s="131"/>
      <c r="H24" s="20"/>
      <c r="I24" s="20"/>
    </row>
    <row r="25" spans="1:9" ht="14.25" customHeight="1" x14ac:dyDescent="0.35">
      <c r="A25" s="132" t="s">
        <v>136</v>
      </c>
      <c r="B25" s="133" t="s">
        <v>48</v>
      </c>
      <c r="C25" s="133">
        <v>12002</v>
      </c>
      <c r="D25" s="133"/>
      <c r="E25" s="133"/>
      <c r="F25" s="133"/>
      <c r="G25" s="133"/>
      <c r="H25" s="20"/>
      <c r="I25" s="20"/>
    </row>
    <row r="26" spans="1:9" ht="14.25" customHeight="1" x14ac:dyDescent="0.35">
      <c r="A26" s="130" t="s">
        <v>216</v>
      </c>
      <c r="B26" s="131" t="s">
        <v>50</v>
      </c>
      <c r="C26" s="131">
        <v>42003</v>
      </c>
      <c r="D26" s="131"/>
      <c r="E26" s="131"/>
      <c r="F26" s="131"/>
      <c r="G26" s="131"/>
      <c r="H26" s="20"/>
      <c r="I26" s="20"/>
    </row>
    <row r="27" spans="1:9" ht="14.25" customHeight="1" x14ac:dyDescent="0.35">
      <c r="A27" s="132" t="s">
        <v>259</v>
      </c>
      <c r="B27" s="133" t="s">
        <v>52</v>
      </c>
      <c r="C27" s="133">
        <v>24009</v>
      </c>
      <c r="D27" s="133"/>
      <c r="E27" s="133"/>
      <c r="F27" s="133"/>
      <c r="G27" s="133"/>
      <c r="H27" s="20"/>
      <c r="I27" s="20"/>
    </row>
    <row r="28" spans="1:9" ht="14.25" customHeight="1" x14ac:dyDescent="0.35">
      <c r="A28" s="130" t="s">
        <v>315</v>
      </c>
      <c r="B28" s="131" t="s">
        <v>52</v>
      </c>
      <c r="C28" s="131">
        <v>23009</v>
      </c>
      <c r="D28" s="131"/>
      <c r="E28" s="131"/>
      <c r="F28" s="131"/>
      <c r="G28" s="131"/>
      <c r="H28" s="20"/>
      <c r="I28" s="20"/>
    </row>
    <row r="29" spans="1:9" ht="14.25" customHeight="1" x14ac:dyDescent="0.35">
      <c r="A29" s="132" t="s">
        <v>67</v>
      </c>
      <c r="B29" s="133" t="s">
        <v>50</v>
      </c>
      <c r="C29" s="133">
        <v>46003</v>
      </c>
      <c r="D29" s="133"/>
      <c r="E29" s="133"/>
      <c r="F29" s="133"/>
      <c r="G29" s="133"/>
      <c r="H29" s="20"/>
      <c r="I29" s="20"/>
    </row>
    <row r="30" spans="1:9" ht="14.25" customHeight="1" x14ac:dyDescent="0.35">
      <c r="A30" s="130" t="s">
        <v>109</v>
      </c>
      <c r="B30" s="131" t="s">
        <v>52</v>
      </c>
      <c r="C30" s="131">
        <v>24011</v>
      </c>
      <c r="D30" s="131"/>
      <c r="E30" s="131"/>
      <c r="F30" s="131"/>
      <c r="G30" s="131"/>
      <c r="H30" s="20"/>
      <c r="I30" s="20"/>
    </row>
    <row r="31" spans="1:9" ht="14.25" customHeight="1" x14ac:dyDescent="0.35">
      <c r="A31" s="132" t="s">
        <v>237</v>
      </c>
      <c r="B31" s="133" t="s">
        <v>59</v>
      </c>
      <c r="C31" s="133">
        <v>73006</v>
      </c>
      <c r="D31" s="133"/>
      <c r="E31" s="133"/>
      <c r="F31" s="133"/>
      <c r="G31" s="133"/>
      <c r="H31" s="20"/>
      <c r="I31" s="20"/>
    </row>
    <row r="32" spans="1:9" ht="14.25" customHeight="1" x14ac:dyDescent="0.35">
      <c r="A32" s="130" t="s">
        <v>99</v>
      </c>
      <c r="B32" s="131" t="s">
        <v>55</v>
      </c>
      <c r="C32" s="131">
        <v>31004</v>
      </c>
      <c r="D32" s="131">
        <v>3</v>
      </c>
      <c r="E32" s="131">
        <v>3</v>
      </c>
      <c r="F32" s="131">
        <v>3</v>
      </c>
      <c r="G32" s="131">
        <v>3</v>
      </c>
      <c r="H32" s="20"/>
      <c r="I32" s="20"/>
    </row>
    <row r="33" spans="1:9" ht="14.25" customHeight="1" x14ac:dyDescent="0.35">
      <c r="A33" s="132" t="s">
        <v>329</v>
      </c>
      <c r="B33" s="133" t="s">
        <v>59</v>
      </c>
      <c r="C33" s="133">
        <v>72003</v>
      </c>
      <c r="D33" s="133"/>
      <c r="E33" s="133"/>
      <c r="F33" s="133"/>
      <c r="G33" s="133"/>
      <c r="H33" s="20"/>
      <c r="I33" s="20"/>
    </row>
    <row r="34" spans="1:9" ht="14.25" customHeight="1" x14ac:dyDescent="0.35">
      <c r="A34" s="130" t="s">
        <v>271</v>
      </c>
      <c r="B34" s="131" t="s">
        <v>48</v>
      </c>
      <c r="C34" s="131">
        <v>11004</v>
      </c>
      <c r="D34" s="131">
        <v>2</v>
      </c>
      <c r="E34" s="131">
        <v>2</v>
      </c>
      <c r="F34" s="131"/>
      <c r="G34" s="131"/>
      <c r="H34" s="20"/>
      <c r="I34" s="20"/>
    </row>
    <row r="35" spans="1:9" ht="14.25" customHeight="1" x14ac:dyDescent="0.35">
      <c r="A35" s="132" t="s">
        <v>97</v>
      </c>
      <c r="B35" s="133" t="s">
        <v>48</v>
      </c>
      <c r="C35" s="133">
        <v>12005</v>
      </c>
      <c r="D35" s="133"/>
      <c r="E35" s="133"/>
      <c r="F35" s="133"/>
      <c r="G35" s="133"/>
      <c r="H35" s="20"/>
      <c r="I35" s="20"/>
    </row>
    <row r="36" spans="1:9" ht="14.25" customHeight="1" x14ac:dyDescent="0.35">
      <c r="A36" s="130" t="s">
        <v>224</v>
      </c>
      <c r="B36" s="131" t="s">
        <v>48</v>
      </c>
      <c r="C36" s="131">
        <v>11005</v>
      </c>
      <c r="D36" s="131"/>
      <c r="E36" s="131"/>
      <c r="F36" s="131"/>
      <c r="G36" s="131"/>
      <c r="H36" s="20"/>
      <c r="I36" s="20"/>
    </row>
    <row r="37" spans="1:9" ht="14.25" customHeight="1" x14ac:dyDescent="0.35">
      <c r="A37" s="132" t="s">
        <v>157</v>
      </c>
      <c r="B37" s="133" t="s">
        <v>52</v>
      </c>
      <c r="C37" s="133">
        <v>24014</v>
      </c>
      <c r="D37" s="133"/>
      <c r="E37" s="133"/>
      <c r="F37" s="133"/>
      <c r="G37" s="133"/>
      <c r="H37" s="20"/>
      <c r="I37" s="20"/>
    </row>
    <row r="38" spans="1:9" ht="14.25" customHeight="1" x14ac:dyDescent="0.35">
      <c r="A38" s="130" t="s">
        <v>184</v>
      </c>
      <c r="B38" s="131" t="s">
        <v>48</v>
      </c>
      <c r="C38" s="131">
        <v>12007</v>
      </c>
      <c r="D38" s="131"/>
      <c r="E38" s="131"/>
      <c r="F38" s="131"/>
      <c r="G38" s="131"/>
      <c r="H38" s="20"/>
      <c r="I38" s="20"/>
    </row>
    <row r="39" spans="1:9" ht="14.25" customHeight="1" x14ac:dyDescent="0.35">
      <c r="A39" s="132" t="s">
        <v>170</v>
      </c>
      <c r="B39" s="133" t="s">
        <v>52</v>
      </c>
      <c r="C39" s="133">
        <v>24016</v>
      </c>
      <c r="D39" s="133"/>
      <c r="E39" s="133"/>
      <c r="F39" s="133"/>
      <c r="G39" s="133"/>
      <c r="H39" s="20"/>
      <c r="I39" s="20"/>
    </row>
    <row r="40" spans="1:9" ht="14.25" customHeight="1" x14ac:dyDescent="0.35">
      <c r="A40" s="130" t="s">
        <v>275</v>
      </c>
      <c r="B40" s="131" t="s">
        <v>50</v>
      </c>
      <c r="C40" s="131">
        <v>45059</v>
      </c>
      <c r="D40" s="131"/>
      <c r="E40" s="131"/>
      <c r="F40" s="131"/>
      <c r="G40" s="131"/>
      <c r="H40" s="20"/>
      <c r="I40" s="20"/>
    </row>
    <row r="41" spans="1:9" ht="14.25" customHeight="1" x14ac:dyDescent="0.35">
      <c r="A41" s="132" t="s">
        <v>106</v>
      </c>
      <c r="B41" s="133" t="s">
        <v>48</v>
      </c>
      <c r="C41" s="133">
        <v>11008</v>
      </c>
      <c r="D41" s="133">
        <v>8</v>
      </c>
      <c r="E41" s="133">
        <v>8</v>
      </c>
      <c r="F41" s="133">
        <v>8</v>
      </c>
      <c r="G41" s="133">
        <v>8</v>
      </c>
      <c r="H41" s="20"/>
      <c r="I41" s="20"/>
    </row>
    <row r="42" spans="1:9" ht="14.25" customHeight="1" x14ac:dyDescent="0.35">
      <c r="A42" s="130" t="s">
        <v>294</v>
      </c>
      <c r="B42" s="131" t="s">
        <v>48</v>
      </c>
      <c r="C42" s="131">
        <v>11009</v>
      </c>
      <c r="D42" s="131"/>
      <c r="E42" s="131"/>
      <c r="F42" s="131"/>
      <c r="G42" s="131"/>
      <c r="H42" s="20"/>
      <c r="I42" s="20"/>
    </row>
    <row r="43" spans="1:9" ht="14.25" customHeight="1" x14ac:dyDescent="0.35">
      <c r="A43" s="132" t="s">
        <v>219</v>
      </c>
      <c r="B43" s="133" t="s">
        <v>55</v>
      </c>
      <c r="C43" s="133">
        <v>35002</v>
      </c>
      <c r="D43" s="133"/>
      <c r="E43" s="133"/>
      <c r="F43" s="133"/>
      <c r="G43" s="133"/>
      <c r="H43" s="20"/>
      <c r="I43" s="20"/>
    </row>
    <row r="44" spans="1:9" ht="14.25" customHeight="1" x14ac:dyDescent="0.35">
      <c r="A44" s="130" t="s">
        <v>227</v>
      </c>
      <c r="B44" s="131" t="s">
        <v>59</v>
      </c>
      <c r="C44" s="131">
        <v>72004</v>
      </c>
      <c r="D44" s="131"/>
      <c r="E44" s="131"/>
      <c r="F44" s="131"/>
      <c r="G44" s="131"/>
      <c r="H44" s="20"/>
      <c r="I44" s="20"/>
    </row>
    <row r="45" spans="1:9" ht="14.25" customHeight="1" x14ac:dyDescent="0.35">
      <c r="A45" s="132" t="s">
        <v>54</v>
      </c>
      <c r="B45" s="133" t="s">
        <v>55</v>
      </c>
      <c r="C45" s="133">
        <v>31005</v>
      </c>
      <c r="D45" s="133">
        <v>27</v>
      </c>
      <c r="E45" s="133">
        <v>27</v>
      </c>
      <c r="F45" s="133">
        <v>29</v>
      </c>
      <c r="G45" s="133">
        <v>29</v>
      </c>
      <c r="H45" s="20"/>
      <c r="I45" s="20"/>
    </row>
    <row r="46" spans="1:9" ht="14.25" customHeight="1" x14ac:dyDescent="0.35">
      <c r="A46" s="130" t="s">
        <v>274</v>
      </c>
      <c r="B46" s="131" t="s">
        <v>50</v>
      </c>
      <c r="C46" s="131">
        <v>42004</v>
      </c>
      <c r="D46" s="131"/>
      <c r="E46" s="131"/>
      <c r="F46" s="131"/>
      <c r="G46" s="131"/>
      <c r="H46" s="20"/>
      <c r="I46" s="20"/>
    </row>
    <row r="47" spans="1:9" ht="14.25" customHeight="1" x14ac:dyDescent="0.35">
      <c r="A47" s="132" t="s">
        <v>96</v>
      </c>
      <c r="B47" s="133" t="s">
        <v>55</v>
      </c>
      <c r="C47" s="133">
        <v>31006</v>
      </c>
      <c r="D47" s="133">
        <v>7</v>
      </c>
      <c r="E47" s="133">
        <v>7</v>
      </c>
      <c r="F47" s="133">
        <v>7</v>
      </c>
      <c r="G47" s="133">
        <v>7</v>
      </c>
      <c r="H47" s="20"/>
      <c r="I47" s="20"/>
    </row>
    <row r="48" spans="1:9" ht="14.25" customHeight="1" x14ac:dyDescent="0.35">
      <c r="A48" s="130" t="s">
        <v>268</v>
      </c>
      <c r="B48" s="131" t="s">
        <v>55</v>
      </c>
      <c r="C48" s="131">
        <v>35029</v>
      </c>
      <c r="D48" s="131"/>
      <c r="E48" s="131"/>
      <c r="F48" s="131"/>
      <c r="G48" s="131"/>
      <c r="H48" s="20"/>
      <c r="I48" s="20"/>
    </row>
    <row r="49" spans="1:9" ht="14.25" customHeight="1" x14ac:dyDescent="0.35">
      <c r="A49" s="132" t="s">
        <v>135</v>
      </c>
      <c r="B49" s="133" t="s">
        <v>55</v>
      </c>
      <c r="C49" s="133">
        <v>38008</v>
      </c>
      <c r="D49" s="133"/>
      <c r="E49" s="133"/>
      <c r="F49" s="133"/>
      <c r="G49" s="133"/>
      <c r="H49" s="20"/>
      <c r="I49" s="20"/>
    </row>
    <row r="50" spans="1:9" ht="14.25" customHeight="1" x14ac:dyDescent="0.35">
      <c r="A50" s="130" t="s">
        <v>156</v>
      </c>
      <c r="B50" s="131" t="s">
        <v>55</v>
      </c>
      <c r="C50" s="131">
        <v>34009</v>
      </c>
      <c r="D50" s="131"/>
      <c r="E50" s="131"/>
      <c r="F50" s="131"/>
      <c r="G50" s="131"/>
      <c r="H50" s="20"/>
      <c r="I50" s="20"/>
    </row>
    <row r="51" spans="1:9" ht="14.25" customHeight="1" x14ac:dyDescent="0.35">
      <c r="A51" s="132" t="s">
        <v>62</v>
      </c>
      <c r="B51" s="133" t="s">
        <v>50</v>
      </c>
      <c r="C51" s="133">
        <v>44083</v>
      </c>
      <c r="D51" s="133"/>
      <c r="E51" s="133"/>
      <c r="F51" s="133"/>
      <c r="G51" s="133"/>
      <c r="H51" s="20"/>
      <c r="I51" s="20"/>
    </row>
    <row r="52" spans="1:9" ht="14.25" customHeight="1" x14ac:dyDescent="0.35">
      <c r="A52" s="130" t="s">
        <v>182</v>
      </c>
      <c r="B52" s="131" t="s">
        <v>50</v>
      </c>
      <c r="C52" s="131">
        <v>41011</v>
      </c>
      <c r="D52" s="131"/>
      <c r="E52" s="131"/>
      <c r="F52" s="131"/>
      <c r="G52" s="131"/>
      <c r="H52" s="20"/>
      <c r="I52" s="20"/>
    </row>
    <row r="53" spans="1:9" ht="14.25" customHeight="1" x14ac:dyDescent="0.35">
      <c r="A53" s="132" t="s">
        <v>80</v>
      </c>
      <c r="B53" s="133" t="s">
        <v>50</v>
      </c>
      <c r="C53" s="133">
        <v>42006</v>
      </c>
      <c r="D53" s="133"/>
      <c r="E53" s="133"/>
      <c r="F53" s="133"/>
      <c r="G53" s="133"/>
      <c r="H53" s="20"/>
      <c r="I53" s="20"/>
    </row>
    <row r="54" spans="1:9" ht="14.25" customHeight="1" x14ac:dyDescent="0.35">
      <c r="A54" s="130" t="s">
        <v>168</v>
      </c>
      <c r="B54" s="131" t="s">
        <v>55</v>
      </c>
      <c r="C54" s="131">
        <v>37002</v>
      </c>
      <c r="D54" s="131"/>
      <c r="E54" s="131"/>
      <c r="F54" s="131"/>
      <c r="G54" s="131"/>
      <c r="H54" s="20"/>
      <c r="I54" s="20"/>
    </row>
    <row r="55" spans="1:9" ht="14.25" customHeight="1" x14ac:dyDescent="0.35">
      <c r="A55" s="132" t="s">
        <v>301</v>
      </c>
      <c r="B55" s="133" t="s">
        <v>48</v>
      </c>
      <c r="C55" s="133">
        <v>13006</v>
      </c>
      <c r="D55" s="133"/>
      <c r="E55" s="133"/>
      <c r="F55" s="133"/>
      <c r="G55" s="133"/>
      <c r="H55" s="20"/>
      <c r="I55" s="20"/>
    </row>
    <row r="56" spans="1:9" ht="14.25" customHeight="1" x14ac:dyDescent="0.35">
      <c r="A56" s="130" t="s">
        <v>71</v>
      </c>
      <c r="B56" s="131" t="s">
        <v>50</v>
      </c>
      <c r="C56" s="131">
        <v>44013</v>
      </c>
      <c r="D56" s="131"/>
      <c r="E56" s="131"/>
      <c r="F56" s="131"/>
      <c r="G56" s="131"/>
      <c r="H56" s="20"/>
      <c r="I56" s="20"/>
    </row>
    <row r="57" spans="1:9" ht="14.25" customHeight="1" x14ac:dyDescent="0.35">
      <c r="A57" s="132" t="s">
        <v>309</v>
      </c>
      <c r="B57" s="133" t="s">
        <v>59</v>
      </c>
      <c r="C57" s="133">
        <v>71011</v>
      </c>
      <c r="D57" s="133"/>
      <c r="E57" s="133"/>
      <c r="F57" s="133"/>
      <c r="G57" s="133"/>
      <c r="H57" s="20"/>
      <c r="I57" s="20"/>
    </row>
    <row r="58" spans="1:9" ht="14.25" customHeight="1" x14ac:dyDescent="0.35">
      <c r="A58" s="130" t="s">
        <v>88</v>
      </c>
      <c r="B58" s="131" t="s">
        <v>52</v>
      </c>
      <c r="C58" s="131">
        <v>24020</v>
      </c>
      <c r="D58" s="131"/>
      <c r="E58" s="131"/>
      <c r="F58" s="131"/>
      <c r="G58" s="131"/>
      <c r="H58" s="20"/>
      <c r="I58" s="20"/>
    </row>
    <row r="59" spans="1:9" ht="14.25" customHeight="1" x14ac:dyDescent="0.35">
      <c r="A59" s="132" t="s">
        <v>280</v>
      </c>
      <c r="B59" s="133" t="s">
        <v>55</v>
      </c>
      <c r="C59" s="133">
        <v>32003</v>
      </c>
      <c r="D59" s="133"/>
      <c r="E59" s="133"/>
      <c r="F59" s="133"/>
      <c r="G59" s="133"/>
      <c r="H59" s="20"/>
      <c r="I59" s="20"/>
    </row>
    <row r="60" spans="1:9" ht="14.25" customHeight="1" x14ac:dyDescent="0.35">
      <c r="A60" s="130" t="s">
        <v>85</v>
      </c>
      <c r="B60" s="131" t="s">
        <v>52</v>
      </c>
      <c r="C60" s="131">
        <v>23016</v>
      </c>
      <c r="D60" s="131"/>
      <c r="E60" s="131"/>
      <c r="F60" s="131"/>
      <c r="G60" s="131"/>
      <c r="H60" s="20"/>
      <c r="I60" s="20"/>
    </row>
    <row r="61" spans="1:9" ht="14.25" customHeight="1" x14ac:dyDescent="0.35">
      <c r="A61" s="132" t="s">
        <v>333</v>
      </c>
      <c r="B61" s="133" t="s">
        <v>59</v>
      </c>
      <c r="C61" s="133">
        <v>72041</v>
      </c>
      <c r="D61" s="133"/>
      <c r="E61" s="133"/>
      <c r="F61" s="133"/>
      <c r="G61" s="133"/>
      <c r="H61" s="20"/>
      <c r="I61" s="20"/>
    </row>
    <row r="62" spans="1:9" ht="14.25" customHeight="1" x14ac:dyDescent="0.35">
      <c r="A62" s="130" t="s">
        <v>298</v>
      </c>
      <c r="B62" s="131" t="s">
        <v>52</v>
      </c>
      <c r="C62" s="131">
        <v>23098</v>
      </c>
      <c r="D62" s="131"/>
      <c r="E62" s="131"/>
      <c r="F62" s="131"/>
      <c r="G62" s="131"/>
      <c r="H62" s="20"/>
      <c r="I62" s="20"/>
    </row>
    <row r="63" spans="1:9" ht="14.25" customHeight="1" x14ac:dyDescent="0.35">
      <c r="A63" s="132" t="s">
        <v>140</v>
      </c>
      <c r="B63" s="133" t="s">
        <v>48</v>
      </c>
      <c r="C63" s="133">
        <v>12009</v>
      </c>
      <c r="D63" s="133"/>
      <c r="E63" s="133"/>
      <c r="F63" s="133"/>
      <c r="G63" s="133"/>
      <c r="H63" s="20"/>
      <c r="I63" s="20"/>
    </row>
    <row r="64" spans="1:9" ht="14.25" customHeight="1" x14ac:dyDescent="0.35">
      <c r="A64" s="130" t="s">
        <v>123</v>
      </c>
      <c r="B64" s="131" t="s">
        <v>48</v>
      </c>
      <c r="C64" s="131">
        <v>11013</v>
      </c>
      <c r="D64" s="131"/>
      <c r="E64" s="131"/>
      <c r="F64" s="131"/>
      <c r="G64" s="131"/>
      <c r="H64" s="20"/>
      <c r="I64" s="20"/>
    </row>
    <row r="65" spans="1:9" ht="14.25" customHeight="1" x14ac:dyDescent="0.35">
      <c r="A65" s="132" t="s">
        <v>118</v>
      </c>
      <c r="B65" s="133" t="s">
        <v>50</v>
      </c>
      <c r="C65" s="133">
        <v>43005</v>
      </c>
      <c r="D65" s="133">
        <v>1</v>
      </c>
      <c r="E65" s="133">
        <v>1</v>
      </c>
      <c r="F65" s="133">
        <v>1</v>
      </c>
      <c r="G65" s="133">
        <v>1</v>
      </c>
      <c r="H65" s="20"/>
      <c r="I65" s="20"/>
    </row>
    <row r="66" spans="1:9" ht="14.25" customHeight="1" x14ac:dyDescent="0.35">
      <c r="A66" s="130" t="s">
        <v>116</v>
      </c>
      <c r="B66" s="131" t="s">
        <v>50</v>
      </c>
      <c r="C66" s="131">
        <v>41082</v>
      </c>
      <c r="D66" s="131"/>
      <c r="E66" s="131"/>
      <c r="F66" s="131"/>
      <c r="G66" s="131"/>
      <c r="H66" s="20"/>
      <c r="I66" s="20"/>
    </row>
    <row r="67" spans="1:9" ht="14.25" customHeight="1" x14ac:dyDescent="0.35">
      <c r="A67" s="132" t="s">
        <v>180</v>
      </c>
      <c r="B67" s="133" t="s">
        <v>48</v>
      </c>
      <c r="C67" s="133">
        <v>11016</v>
      </c>
      <c r="D67" s="133"/>
      <c r="E67" s="133"/>
      <c r="F67" s="133"/>
      <c r="G67" s="133"/>
      <c r="H67" s="20"/>
      <c r="I67" s="20"/>
    </row>
    <row r="68" spans="1:9" ht="14.25" customHeight="1" x14ac:dyDescent="0.35">
      <c r="A68" s="130" t="s">
        <v>90</v>
      </c>
      <c r="B68" s="131" t="s">
        <v>50</v>
      </c>
      <c r="C68" s="131">
        <v>44019</v>
      </c>
      <c r="D68" s="131"/>
      <c r="E68" s="131"/>
      <c r="F68" s="131"/>
      <c r="G68" s="131"/>
      <c r="H68" s="20"/>
      <c r="I68" s="20"/>
    </row>
    <row r="69" spans="1:9" ht="14.25" customHeight="1" x14ac:dyDescent="0.35">
      <c r="A69" s="132" t="s">
        <v>209</v>
      </c>
      <c r="B69" s="133" t="s">
        <v>50</v>
      </c>
      <c r="C69" s="133">
        <v>44020</v>
      </c>
      <c r="D69" s="133"/>
      <c r="E69" s="133"/>
      <c r="F69" s="133"/>
      <c r="G69" s="133"/>
      <c r="H69" s="20"/>
      <c r="I69" s="20"/>
    </row>
    <row r="70" spans="1:9" ht="14.25" customHeight="1" x14ac:dyDescent="0.35">
      <c r="A70" s="130" t="s">
        <v>91</v>
      </c>
      <c r="B70" s="131" t="s">
        <v>48</v>
      </c>
      <c r="C70" s="131">
        <v>13008</v>
      </c>
      <c r="D70" s="131"/>
      <c r="E70" s="131"/>
      <c r="F70" s="131"/>
      <c r="G70" s="131"/>
      <c r="H70" s="20"/>
      <c r="I70" s="20"/>
    </row>
    <row r="71" spans="1:9" ht="14.25" customHeight="1" x14ac:dyDescent="0.35">
      <c r="A71" s="132" t="s">
        <v>245</v>
      </c>
      <c r="B71" s="133" t="s">
        <v>52</v>
      </c>
      <c r="C71" s="133">
        <v>24028</v>
      </c>
      <c r="D71" s="133"/>
      <c r="E71" s="133"/>
      <c r="F71" s="133"/>
      <c r="G71" s="133"/>
      <c r="H71" s="20"/>
      <c r="I71" s="20"/>
    </row>
    <row r="72" spans="1:9" ht="14.25" customHeight="1" x14ac:dyDescent="0.35">
      <c r="A72" s="130" t="s">
        <v>95</v>
      </c>
      <c r="B72" s="131" t="s">
        <v>59</v>
      </c>
      <c r="C72" s="131">
        <v>71016</v>
      </c>
      <c r="D72" s="131"/>
      <c r="E72" s="131"/>
      <c r="F72" s="131"/>
      <c r="G72" s="131"/>
      <c r="H72" s="20"/>
      <c r="I72" s="20"/>
    </row>
    <row r="73" spans="1:9" ht="14.25" customHeight="1" x14ac:dyDescent="0.35">
      <c r="A73" s="132" t="s">
        <v>49</v>
      </c>
      <c r="B73" s="133" t="s">
        <v>50</v>
      </c>
      <c r="C73" s="133">
        <v>44021</v>
      </c>
      <c r="D73" s="133">
        <v>25</v>
      </c>
      <c r="E73" s="133">
        <v>25</v>
      </c>
      <c r="F73" s="133">
        <v>16</v>
      </c>
      <c r="G73" s="133">
        <v>16</v>
      </c>
      <c r="H73" s="20"/>
      <c r="I73" s="20"/>
    </row>
    <row r="74" spans="1:9" ht="14.25" customHeight="1" x14ac:dyDescent="0.35">
      <c r="A74" s="130" t="s">
        <v>144</v>
      </c>
      <c r="B74" s="131" t="s">
        <v>50</v>
      </c>
      <c r="C74" s="131">
        <v>41018</v>
      </c>
      <c r="D74" s="131"/>
      <c r="E74" s="131"/>
      <c r="F74" s="131"/>
      <c r="G74" s="131"/>
      <c r="H74" s="20"/>
      <c r="I74" s="20"/>
    </row>
    <row r="75" spans="1:9" ht="14.25" customHeight="1" x14ac:dyDescent="0.35">
      <c r="A75" s="132" t="s">
        <v>323</v>
      </c>
      <c r="B75" s="133" t="s">
        <v>59</v>
      </c>
      <c r="C75" s="133">
        <v>71017</v>
      </c>
      <c r="D75" s="133"/>
      <c r="E75" s="133"/>
      <c r="F75" s="133"/>
      <c r="G75" s="133"/>
      <c r="H75" s="20"/>
      <c r="I75" s="20"/>
    </row>
    <row r="76" spans="1:9" ht="14.25" customHeight="1" x14ac:dyDescent="0.35">
      <c r="A76" s="130" t="s">
        <v>206</v>
      </c>
      <c r="B76" s="131" t="s">
        <v>55</v>
      </c>
      <c r="C76" s="131">
        <v>35005</v>
      </c>
      <c r="D76" s="131"/>
      <c r="E76" s="131"/>
      <c r="F76" s="131"/>
      <c r="G76" s="131"/>
      <c r="H76" s="20"/>
      <c r="I76" s="20"/>
    </row>
    <row r="77" spans="1:9" ht="14.25" customHeight="1" x14ac:dyDescent="0.35">
      <c r="A77" s="132" t="s">
        <v>243</v>
      </c>
      <c r="B77" s="133" t="s">
        <v>52</v>
      </c>
      <c r="C77" s="133">
        <v>24137</v>
      </c>
      <c r="D77" s="133"/>
      <c r="E77" s="133"/>
      <c r="F77" s="133"/>
      <c r="G77" s="133"/>
      <c r="H77" s="20"/>
      <c r="I77" s="20"/>
    </row>
    <row r="78" spans="1:9" ht="14.25" customHeight="1" x14ac:dyDescent="0.35">
      <c r="A78" s="130" t="s">
        <v>107</v>
      </c>
      <c r="B78" s="131" t="s">
        <v>52</v>
      </c>
      <c r="C78" s="131">
        <v>23025</v>
      </c>
      <c r="D78" s="131"/>
      <c r="E78" s="131"/>
      <c r="F78" s="131"/>
      <c r="G78" s="131"/>
      <c r="H78" s="20"/>
      <c r="I78" s="20"/>
    </row>
    <row r="79" spans="1:9" ht="14.25" customHeight="1" x14ac:dyDescent="0.35">
      <c r="A79" s="132" t="s">
        <v>303</v>
      </c>
      <c r="B79" s="133" t="s">
        <v>48</v>
      </c>
      <c r="C79" s="133">
        <v>13010</v>
      </c>
      <c r="D79" s="133"/>
      <c r="E79" s="133"/>
      <c r="F79" s="133"/>
      <c r="G79" s="133"/>
      <c r="H79" s="20"/>
      <c r="I79" s="20"/>
    </row>
    <row r="80" spans="1:9" ht="14.25" customHeight="1" x14ac:dyDescent="0.35">
      <c r="A80" s="130" t="s">
        <v>92</v>
      </c>
      <c r="B80" s="131" t="s">
        <v>52</v>
      </c>
      <c r="C80" s="131">
        <v>24033</v>
      </c>
      <c r="D80" s="131"/>
      <c r="E80" s="131"/>
      <c r="F80" s="131"/>
      <c r="G80" s="131"/>
      <c r="H80" s="20"/>
      <c r="I80" s="20"/>
    </row>
    <row r="81" spans="1:9" ht="14.25" customHeight="1" x14ac:dyDescent="0.35">
      <c r="A81" s="132" t="s">
        <v>223</v>
      </c>
      <c r="B81" s="133" t="s">
        <v>50</v>
      </c>
      <c r="C81" s="133">
        <v>41024</v>
      </c>
      <c r="D81" s="133"/>
      <c r="E81" s="133"/>
      <c r="F81" s="133"/>
      <c r="G81" s="133"/>
      <c r="H81" s="20"/>
      <c r="I81" s="20"/>
    </row>
    <row r="82" spans="1:9" ht="14.25" customHeight="1" x14ac:dyDescent="0.35">
      <c r="A82" s="130" t="s">
        <v>324</v>
      </c>
      <c r="B82" s="131" t="s">
        <v>59</v>
      </c>
      <c r="C82" s="131">
        <v>71020</v>
      </c>
      <c r="D82" s="131"/>
      <c r="E82" s="131"/>
      <c r="F82" s="131"/>
      <c r="G82" s="131"/>
      <c r="H82" s="20"/>
      <c r="I82" s="20"/>
    </row>
    <row r="83" spans="1:9" ht="14.25" customHeight="1" x14ac:dyDescent="0.35">
      <c r="A83" s="132" t="s">
        <v>70</v>
      </c>
      <c r="B83" s="133" t="s">
        <v>52</v>
      </c>
      <c r="C83" s="133">
        <v>23027</v>
      </c>
      <c r="D83" s="133"/>
      <c r="E83" s="133"/>
      <c r="F83" s="133"/>
      <c r="G83" s="133"/>
      <c r="H83" s="20"/>
      <c r="I83" s="20"/>
    </row>
    <row r="84" spans="1:9" ht="14.25" customHeight="1" x14ac:dyDescent="0.35">
      <c r="A84" s="130" t="s">
        <v>127</v>
      </c>
      <c r="B84" s="131" t="s">
        <v>50</v>
      </c>
      <c r="C84" s="131">
        <v>42008</v>
      </c>
      <c r="D84" s="131"/>
      <c r="E84" s="131"/>
      <c r="F84" s="131"/>
      <c r="G84" s="131"/>
      <c r="H84" s="20"/>
      <c r="I84" s="20"/>
    </row>
    <row r="85" spans="1:9" ht="14.25" customHeight="1" x14ac:dyDescent="0.35">
      <c r="A85" s="132" t="s">
        <v>331</v>
      </c>
      <c r="B85" s="133" t="s">
        <v>59</v>
      </c>
      <c r="C85" s="133">
        <v>72037</v>
      </c>
      <c r="D85" s="133"/>
      <c r="E85" s="133"/>
      <c r="F85" s="133"/>
      <c r="G85" s="133"/>
      <c r="H85" s="20"/>
      <c r="I85" s="20"/>
    </row>
    <row r="86" spans="1:9" ht="14.25" customHeight="1" x14ac:dyDescent="0.35">
      <c r="A86" s="130" t="s">
        <v>73</v>
      </c>
      <c r="B86" s="131" t="s">
        <v>55</v>
      </c>
      <c r="C86" s="131">
        <v>34013</v>
      </c>
      <c r="D86" s="131">
        <v>2</v>
      </c>
      <c r="E86" s="131">
        <v>2</v>
      </c>
      <c r="F86" s="131">
        <v>2</v>
      </c>
      <c r="G86" s="131">
        <v>2</v>
      </c>
      <c r="H86" s="20"/>
      <c r="I86" s="20"/>
    </row>
    <row r="87" spans="1:9" ht="14.25" customHeight="1" x14ac:dyDescent="0.35">
      <c r="A87" s="132" t="s">
        <v>58</v>
      </c>
      <c r="B87" s="133" t="s">
        <v>59</v>
      </c>
      <c r="C87" s="133">
        <v>71022</v>
      </c>
      <c r="D87" s="133"/>
      <c r="E87" s="133"/>
      <c r="F87" s="133"/>
      <c r="G87" s="133"/>
      <c r="H87" s="20"/>
      <c r="I87" s="20"/>
    </row>
    <row r="88" spans="1:9" ht="14.25" customHeight="1" x14ac:dyDescent="0.35">
      <c r="A88" s="130" t="s">
        <v>265</v>
      </c>
      <c r="B88" s="131" t="s">
        <v>59</v>
      </c>
      <c r="C88" s="131">
        <v>72038</v>
      </c>
      <c r="D88" s="131"/>
      <c r="E88" s="131"/>
      <c r="F88" s="131"/>
      <c r="G88" s="131"/>
      <c r="H88" s="20"/>
      <c r="I88" s="20"/>
    </row>
    <row r="89" spans="1:9" ht="14.25" customHeight="1" x14ac:dyDescent="0.35">
      <c r="A89" s="132" t="s">
        <v>300</v>
      </c>
      <c r="B89" s="133" t="s">
        <v>59</v>
      </c>
      <c r="C89" s="133">
        <v>73022</v>
      </c>
      <c r="D89" s="133"/>
      <c r="E89" s="133"/>
      <c r="F89" s="133"/>
      <c r="G89" s="133"/>
      <c r="H89" s="20"/>
      <c r="I89" s="20"/>
    </row>
    <row r="90" spans="1:9" ht="14.25" customHeight="1" x14ac:dyDescent="0.35">
      <c r="A90" s="130" t="s">
        <v>108</v>
      </c>
      <c r="B90" s="131" t="s">
        <v>48</v>
      </c>
      <c r="C90" s="131">
        <v>12014</v>
      </c>
      <c r="D90" s="131"/>
      <c r="E90" s="131"/>
      <c r="F90" s="131"/>
      <c r="G90" s="131"/>
      <c r="H90" s="20"/>
      <c r="I90" s="20"/>
    </row>
    <row r="91" spans="1:9" ht="14.25" customHeight="1" x14ac:dyDescent="0.35">
      <c r="A91" s="132" t="s">
        <v>266</v>
      </c>
      <c r="B91" s="133" t="s">
        <v>48</v>
      </c>
      <c r="C91" s="133">
        <v>11018</v>
      </c>
      <c r="D91" s="133"/>
      <c r="E91" s="133"/>
      <c r="F91" s="133"/>
      <c r="G91" s="133"/>
      <c r="H91" s="20"/>
      <c r="I91" s="20"/>
    </row>
    <row r="92" spans="1:9" ht="14.25" customHeight="1" x14ac:dyDescent="0.35">
      <c r="A92" s="130" t="s">
        <v>69</v>
      </c>
      <c r="B92" s="131" t="s">
        <v>52</v>
      </c>
      <c r="C92" s="131">
        <v>24038</v>
      </c>
      <c r="D92" s="131"/>
      <c r="E92" s="131"/>
      <c r="F92" s="131"/>
      <c r="G92" s="131"/>
      <c r="H92" s="20"/>
      <c r="I92" s="20"/>
    </row>
    <row r="93" spans="1:9" ht="14.25" customHeight="1" x14ac:dyDescent="0.35">
      <c r="A93" s="132" t="s">
        <v>83</v>
      </c>
      <c r="B93" s="133" t="s">
        <v>48</v>
      </c>
      <c r="C93" s="133">
        <v>13011</v>
      </c>
      <c r="D93" s="133"/>
      <c r="E93" s="133"/>
      <c r="F93" s="133"/>
      <c r="G93" s="133"/>
      <c r="H93" s="20"/>
      <c r="I93" s="20"/>
    </row>
    <row r="94" spans="1:9" ht="14.25" customHeight="1" x14ac:dyDescent="0.35">
      <c r="A94" s="130" t="s">
        <v>326</v>
      </c>
      <c r="B94" s="131" t="s">
        <v>48</v>
      </c>
      <c r="C94" s="131">
        <v>13012</v>
      </c>
      <c r="D94" s="131"/>
      <c r="E94" s="131"/>
      <c r="F94" s="131"/>
      <c r="G94" s="131"/>
      <c r="H94" s="20"/>
      <c r="I94" s="20"/>
    </row>
    <row r="95" spans="1:9" ht="14.25" customHeight="1" x14ac:dyDescent="0.35">
      <c r="A95" s="132" t="s">
        <v>187</v>
      </c>
      <c r="B95" s="133" t="s">
        <v>59</v>
      </c>
      <c r="C95" s="133">
        <v>71024</v>
      </c>
      <c r="D95" s="133"/>
      <c r="E95" s="133"/>
      <c r="F95" s="133"/>
      <c r="G95" s="133"/>
      <c r="H95" s="20"/>
      <c r="I95" s="20"/>
    </row>
    <row r="96" spans="1:9" ht="14.25" customHeight="1" x14ac:dyDescent="0.35">
      <c r="A96" s="130" t="s">
        <v>272</v>
      </c>
      <c r="B96" s="131" t="s">
        <v>48</v>
      </c>
      <c r="C96" s="131">
        <v>13013</v>
      </c>
      <c r="D96" s="131"/>
      <c r="E96" s="131"/>
      <c r="F96" s="131"/>
      <c r="G96" s="131"/>
      <c r="H96" s="20"/>
      <c r="I96" s="20"/>
    </row>
    <row r="97" spans="1:9" ht="14.25" customHeight="1" x14ac:dyDescent="0.35">
      <c r="A97" s="132" t="s">
        <v>313</v>
      </c>
      <c r="B97" s="133" t="s">
        <v>59</v>
      </c>
      <c r="C97" s="133">
        <v>73028</v>
      </c>
      <c r="D97" s="133"/>
      <c r="E97" s="133"/>
      <c r="F97" s="133"/>
      <c r="G97" s="133"/>
      <c r="H97" s="20"/>
      <c r="I97" s="20"/>
    </row>
    <row r="98" spans="1:9" ht="14.25" customHeight="1" x14ac:dyDescent="0.35">
      <c r="A98" s="130" t="s">
        <v>113</v>
      </c>
      <c r="B98" s="131" t="s">
        <v>50</v>
      </c>
      <c r="C98" s="131">
        <v>41027</v>
      </c>
      <c r="D98" s="131"/>
      <c r="E98" s="131"/>
      <c r="F98" s="131"/>
      <c r="G98" s="131"/>
      <c r="H98" s="20"/>
      <c r="I98" s="20"/>
    </row>
    <row r="99" spans="1:9" ht="14.25" customHeight="1" x14ac:dyDescent="0.35">
      <c r="A99" s="132" t="s">
        <v>190</v>
      </c>
      <c r="B99" s="133" t="s">
        <v>59</v>
      </c>
      <c r="C99" s="133">
        <v>71070</v>
      </c>
      <c r="D99" s="133"/>
      <c r="E99" s="133"/>
      <c r="F99" s="133"/>
      <c r="G99" s="133"/>
      <c r="H99" s="20"/>
      <c r="I99" s="20"/>
    </row>
    <row r="100" spans="1:9" ht="14.25" customHeight="1" x14ac:dyDescent="0.35">
      <c r="A100" s="130" t="s">
        <v>167</v>
      </c>
      <c r="B100" s="131" t="s">
        <v>55</v>
      </c>
      <c r="C100" s="131">
        <v>33039</v>
      </c>
      <c r="D100" s="131"/>
      <c r="E100" s="131"/>
      <c r="F100" s="131"/>
      <c r="G100" s="131"/>
      <c r="H100" s="20"/>
      <c r="I100" s="20"/>
    </row>
    <row r="101" spans="1:9" ht="14.25" customHeight="1" x14ac:dyDescent="0.35">
      <c r="A101" s="132" t="s">
        <v>192</v>
      </c>
      <c r="B101" s="133" t="s">
        <v>52</v>
      </c>
      <c r="C101" s="133">
        <v>24041</v>
      </c>
      <c r="D101" s="133"/>
      <c r="E101" s="133"/>
      <c r="F101" s="133"/>
      <c r="G101" s="133"/>
      <c r="H101" s="20"/>
      <c r="I101" s="20"/>
    </row>
    <row r="102" spans="1:9" ht="14.25" customHeight="1" x14ac:dyDescent="0.35">
      <c r="A102" s="130" t="s">
        <v>153</v>
      </c>
      <c r="B102" s="131" t="s">
        <v>52</v>
      </c>
      <c r="C102" s="131">
        <v>23033</v>
      </c>
      <c r="D102" s="131"/>
      <c r="E102" s="131"/>
      <c r="F102" s="131"/>
      <c r="G102" s="131"/>
      <c r="H102" s="20"/>
      <c r="I102" s="20"/>
    </row>
    <row r="103" spans="1:9" ht="14.25" customHeight="1" x14ac:dyDescent="0.35">
      <c r="A103" s="132" t="s">
        <v>86</v>
      </c>
      <c r="B103" s="133" t="s">
        <v>52</v>
      </c>
      <c r="C103" s="133">
        <v>24043</v>
      </c>
      <c r="D103" s="133"/>
      <c r="E103" s="133"/>
      <c r="F103" s="133"/>
      <c r="G103" s="133"/>
      <c r="H103" s="20"/>
      <c r="I103" s="20"/>
    </row>
    <row r="104" spans="1:9" ht="14.25" customHeight="1" x14ac:dyDescent="0.35">
      <c r="A104" s="130" t="s">
        <v>150</v>
      </c>
      <c r="B104" s="131" t="s">
        <v>55</v>
      </c>
      <c r="C104" s="131">
        <v>36006</v>
      </c>
      <c r="D104" s="131"/>
      <c r="E104" s="131"/>
      <c r="F104" s="131"/>
      <c r="G104" s="131"/>
      <c r="H104" s="20"/>
      <c r="I104" s="20"/>
    </row>
    <row r="105" spans="1:9" ht="14.25" customHeight="1" x14ac:dyDescent="0.35">
      <c r="A105" s="132" t="s">
        <v>185</v>
      </c>
      <c r="B105" s="133" t="s">
        <v>48</v>
      </c>
      <c r="C105" s="133">
        <v>13014</v>
      </c>
      <c r="D105" s="133"/>
      <c r="E105" s="133"/>
      <c r="F105" s="133"/>
      <c r="G105" s="133"/>
      <c r="H105" s="20"/>
      <c r="I105" s="20"/>
    </row>
    <row r="106" spans="1:9" ht="14.25" customHeight="1" x14ac:dyDescent="0.35">
      <c r="A106" s="130" t="s">
        <v>297</v>
      </c>
      <c r="B106" s="131" t="s">
        <v>50</v>
      </c>
      <c r="C106" s="131">
        <v>45062</v>
      </c>
      <c r="D106" s="131"/>
      <c r="E106" s="131"/>
      <c r="F106" s="131"/>
      <c r="G106" s="131"/>
      <c r="H106" s="20"/>
      <c r="I106" s="20"/>
    </row>
    <row r="107" spans="1:9" ht="14.25" customHeight="1" x14ac:dyDescent="0.35">
      <c r="A107" s="132" t="s">
        <v>296</v>
      </c>
      <c r="B107" s="133" t="s">
        <v>59</v>
      </c>
      <c r="C107" s="133">
        <v>72039</v>
      </c>
      <c r="D107" s="133"/>
      <c r="E107" s="133"/>
      <c r="F107" s="133"/>
      <c r="G107" s="133"/>
      <c r="H107" s="20"/>
      <c r="I107" s="20"/>
    </row>
    <row r="108" spans="1:9" ht="14.25" customHeight="1" x14ac:dyDescent="0.35">
      <c r="A108" s="130" t="s">
        <v>261</v>
      </c>
      <c r="B108" s="131" t="s">
        <v>55</v>
      </c>
      <c r="C108" s="131">
        <v>32006</v>
      </c>
      <c r="D108" s="131"/>
      <c r="E108" s="131"/>
      <c r="F108" s="131"/>
      <c r="G108" s="131"/>
      <c r="H108" s="20"/>
      <c r="I108" s="20"/>
    </row>
    <row r="109" spans="1:9" ht="14.25" customHeight="1" x14ac:dyDescent="0.35">
      <c r="A109" s="132" t="s">
        <v>196</v>
      </c>
      <c r="B109" s="133" t="s">
        <v>48</v>
      </c>
      <c r="C109" s="133">
        <v>11021</v>
      </c>
      <c r="D109" s="133"/>
      <c r="E109" s="133"/>
      <c r="F109" s="133"/>
      <c r="G109" s="133"/>
      <c r="H109" s="20"/>
      <c r="I109" s="20"/>
    </row>
    <row r="110" spans="1:9" ht="14.25" customHeight="1" x14ac:dyDescent="0.35">
      <c r="A110" s="130" t="s">
        <v>134</v>
      </c>
      <c r="B110" s="131" t="s">
        <v>52</v>
      </c>
      <c r="C110" s="131">
        <v>24045</v>
      </c>
      <c r="D110" s="131"/>
      <c r="E110" s="131"/>
      <c r="F110" s="131"/>
      <c r="G110" s="131"/>
      <c r="H110" s="20"/>
      <c r="I110" s="20"/>
    </row>
    <row r="111" spans="1:9" ht="14.25" customHeight="1" x14ac:dyDescent="0.35">
      <c r="A111" s="132" t="s">
        <v>173</v>
      </c>
      <c r="B111" s="133" t="s">
        <v>48</v>
      </c>
      <c r="C111" s="133">
        <v>13016</v>
      </c>
      <c r="D111" s="133"/>
      <c r="E111" s="133"/>
      <c r="F111" s="133"/>
      <c r="G111" s="133"/>
      <c r="H111" s="20"/>
      <c r="I111" s="20"/>
    </row>
    <row r="112" spans="1:9" ht="14.25" customHeight="1" x14ac:dyDescent="0.35">
      <c r="A112" s="130" t="s">
        <v>212</v>
      </c>
      <c r="B112" s="131" t="s">
        <v>55</v>
      </c>
      <c r="C112" s="131">
        <v>35006</v>
      </c>
      <c r="D112" s="131">
        <v>1</v>
      </c>
      <c r="E112" s="131">
        <v>1</v>
      </c>
      <c r="F112" s="131">
        <v>1</v>
      </c>
      <c r="G112" s="131">
        <v>1</v>
      </c>
      <c r="H112" s="20"/>
      <c r="I112" s="20"/>
    </row>
    <row r="113" spans="1:9" ht="14.25" customHeight="1" x14ac:dyDescent="0.35">
      <c r="A113" s="132" t="s">
        <v>76</v>
      </c>
      <c r="B113" s="133" t="s">
        <v>55</v>
      </c>
      <c r="C113" s="133">
        <v>33011</v>
      </c>
      <c r="D113" s="133"/>
      <c r="E113" s="133"/>
      <c r="F113" s="133"/>
      <c r="G113" s="133"/>
      <c r="H113" s="20"/>
      <c r="I113" s="20"/>
    </row>
    <row r="114" spans="1:9" ht="14.25" customHeight="1" x14ac:dyDescent="0.35">
      <c r="A114" s="130" t="s">
        <v>263</v>
      </c>
      <c r="B114" s="131" t="s">
        <v>55</v>
      </c>
      <c r="C114" s="131">
        <v>36007</v>
      </c>
      <c r="D114" s="131"/>
      <c r="E114" s="131"/>
      <c r="F114" s="131"/>
      <c r="G114" s="131"/>
      <c r="H114" s="20"/>
      <c r="I114" s="20"/>
    </row>
    <row r="115" spans="1:9" ht="14.25" customHeight="1" x14ac:dyDescent="0.35">
      <c r="A115" s="132" t="s">
        <v>129</v>
      </c>
      <c r="B115" s="133" t="s">
        <v>55</v>
      </c>
      <c r="C115" s="133">
        <v>36008</v>
      </c>
      <c r="D115" s="133"/>
      <c r="E115" s="133"/>
      <c r="F115" s="133"/>
      <c r="G115" s="133"/>
      <c r="H115" s="20"/>
      <c r="I115" s="20"/>
    </row>
    <row r="116" spans="1:9" ht="14.25" customHeight="1" x14ac:dyDescent="0.35">
      <c r="A116" s="130" t="s">
        <v>273</v>
      </c>
      <c r="B116" s="131" t="s">
        <v>55</v>
      </c>
      <c r="C116" s="131">
        <v>31012</v>
      </c>
      <c r="D116" s="131"/>
      <c r="E116" s="131"/>
      <c r="F116" s="131"/>
      <c r="G116" s="131"/>
      <c r="H116" s="20"/>
      <c r="I116" s="20"/>
    </row>
    <row r="117" spans="1:9" ht="14.25" customHeight="1" x14ac:dyDescent="0.35">
      <c r="A117" s="132" t="s">
        <v>163</v>
      </c>
      <c r="B117" s="133" t="s">
        <v>48</v>
      </c>
      <c r="C117" s="133">
        <v>11022</v>
      </c>
      <c r="D117" s="133"/>
      <c r="E117" s="133"/>
      <c r="F117" s="133"/>
      <c r="G117" s="133"/>
      <c r="H117" s="20"/>
      <c r="I117" s="20"/>
    </row>
    <row r="118" spans="1:9" ht="14.25" customHeight="1" x14ac:dyDescent="0.35">
      <c r="A118" s="130" t="s">
        <v>207</v>
      </c>
      <c r="B118" s="131" t="s">
        <v>52</v>
      </c>
      <c r="C118" s="131">
        <v>23038</v>
      </c>
      <c r="D118" s="131"/>
      <c r="E118" s="131"/>
      <c r="F118" s="131"/>
      <c r="G118" s="131"/>
      <c r="H118" s="20"/>
      <c r="I118" s="20"/>
    </row>
    <row r="119" spans="1:9" ht="14.25" customHeight="1" x14ac:dyDescent="0.35">
      <c r="A119" s="132" t="s">
        <v>258</v>
      </c>
      <c r="B119" s="133" t="s">
        <v>52</v>
      </c>
      <c r="C119" s="133">
        <v>23039</v>
      </c>
      <c r="D119" s="133"/>
      <c r="E119" s="133"/>
      <c r="F119" s="133"/>
      <c r="G119" s="133"/>
      <c r="H119" s="20"/>
      <c r="I119" s="20"/>
    </row>
    <row r="120" spans="1:9" ht="14.25" customHeight="1" x14ac:dyDescent="0.35">
      <c r="A120" s="130" t="s">
        <v>312</v>
      </c>
      <c r="B120" s="131" t="s">
        <v>48</v>
      </c>
      <c r="C120" s="131">
        <v>11023</v>
      </c>
      <c r="D120" s="131"/>
      <c r="E120" s="131"/>
      <c r="F120" s="131"/>
      <c r="G120" s="131"/>
      <c r="H120" s="20"/>
      <c r="I120" s="20"/>
    </row>
    <row r="121" spans="1:9" ht="14.25" customHeight="1" x14ac:dyDescent="0.35">
      <c r="A121" s="132" t="s">
        <v>247</v>
      </c>
      <c r="B121" s="133" t="s">
        <v>50</v>
      </c>
      <c r="C121" s="133">
        <v>43007</v>
      </c>
      <c r="D121" s="133"/>
      <c r="E121" s="133"/>
      <c r="F121" s="133"/>
      <c r="G121" s="133"/>
      <c r="H121" s="20"/>
      <c r="I121" s="20"/>
    </row>
    <row r="122" spans="1:9" ht="14.25" customHeight="1" x14ac:dyDescent="0.35">
      <c r="A122" s="130" t="s">
        <v>181</v>
      </c>
      <c r="B122" s="131" t="s">
        <v>48</v>
      </c>
      <c r="C122" s="131">
        <v>13017</v>
      </c>
      <c r="D122" s="131"/>
      <c r="E122" s="131"/>
      <c r="F122" s="131"/>
      <c r="G122" s="131"/>
      <c r="H122" s="20"/>
      <c r="I122" s="20"/>
    </row>
    <row r="123" spans="1:9" ht="14.25" customHeight="1" x14ac:dyDescent="0.35">
      <c r="A123" s="132" t="s">
        <v>176</v>
      </c>
      <c r="B123" s="133" t="s">
        <v>52</v>
      </c>
      <c r="C123" s="133">
        <v>24048</v>
      </c>
      <c r="D123" s="133"/>
      <c r="E123" s="133"/>
      <c r="F123" s="133"/>
      <c r="G123" s="133"/>
      <c r="H123" s="20"/>
      <c r="I123" s="20"/>
    </row>
    <row r="124" spans="1:9" ht="14.25" customHeight="1" x14ac:dyDescent="0.35">
      <c r="A124" s="130" t="s">
        <v>325</v>
      </c>
      <c r="B124" s="131" t="s">
        <v>59</v>
      </c>
      <c r="C124" s="131">
        <v>72018</v>
      </c>
      <c r="D124" s="131"/>
      <c r="E124" s="131"/>
      <c r="F124" s="131"/>
      <c r="G124" s="131"/>
      <c r="H124" s="20"/>
      <c r="I124" s="20"/>
    </row>
    <row r="125" spans="1:9" ht="14.25" customHeight="1" x14ac:dyDescent="0.35">
      <c r="A125" s="132" t="s">
        <v>191</v>
      </c>
      <c r="B125" s="133" t="s">
        <v>50</v>
      </c>
      <c r="C125" s="133">
        <v>45060</v>
      </c>
      <c r="D125" s="133"/>
      <c r="E125" s="133"/>
      <c r="F125" s="133"/>
      <c r="G125" s="133"/>
      <c r="H125" s="20"/>
      <c r="I125" s="20"/>
    </row>
    <row r="126" spans="1:9" ht="14.25" customHeight="1" x14ac:dyDescent="0.35">
      <c r="A126" s="130" t="s">
        <v>103</v>
      </c>
      <c r="B126" s="131" t="s">
        <v>55</v>
      </c>
      <c r="C126" s="131">
        <v>31043</v>
      </c>
      <c r="D126" s="131">
        <v>8</v>
      </c>
      <c r="E126" s="131">
        <v>8</v>
      </c>
      <c r="F126" s="131">
        <v>8</v>
      </c>
      <c r="G126" s="131">
        <v>8</v>
      </c>
      <c r="H126" s="20"/>
      <c r="I126" s="20"/>
    </row>
    <row r="127" spans="1:9" ht="14.25" customHeight="1" x14ac:dyDescent="0.35">
      <c r="A127" s="132" t="s">
        <v>256</v>
      </c>
      <c r="B127" s="133" t="s">
        <v>55</v>
      </c>
      <c r="C127" s="133">
        <v>32010</v>
      </c>
      <c r="D127" s="133"/>
      <c r="E127" s="133"/>
      <c r="F127" s="133"/>
      <c r="G127" s="133"/>
      <c r="H127" s="20"/>
      <c r="I127" s="20"/>
    </row>
    <row r="128" spans="1:9" ht="14.25" customHeight="1" x14ac:dyDescent="0.35">
      <c r="A128" s="130" t="s">
        <v>100</v>
      </c>
      <c r="B128" s="131" t="s">
        <v>55</v>
      </c>
      <c r="C128" s="131">
        <v>38014</v>
      </c>
      <c r="D128" s="131"/>
      <c r="E128" s="131"/>
      <c r="F128" s="131"/>
      <c r="G128" s="131"/>
      <c r="H128" s="20"/>
      <c r="I128" s="20"/>
    </row>
    <row r="129" spans="1:9" ht="14.25" customHeight="1" x14ac:dyDescent="0.35">
      <c r="A129" s="132" t="s">
        <v>288</v>
      </c>
      <c r="B129" s="133" t="s">
        <v>48</v>
      </c>
      <c r="C129" s="133">
        <v>11024</v>
      </c>
      <c r="D129" s="133"/>
      <c r="E129" s="133"/>
      <c r="F129" s="133"/>
      <c r="G129" s="133"/>
      <c r="H129" s="20"/>
      <c r="I129" s="20"/>
    </row>
    <row r="130" spans="1:9" ht="14.25" customHeight="1" x14ac:dyDescent="0.35">
      <c r="A130" s="130" t="s">
        <v>138</v>
      </c>
      <c r="B130" s="131" t="s">
        <v>55</v>
      </c>
      <c r="C130" s="131">
        <v>32011</v>
      </c>
      <c r="D130" s="131"/>
      <c r="E130" s="131"/>
      <c r="F130" s="131"/>
      <c r="G130" s="131"/>
      <c r="H130" s="20"/>
      <c r="I130" s="20"/>
    </row>
    <row r="131" spans="1:9" ht="14.25" customHeight="1" x14ac:dyDescent="0.35">
      <c r="A131" s="132" t="s">
        <v>252</v>
      </c>
      <c r="B131" s="133" t="s">
        <v>52</v>
      </c>
      <c r="C131" s="133">
        <v>24054</v>
      </c>
      <c r="D131" s="133"/>
      <c r="E131" s="133"/>
      <c r="F131" s="133"/>
      <c r="G131" s="133"/>
      <c r="H131" s="20"/>
      <c r="I131" s="20"/>
    </row>
    <row r="132" spans="1:9" ht="14.25" customHeight="1" x14ac:dyDescent="0.35">
      <c r="A132" s="130" t="s">
        <v>117</v>
      </c>
      <c r="B132" s="131" t="s">
        <v>52</v>
      </c>
      <c r="C132" s="131">
        <v>24055</v>
      </c>
      <c r="D132" s="131"/>
      <c r="E132" s="131"/>
      <c r="F132" s="131"/>
      <c r="G132" s="131"/>
      <c r="H132" s="20"/>
      <c r="I132" s="20"/>
    </row>
    <row r="133" spans="1:9" ht="14.25" customHeight="1" x14ac:dyDescent="0.35">
      <c r="A133" s="132" t="s">
        <v>56</v>
      </c>
      <c r="B133" s="133" t="s">
        <v>55</v>
      </c>
      <c r="C133" s="133">
        <v>34022</v>
      </c>
      <c r="D133" s="133"/>
      <c r="E133" s="133"/>
      <c r="F133" s="133"/>
      <c r="G133" s="133"/>
      <c r="H133" s="20"/>
      <c r="I133" s="20"/>
    </row>
    <row r="134" spans="1:9" ht="14.25" customHeight="1" x14ac:dyDescent="0.35">
      <c r="A134" s="130" t="s">
        <v>270</v>
      </c>
      <c r="B134" s="131" t="s">
        <v>52</v>
      </c>
      <c r="C134" s="131">
        <v>23099</v>
      </c>
      <c r="D134" s="131"/>
      <c r="E134" s="131"/>
      <c r="F134" s="131"/>
      <c r="G134" s="131"/>
      <c r="H134" s="20"/>
      <c r="I134" s="20"/>
    </row>
    <row r="135" spans="1:9" ht="14.25" customHeight="1" x14ac:dyDescent="0.35">
      <c r="A135" s="132" t="s">
        <v>122</v>
      </c>
      <c r="B135" s="133" t="s">
        <v>50</v>
      </c>
      <c r="C135" s="133">
        <v>45068</v>
      </c>
      <c r="D135" s="133"/>
      <c r="E135" s="133"/>
      <c r="F135" s="133"/>
      <c r="G135" s="133"/>
      <c r="H135" s="20"/>
      <c r="I135" s="20"/>
    </row>
    <row r="136" spans="1:9" ht="14.25" customHeight="1" x14ac:dyDescent="0.35">
      <c r="A136" s="130" t="s">
        <v>158</v>
      </c>
      <c r="B136" s="131" t="s">
        <v>55</v>
      </c>
      <c r="C136" s="131">
        <v>34023</v>
      </c>
      <c r="D136" s="131"/>
      <c r="E136" s="131"/>
      <c r="F136" s="131"/>
      <c r="G136" s="131"/>
      <c r="H136" s="20"/>
      <c r="I136" s="20"/>
    </row>
    <row r="137" spans="1:9" ht="14.25" customHeight="1" x14ac:dyDescent="0.35">
      <c r="A137" s="132" t="s">
        <v>218</v>
      </c>
      <c r="B137" s="133" t="s">
        <v>48</v>
      </c>
      <c r="C137" s="133">
        <v>13053</v>
      </c>
      <c r="D137" s="133"/>
      <c r="E137" s="133"/>
      <c r="F137" s="133"/>
      <c r="G137" s="133"/>
      <c r="H137" s="20"/>
      <c r="I137" s="20"/>
    </row>
    <row r="138" spans="1:9" ht="14.25" customHeight="1" x14ac:dyDescent="0.35">
      <c r="A138" s="130" t="s">
        <v>155</v>
      </c>
      <c r="B138" s="131" t="s">
        <v>50</v>
      </c>
      <c r="C138" s="131">
        <v>42010</v>
      </c>
      <c r="D138" s="131"/>
      <c r="E138" s="131"/>
      <c r="F138" s="131"/>
      <c r="G138" s="131"/>
      <c r="H138" s="20"/>
      <c r="I138" s="20"/>
    </row>
    <row r="139" spans="1:9" ht="14.25" customHeight="1" x14ac:dyDescent="0.35">
      <c r="A139" s="132" t="s">
        <v>295</v>
      </c>
      <c r="B139" s="133" t="s">
        <v>59</v>
      </c>
      <c r="C139" s="133">
        <v>73042</v>
      </c>
      <c r="D139" s="133"/>
      <c r="E139" s="133"/>
      <c r="F139" s="133"/>
      <c r="G139" s="133"/>
      <c r="H139" s="20"/>
      <c r="I139" s="20"/>
    </row>
    <row r="140" spans="1:9" ht="14.25" customHeight="1" x14ac:dyDescent="0.35">
      <c r="A140" s="130" t="s">
        <v>81</v>
      </c>
      <c r="B140" s="131" t="s">
        <v>52</v>
      </c>
      <c r="C140" s="131">
        <v>24059</v>
      </c>
      <c r="D140" s="131"/>
      <c r="E140" s="131"/>
      <c r="F140" s="131"/>
      <c r="G140" s="131"/>
      <c r="H140" s="20"/>
      <c r="I140" s="20"/>
    </row>
    <row r="141" spans="1:9" ht="14.25" customHeight="1" x14ac:dyDescent="0.35">
      <c r="A141" s="132" t="s">
        <v>253</v>
      </c>
      <c r="B141" s="133" t="s">
        <v>55</v>
      </c>
      <c r="C141" s="133">
        <v>33040</v>
      </c>
      <c r="D141" s="133"/>
      <c r="E141" s="133"/>
      <c r="F141" s="133"/>
      <c r="G141" s="133"/>
      <c r="H141" s="20"/>
      <c r="I141" s="20"/>
    </row>
    <row r="142" spans="1:9" ht="14.25" customHeight="1" x14ac:dyDescent="0.35">
      <c r="A142" s="130" t="s">
        <v>114</v>
      </c>
      <c r="B142" s="131" t="s">
        <v>50</v>
      </c>
      <c r="C142" s="131">
        <v>42011</v>
      </c>
      <c r="D142" s="131"/>
      <c r="E142" s="131"/>
      <c r="F142" s="131"/>
      <c r="G142" s="131"/>
      <c r="H142" s="20"/>
      <c r="I142" s="20"/>
    </row>
    <row r="143" spans="1:9" ht="14.25" customHeight="1" x14ac:dyDescent="0.35">
      <c r="A143" s="132" t="s">
        <v>179</v>
      </c>
      <c r="B143" s="133" t="s">
        <v>50</v>
      </c>
      <c r="C143" s="133">
        <v>41034</v>
      </c>
      <c r="D143" s="133"/>
      <c r="E143" s="133"/>
      <c r="F143" s="133"/>
      <c r="G143" s="133"/>
      <c r="H143" s="20"/>
      <c r="I143" s="20"/>
    </row>
    <row r="144" spans="1:9" ht="14.25" customHeight="1" x14ac:dyDescent="0.35">
      <c r="A144" s="130" t="s">
        <v>171</v>
      </c>
      <c r="B144" s="131" t="s">
        <v>55</v>
      </c>
      <c r="C144" s="131">
        <v>36010</v>
      </c>
      <c r="D144" s="131"/>
      <c r="E144" s="131"/>
      <c r="F144" s="131"/>
      <c r="G144" s="131"/>
      <c r="H144" s="20"/>
      <c r="I144" s="20"/>
    </row>
    <row r="145" spans="1:9" ht="14.25" customHeight="1" x14ac:dyDescent="0.35">
      <c r="A145" s="132" t="s">
        <v>320</v>
      </c>
      <c r="B145" s="133" t="s">
        <v>55</v>
      </c>
      <c r="C145" s="133">
        <v>34025</v>
      </c>
      <c r="D145" s="133"/>
      <c r="E145" s="133"/>
      <c r="F145" s="133"/>
      <c r="G145" s="133"/>
      <c r="H145" s="20"/>
      <c r="I145" s="20"/>
    </row>
    <row r="146" spans="1:9" ht="14.25" customHeight="1" x14ac:dyDescent="0.35">
      <c r="A146" s="130" t="s">
        <v>257</v>
      </c>
      <c r="B146" s="131" t="s">
        <v>52</v>
      </c>
      <c r="C146" s="131">
        <v>23104</v>
      </c>
      <c r="D146" s="131"/>
      <c r="E146" s="131"/>
      <c r="F146" s="131"/>
      <c r="G146" s="131"/>
      <c r="H146" s="20"/>
      <c r="I146" s="20"/>
    </row>
    <row r="147" spans="1:9" ht="14.25" customHeight="1" x14ac:dyDescent="0.35">
      <c r="A147" s="132" t="s">
        <v>308</v>
      </c>
      <c r="B147" s="133" t="s">
        <v>59</v>
      </c>
      <c r="C147" s="133">
        <v>71034</v>
      </c>
      <c r="D147" s="133"/>
      <c r="E147" s="133"/>
      <c r="F147" s="133"/>
      <c r="G147" s="133"/>
      <c r="H147" s="20"/>
      <c r="I147" s="20"/>
    </row>
    <row r="148" spans="1:9" ht="14.25" customHeight="1" x14ac:dyDescent="0.35">
      <c r="A148" s="130" t="s">
        <v>51</v>
      </c>
      <c r="B148" s="131" t="s">
        <v>52</v>
      </c>
      <c r="C148" s="131">
        <v>24062</v>
      </c>
      <c r="D148" s="131"/>
      <c r="E148" s="131"/>
      <c r="F148" s="131"/>
      <c r="G148" s="131"/>
      <c r="H148" s="20"/>
      <c r="I148" s="20"/>
    </row>
    <row r="149" spans="1:9" ht="14.25" customHeight="1" x14ac:dyDescent="0.35">
      <c r="A149" s="132" t="s">
        <v>198</v>
      </c>
      <c r="B149" s="133" t="s">
        <v>55</v>
      </c>
      <c r="C149" s="133">
        <v>36011</v>
      </c>
      <c r="D149" s="133"/>
      <c r="E149" s="133"/>
      <c r="F149" s="133"/>
      <c r="G149" s="133"/>
      <c r="H149" s="20"/>
      <c r="I149" s="20"/>
    </row>
    <row r="150" spans="1:9" ht="14.25" customHeight="1" x14ac:dyDescent="0.35">
      <c r="A150" s="130" t="s">
        <v>334</v>
      </c>
      <c r="B150" s="131" t="s">
        <v>52</v>
      </c>
      <c r="C150" s="131">
        <v>23044</v>
      </c>
      <c r="D150" s="131"/>
      <c r="E150" s="131"/>
      <c r="F150" s="131"/>
      <c r="G150" s="131"/>
      <c r="H150" s="20"/>
      <c r="I150" s="20"/>
    </row>
    <row r="151" spans="1:9" ht="14.25" customHeight="1" x14ac:dyDescent="0.35">
      <c r="A151" s="132" t="s">
        <v>68</v>
      </c>
      <c r="B151" s="133" t="s">
        <v>48</v>
      </c>
      <c r="C151" s="133">
        <v>12021</v>
      </c>
      <c r="D151" s="133"/>
      <c r="E151" s="133"/>
      <c r="F151" s="133"/>
      <c r="G151" s="133"/>
      <c r="H151" s="20"/>
      <c r="I151" s="20"/>
    </row>
    <row r="152" spans="1:9" ht="14.25" customHeight="1" x14ac:dyDescent="0.35">
      <c r="A152" s="130" t="s">
        <v>248</v>
      </c>
      <c r="B152" s="131" t="s">
        <v>50</v>
      </c>
      <c r="C152" s="131">
        <v>45063</v>
      </c>
      <c r="D152" s="131"/>
      <c r="E152" s="131"/>
      <c r="F152" s="131"/>
      <c r="G152" s="131"/>
      <c r="H152" s="20"/>
      <c r="I152" s="20"/>
    </row>
    <row r="153" spans="1:9" ht="14.25" customHeight="1" x14ac:dyDescent="0.35">
      <c r="A153" s="132" t="s">
        <v>82</v>
      </c>
      <c r="B153" s="133" t="s">
        <v>50</v>
      </c>
      <c r="C153" s="133">
        <v>44085</v>
      </c>
      <c r="D153" s="133"/>
      <c r="E153" s="133"/>
      <c r="F153" s="133"/>
      <c r="G153" s="133"/>
      <c r="H153" s="20"/>
      <c r="I153" s="20"/>
    </row>
    <row r="154" spans="1:9" ht="14.25" customHeight="1" x14ac:dyDescent="0.35">
      <c r="A154" s="130" t="s">
        <v>161</v>
      </c>
      <c r="B154" s="131" t="s">
        <v>48</v>
      </c>
      <c r="C154" s="131">
        <v>13019</v>
      </c>
      <c r="D154" s="131"/>
      <c r="E154" s="131"/>
      <c r="F154" s="131"/>
      <c r="G154" s="131"/>
      <c r="H154" s="20"/>
      <c r="I154" s="20"/>
    </row>
    <row r="155" spans="1:9" ht="14.25" customHeight="1" x14ac:dyDescent="0.35">
      <c r="A155" s="132" t="s">
        <v>319</v>
      </c>
      <c r="B155" s="133" t="s">
        <v>52</v>
      </c>
      <c r="C155" s="133">
        <v>23100</v>
      </c>
      <c r="D155" s="133"/>
      <c r="E155" s="133"/>
      <c r="F155" s="133"/>
      <c r="G155" s="133"/>
      <c r="H155" s="20"/>
      <c r="I155" s="20"/>
    </row>
    <row r="156" spans="1:9" ht="14.25" customHeight="1" x14ac:dyDescent="0.35">
      <c r="A156" s="130" t="s">
        <v>254</v>
      </c>
      <c r="B156" s="131" t="s">
        <v>48</v>
      </c>
      <c r="C156" s="131">
        <v>11025</v>
      </c>
      <c r="D156" s="131"/>
      <c r="E156" s="131"/>
      <c r="F156" s="131"/>
      <c r="G156" s="131"/>
      <c r="H156" s="20"/>
      <c r="I156" s="20"/>
    </row>
    <row r="157" spans="1:9" ht="14.25" customHeight="1" x14ac:dyDescent="0.35">
      <c r="A157" s="132" t="s">
        <v>193</v>
      </c>
      <c r="B157" s="133" t="s">
        <v>52</v>
      </c>
      <c r="C157" s="133">
        <v>24133</v>
      </c>
      <c r="D157" s="133"/>
      <c r="E157" s="133"/>
      <c r="F157" s="133"/>
      <c r="G157" s="133"/>
      <c r="H157" s="20"/>
      <c r="I157" s="20"/>
    </row>
    <row r="158" spans="1:9" ht="14.25" customHeight="1" x14ac:dyDescent="0.35">
      <c r="A158" s="130" t="s">
        <v>239</v>
      </c>
      <c r="B158" s="131" t="s">
        <v>55</v>
      </c>
      <c r="C158" s="131">
        <v>32030</v>
      </c>
      <c r="D158" s="131"/>
      <c r="E158" s="131"/>
      <c r="F158" s="131"/>
      <c r="G158" s="131"/>
      <c r="H158" s="20"/>
      <c r="I158" s="20"/>
    </row>
    <row r="159" spans="1:9" ht="14.25" customHeight="1" x14ac:dyDescent="0.35">
      <c r="A159" s="132" t="s">
        <v>233</v>
      </c>
      <c r="B159" s="133" t="s">
        <v>50</v>
      </c>
      <c r="C159" s="133">
        <v>44034</v>
      </c>
      <c r="D159" s="133"/>
      <c r="E159" s="133"/>
      <c r="F159" s="133"/>
      <c r="G159" s="133"/>
      <c r="H159" s="20"/>
      <c r="I159" s="20"/>
    </row>
    <row r="160" spans="1:9" ht="14.25" customHeight="1" x14ac:dyDescent="0.35">
      <c r="A160" s="130" t="s">
        <v>72</v>
      </c>
      <c r="B160" s="131" t="s">
        <v>50</v>
      </c>
      <c r="C160" s="131">
        <v>46014</v>
      </c>
      <c r="D160" s="131"/>
      <c r="E160" s="131"/>
      <c r="F160" s="131"/>
      <c r="G160" s="131"/>
      <c r="H160" s="20"/>
      <c r="I160" s="20"/>
    </row>
    <row r="161" spans="1:9" ht="14.25" customHeight="1" x14ac:dyDescent="0.35">
      <c r="A161" s="132" t="s">
        <v>126</v>
      </c>
      <c r="B161" s="133" t="s">
        <v>59</v>
      </c>
      <c r="C161" s="133">
        <v>72020</v>
      </c>
      <c r="D161" s="133"/>
      <c r="E161" s="133"/>
      <c r="F161" s="133"/>
      <c r="G161" s="133"/>
      <c r="H161" s="20"/>
      <c r="I161" s="20"/>
    </row>
    <row r="162" spans="1:9" ht="14.25" customHeight="1" x14ac:dyDescent="0.35">
      <c r="A162" s="130" t="s">
        <v>283</v>
      </c>
      <c r="B162" s="131" t="s">
        <v>52</v>
      </c>
      <c r="C162" s="131">
        <v>23045</v>
      </c>
      <c r="D162" s="131"/>
      <c r="E162" s="131"/>
      <c r="F162" s="131"/>
      <c r="G162" s="131"/>
      <c r="H162" s="20"/>
      <c r="I162" s="20"/>
    </row>
    <row r="163" spans="1:9" ht="14.25" customHeight="1" x14ac:dyDescent="0.35">
      <c r="A163" s="132" t="s">
        <v>139</v>
      </c>
      <c r="B163" s="133" t="s">
        <v>52</v>
      </c>
      <c r="C163" s="133">
        <v>24066</v>
      </c>
      <c r="D163" s="133"/>
      <c r="E163" s="133"/>
      <c r="F163" s="133"/>
      <c r="G163" s="133"/>
      <c r="H163" s="20"/>
      <c r="I163" s="20"/>
    </row>
    <row r="164" spans="1:9" ht="14.25" customHeight="1" x14ac:dyDescent="0.35">
      <c r="A164" s="130" t="s">
        <v>286</v>
      </c>
      <c r="B164" s="131" t="s">
        <v>59</v>
      </c>
      <c r="C164" s="131">
        <v>71037</v>
      </c>
      <c r="D164" s="131"/>
      <c r="E164" s="131"/>
      <c r="F164" s="131"/>
      <c r="G164" s="131"/>
      <c r="H164" s="20"/>
      <c r="I164" s="20"/>
    </row>
    <row r="165" spans="1:9" ht="14.25" customHeight="1" x14ac:dyDescent="0.35">
      <c r="A165" s="132" t="s">
        <v>244</v>
      </c>
      <c r="B165" s="133" t="s">
        <v>50</v>
      </c>
      <c r="C165" s="133">
        <v>45064</v>
      </c>
      <c r="D165" s="133"/>
      <c r="E165" s="133"/>
      <c r="F165" s="133"/>
      <c r="G165" s="133"/>
      <c r="H165" s="20"/>
      <c r="I165" s="20"/>
    </row>
    <row r="166" spans="1:9" ht="14.25" customHeight="1" x14ac:dyDescent="0.35">
      <c r="A166" s="130" t="s">
        <v>211</v>
      </c>
      <c r="B166" s="131" t="s">
        <v>59</v>
      </c>
      <c r="C166" s="131">
        <v>72021</v>
      </c>
      <c r="D166" s="131"/>
      <c r="E166" s="131"/>
      <c r="F166" s="131"/>
      <c r="G166" s="131"/>
      <c r="H166" s="20"/>
      <c r="I166" s="20"/>
    </row>
    <row r="167" spans="1:9" ht="14.25" customHeight="1" x14ac:dyDescent="0.35">
      <c r="A167" s="132" t="s">
        <v>229</v>
      </c>
      <c r="B167" s="133" t="s">
        <v>59</v>
      </c>
      <c r="C167" s="133">
        <v>73107</v>
      </c>
      <c r="D167" s="133"/>
      <c r="E167" s="133"/>
      <c r="F167" s="133"/>
      <c r="G167" s="133"/>
      <c r="H167" s="20"/>
      <c r="I167" s="20"/>
    </row>
    <row r="168" spans="1:9" ht="14.25" customHeight="1" x14ac:dyDescent="0.35">
      <c r="A168" s="130" t="s">
        <v>278</v>
      </c>
      <c r="B168" s="131" t="s">
        <v>52</v>
      </c>
      <c r="C168" s="131">
        <v>23047</v>
      </c>
      <c r="D168" s="131"/>
      <c r="E168" s="131"/>
      <c r="F168" s="131"/>
      <c r="G168" s="131"/>
      <c r="H168" s="20"/>
      <c r="I168" s="20"/>
    </row>
    <row r="169" spans="1:9" ht="14.25" customHeight="1" x14ac:dyDescent="0.35">
      <c r="A169" s="132" t="s">
        <v>165</v>
      </c>
      <c r="B169" s="133" t="s">
        <v>50</v>
      </c>
      <c r="C169" s="133">
        <v>43010</v>
      </c>
      <c r="D169" s="133"/>
      <c r="E169" s="133"/>
      <c r="F169" s="133"/>
      <c r="G169" s="133"/>
      <c r="H169" s="20"/>
      <c r="I169" s="20"/>
    </row>
    <row r="170" spans="1:9" ht="14.25" customHeight="1" x14ac:dyDescent="0.35">
      <c r="A170" s="130" t="s">
        <v>178</v>
      </c>
      <c r="B170" s="131" t="s">
        <v>48</v>
      </c>
      <c r="C170" s="131">
        <v>11057</v>
      </c>
      <c r="D170" s="131"/>
      <c r="E170" s="131"/>
      <c r="F170" s="131"/>
      <c r="G170" s="131"/>
      <c r="H170" s="20"/>
      <c r="I170" s="20"/>
    </row>
    <row r="171" spans="1:9" ht="14.25" customHeight="1" x14ac:dyDescent="0.35">
      <c r="A171" s="132" t="s">
        <v>53</v>
      </c>
      <c r="B171" s="133" t="s">
        <v>48</v>
      </c>
      <c r="C171" s="133">
        <v>12025</v>
      </c>
      <c r="D171" s="133"/>
      <c r="E171" s="133"/>
      <c r="F171" s="133"/>
      <c r="G171" s="133"/>
      <c r="H171" s="20"/>
      <c r="I171" s="20"/>
    </row>
    <row r="172" spans="1:9" ht="14.25" customHeight="1" x14ac:dyDescent="0.35">
      <c r="A172" s="130" t="s">
        <v>172</v>
      </c>
      <c r="B172" s="131" t="s">
        <v>48</v>
      </c>
      <c r="C172" s="131">
        <v>13021</v>
      </c>
      <c r="D172" s="131"/>
      <c r="E172" s="131"/>
      <c r="F172" s="131"/>
      <c r="G172" s="131"/>
      <c r="H172" s="20"/>
      <c r="I172" s="20"/>
    </row>
    <row r="173" spans="1:9" ht="14.25" customHeight="1" x14ac:dyDescent="0.35">
      <c r="A173" s="132" t="s">
        <v>287</v>
      </c>
      <c r="B173" s="133" t="s">
        <v>52</v>
      </c>
      <c r="C173" s="133">
        <v>23050</v>
      </c>
      <c r="D173" s="133"/>
      <c r="E173" s="133"/>
      <c r="F173" s="133"/>
      <c r="G173" s="133"/>
      <c r="H173" s="20"/>
      <c r="I173" s="20"/>
    </row>
    <row r="174" spans="1:9" ht="14.25" customHeight="1" x14ac:dyDescent="0.35">
      <c r="A174" s="130" t="s">
        <v>130</v>
      </c>
      <c r="B174" s="131" t="s">
        <v>55</v>
      </c>
      <c r="C174" s="131">
        <v>34027</v>
      </c>
      <c r="D174" s="131"/>
      <c r="E174" s="131"/>
      <c r="F174" s="131"/>
      <c r="G174" s="131"/>
      <c r="H174" s="20"/>
      <c r="I174" s="20"/>
    </row>
    <row r="175" spans="1:9" ht="14.25" customHeight="1" x14ac:dyDescent="0.35">
      <c r="A175" s="132" t="s">
        <v>281</v>
      </c>
      <c r="B175" s="133" t="s">
        <v>52</v>
      </c>
      <c r="C175" s="133">
        <v>23052</v>
      </c>
      <c r="D175" s="133"/>
      <c r="E175" s="133"/>
      <c r="F175" s="133"/>
      <c r="G175" s="133"/>
      <c r="H175" s="20"/>
      <c r="I175" s="20"/>
    </row>
    <row r="176" spans="1:9" ht="14.25" customHeight="1" x14ac:dyDescent="0.35">
      <c r="A176" s="130" t="s">
        <v>60</v>
      </c>
      <c r="B176" s="131" t="s">
        <v>50</v>
      </c>
      <c r="C176" s="131">
        <v>44043</v>
      </c>
      <c r="D176" s="131">
        <v>2</v>
      </c>
      <c r="E176" s="131">
        <v>2</v>
      </c>
      <c r="F176" s="131"/>
      <c r="G176" s="131"/>
      <c r="H176" s="20"/>
      <c r="I176" s="20"/>
    </row>
    <row r="177" spans="1:9" ht="14.25" customHeight="1" x14ac:dyDescent="0.35">
      <c r="A177" s="132" t="s">
        <v>197</v>
      </c>
      <c r="B177" s="133" t="s">
        <v>48</v>
      </c>
      <c r="C177" s="133">
        <v>13023</v>
      </c>
      <c r="D177" s="133"/>
      <c r="E177" s="133"/>
      <c r="F177" s="133"/>
      <c r="G177" s="133"/>
      <c r="H177" s="20"/>
      <c r="I177" s="20"/>
    </row>
    <row r="178" spans="1:9" ht="14.25" customHeight="1" x14ac:dyDescent="0.35">
      <c r="A178" s="130" t="s">
        <v>238</v>
      </c>
      <c r="B178" s="131" t="s">
        <v>55</v>
      </c>
      <c r="C178" s="131">
        <v>33016</v>
      </c>
      <c r="D178" s="131"/>
      <c r="E178" s="131"/>
      <c r="F178" s="131"/>
      <c r="G178" s="131"/>
      <c r="H178" s="20"/>
      <c r="I178" s="20"/>
    </row>
    <row r="179" spans="1:9" ht="14.25" customHeight="1" x14ac:dyDescent="0.35">
      <c r="A179" s="132" t="s">
        <v>225</v>
      </c>
      <c r="B179" s="133" t="s">
        <v>55</v>
      </c>
      <c r="C179" s="133">
        <v>35011</v>
      </c>
      <c r="D179" s="133"/>
      <c r="E179" s="133"/>
      <c r="F179" s="133"/>
      <c r="G179" s="133"/>
      <c r="H179" s="20"/>
      <c r="I179" s="20"/>
    </row>
    <row r="180" spans="1:9" ht="14.25" customHeight="1" x14ac:dyDescent="0.35">
      <c r="A180" s="130" t="s">
        <v>145</v>
      </c>
      <c r="B180" s="131" t="s">
        <v>48</v>
      </c>
      <c r="C180" s="131">
        <v>13025</v>
      </c>
      <c r="D180" s="131"/>
      <c r="E180" s="131"/>
      <c r="F180" s="131"/>
      <c r="G180" s="131"/>
      <c r="H180" s="20"/>
      <c r="I180" s="20"/>
    </row>
    <row r="181" spans="1:9" ht="14.25" customHeight="1" x14ac:dyDescent="0.35">
      <c r="A181" s="132" t="s">
        <v>174</v>
      </c>
      <c r="B181" s="133" t="s">
        <v>55</v>
      </c>
      <c r="C181" s="133">
        <v>36012</v>
      </c>
      <c r="D181" s="133"/>
      <c r="E181" s="133"/>
      <c r="F181" s="133"/>
      <c r="G181" s="133"/>
      <c r="H181" s="20"/>
      <c r="I181" s="20"/>
    </row>
    <row r="182" spans="1:9" ht="14.25" customHeight="1" x14ac:dyDescent="0.35">
      <c r="A182" s="130" t="s">
        <v>66</v>
      </c>
      <c r="B182" s="131" t="s">
        <v>48</v>
      </c>
      <c r="C182" s="131">
        <v>11029</v>
      </c>
      <c r="D182" s="131">
        <v>2</v>
      </c>
      <c r="E182" s="131">
        <v>2</v>
      </c>
      <c r="F182" s="131">
        <v>2</v>
      </c>
      <c r="G182" s="131">
        <v>2</v>
      </c>
      <c r="H182" s="20"/>
      <c r="I182" s="20"/>
    </row>
    <row r="183" spans="1:9" ht="14.25" customHeight="1" x14ac:dyDescent="0.35">
      <c r="A183" s="132" t="s">
        <v>75</v>
      </c>
      <c r="B183" s="133" t="s">
        <v>50</v>
      </c>
      <c r="C183" s="133">
        <v>44048</v>
      </c>
      <c r="D183" s="133"/>
      <c r="E183" s="133"/>
      <c r="F183" s="133"/>
      <c r="G183" s="133"/>
      <c r="H183" s="20"/>
      <c r="I183" s="20"/>
    </row>
    <row r="184" spans="1:9" ht="14.25" customHeight="1" x14ac:dyDescent="0.35">
      <c r="A184" s="130" t="s">
        <v>203</v>
      </c>
      <c r="B184" s="131" t="s">
        <v>48</v>
      </c>
      <c r="C184" s="131">
        <v>11030</v>
      </c>
      <c r="D184" s="131"/>
      <c r="E184" s="131"/>
      <c r="F184" s="131"/>
      <c r="G184" s="131"/>
      <c r="H184" s="20"/>
      <c r="I184" s="20"/>
    </row>
    <row r="185" spans="1:9" ht="14.25" customHeight="1" x14ac:dyDescent="0.35">
      <c r="A185" s="132" t="s">
        <v>299</v>
      </c>
      <c r="B185" s="133" t="s">
        <v>59</v>
      </c>
      <c r="C185" s="133">
        <v>71045</v>
      </c>
      <c r="D185" s="133"/>
      <c r="E185" s="133"/>
      <c r="F185" s="133"/>
      <c r="G185" s="133"/>
      <c r="H185" s="20"/>
      <c r="I185" s="20"/>
    </row>
    <row r="186" spans="1:9" ht="14.25" customHeight="1" x14ac:dyDescent="0.35">
      <c r="A186" s="130" t="s">
        <v>152</v>
      </c>
      <c r="B186" s="131" t="s">
        <v>55</v>
      </c>
      <c r="C186" s="131">
        <v>38016</v>
      </c>
      <c r="D186" s="131"/>
      <c r="E186" s="131"/>
      <c r="F186" s="131"/>
      <c r="G186" s="131"/>
      <c r="H186" s="20"/>
      <c r="I186" s="20"/>
    </row>
    <row r="187" spans="1:9" ht="14.25" customHeight="1" x14ac:dyDescent="0.35">
      <c r="A187" s="132" t="s">
        <v>124</v>
      </c>
      <c r="B187" s="133" t="s">
        <v>48</v>
      </c>
      <c r="C187" s="133">
        <v>12026</v>
      </c>
      <c r="D187" s="133"/>
      <c r="E187" s="133"/>
      <c r="F187" s="133"/>
      <c r="G187" s="133"/>
      <c r="H187" s="20"/>
      <c r="I187" s="20"/>
    </row>
    <row r="188" spans="1:9" ht="14.25" customHeight="1" x14ac:dyDescent="0.35">
      <c r="A188" s="130" t="s">
        <v>236</v>
      </c>
      <c r="B188" s="131" t="s">
        <v>50</v>
      </c>
      <c r="C188" s="131">
        <v>41048</v>
      </c>
      <c r="D188" s="131"/>
      <c r="E188" s="131"/>
      <c r="F188" s="131"/>
      <c r="G188" s="131"/>
      <c r="H188" s="20"/>
      <c r="I188" s="20"/>
    </row>
    <row r="189" spans="1:9" ht="14.25" customHeight="1" x14ac:dyDescent="0.35">
      <c r="A189" s="132" t="s">
        <v>330</v>
      </c>
      <c r="B189" s="133" t="s">
        <v>48</v>
      </c>
      <c r="C189" s="133">
        <v>13029</v>
      </c>
      <c r="D189" s="133"/>
      <c r="E189" s="133"/>
      <c r="F189" s="133"/>
      <c r="G189" s="133"/>
      <c r="H189" s="20"/>
      <c r="I189" s="20"/>
    </row>
    <row r="190" spans="1:9" ht="14.25" customHeight="1" x14ac:dyDescent="0.35">
      <c r="A190" s="130" t="s">
        <v>64</v>
      </c>
      <c r="B190" s="131" t="s">
        <v>55</v>
      </c>
      <c r="C190" s="131">
        <v>35013</v>
      </c>
      <c r="D190" s="131"/>
      <c r="E190" s="131"/>
      <c r="F190" s="131"/>
      <c r="G190" s="131"/>
      <c r="H190" s="20"/>
      <c r="I190" s="20"/>
    </row>
    <row r="191" spans="1:9" ht="14.25" customHeight="1" x14ac:dyDescent="0.35">
      <c r="A191" s="132" t="s">
        <v>121</v>
      </c>
      <c r="B191" s="133" t="s">
        <v>50</v>
      </c>
      <c r="C191" s="133">
        <v>44052</v>
      </c>
      <c r="D191" s="133"/>
      <c r="E191" s="133"/>
      <c r="F191" s="133"/>
      <c r="G191" s="133"/>
      <c r="H191" s="20"/>
      <c r="I191" s="20"/>
    </row>
    <row r="192" spans="1:9" ht="14.25" customHeight="1" x14ac:dyDescent="0.35">
      <c r="A192" s="130" t="s">
        <v>79</v>
      </c>
      <c r="B192" s="131" t="s">
        <v>55</v>
      </c>
      <c r="C192" s="131">
        <v>31022</v>
      </c>
      <c r="D192" s="131">
        <v>3</v>
      </c>
      <c r="E192" s="131">
        <v>3</v>
      </c>
      <c r="F192" s="131">
        <v>3</v>
      </c>
      <c r="G192" s="131">
        <v>3</v>
      </c>
      <c r="H192" s="20"/>
      <c r="I192" s="20"/>
    </row>
    <row r="193" spans="1:9" ht="14.25" customHeight="1" x14ac:dyDescent="0.35">
      <c r="A193" s="132" t="s">
        <v>194</v>
      </c>
      <c r="B193" s="133" t="s">
        <v>55</v>
      </c>
      <c r="C193" s="133">
        <v>37010</v>
      </c>
      <c r="D193" s="133"/>
      <c r="E193" s="133"/>
      <c r="F193" s="133"/>
      <c r="G193" s="133"/>
      <c r="H193" s="20"/>
      <c r="I193" s="20"/>
    </row>
    <row r="194" spans="1:9" ht="14.25" customHeight="1" x14ac:dyDescent="0.35">
      <c r="A194" s="130" t="s">
        <v>214</v>
      </c>
      <c r="B194" s="131" t="s">
        <v>52</v>
      </c>
      <c r="C194" s="131">
        <v>23060</v>
      </c>
      <c r="D194" s="131"/>
      <c r="E194" s="131"/>
      <c r="F194" s="131"/>
      <c r="G194" s="131"/>
      <c r="H194" s="20"/>
      <c r="I194" s="20"/>
    </row>
    <row r="195" spans="1:9" ht="14.25" customHeight="1" x14ac:dyDescent="0.35">
      <c r="A195" s="132" t="s">
        <v>110</v>
      </c>
      <c r="B195" s="133" t="s">
        <v>52</v>
      </c>
      <c r="C195" s="133">
        <v>24086</v>
      </c>
      <c r="D195" s="133"/>
      <c r="E195" s="133"/>
      <c r="F195" s="133"/>
      <c r="G195" s="133"/>
      <c r="H195" s="20"/>
      <c r="I195" s="20"/>
    </row>
    <row r="196" spans="1:9" ht="14.25" customHeight="1" x14ac:dyDescent="0.35">
      <c r="A196" s="130" t="s">
        <v>159</v>
      </c>
      <c r="B196" s="131" t="s">
        <v>48</v>
      </c>
      <c r="C196" s="131">
        <v>13031</v>
      </c>
      <c r="D196" s="131"/>
      <c r="E196" s="131"/>
      <c r="F196" s="131"/>
      <c r="G196" s="131"/>
      <c r="H196" s="20"/>
      <c r="I196" s="20"/>
    </row>
    <row r="197" spans="1:9" ht="14.25" customHeight="1" x14ac:dyDescent="0.35">
      <c r="A197" s="132" t="s">
        <v>77</v>
      </c>
      <c r="B197" s="133" t="s">
        <v>50</v>
      </c>
      <c r="C197" s="133">
        <v>45035</v>
      </c>
      <c r="D197" s="133"/>
      <c r="E197" s="133"/>
      <c r="F197" s="133"/>
      <c r="G197" s="133"/>
      <c r="H197" s="20"/>
      <c r="I197" s="20"/>
    </row>
    <row r="198" spans="1:9" ht="14.25" customHeight="1" x14ac:dyDescent="0.35">
      <c r="A198" s="130" t="s">
        <v>200</v>
      </c>
      <c r="B198" s="131" t="s">
        <v>55</v>
      </c>
      <c r="C198" s="131">
        <v>35014</v>
      </c>
      <c r="D198" s="131"/>
      <c r="E198" s="131"/>
      <c r="F198" s="131"/>
      <c r="G198" s="131"/>
      <c r="H198" s="20"/>
      <c r="I198" s="20"/>
    </row>
    <row r="199" spans="1:9" ht="14.25" customHeight="1" x14ac:dyDescent="0.35">
      <c r="A199" s="132" t="s">
        <v>234</v>
      </c>
      <c r="B199" s="133" t="s">
        <v>59</v>
      </c>
      <c r="C199" s="133">
        <v>72042</v>
      </c>
      <c r="D199" s="133"/>
      <c r="E199" s="133"/>
      <c r="F199" s="133"/>
      <c r="G199" s="133"/>
      <c r="H199" s="20"/>
      <c r="I199" s="20"/>
    </row>
    <row r="200" spans="1:9" ht="14.25" customHeight="1" x14ac:dyDescent="0.35">
      <c r="A200" s="130" t="s">
        <v>230</v>
      </c>
      <c r="B200" s="131" t="s">
        <v>52</v>
      </c>
      <c r="C200" s="131">
        <v>23062</v>
      </c>
      <c r="D200" s="131"/>
      <c r="E200" s="131"/>
      <c r="F200" s="131"/>
      <c r="G200" s="131"/>
      <c r="H200" s="20"/>
      <c r="I200" s="20"/>
    </row>
    <row r="201" spans="1:9" ht="14.25" customHeight="1" x14ac:dyDescent="0.35">
      <c r="A201" s="132" t="s">
        <v>293</v>
      </c>
      <c r="B201" s="133" t="s">
        <v>52</v>
      </c>
      <c r="C201" s="133"/>
      <c r="D201" s="133"/>
      <c r="E201" s="133"/>
      <c r="F201" s="133"/>
      <c r="G201" s="133"/>
      <c r="H201" s="20"/>
      <c r="I201" s="20"/>
    </row>
    <row r="202" spans="1:9" ht="14.25" customHeight="1" x14ac:dyDescent="0.35">
      <c r="A202" s="130" t="s">
        <v>232</v>
      </c>
      <c r="B202" s="131" t="s">
        <v>59</v>
      </c>
      <c r="C202" s="131">
        <v>72030</v>
      </c>
      <c r="D202" s="131"/>
      <c r="E202" s="131"/>
      <c r="F202" s="131"/>
      <c r="G202" s="131"/>
      <c r="H202" s="20"/>
      <c r="I202" s="20"/>
    </row>
    <row r="203" spans="1:9" ht="14.25" customHeight="1" x14ac:dyDescent="0.35">
      <c r="A203" s="132" t="s">
        <v>310</v>
      </c>
      <c r="B203" s="133" t="s">
        <v>59</v>
      </c>
      <c r="C203" s="133">
        <v>72043</v>
      </c>
      <c r="D203" s="133"/>
      <c r="E203" s="133"/>
      <c r="F203" s="133"/>
      <c r="G203" s="133"/>
      <c r="H203" s="20"/>
      <c r="I203" s="20"/>
    </row>
    <row r="204" spans="1:9" ht="14.25" customHeight="1" x14ac:dyDescent="0.35">
      <c r="A204" s="130" t="s">
        <v>241</v>
      </c>
      <c r="B204" s="131" t="s">
        <v>52</v>
      </c>
      <c r="C204" s="131">
        <v>23064</v>
      </c>
      <c r="D204" s="131"/>
      <c r="E204" s="131"/>
      <c r="F204" s="131"/>
      <c r="G204" s="131"/>
      <c r="H204" s="20"/>
      <c r="I204" s="20"/>
    </row>
    <row r="205" spans="1:9" ht="14.25" customHeight="1" x14ac:dyDescent="0.35">
      <c r="A205" s="132" t="s">
        <v>251</v>
      </c>
      <c r="B205" s="133" t="s">
        <v>55</v>
      </c>
      <c r="C205" s="133">
        <v>37011</v>
      </c>
      <c r="D205" s="133"/>
      <c r="E205" s="133"/>
      <c r="F205" s="133"/>
      <c r="G205" s="133"/>
      <c r="H205" s="20"/>
      <c r="I205" s="20"/>
    </row>
    <row r="206" spans="1:9" ht="14.25" customHeight="1" x14ac:dyDescent="0.35">
      <c r="A206" s="130" t="s">
        <v>98</v>
      </c>
      <c r="B206" s="131" t="s">
        <v>55</v>
      </c>
      <c r="C206" s="131">
        <v>33021</v>
      </c>
      <c r="D206" s="131"/>
      <c r="E206" s="131"/>
      <c r="F206" s="131"/>
      <c r="G206" s="131"/>
      <c r="H206" s="20"/>
      <c r="I206" s="20"/>
    </row>
    <row r="207" spans="1:9" ht="14.25" customHeight="1" x14ac:dyDescent="0.35">
      <c r="A207" s="132" t="s">
        <v>282</v>
      </c>
      <c r="B207" s="133" t="s">
        <v>48</v>
      </c>
      <c r="C207" s="133">
        <v>12029</v>
      </c>
      <c r="D207" s="133"/>
      <c r="E207" s="133"/>
      <c r="F207" s="133"/>
      <c r="G207" s="133"/>
      <c r="H207" s="20"/>
      <c r="I207" s="20"/>
    </row>
    <row r="208" spans="1:9" ht="14.25" customHeight="1" x14ac:dyDescent="0.35">
      <c r="A208" s="130" t="s">
        <v>94</v>
      </c>
      <c r="B208" s="131" t="s">
        <v>48</v>
      </c>
      <c r="C208" s="131">
        <v>12041</v>
      </c>
      <c r="D208" s="131"/>
      <c r="E208" s="131"/>
      <c r="F208" s="131"/>
      <c r="G208" s="131"/>
      <c r="H208" s="20"/>
      <c r="I208" s="20"/>
    </row>
    <row r="209" spans="1:9" ht="14.25" customHeight="1" x14ac:dyDescent="0.35">
      <c r="A209" s="132" t="s">
        <v>284</v>
      </c>
      <c r="B209" s="133" t="s">
        <v>48</v>
      </c>
      <c r="C209" s="133">
        <v>11035</v>
      </c>
      <c r="D209" s="133"/>
      <c r="E209" s="133"/>
      <c r="F209" s="133"/>
      <c r="G209" s="133"/>
      <c r="H209" s="20"/>
      <c r="I209" s="20"/>
    </row>
    <row r="210" spans="1:9" ht="14.25" customHeight="1" x14ac:dyDescent="0.35">
      <c r="A210" s="130" t="s">
        <v>277</v>
      </c>
      <c r="B210" s="131" t="s">
        <v>48</v>
      </c>
      <c r="C210" s="131">
        <v>13035</v>
      </c>
      <c r="D210" s="131"/>
      <c r="E210" s="131"/>
      <c r="F210" s="131"/>
      <c r="G210" s="131"/>
      <c r="H210" s="20"/>
      <c r="I210" s="20"/>
    </row>
    <row r="211" spans="1:9" ht="14.25" customHeight="1" x14ac:dyDescent="0.35">
      <c r="A211" s="132" t="s">
        <v>204</v>
      </c>
      <c r="B211" s="133" t="s">
        <v>48</v>
      </c>
      <c r="C211" s="133">
        <v>13036</v>
      </c>
      <c r="D211" s="133"/>
      <c r="E211" s="133"/>
      <c r="F211" s="133"/>
      <c r="G211" s="133"/>
      <c r="H211" s="20"/>
      <c r="I211" s="20"/>
    </row>
    <row r="212" spans="1:9" ht="14.25" customHeight="1" x14ac:dyDescent="0.35">
      <c r="A212" s="130" t="s">
        <v>332</v>
      </c>
      <c r="B212" s="131" t="s">
        <v>59</v>
      </c>
      <c r="C212" s="131">
        <v>73066</v>
      </c>
      <c r="D212" s="131"/>
      <c r="E212" s="131"/>
      <c r="F212" s="131"/>
      <c r="G212" s="131"/>
      <c r="H212" s="20"/>
      <c r="I212" s="20"/>
    </row>
    <row r="213" spans="1:9" ht="14.25" customHeight="1" x14ac:dyDescent="0.35">
      <c r="A213" s="132" t="s">
        <v>267</v>
      </c>
      <c r="B213" s="133" t="s">
        <v>48</v>
      </c>
      <c r="C213" s="133">
        <v>13037</v>
      </c>
      <c r="D213" s="133"/>
      <c r="E213" s="133"/>
      <c r="F213" s="133"/>
      <c r="G213" s="133"/>
      <c r="H213" s="20"/>
      <c r="I213" s="20"/>
    </row>
    <row r="214" spans="1:9" ht="14.25" customHeight="1" x14ac:dyDescent="0.35">
      <c r="A214" s="130" t="s">
        <v>63</v>
      </c>
      <c r="B214" s="131" t="s">
        <v>55</v>
      </c>
      <c r="C214" s="131">
        <v>36015</v>
      </c>
      <c r="D214" s="131">
        <v>4</v>
      </c>
      <c r="E214" s="131">
        <v>4</v>
      </c>
      <c r="F214" s="131">
        <v>3</v>
      </c>
      <c r="G214" s="131">
        <v>3</v>
      </c>
      <c r="H214" s="20"/>
      <c r="I214" s="20"/>
    </row>
    <row r="215" spans="1:9" ht="14.25" customHeight="1" x14ac:dyDescent="0.35">
      <c r="A215" s="132" t="s">
        <v>141</v>
      </c>
      <c r="B215" s="133" t="s">
        <v>50</v>
      </c>
      <c r="C215" s="133">
        <v>45041</v>
      </c>
      <c r="D215" s="133"/>
      <c r="E215" s="133"/>
      <c r="F215" s="133"/>
      <c r="G215" s="133"/>
      <c r="H215" s="20"/>
      <c r="I215" s="20"/>
    </row>
    <row r="216" spans="1:9" ht="14.25" customHeight="1" x14ac:dyDescent="0.35">
      <c r="A216" s="130" t="s">
        <v>328</v>
      </c>
      <c r="B216" s="131" t="s">
        <v>52</v>
      </c>
      <c r="C216" s="131">
        <v>23097</v>
      </c>
      <c r="D216" s="131"/>
      <c r="E216" s="131"/>
      <c r="F216" s="131"/>
      <c r="G216" s="131"/>
      <c r="H216" s="20"/>
      <c r="I216" s="20"/>
    </row>
    <row r="217" spans="1:9" ht="14.25" customHeight="1" x14ac:dyDescent="0.35">
      <c r="A217" s="132" t="s">
        <v>78</v>
      </c>
      <c r="B217" s="133" t="s">
        <v>52</v>
      </c>
      <c r="C217" s="133">
        <v>24094</v>
      </c>
      <c r="D217" s="133"/>
      <c r="E217" s="133"/>
      <c r="F217" s="133"/>
      <c r="G217" s="133"/>
      <c r="H217" s="20"/>
      <c r="I217" s="20"/>
    </row>
    <row r="218" spans="1:9" ht="14.25" customHeight="1" x14ac:dyDescent="0.35">
      <c r="A218" s="130" t="s">
        <v>160</v>
      </c>
      <c r="B218" s="131" t="s">
        <v>48</v>
      </c>
      <c r="C218" s="131">
        <v>11037</v>
      </c>
      <c r="D218" s="131"/>
      <c r="E218" s="131"/>
      <c r="F218" s="131"/>
      <c r="G218" s="131"/>
      <c r="H218" s="20"/>
      <c r="I218" s="20"/>
    </row>
    <row r="219" spans="1:9" ht="14.25" customHeight="1" x14ac:dyDescent="0.35">
      <c r="A219" s="132" t="s">
        <v>169</v>
      </c>
      <c r="B219" s="133" t="s">
        <v>48</v>
      </c>
      <c r="C219" s="133">
        <v>11038</v>
      </c>
      <c r="D219" s="133"/>
      <c r="E219" s="133"/>
      <c r="F219" s="133"/>
      <c r="G219" s="133"/>
      <c r="H219" s="20"/>
      <c r="I219" s="20"/>
    </row>
    <row r="220" spans="1:9" ht="14.25" customHeight="1" x14ac:dyDescent="0.35">
      <c r="A220" s="130" t="s">
        <v>292</v>
      </c>
      <c r="B220" s="131" t="s">
        <v>52</v>
      </c>
      <c r="C220" s="131">
        <v>24134</v>
      </c>
      <c r="D220" s="131"/>
      <c r="E220" s="131"/>
      <c r="F220" s="131"/>
      <c r="G220" s="131"/>
      <c r="H220" s="20"/>
      <c r="I220" s="20"/>
    </row>
    <row r="221" spans="1:9" ht="14.25" customHeight="1" x14ac:dyDescent="0.35">
      <c r="A221" s="132" t="s">
        <v>311</v>
      </c>
      <c r="B221" s="133" t="s">
        <v>48</v>
      </c>
      <c r="C221" s="133">
        <v>11039</v>
      </c>
      <c r="D221" s="133"/>
      <c r="E221" s="133"/>
      <c r="F221" s="133"/>
      <c r="G221" s="133"/>
      <c r="H221" s="20"/>
      <c r="I221" s="20"/>
    </row>
    <row r="222" spans="1:9" ht="14.25" customHeight="1" x14ac:dyDescent="0.35">
      <c r="A222" s="130" t="s">
        <v>188</v>
      </c>
      <c r="B222" s="131" t="s">
        <v>48</v>
      </c>
      <c r="C222" s="131">
        <v>11040</v>
      </c>
      <c r="D222" s="131"/>
      <c r="E222" s="131"/>
      <c r="F222" s="131"/>
      <c r="G222" s="131"/>
      <c r="H222" s="20"/>
      <c r="I222" s="20"/>
    </row>
    <row r="223" spans="1:9" ht="14.25" customHeight="1" x14ac:dyDescent="0.35">
      <c r="A223" s="132" t="s">
        <v>220</v>
      </c>
      <c r="B223" s="133" t="s">
        <v>52</v>
      </c>
      <c r="C223" s="133">
        <v>23101</v>
      </c>
      <c r="D223" s="133"/>
      <c r="E223" s="133"/>
      <c r="F223" s="133"/>
      <c r="G223" s="133"/>
      <c r="H223" s="20"/>
      <c r="I223" s="20"/>
    </row>
    <row r="224" spans="1:9" ht="14.25" customHeight="1" x14ac:dyDescent="0.35">
      <c r="A224" s="130" t="s">
        <v>226</v>
      </c>
      <c r="B224" s="131" t="s">
        <v>50</v>
      </c>
      <c r="C224" s="131">
        <v>46020</v>
      </c>
      <c r="D224" s="131"/>
      <c r="E224" s="131"/>
      <c r="F224" s="131"/>
      <c r="G224" s="131"/>
      <c r="H224" s="20"/>
      <c r="I224" s="20"/>
    </row>
    <row r="225" spans="1:9" ht="14.25" customHeight="1" x14ac:dyDescent="0.35">
      <c r="A225" s="132" t="s">
        <v>183</v>
      </c>
      <c r="B225" s="133" t="s">
        <v>48</v>
      </c>
      <c r="C225" s="133">
        <v>12035</v>
      </c>
      <c r="D225" s="133"/>
      <c r="E225" s="133"/>
      <c r="F225" s="133"/>
      <c r="G225" s="133"/>
      <c r="H225" s="20"/>
      <c r="I225" s="20"/>
    </row>
    <row r="226" spans="1:9" ht="14.25" customHeight="1" x14ac:dyDescent="0.35">
      <c r="A226" s="130" t="s">
        <v>250</v>
      </c>
      <c r="B226" s="131" t="s">
        <v>50</v>
      </c>
      <c r="C226" s="131">
        <v>43014</v>
      </c>
      <c r="D226" s="131"/>
      <c r="E226" s="131"/>
      <c r="F226" s="131"/>
      <c r="G226" s="131"/>
      <c r="H226" s="20"/>
      <c r="I226" s="20"/>
    </row>
    <row r="227" spans="1:9" ht="14.25" customHeight="1" x14ac:dyDescent="0.35">
      <c r="A227" s="132" t="s">
        <v>202</v>
      </c>
      <c r="B227" s="133" t="s">
        <v>50</v>
      </c>
      <c r="C227" s="133">
        <v>41063</v>
      </c>
      <c r="D227" s="133"/>
      <c r="E227" s="133"/>
      <c r="F227" s="133"/>
      <c r="G227" s="133"/>
      <c r="H227" s="20"/>
      <c r="I227" s="20"/>
    </row>
    <row r="228" spans="1:9" ht="14.25" customHeight="1" x14ac:dyDescent="0.35">
      <c r="A228" s="130" t="s">
        <v>148</v>
      </c>
      <c r="B228" s="131" t="s">
        <v>50</v>
      </c>
      <c r="C228" s="131">
        <v>44064</v>
      </c>
      <c r="D228" s="131"/>
      <c r="E228" s="131"/>
      <c r="F228" s="131"/>
      <c r="G228" s="131"/>
      <c r="H228" s="20"/>
      <c r="I228" s="20"/>
    </row>
    <row r="229" spans="1:9" ht="14.25" customHeight="1" x14ac:dyDescent="0.35">
      <c r="A229" s="132" t="s">
        <v>57</v>
      </c>
      <c r="B229" s="133" t="s">
        <v>50</v>
      </c>
      <c r="C229" s="133">
        <v>46021</v>
      </c>
      <c r="D229" s="133"/>
      <c r="E229" s="133"/>
      <c r="F229" s="133"/>
      <c r="G229" s="133"/>
      <c r="H229" s="20"/>
      <c r="I229" s="20"/>
    </row>
    <row r="230" spans="1:9" ht="14.25" customHeight="1" x14ac:dyDescent="0.35">
      <c r="A230" s="130" t="s">
        <v>132</v>
      </c>
      <c r="B230" s="131" t="s">
        <v>52</v>
      </c>
      <c r="C230" s="131">
        <v>23077</v>
      </c>
      <c r="D230" s="131"/>
      <c r="E230" s="131"/>
      <c r="F230" s="131"/>
      <c r="G230" s="131"/>
      <c r="H230" s="20"/>
      <c r="I230" s="20"/>
    </row>
    <row r="231" spans="1:9" ht="14.25" customHeight="1" x14ac:dyDescent="0.35">
      <c r="A231" s="132" t="s">
        <v>189</v>
      </c>
      <c r="B231" s="133" t="s">
        <v>59</v>
      </c>
      <c r="C231" s="133">
        <v>71053</v>
      </c>
      <c r="D231" s="133"/>
      <c r="E231" s="133"/>
      <c r="F231" s="133"/>
      <c r="G231" s="133"/>
      <c r="H231" s="20"/>
      <c r="I231" s="20"/>
    </row>
    <row r="232" spans="1:9" ht="14.25" customHeight="1" x14ac:dyDescent="0.35">
      <c r="A232" s="130" t="s">
        <v>314</v>
      </c>
      <c r="B232" s="131" t="s">
        <v>55</v>
      </c>
      <c r="C232" s="131">
        <v>34043</v>
      </c>
      <c r="D232" s="131"/>
      <c r="E232" s="131"/>
      <c r="F232" s="131"/>
      <c r="G232" s="131"/>
      <c r="H232" s="20"/>
      <c r="I232" s="20"/>
    </row>
    <row r="233" spans="1:9" ht="14.25" customHeight="1" x14ac:dyDescent="0.35">
      <c r="A233" s="132" t="s">
        <v>336</v>
      </c>
      <c r="B233" s="133" t="s">
        <v>48</v>
      </c>
      <c r="C233" s="133">
        <v>11044</v>
      </c>
      <c r="D233" s="133"/>
      <c r="E233" s="133"/>
      <c r="F233" s="133"/>
      <c r="G233" s="133"/>
      <c r="H233" s="20"/>
      <c r="I233" s="20"/>
    </row>
    <row r="234" spans="1:9" ht="14.25" customHeight="1" x14ac:dyDescent="0.35">
      <c r="A234" s="130" t="s">
        <v>154</v>
      </c>
      <c r="B234" s="131" t="s">
        <v>55</v>
      </c>
      <c r="C234" s="131">
        <v>36019</v>
      </c>
      <c r="D234" s="131"/>
      <c r="E234" s="131"/>
      <c r="F234" s="131"/>
      <c r="G234" s="131"/>
      <c r="H234" s="20"/>
      <c r="I234" s="20"/>
    </row>
    <row r="235" spans="1:9" ht="14.25" customHeight="1" x14ac:dyDescent="0.35">
      <c r="A235" s="132" t="s">
        <v>208</v>
      </c>
      <c r="B235" s="133" t="s">
        <v>52</v>
      </c>
      <c r="C235" s="133">
        <v>23081</v>
      </c>
      <c r="D235" s="133"/>
      <c r="E235" s="133"/>
      <c r="F235" s="133"/>
      <c r="G235" s="133"/>
      <c r="H235" s="20"/>
      <c r="I235" s="20"/>
    </row>
    <row r="236" spans="1:9" ht="14.25" customHeight="1" x14ac:dyDescent="0.35">
      <c r="A236" s="130" t="s">
        <v>285</v>
      </c>
      <c r="B236" s="131" t="s">
        <v>50</v>
      </c>
      <c r="C236" s="131">
        <v>46024</v>
      </c>
      <c r="D236" s="131"/>
      <c r="E236" s="131"/>
      <c r="F236" s="131"/>
      <c r="G236" s="131"/>
      <c r="H236" s="20"/>
      <c r="I236" s="20"/>
    </row>
    <row r="237" spans="1:9" ht="14.25" customHeight="1" x14ac:dyDescent="0.35">
      <c r="A237" s="132" t="s">
        <v>166</v>
      </c>
      <c r="B237" s="133" t="s">
        <v>50</v>
      </c>
      <c r="C237" s="133">
        <v>46025</v>
      </c>
      <c r="D237" s="133"/>
      <c r="E237" s="133"/>
      <c r="F237" s="133"/>
      <c r="G237" s="133"/>
      <c r="H237" s="20"/>
      <c r="I237" s="20"/>
    </row>
    <row r="238" spans="1:9" ht="14.25" customHeight="1" x14ac:dyDescent="0.35">
      <c r="A238" s="130" t="s">
        <v>217</v>
      </c>
      <c r="B238" s="131" t="s">
        <v>52</v>
      </c>
      <c r="C238" s="131">
        <v>23086</v>
      </c>
      <c r="D238" s="131"/>
      <c r="E238" s="131"/>
      <c r="F238" s="131"/>
      <c r="G238" s="131"/>
      <c r="H238" s="20"/>
      <c r="I238" s="20"/>
    </row>
    <row r="239" spans="1:9" ht="14.25" customHeight="1" x14ac:dyDescent="0.35">
      <c r="A239" s="132" t="s">
        <v>87</v>
      </c>
      <c r="B239" s="133" t="s">
        <v>52</v>
      </c>
      <c r="C239" s="133">
        <v>24104</v>
      </c>
      <c r="D239" s="133"/>
      <c r="E239" s="133"/>
      <c r="F239" s="133"/>
      <c r="G239" s="133"/>
      <c r="H239" s="20"/>
      <c r="I239" s="20"/>
    </row>
    <row r="240" spans="1:9" ht="14.25" customHeight="1" x14ac:dyDescent="0.35">
      <c r="A240" s="130" t="s">
        <v>147</v>
      </c>
      <c r="B240" s="131" t="s">
        <v>59</v>
      </c>
      <c r="C240" s="131">
        <v>71057</v>
      </c>
      <c r="D240" s="131"/>
      <c r="E240" s="131"/>
      <c r="F240" s="131"/>
      <c r="G240" s="131"/>
      <c r="H240" s="20"/>
      <c r="I240" s="20"/>
    </row>
    <row r="241" spans="1:9" ht="14.25" customHeight="1" x14ac:dyDescent="0.35">
      <c r="A241" s="132" t="s">
        <v>102</v>
      </c>
      <c r="B241" s="133" t="s">
        <v>55</v>
      </c>
      <c r="C241" s="133">
        <v>37015</v>
      </c>
      <c r="D241" s="133"/>
      <c r="E241" s="133"/>
      <c r="F241" s="133"/>
      <c r="G241" s="133"/>
      <c r="H241" s="20"/>
      <c r="I241" s="20"/>
    </row>
    <row r="242" spans="1:9" ht="14.25" customHeight="1" x14ac:dyDescent="0.35">
      <c r="A242" s="130" t="s">
        <v>302</v>
      </c>
      <c r="B242" s="131" t="s">
        <v>52</v>
      </c>
      <c r="C242" s="131">
        <v>24135</v>
      </c>
      <c r="D242" s="131"/>
      <c r="E242" s="131"/>
      <c r="F242" s="131"/>
      <c r="G242" s="131"/>
      <c r="H242" s="20"/>
      <c r="I242" s="20"/>
    </row>
    <row r="243" spans="1:9" ht="14.25" customHeight="1" x14ac:dyDescent="0.35">
      <c r="A243" s="132" t="s">
        <v>104</v>
      </c>
      <c r="B243" s="133" t="s">
        <v>52</v>
      </c>
      <c r="C243" s="133">
        <v>24107</v>
      </c>
      <c r="D243" s="133"/>
      <c r="E243" s="133"/>
      <c r="F243" s="133"/>
      <c r="G243" s="133"/>
      <c r="H243" s="20"/>
      <c r="I243" s="20"/>
    </row>
    <row r="244" spans="1:9" ht="14.25" customHeight="1" x14ac:dyDescent="0.35">
      <c r="A244" s="130" t="s">
        <v>133</v>
      </c>
      <c r="B244" s="131" t="s">
        <v>59</v>
      </c>
      <c r="C244" s="131">
        <v>73083</v>
      </c>
      <c r="D244" s="131"/>
      <c r="E244" s="131"/>
      <c r="F244" s="131"/>
      <c r="G244" s="131"/>
      <c r="H244" s="20"/>
      <c r="I244" s="20"/>
    </row>
    <row r="245" spans="1:9" ht="14.25" customHeight="1" x14ac:dyDescent="0.35">
      <c r="A245" s="132" t="s">
        <v>93</v>
      </c>
      <c r="B245" s="133" t="s">
        <v>55</v>
      </c>
      <c r="C245" s="133">
        <v>31033</v>
      </c>
      <c r="D245" s="133">
        <v>3</v>
      </c>
      <c r="E245" s="133">
        <v>3</v>
      </c>
      <c r="F245" s="133">
        <v>3</v>
      </c>
      <c r="G245" s="133">
        <v>3</v>
      </c>
      <c r="H245" s="20"/>
      <c r="I245" s="20"/>
    </row>
    <row r="246" spans="1:9" ht="14.25" customHeight="1" x14ac:dyDescent="0.35">
      <c r="A246" s="130" t="s">
        <v>215</v>
      </c>
      <c r="B246" s="131" t="s">
        <v>52</v>
      </c>
      <c r="C246" s="131">
        <v>24109</v>
      </c>
      <c r="D246" s="131"/>
      <c r="E246" s="131"/>
      <c r="F246" s="131"/>
      <c r="G246" s="131"/>
      <c r="H246" s="20"/>
      <c r="I246" s="20"/>
    </row>
    <row r="247" spans="1:9" ht="14.25" customHeight="1" x14ac:dyDescent="0.35">
      <c r="A247" s="132" t="s">
        <v>61</v>
      </c>
      <c r="B247" s="133" t="s">
        <v>48</v>
      </c>
      <c r="C247" s="133">
        <v>13040</v>
      </c>
      <c r="D247" s="133"/>
      <c r="E247" s="133"/>
      <c r="F247" s="133"/>
      <c r="G247" s="133"/>
      <c r="H247" s="20"/>
      <c r="I247" s="20"/>
    </row>
    <row r="248" spans="1:9" ht="14.25" customHeight="1" x14ac:dyDescent="0.35">
      <c r="A248" s="130" t="s">
        <v>175</v>
      </c>
      <c r="B248" s="131" t="s">
        <v>55</v>
      </c>
      <c r="C248" s="131">
        <v>38025</v>
      </c>
      <c r="D248" s="131"/>
      <c r="E248" s="131"/>
      <c r="F248" s="131"/>
      <c r="G248" s="131"/>
      <c r="H248" s="20"/>
      <c r="I248" s="20"/>
    </row>
    <row r="249" spans="1:9" ht="14.25" customHeight="1" x14ac:dyDescent="0.35">
      <c r="A249" s="132" t="s">
        <v>74</v>
      </c>
      <c r="B249" s="133" t="s">
        <v>52</v>
      </c>
      <c r="C249" s="133">
        <v>23088</v>
      </c>
      <c r="D249" s="133"/>
      <c r="E249" s="133"/>
      <c r="F249" s="133"/>
      <c r="G249" s="133"/>
      <c r="H249" s="20"/>
      <c r="I249" s="20"/>
    </row>
    <row r="250" spans="1:9" ht="14.25" customHeight="1" x14ac:dyDescent="0.35">
      <c r="A250" s="130" t="s">
        <v>240</v>
      </c>
      <c r="B250" s="131" t="s">
        <v>55</v>
      </c>
      <c r="C250" s="131">
        <v>33041</v>
      </c>
      <c r="D250" s="131"/>
      <c r="E250" s="131"/>
      <c r="F250" s="131"/>
      <c r="G250" s="131"/>
      <c r="H250" s="20"/>
      <c r="I250" s="20"/>
    </row>
    <row r="251" spans="1:9" ht="14.25" customHeight="1" x14ac:dyDescent="0.35">
      <c r="A251" s="132" t="s">
        <v>318</v>
      </c>
      <c r="B251" s="133" t="s">
        <v>59</v>
      </c>
      <c r="C251" s="133">
        <v>73109</v>
      </c>
      <c r="D251" s="133"/>
      <c r="E251" s="133"/>
      <c r="F251" s="133"/>
      <c r="G251" s="133"/>
      <c r="H251" s="20"/>
      <c r="I251" s="20"/>
    </row>
    <row r="252" spans="1:9" ht="14.25" customHeight="1" x14ac:dyDescent="0.35">
      <c r="A252" s="130" t="s">
        <v>195</v>
      </c>
      <c r="B252" s="131" t="s">
        <v>48</v>
      </c>
      <c r="C252" s="131">
        <v>13044</v>
      </c>
      <c r="D252" s="131"/>
      <c r="E252" s="131"/>
      <c r="F252" s="131"/>
      <c r="G252" s="131"/>
      <c r="H252" s="20"/>
      <c r="I252" s="20"/>
    </row>
    <row r="253" spans="1:9" ht="14.25" customHeight="1" x14ac:dyDescent="0.35">
      <c r="A253" s="132" t="s">
        <v>264</v>
      </c>
      <c r="B253" s="133" t="s">
        <v>48</v>
      </c>
      <c r="C253" s="133">
        <v>13046</v>
      </c>
      <c r="D253" s="133"/>
      <c r="E253" s="133"/>
      <c r="F253" s="133"/>
      <c r="G253" s="133"/>
      <c r="H253" s="20"/>
      <c r="I253" s="20"/>
    </row>
    <row r="254" spans="1:9" ht="14.25" customHeight="1" x14ac:dyDescent="0.35">
      <c r="A254" s="130" t="s">
        <v>262</v>
      </c>
      <c r="B254" s="131" t="s">
        <v>50</v>
      </c>
      <c r="C254" s="131">
        <v>42023</v>
      </c>
      <c r="D254" s="131"/>
      <c r="E254" s="131"/>
      <c r="F254" s="131"/>
      <c r="G254" s="131"/>
      <c r="H254" s="20"/>
      <c r="I254" s="20"/>
    </row>
    <row r="255" spans="1:9" ht="14.25" customHeight="1" x14ac:dyDescent="0.35">
      <c r="A255" s="132" t="s">
        <v>146</v>
      </c>
      <c r="B255" s="133" t="s">
        <v>55</v>
      </c>
      <c r="C255" s="133">
        <v>34040</v>
      </c>
      <c r="D255" s="133"/>
      <c r="E255" s="133"/>
      <c r="F255" s="133"/>
      <c r="G255" s="133"/>
      <c r="H255" s="20"/>
      <c r="I255" s="20"/>
    </row>
    <row r="256" spans="1:9" ht="14.25" customHeight="1" x14ac:dyDescent="0.35">
      <c r="A256" s="130" t="s">
        <v>322</v>
      </c>
      <c r="B256" s="131" t="s">
        <v>59</v>
      </c>
      <c r="C256" s="131">
        <v>73098</v>
      </c>
      <c r="D256" s="131"/>
      <c r="E256" s="131"/>
      <c r="F256" s="131"/>
      <c r="G256" s="131"/>
      <c r="H256" s="20"/>
      <c r="I256" s="20"/>
    </row>
    <row r="257" spans="1:9" ht="14.25" customHeight="1" x14ac:dyDescent="0.35">
      <c r="A257" s="132" t="s">
        <v>162</v>
      </c>
      <c r="B257" s="133" t="s">
        <v>52</v>
      </c>
      <c r="C257" s="133">
        <v>23102</v>
      </c>
      <c r="D257" s="133"/>
      <c r="E257" s="133"/>
      <c r="F257" s="133"/>
      <c r="G257" s="133"/>
      <c r="H257" s="20"/>
      <c r="I257" s="20"/>
    </row>
    <row r="258" spans="1:9" ht="14.25" customHeight="1" x14ac:dyDescent="0.35">
      <c r="A258" s="130" t="s">
        <v>222</v>
      </c>
      <c r="B258" s="131" t="s">
        <v>55</v>
      </c>
      <c r="C258" s="131">
        <v>33029</v>
      </c>
      <c r="D258" s="131"/>
      <c r="E258" s="131"/>
      <c r="F258" s="131"/>
      <c r="G258" s="131"/>
      <c r="H258" s="20"/>
      <c r="I258" s="20"/>
    </row>
    <row r="259" spans="1:9" ht="14.25" customHeight="1" x14ac:dyDescent="0.35">
      <c r="A259" s="132" t="s">
        <v>101</v>
      </c>
      <c r="B259" s="133" t="s">
        <v>48</v>
      </c>
      <c r="C259" s="133">
        <v>13049</v>
      </c>
      <c r="D259" s="133"/>
      <c r="E259" s="133"/>
      <c r="F259" s="133"/>
      <c r="G259" s="133"/>
      <c r="H259" s="20"/>
      <c r="I259" s="20"/>
    </row>
    <row r="260" spans="1:9" ht="14.25" customHeight="1" x14ac:dyDescent="0.35">
      <c r="A260" s="130" t="s">
        <v>89</v>
      </c>
      <c r="B260" s="131" t="s">
        <v>50</v>
      </c>
      <c r="C260" s="131">
        <v>42025</v>
      </c>
      <c r="D260" s="131"/>
      <c r="E260" s="131"/>
      <c r="F260" s="131"/>
      <c r="G260" s="131"/>
      <c r="H260" s="20"/>
      <c r="I260" s="20"/>
    </row>
    <row r="261" spans="1:9" ht="14.25" customHeight="1" x14ac:dyDescent="0.35">
      <c r="A261" s="132" t="s">
        <v>143</v>
      </c>
      <c r="B261" s="133" t="s">
        <v>55</v>
      </c>
      <c r="C261" s="133">
        <v>34041</v>
      </c>
      <c r="D261" s="133"/>
      <c r="E261" s="133"/>
      <c r="F261" s="133"/>
      <c r="G261" s="133"/>
      <c r="H261" s="20"/>
      <c r="I261" s="20"/>
    </row>
    <row r="262" spans="1:9" ht="14.25" customHeight="1" x14ac:dyDescent="0.35">
      <c r="A262" s="130" t="s">
        <v>213</v>
      </c>
      <c r="B262" s="131" t="s">
        <v>52</v>
      </c>
      <c r="C262" s="131">
        <v>23103</v>
      </c>
      <c r="D262" s="131"/>
      <c r="E262" s="131"/>
      <c r="F262" s="131"/>
      <c r="G262" s="131"/>
      <c r="H262" s="20"/>
      <c r="I262" s="20"/>
    </row>
    <row r="263" spans="1:9" ht="14.25" customHeight="1" x14ac:dyDescent="0.35">
      <c r="A263" s="132" t="s">
        <v>205</v>
      </c>
      <c r="B263" s="133" t="s">
        <v>50</v>
      </c>
      <c r="C263" s="133">
        <v>42026</v>
      </c>
      <c r="D263" s="133"/>
      <c r="E263" s="133"/>
      <c r="F263" s="133"/>
      <c r="G263" s="133"/>
      <c r="H263" s="20"/>
      <c r="I263" s="20"/>
    </row>
    <row r="264" spans="1:9" ht="14.25" customHeight="1" x14ac:dyDescent="0.35">
      <c r="A264" s="130" t="s">
        <v>201</v>
      </c>
      <c r="B264" s="131" t="s">
        <v>55</v>
      </c>
      <c r="C264" s="131">
        <v>37017</v>
      </c>
      <c r="D264" s="131"/>
      <c r="E264" s="131"/>
      <c r="F264" s="131"/>
      <c r="G264" s="131"/>
      <c r="H264" s="20"/>
      <c r="I264" s="20"/>
    </row>
    <row r="265" spans="1:9" ht="14.25" customHeight="1" x14ac:dyDescent="0.35">
      <c r="A265" s="132" t="s">
        <v>151</v>
      </c>
      <c r="B265" s="133" t="s">
        <v>48</v>
      </c>
      <c r="C265" s="133">
        <v>11050</v>
      </c>
      <c r="D265" s="133">
        <v>2</v>
      </c>
      <c r="E265" s="133">
        <v>2</v>
      </c>
      <c r="F265" s="133"/>
      <c r="G265" s="133"/>
      <c r="H265" s="20"/>
      <c r="I265" s="20"/>
    </row>
    <row r="266" spans="1:9" ht="14.25" customHeight="1" x14ac:dyDescent="0.35">
      <c r="A266" s="130" t="s">
        <v>142</v>
      </c>
      <c r="B266" s="131" t="s">
        <v>48</v>
      </c>
      <c r="C266" s="131">
        <v>12040</v>
      </c>
      <c r="D266" s="131"/>
      <c r="E266" s="131"/>
      <c r="F266" s="131"/>
      <c r="G266" s="131"/>
      <c r="H266" s="20"/>
      <c r="I266" s="20"/>
    </row>
    <row r="267" spans="1:9" ht="14.25" customHeight="1" x14ac:dyDescent="0.35">
      <c r="A267" s="132" t="s">
        <v>115</v>
      </c>
      <c r="B267" s="133" t="s">
        <v>55</v>
      </c>
      <c r="C267" s="133">
        <v>37018</v>
      </c>
      <c r="D267" s="133">
        <v>1</v>
      </c>
      <c r="E267" s="133">
        <v>1</v>
      </c>
      <c r="F267" s="133"/>
      <c r="G267" s="133"/>
      <c r="H267" s="20"/>
      <c r="I267" s="20"/>
    </row>
    <row r="268" spans="1:9" ht="14.25" customHeight="1" x14ac:dyDescent="0.35">
      <c r="A268" s="130" t="s">
        <v>210</v>
      </c>
      <c r="B268" s="131" t="s">
        <v>48</v>
      </c>
      <c r="C268" s="131">
        <v>11052</v>
      </c>
      <c r="D268" s="131"/>
      <c r="E268" s="131"/>
      <c r="F268" s="131"/>
      <c r="G268" s="131"/>
      <c r="H268" s="20"/>
      <c r="I268" s="20"/>
    </row>
    <row r="269" spans="1:9" ht="14.25" customHeight="1" x14ac:dyDescent="0.35">
      <c r="A269" s="132" t="s">
        <v>246</v>
      </c>
      <c r="B269" s="133" t="s">
        <v>50</v>
      </c>
      <c r="C269" s="133">
        <v>45061</v>
      </c>
      <c r="D269" s="133"/>
      <c r="E269" s="133"/>
      <c r="F269" s="133"/>
      <c r="G269" s="133"/>
      <c r="H269" s="20"/>
      <c r="I269" s="20"/>
    </row>
    <row r="270" spans="1:9" ht="14.25" customHeight="1" x14ac:dyDescent="0.35">
      <c r="A270" s="130" t="s">
        <v>290</v>
      </c>
      <c r="B270" s="131" t="s">
        <v>48</v>
      </c>
      <c r="C270" s="131">
        <v>11053</v>
      </c>
      <c r="D270" s="131"/>
      <c r="E270" s="131"/>
      <c r="F270" s="131"/>
      <c r="G270" s="131"/>
      <c r="H270" s="20"/>
      <c r="I270" s="20"/>
    </row>
    <row r="271" spans="1:9" ht="14.25" customHeight="1" x14ac:dyDescent="0.35">
      <c r="A271" s="132" t="s">
        <v>305</v>
      </c>
      <c r="B271" s="133" t="s">
        <v>48</v>
      </c>
      <c r="C271" s="133">
        <v>11054</v>
      </c>
      <c r="D271" s="133"/>
      <c r="E271" s="133"/>
      <c r="F271" s="133"/>
      <c r="G271" s="133"/>
      <c r="H271" s="20"/>
      <c r="I271" s="20"/>
    </row>
    <row r="272" spans="1:9" ht="14.25" customHeight="1" x14ac:dyDescent="0.35">
      <c r="A272" s="130" t="s">
        <v>105</v>
      </c>
      <c r="B272" s="131" t="s">
        <v>52</v>
      </c>
      <c r="C272" s="131">
        <v>23094</v>
      </c>
      <c r="D272" s="131"/>
      <c r="E272" s="131"/>
      <c r="F272" s="131"/>
      <c r="G272" s="131"/>
      <c r="H272" s="20"/>
      <c r="I272" s="20"/>
    </row>
    <row r="273" spans="1:9" ht="14.25" customHeight="1" x14ac:dyDescent="0.35">
      <c r="A273" s="132" t="s">
        <v>164</v>
      </c>
      <c r="B273" s="133" t="s">
        <v>55</v>
      </c>
      <c r="C273" s="133">
        <v>31040</v>
      </c>
      <c r="D273" s="133"/>
      <c r="E273" s="133"/>
      <c r="F273" s="133"/>
      <c r="G273" s="133"/>
      <c r="H273" s="20"/>
      <c r="I273" s="20"/>
    </row>
    <row r="274" spans="1:9" ht="14.25" customHeight="1" x14ac:dyDescent="0.35">
      <c r="A274" s="130" t="s">
        <v>228</v>
      </c>
      <c r="B274" s="131" t="s">
        <v>50</v>
      </c>
      <c r="C274" s="131">
        <v>42028</v>
      </c>
      <c r="D274" s="131"/>
      <c r="E274" s="131"/>
      <c r="F274" s="131"/>
      <c r="G274" s="131"/>
      <c r="H274" s="20"/>
      <c r="I274" s="20"/>
    </row>
    <row r="275" spans="1:9" ht="14.25" customHeight="1" x14ac:dyDescent="0.35">
      <c r="A275" s="132" t="s">
        <v>269</v>
      </c>
      <c r="B275" s="133" t="s">
        <v>50</v>
      </c>
      <c r="C275" s="133">
        <v>43018</v>
      </c>
      <c r="D275" s="133"/>
      <c r="E275" s="133"/>
      <c r="F275" s="133"/>
      <c r="G275" s="133"/>
      <c r="H275" s="20"/>
      <c r="I275" s="20"/>
    </row>
    <row r="276" spans="1:9" ht="14.25" customHeight="1" x14ac:dyDescent="0.35">
      <c r="A276" s="130" t="s">
        <v>119</v>
      </c>
      <c r="B276" s="131" t="s">
        <v>52</v>
      </c>
      <c r="C276" s="131">
        <v>23096</v>
      </c>
      <c r="D276" s="131"/>
      <c r="E276" s="131"/>
      <c r="F276" s="131"/>
      <c r="G276" s="131"/>
      <c r="H276" s="20"/>
      <c r="I276" s="20"/>
    </row>
    <row r="277" spans="1:9" ht="14.25" customHeight="1" x14ac:dyDescent="0.35">
      <c r="A277" s="132" t="s">
        <v>291</v>
      </c>
      <c r="B277" s="133" t="s">
        <v>48</v>
      </c>
      <c r="C277" s="133">
        <v>11055</v>
      </c>
      <c r="D277" s="133"/>
      <c r="E277" s="133"/>
      <c r="F277" s="133"/>
      <c r="G277" s="133"/>
      <c r="H277" s="20"/>
      <c r="I277" s="20"/>
    </row>
    <row r="278" spans="1:9" ht="14.25" customHeight="1" x14ac:dyDescent="0.35">
      <c r="A278" s="130" t="s">
        <v>289</v>
      </c>
      <c r="B278" s="131" t="s">
        <v>59</v>
      </c>
      <c r="C278" s="131">
        <v>71066</v>
      </c>
      <c r="D278" s="131"/>
      <c r="E278" s="131"/>
      <c r="F278" s="131"/>
      <c r="G278" s="131"/>
      <c r="H278" s="20"/>
      <c r="I278" s="20"/>
    </row>
    <row r="279" spans="1:9" ht="14.25" customHeight="1" x14ac:dyDescent="0.35">
      <c r="A279" s="132" t="s">
        <v>137</v>
      </c>
      <c r="B279" s="133" t="s">
        <v>55</v>
      </c>
      <c r="C279" s="133">
        <v>33037</v>
      </c>
      <c r="D279" s="133"/>
      <c r="E279" s="133"/>
      <c r="F279" s="133"/>
      <c r="G279" s="133"/>
      <c r="H279" s="20"/>
      <c r="I279" s="20"/>
    </row>
    <row r="280" spans="1:9" ht="14.25" customHeight="1" x14ac:dyDescent="0.35">
      <c r="A280" s="130" t="s">
        <v>120</v>
      </c>
      <c r="B280" s="131" t="s">
        <v>50</v>
      </c>
      <c r="C280" s="131">
        <v>41081</v>
      </c>
      <c r="D280" s="131"/>
      <c r="E280" s="131"/>
      <c r="F280" s="131"/>
      <c r="G280" s="131"/>
      <c r="H280" s="20"/>
      <c r="I280" s="20"/>
    </row>
    <row r="281" spans="1:9" ht="14.25" customHeight="1" x14ac:dyDescent="0.35">
      <c r="A281" s="132" t="s">
        <v>255</v>
      </c>
      <c r="B281" s="133" t="s">
        <v>52</v>
      </c>
      <c r="C281" s="133">
        <v>24130</v>
      </c>
      <c r="D281" s="133"/>
      <c r="E281" s="133"/>
      <c r="F281" s="133"/>
      <c r="G281" s="133"/>
      <c r="H281" s="20"/>
      <c r="I281" s="20"/>
    </row>
    <row r="282" spans="1:9" ht="14.25" customHeight="1" x14ac:dyDescent="0.35">
      <c r="A282" s="130" t="s">
        <v>316</v>
      </c>
      <c r="B282" s="131" t="s">
        <v>55</v>
      </c>
      <c r="C282" s="131">
        <v>31042</v>
      </c>
      <c r="D282" s="131"/>
      <c r="E282" s="131"/>
      <c r="F282" s="131"/>
      <c r="G282" s="131"/>
      <c r="H282" s="20"/>
      <c r="I282" s="20"/>
    </row>
    <row r="283" spans="1:9" ht="14.25" customHeight="1" x14ac:dyDescent="0.35">
      <c r="A283" s="132" t="s">
        <v>111</v>
      </c>
      <c r="B283" s="133" t="s">
        <v>50</v>
      </c>
      <c r="C283" s="133">
        <v>44081</v>
      </c>
      <c r="D283" s="133">
        <v>6</v>
      </c>
      <c r="E283" s="133">
        <v>6</v>
      </c>
      <c r="F283" s="133">
        <v>6</v>
      </c>
      <c r="G283" s="133">
        <v>6</v>
      </c>
      <c r="H283" s="20"/>
      <c r="I283" s="20"/>
    </row>
    <row r="284" spans="1:9" ht="14.25" customHeight="1" x14ac:dyDescent="0.35">
      <c r="A284" s="130" t="s">
        <v>321</v>
      </c>
      <c r="B284" s="131" t="s">
        <v>59</v>
      </c>
      <c r="C284" s="131">
        <v>71067</v>
      </c>
      <c r="D284" s="131"/>
      <c r="E284" s="131"/>
      <c r="F284" s="131"/>
      <c r="G284" s="131"/>
      <c r="H284" s="20"/>
      <c r="I284" s="20"/>
    </row>
    <row r="285" spans="1:9" ht="14.25" customHeight="1" x14ac:dyDescent="0.35">
      <c r="A285" s="132" t="s">
        <v>149</v>
      </c>
      <c r="B285" s="133" t="s">
        <v>50</v>
      </c>
      <c r="C285" s="133">
        <v>45065</v>
      </c>
      <c r="D285" s="133"/>
      <c r="E285" s="133"/>
      <c r="F285" s="133"/>
      <c r="G285" s="133"/>
      <c r="H285" s="20"/>
      <c r="I285" s="20"/>
    </row>
    <row r="286" spans="1:9" ht="14.25" customHeight="1" x14ac:dyDescent="0.35">
      <c r="A286" s="130" t="s">
        <v>186</v>
      </c>
      <c r="B286" s="131" t="s">
        <v>55</v>
      </c>
      <c r="C286" s="131">
        <v>34042</v>
      </c>
      <c r="D286" s="131">
        <v>2</v>
      </c>
      <c r="E286" s="131">
        <v>2</v>
      </c>
      <c r="F286" s="131">
        <v>2</v>
      </c>
      <c r="G286" s="131">
        <v>2</v>
      </c>
      <c r="H286" s="20"/>
      <c r="I286" s="20"/>
    </row>
    <row r="287" spans="1:9" ht="14.25" customHeight="1" x14ac:dyDescent="0.35">
      <c r="A287" s="132"/>
      <c r="B287" s="133"/>
      <c r="C287" s="133"/>
      <c r="D287" s="133">
        <f t="shared" ref="D287:G287" si="0">SUM(D2:D286)</f>
        <v>111</v>
      </c>
      <c r="E287" s="133">
        <f t="shared" si="0"/>
        <v>111</v>
      </c>
      <c r="F287" s="133">
        <f t="shared" si="0"/>
        <v>96</v>
      </c>
      <c r="G287" s="133">
        <f t="shared" si="0"/>
        <v>96</v>
      </c>
      <c r="H287" s="20"/>
      <c r="I287" s="20"/>
    </row>
    <row r="288" spans="1:9" ht="14.25" customHeight="1" x14ac:dyDescent="0.35">
      <c r="A288" s="20"/>
      <c r="B288" s="20"/>
      <c r="C288" s="20"/>
      <c r="D288" s="20"/>
      <c r="E288" s="20"/>
      <c r="F288" s="20"/>
      <c r="G288" s="20"/>
      <c r="H288" s="20"/>
      <c r="I288" s="20"/>
    </row>
    <row r="289" spans="1:9" ht="14.25" customHeight="1" x14ac:dyDescent="0.35">
      <c r="A289" s="20"/>
      <c r="B289" s="20"/>
      <c r="C289" s="20"/>
      <c r="D289" s="20"/>
      <c r="E289" s="20"/>
      <c r="F289" s="20"/>
      <c r="G289" s="20"/>
      <c r="H289" s="20"/>
      <c r="I289" s="20"/>
    </row>
    <row r="290" spans="1:9" ht="14.25" customHeight="1" x14ac:dyDescent="0.35">
      <c r="A290" s="20"/>
      <c r="B290" s="20"/>
      <c r="C290" s="20"/>
      <c r="D290" s="20"/>
      <c r="E290" s="20"/>
      <c r="F290" s="20"/>
      <c r="G290" s="20"/>
      <c r="H290" s="20"/>
      <c r="I290" s="20"/>
    </row>
    <row r="291" spans="1:9" ht="14.25" customHeight="1" x14ac:dyDescent="0.35">
      <c r="A291" s="20"/>
      <c r="B291" s="20"/>
      <c r="C291" s="20"/>
      <c r="D291" s="20"/>
      <c r="E291" s="20"/>
      <c r="F291" s="20"/>
      <c r="G291" s="20"/>
      <c r="H291" s="20"/>
      <c r="I291" s="20"/>
    </row>
    <row r="292" spans="1:9" ht="14.25" customHeight="1" x14ac:dyDescent="0.35">
      <c r="A292" s="20"/>
      <c r="B292" s="20"/>
      <c r="C292" s="20"/>
      <c r="D292" s="20"/>
      <c r="E292" s="20"/>
      <c r="F292" s="20"/>
      <c r="G292" s="20"/>
      <c r="H292" s="20"/>
      <c r="I292" s="20"/>
    </row>
    <row r="293" spans="1:9" ht="14.25" customHeight="1" x14ac:dyDescent="0.35">
      <c r="A293" s="20"/>
      <c r="B293" s="20"/>
      <c r="C293" s="20"/>
      <c r="D293" s="20"/>
      <c r="E293" s="20"/>
      <c r="F293" s="20"/>
      <c r="G293" s="20"/>
      <c r="H293" s="20"/>
      <c r="I293" s="20"/>
    </row>
    <row r="294" spans="1:9" ht="14.25" customHeight="1" x14ac:dyDescent="0.35">
      <c r="A294" s="20"/>
      <c r="B294" s="20"/>
      <c r="C294" s="20"/>
      <c r="D294" s="20"/>
      <c r="E294" s="20"/>
      <c r="F294" s="20"/>
      <c r="G294" s="20"/>
      <c r="H294" s="20"/>
      <c r="I294" s="20"/>
    </row>
    <row r="295" spans="1:9" ht="14.25" customHeight="1" x14ac:dyDescent="0.35">
      <c r="A295" s="20"/>
      <c r="B295" s="20"/>
      <c r="C295" s="20"/>
      <c r="D295" s="20"/>
      <c r="E295" s="20"/>
      <c r="F295" s="20"/>
      <c r="G295" s="20"/>
      <c r="H295" s="20"/>
      <c r="I295" s="20"/>
    </row>
    <row r="296" spans="1:9" ht="14.25" customHeight="1" x14ac:dyDescent="0.35">
      <c r="A296" s="20"/>
      <c r="B296" s="20"/>
      <c r="C296" s="20"/>
      <c r="D296" s="20"/>
      <c r="E296" s="20"/>
      <c r="F296" s="20"/>
      <c r="G296" s="20"/>
      <c r="H296" s="20"/>
      <c r="I296" s="20"/>
    </row>
    <row r="297" spans="1:9" ht="14.25" customHeight="1" x14ac:dyDescent="0.35">
      <c r="A297" s="20"/>
      <c r="B297" s="20"/>
      <c r="C297" s="20"/>
      <c r="D297" s="20"/>
      <c r="E297" s="20"/>
      <c r="F297" s="20"/>
      <c r="G297" s="20"/>
      <c r="H297" s="20"/>
      <c r="I297" s="20"/>
    </row>
    <row r="298" spans="1:9" ht="14.25" customHeight="1" x14ac:dyDescent="0.35">
      <c r="A298" s="20"/>
      <c r="B298" s="20"/>
      <c r="C298" s="20"/>
      <c r="D298" s="20"/>
      <c r="E298" s="20"/>
      <c r="F298" s="20"/>
      <c r="G298" s="20"/>
      <c r="H298" s="20"/>
      <c r="I298" s="20"/>
    </row>
    <row r="299" spans="1:9" ht="14.25" customHeight="1" x14ac:dyDescent="0.35">
      <c r="A299" s="20"/>
      <c r="B299" s="20"/>
      <c r="C299" s="20"/>
      <c r="D299" s="20"/>
      <c r="E299" s="20"/>
      <c r="F299" s="20"/>
      <c r="G299" s="20"/>
      <c r="H299" s="20"/>
      <c r="I299" s="20"/>
    </row>
    <row r="300" spans="1:9" ht="14.25" customHeight="1" x14ac:dyDescent="0.35">
      <c r="A300" s="20"/>
      <c r="B300" s="20"/>
      <c r="C300" s="20"/>
      <c r="D300" s="20"/>
      <c r="E300" s="20"/>
      <c r="F300" s="20"/>
      <c r="G300" s="20"/>
      <c r="H300" s="20"/>
      <c r="I300" s="20"/>
    </row>
    <row r="301" spans="1:9" ht="14.25" customHeight="1" x14ac:dyDescent="0.35">
      <c r="A301" s="20"/>
      <c r="B301" s="20"/>
      <c r="C301" s="20"/>
      <c r="D301" s="20"/>
      <c r="E301" s="20"/>
      <c r="F301" s="20"/>
      <c r="G301" s="20"/>
      <c r="H301" s="20"/>
      <c r="I301" s="20"/>
    </row>
    <row r="302" spans="1:9" ht="14.25" customHeight="1" x14ac:dyDescent="0.35">
      <c r="A302" s="20"/>
      <c r="B302" s="20"/>
      <c r="C302" s="20"/>
      <c r="D302" s="20"/>
      <c r="E302" s="20"/>
      <c r="F302" s="20"/>
      <c r="G302" s="20"/>
      <c r="H302" s="20"/>
      <c r="I302" s="20"/>
    </row>
    <row r="303" spans="1:9" ht="14.25" customHeight="1" x14ac:dyDescent="0.35">
      <c r="A303" s="20"/>
      <c r="B303" s="20"/>
      <c r="C303" s="20"/>
      <c r="D303" s="20"/>
      <c r="E303" s="20"/>
      <c r="F303" s="20"/>
      <c r="G303" s="20"/>
      <c r="H303" s="20"/>
      <c r="I303" s="20"/>
    </row>
    <row r="304" spans="1:9" ht="14.25" customHeight="1" x14ac:dyDescent="0.35">
      <c r="A304" s="20"/>
      <c r="B304" s="20"/>
      <c r="C304" s="20"/>
      <c r="D304" s="20"/>
      <c r="E304" s="20"/>
      <c r="F304" s="20"/>
      <c r="G304" s="20"/>
      <c r="H304" s="20"/>
      <c r="I304" s="20"/>
    </row>
    <row r="305" spans="1:9" ht="14.25" customHeight="1" x14ac:dyDescent="0.35">
      <c r="A305" s="20"/>
      <c r="B305" s="20"/>
      <c r="C305" s="20"/>
      <c r="D305" s="20"/>
      <c r="E305" s="20"/>
      <c r="F305" s="20"/>
      <c r="G305" s="20"/>
      <c r="H305" s="20"/>
      <c r="I305" s="20"/>
    </row>
    <row r="306" spans="1:9" ht="14.25" customHeight="1" x14ac:dyDescent="0.35">
      <c r="A306" s="20"/>
      <c r="B306" s="20"/>
      <c r="C306" s="20"/>
      <c r="D306" s="20"/>
      <c r="E306" s="20"/>
      <c r="F306" s="20"/>
      <c r="G306" s="20"/>
      <c r="H306" s="20"/>
      <c r="I306" s="20"/>
    </row>
    <row r="307" spans="1:9" ht="14.25" customHeight="1" x14ac:dyDescent="0.35">
      <c r="A307" s="20"/>
      <c r="B307" s="20"/>
      <c r="C307" s="20"/>
      <c r="D307" s="20"/>
      <c r="E307" s="20"/>
      <c r="F307" s="20"/>
      <c r="G307" s="20"/>
      <c r="H307" s="20"/>
      <c r="I307" s="20"/>
    </row>
    <row r="308" spans="1:9" ht="14.25" customHeight="1" x14ac:dyDescent="0.35">
      <c r="A308" s="20"/>
      <c r="B308" s="20"/>
      <c r="C308" s="20"/>
      <c r="D308" s="20"/>
      <c r="E308" s="20"/>
      <c r="F308" s="20"/>
      <c r="G308" s="20"/>
      <c r="H308" s="20"/>
      <c r="I308" s="20"/>
    </row>
    <row r="309" spans="1:9" ht="14.25" customHeight="1" x14ac:dyDescent="0.35">
      <c r="A309" s="20"/>
      <c r="B309" s="20"/>
      <c r="C309" s="20"/>
      <c r="D309" s="20"/>
      <c r="E309" s="20"/>
      <c r="F309" s="20"/>
      <c r="G309" s="20"/>
      <c r="H309" s="20"/>
      <c r="I309" s="20"/>
    </row>
    <row r="310" spans="1:9" ht="14.25" customHeight="1" x14ac:dyDescent="0.35">
      <c r="A310" s="20"/>
      <c r="B310" s="20"/>
      <c r="C310" s="20"/>
      <c r="D310" s="20"/>
      <c r="E310" s="20"/>
      <c r="F310" s="20"/>
      <c r="G310" s="20"/>
      <c r="H310" s="20"/>
      <c r="I310" s="20"/>
    </row>
    <row r="311" spans="1:9" ht="14.25" customHeight="1" x14ac:dyDescent="0.35">
      <c r="A311" s="20"/>
      <c r="B311" s="20"/>
      <c r="C311" s="20"/>
      <c r="D311" s="20"/>
      <c r="E311" s="20"/>
      <c r="F311" s="20"/>
      <c r="G311" s="20"/>
      <c r="H311" s="20"/>
      <c r="I311" s="20"/>
    </row>
    <row r="312" spans="1:9" ht="14.25" customHeight="1" x14ac:dyDescent="0.35">
      <c r="A312" s="20"/>
      <c r="B312" s="20"/>
      <c r="C312" s="20"/>
      <c r="D312" s="20"/>
      <c r="E312" s="20"/>
      <c r="F312" s="20"/>
      <c r="G312" s="20"/>
      <c r="H312" s="20"/>
      <c r="I312" s="20"/>
    </row>
    <row r="313" spans="1:9" ht="14.25" customHeight="1" x14ac:dyDescent="0.35">
      <c r="A313" s="20"/>
      <c r="B313" s="20"/>
      <c r="C313" s="20"/>
      <c r="D313" s="20"/>
      <c r="E313" s="20"/>
      <c r="F313" s="20"/>
      <c r="G313" s="20"/>
      <c r="H313" s="20"/>
      <c r="I313" s="20"/>
    </row>
    <row r="314" spans="1:9" ht="14.25" customHeight="1" x14ac:dyDescent="0.35">
      <c r="A314" s="20"/>
      <c r="B314" s="20"/>
      <c r="C314" s="20"/>
      <c r="D314" s="20"/>
      <c r="E314" s="20"/>
      <c r="F314" s="20"/>
      <c r="G314" s="20"/>
      <c r="H314" s="20"/>
      <c r="I314" s="20"/>
    </row>
    <row r="315" spans="1:9" ht="14.25" customHeight="1" x14ac:dyDescent="0.35">
      <c r="A315" s="20"/>
      <c r="B315" s="20"/>
      <c r="C315" s="20"/>
      <c r="D315" s="20"/>
      <c r="E315" s="20"/>
      <c r="F315" s="20"/>
      <c r="G315" s="20"/>
      <c r="H315" s="20"/>
      <c r="I315" s="20"/>
    </row>
    <row r="316" spans="1:9" ht="14.25" customHeight="1" x14ac:dyDescent="0.35">
      <c r="A316" s="20"/>
      <c r="B316" s="20"/>
      <c r="C316" s="20"/>
      <c r="D316" s="20"/>
      <c r="E316" s="20"/>
      <c r="F316" s="20"/>
      <c r="G316" s="20"/>
      <c r="H316" s="20"/>
      <c r="I316" s="20"/>
    </row>
    <row r="317" spans="1:9" ht="14.25" customHeight="1" x14ac:dyDescent="0.35">
      <c r="A317" s="20"/>
      <c r="B317" s="20"/>
      <c r="C317" s="20"/>
      <c r="D317" s="20"/>
      <c r="E317" s="20"/>
      <c r="F317" s="20"/>
      <c r="G317" s="20"/>
      <c r="H317" s="20"/>
      <c r="I317" s="20"/>
    </row>
    <row r="318" spans="1:9" ht="14.25" customHeight="1" x14ac:dyDescent="0.35">
      <c r="A318" s="20"/>
      <c r="B318" s="20"/>
      <c r="C318" s="20"/>
      <c r="D318" s="20"/>
      <c r="E318" s="20"/>
      <c r="F318" s="20"/>
      <c r="G318" s="20"/>
      <c r="H318" s="20"/>
      <c r="I318" s="20"/>
    </row>
    <row r="319" spans="1:9" ht="14.25" customHeight="1" x14ac:dyDescent="0.35">
      <c r="A319" s="20"/>
      <c r="B319" s="20"/>
      <c r="C319" s="20"/>
      <c r="D319" s="20"/>
      <c r="E319" s="20"/>
      <c r="F319" s="20"/>
      <c r="G319" s="20"/>
      <c r="H319" s="20"/>
      <c r="I319" s="20"/>
    </row>
    <row r="320" spans="1:9" ht="14.25" customHeight="1" x14ac:dyDescent="0.35">
      <c r="A320" s="20"/>
      <c r="B320" s="20"/>
      <c r="C320" s="20"/>
      <c r="D320" s="20"/>
      <c r="E320" s="20"/>
      <c r="F320" s="20"/>
      <c r="G320" s="20"/>
      <c r="H320" s="20"/>
      <c r="I320" s="20"/>
    </row>
    <row r="321" spans="1:9" ht="14.25" customHeight="1" x14ac:dyDescent="0.35">
      <c r="A321" s="20"/>
      <c r="B321" s="20"/>
      <c r="C321" s="20"/>
      <c r="D321" s="20"/>
      <c r="E321" s="20"/>
      <c r="F321" s="20"/>
      <c r="G321" s="20"/>
      <c r="H321" s="20"/>
      <c r="I321" s="20"/>
    </row>
    <row r="322" spans="1:9" ht="14.25" customHeight="1" x14ac:dyDescent="0.35">
      <c r="A322" s="20"/>
      <c r="B322" s="20"/>
      <c r="C322" s="20"/>
      <c r="D322" s="20"/>
      <c r="E322" s="20"/>
      <c r="F322" s="20"/>
      <c r="G322" s="20"/>
      <c r="H322" s="20"/>
      <c r="I322" s="20"/>
    </row>
    <row r="323" spans="1:9" ht="14.25" customHeight="1" x14ac:dyDescent="0.35">
      <c r="A323" s="20"/>
      <c r="B323" s="20"/>
      <c r="C323" s="20"/>
      <c r="D323" s="20"/>
      <c r="E323" s="20"/>
      <c r="F323" s="20"/>
      <c r="G323" s="20"/>
      <c r="H323" s="20"/>
      <c r="I323" s="20"/>
    </row>
    <row r="324" spans="1:9" ht="14.25" customHeight="1" x14ac:dyDescent="0.35">
      <c r="A324" s="20"/>
      <c r="B324" s="20"/>
      <c r="C324" s="20"/>
      <c r="D324" s="20"/>
      <c r="E324" s="20"/>
      <c r="F324" s="20"/>
      <c r="G324" s="20"/>
      <c r="H324" s="20"/>
      <c r="I324" s="20"/>
    </row>
    <row r="325" spans="1:9" ht="14.25" customHeight="1" x14ac:dyDescent="0.35">
      <c r="A325" s="20"/>
      <c r="B325" s="20"/>
      <c r="C325" s="20"/>
      <c r="D325" s="20"/>
      <c r="E325" s="20"/>
      <c r="F325" s="20"/>
      <c r="G325" s="20"/>
      <c r="H325" s="20"/>
      <c r="I325" s="20"/>
    </row>
    <row r="326" spans="1:9" ht="14.25" customHeight="1" x14ac:dyDescent="0.35">
      <c r="A326" s="20"/>
      <c r="B326" s="20"/>
      <c r="C326" s="20"/>
      <c r="D326" s="20"/>
      <c r="E326" s="20"/>
      <c r="F326" s="20"/>
      <c r="G326" s="20"/>
      <c r="H326" s="20"/>
      <c r="I326" s="20"/>
    </row>
    <row r="327" spans="1:9" ht="14.25" customHeight="1" x14ac:dyDescent="0.35">
      <c r="A327" s="20"/>
      <c r="B327" s="20"/>
      <c r="C327" s="20"/>
      <c r="D327" s="20"/>
      <c r="E327" s="20"/>
      <c r="F327" s="20"/>
      <c r="G327" s="20"/>
      <c r="H327" s="20"/>
      <c r="I327" s="20"/>
    </row>
    <row r="328" spans="1:9" ht="14.25" customHeight="1" x14ac:dyDescent="0.35">
      <c r="A328" s="20"/>
      <c r="B328" s="20"/>
      <c r="C328" s="20"/>
      <c r="D328" s="20"/>
      <c r="E328" s="20"/>
      <c r="F328" s="20"/>
      <c r="G328" s="20"/>
      <c r="H328" s="20"/>
      <c r="I328" s="20"/>
    </row>
    <row r="329" spans="1:9" ht="14.25" customHeight="1" x14ac:dyDescent="0.35">
      <c r="A329" s="20"/>
      <c r="B329" s="20"/>
      <c r="C329" s="20"/>
      <c r="D329" s="20"/>
      <c r="E329" s="20"/>
      <c r="F329" s="20"/>
      <c r="G329" s="20"/>
      <c r="H329" s="20"/>
      <c r="I329" s="20"/>
    </row>
    <row r="330" spans="1:9" ht="14.25" customHeight="1" x14ac:dyDescent="0.35">
      <c r="A330" s="20"/>
      <c r="B330" s="20"/>
      <c r="C330" s="20"/>
      <c r="D330" s="20"/>
      <c r="E330" s="20"/>
      <c r="F330" s="20"/>
      <c r="G330" s="20"/>
      <c r="H330" s="20"/>
      <c r="I330" s="20"/>
    </row>
    <row r="331" spans="1:9" ht="14.25" customHeight="1" x14ac:dyDescent="0.35">
      <c r="A331" s="20"/>
      <c r="B331" s="20"/>
      <c r="C331" s="20"/>
      <c r="D331" s="20"/>
      <c r="E331" s="20"/>
      <c r="F331" s="20"/>
      <c r="G331" s="20"/>
      <c r="H331" s="20"/>
      <c r="I331" s="20"/>
    </row>
    <row r="332" spans="1:9" ht="14.25" customHeight="1" x14ac:dyDescent="0.35">
      <c r="A332" s="20"/>
      <c r="B332" s="20"/>
      <c r="C332" s="20"/>
      <c r="D332" s="20"/>
      <c r="E332" s="20"/>
      <c r="F332" s="20"/>
      <c r="G332" s="20"/>
      <c r="H332" s="20"/>
      <c r="I332" s="20"/>
    </row>
    <row r="333" spans="1:9" ht="14.25" customHeight="1" x14ac:dyDescent="0.35">
      <c r="A333" s="20"/>
      <c r="B333" s="20"/>
      <c r="C333" s="20"/>
      <c r="D333" s="20"/>
      <c r="E333" s="20"/>
      <c r="F333" s="20"/>
      <c r="G333" s="20"/>
      <c r="H333" s="20"/>
      <c r="I333" s="20"/>
    </row>
    <row r="334" spans="1:9" ht="14.25" customHeight="1" x14ac:dyDescent="0.35">
      <c r="A334" s="20"/>
      <c r="B334" s="20"/>
      <c r="C334" s="20"/>
      <c r="D334" s="20"/>
      <c r="E334" s="20"/>
      <c r="F334" s="20"/>
      <c r="G334" s="20"/>
      <c r="H334" s="20"/>
      <c r="I334" s="20"/>
    </row>
    <row r="335" spans="1:9" ht="14.25" customHeight="1" x14ac:dyDescent="0.35">
      <c r="A335" s="20"/>
      <c r="B335" s="20"/>
      <c r="C335" s="20"/>
      <c r="D335" s="20"/>
      <c r="E335" s="20"/>
      <c r="F335" s="20"/>
      <c r="G335" s="20"/>
      <c r="H335" s="20"/>
      <c r="I335" s="20"/>
    </row>
    <row r="336" spans="1:9" ht="14.25" customHeight="1" x14ac:dyDescent="0.35">
      <c r="A336" s="20"/>
      <c r="B336" s="20"/>
      <c r="C336" s="20"/>
      <c r="D336" s="20"/>
      <c r="E336" s="20"/>
      <c r="F336" s="20"/>
      <c r="G336" s="20"/>
      <c r="H336" s="20"/>
      <c r="I336" s="20"/>
    </row>
    <row r="337" spans="1:9" ht="14.25" customHeight="1" x14ac:dyDescent="0.35">
      <c r="A337" s="20"/>
      <c r="B337" s="20"/>
      <c r="C337" s="20"/>
      <c r="D337" s="20"/>
      <c r="E337" s="20"/>
      <c r="F337" s="20"/>
      <c r="G337" s="20"/>
      <c r="H337" s="20"/>
      <c r="I337" s="20"/>
    </row>
    <row r="338" spans="1:9" ht="14.25" customHeight="1" x14ac:dyDescent="0.35">
      <c r="A338" s="20"/>
      <c r="B338" s="20"/>
      <c r="C338" s="20"/>
      <c r="D338" s="20"/>
      <c r="E338" s="20"/>
      <c r="F338" s="20"/>
      <c r="G338" s="20"/>
      <c r="H338" s="20"/>
      <c r="I338" s="20"/>
    </row>
    <row r="339" spans="1:9" ht="14.25" customHeight="1" x14ac:dyDescent="0.35">
      <c r="A339" s="20"/>
      <c r="B339" s="20"/>
      <c r="C339" s="20"/>
      <c r="D339" s="20"/>
      <c r="E339" s="20"/>
      <c r="F339" s="20"/>
      <c r="G339" s="20"/>
      <c r="H339" s="20"/>
      <c r="I339" s="20"/>
    </row>
    <row r="340" spans="1:9" ht="14.25" customHeight="1" x14ac:dyDescent="0.35">
      <c r="A340" s="20"/>
      <c r="B340" s="20"/>
      <c r="C340" s="20"/>
      <c r="D340" s="20"/>
      <c r="E340" s="20"/>
      <c r="F340" s="20"/>
      <c r="G340" s="20"/>
      <c r="H340" s="20"/>
      <c r="I340" s="20"/>
    </row>
    <row r="341" spans="1:9" ht="14.25" customHeight="1" x14ac:dyDescent="0.35">
      <c r="A341" s="20"/>
      <c r="B341" s="20"/>
      <c r="C341" s="20"/>
      <c r="D341" s="20"/>
      <c r="E341" s="20"/>
      <c r="F341" s="20"/>
      <c r="G341" s="20"/>
      <c r="H341" s="20"/>
      <c r="I341" s="20"/>
    </row>
    <row r="342" spans="1:9" ht="14.25" customHeight="1" x14ac:dyDescent="0.35">
      <c r="A342" s="20"/>
      <c r="B342" s="20"/>
      <c r="C342" s="20"/>
      <c r="D342" s="20"/>
      <c r="E342" s="20"/>
      <c r="F342" s="20"/>
      <c r="G342" s="20"/>
      <c r="H342" s="20"/>
      <c r="I342" s="20"/>
    </row>
    <row r="343" spans="1:9" ht="14.25" customHeight="1" x14ac:dyDescent="0.35">
      <c r="A343" s="20"/>
      <c r="B343" s="20"/>
      <c r="C343" s="20"/>
      <c r="D343" s="20"/>
      <c r="E343" s="20"/>
      <c r="F343" s="20"/>
      <c r="G343" s="20"/>
      <c r="H343" s="20"/>
      <c r="I343" s="20"/>
    </row>
    <row r="344" spans="1:9" ht="14.25" customHeight="1" x14ac:dyDescent="0.35">
      <c r="A344" s="20"/>
      <c r="B344" s="20"/>
      <c r="C344" s="20"/>
      <c r="D344" s="20"/>
      <c r="E344" s="20"/>
      <c r="F344" s="20"/>
      <c r="G344" s="20"/>
      <c r="H344" s="20"/>
      <c r="I344" s="20"/>
    </row>
    <row r="345" spans="1:9" ht="14.25" customHeight="1" x14ac:dyDescent="0.35">
      <c r="A345" s="20"/>
      <c r="B345" s="20"/>
      <c r="C345" s="20"/>
      <c r="D345" s="20"/>
      <c r="E345" s="20"/>
      <c r="F345" s="20"/>
      <c r="G345" s="20"/>
      <c r="H345" s="20"/>
      <c r="I345" s="20"/>
    </row>
    <row r="346" spans="1:9" ht="14.25" customHeight="1" x14ac:dyDescent="0.35">
      <c r="A346" s="20"/>
      <c r="B346" s="20"/>
      <c r="C346" s="20"/>
      <c r="D346" s="20"/>
      <c r="E346" s="20"/>
      <c r="F346" s="20"/>
      <c r="G346" s="20"/>
      <c r="H346" s="20"/>
      <c r="I346" s="20"/>
    </row>
    <row r="347" spans="1:9" ht="14.25" customHeight="1" x14ac:dyDescent="0.35">
      <c r="A347" s="20"/>
      <c r="B347" s="20"/>
      <c r="C347" s="20"/>
      <c r="D347" s="20"/>
      <c r="E347" s="20"/>
      <c r="F347" s="20"/>
      <c r="G347" s="20"/>
      <c r="H347" s="20"/>
      <c r="I347" s="20"/>
    </row>
    <row r="348" spans="1:9" ht="14.25" customHeight="1" x14ac:dyDescent="0.35">
      <c r="A348" s="20"/>
      <c r="B348" s="20"/>
      <c r="C348" s="20"/>
      <c r="D348" s="20"/>
      <c r="E348" s="20"/>
      <c r="F348" s="20"/>
      <c r="G348" s="20"/>
      <c r="H348" s="20"/>
      <c r="I348" s="20"/>
    </row>
    <row r="349" spans="1:9" ht="14.25" customHeight="1" x14ac:dyDescent="0.35">
      <c r="A349" s="20"/>
      <c r="B349" s="20"/>
      <c r="C349" s="20"/>
      <c r="D349" s="20"/>
      <c r="E349" s="20"/>
      <c r="F349" s="20"/>
      <c r="G349" s="20"/>
      <c r="H349" s="20"/>
      <c r="I349" s="20"/>
    </row>
    <row r="350" spans="1:9" ht="14.25" customHeight="1" x14ac:dyDescent="0.35">
      <c r="A350" s="20"/>
      <c r="B350" s="20"/>
      <c r="C350" s="20"/>
      <c r="D350" s="20"/>
      <c r="E350" s="20"/>
      <c r="F350" s="20"/>
      <c r="G350" s="20"/>
      <c r="H350" s="20"/>
      <c r="I350" s="20"/>
    </row>
    <row r="351" spans="1:9" ht="14.25" customHeight="1" x14ac:dyDescent="0.35">
      <c r="A351" s="20"/>
      <c r="B351" s="20"/>
      <c r="C351" s="20"/>
      <c r="D351" s="20"/>
      <c r="E351" s="20"/>
      <c r="F351" s="20"/>
      <c r="G351" s="20"/>
      <c r="H351" s="20"/>
      <c r="I351" s="20"/>
    </row>
    <row r="352" spans="1:9" ht="14.25" customHeight="1" x14ac:dyDescent="0.35">
      <c r="A352" s="20"/>
      <c r="B352" s="20"/>
      <c r="C352" s="20"/>
      <c r="D352" s="20"/>
      <c r="E352" s="20"/>
      <c r="F352" s="20"/>
      <c r="G352" s="20"/>
      <c r="H352" s="20"/>
      <c r="I352" s="20"/>
    </row>
    <row r="353" spans="1:9" ht="14.25" customHeight="1" x14ac:dyDescent="0.35">
      <c r="A353" s="20"/>
      <c r="B353" s="20"/>
      <c r="C353" s="20"/>
      <c r="D353" s="20"/>
      <c r="E353" s="20"/>
      <c r="F353" s="20"/>
      <c r="G353" s="20"/>
      <c r="H353" s="20"/>
      <c r="I353" s="20"/>
    </row>
    <row r="354" spans="1:9" ht="14.25" customHeight="1" x14ac:dyDescent="0.35">
      <c r="A354" s="20"/>
      <c r="B354" s="20"/>
      <c r="C354" s="20"/>
      <c r="D354" s="20"/>
      <c r="E354" s="20"/>
      <c r="F354" s="20"/>
      <c r="G354" s="20"/>
      <c r="H354" s="20"/>
      <c r="I354" s="20"/>
    </row>
    <row r="355" spans="1:9" ht="14.25" customHeight="1" x14ac:dyDescent="0.35">
      <c r="A355" s="20"/>
      <c r="B355" s="20"/>
      <c r="C355" s="20"/>
      <c r="D355" s="20"/>
      <c r="E355" s="20"/>
      <c r="F355" s="20"/>
      <c r="G355" s="20"/>
      <c r="H355" s="20"/>
      <c r="I355" s="20"/>
    </row>
    <row r="356" spans="1:9" ht="14.25" customHeight="1" x14ac:dyDescent="0.35">
      <c r="A356" s="20"/>
      <c r="B356" s="20"/>
      <c r="C356" s="20"/>
      <c r="D356" s="20"/>
      <c r="E356" s="20"/>
      <c r="F356" s="20"/>
      <c r="G356" s="20"/>
      <c r="H356" s="20"/>
      <c r="I356" s="20"/>
    </row>
    <row r="357" spans="1:9" ht="14.25" customHeight="1" x14ac:dyDescent="0.35">
      <c r="A357" s="20"/>
      <c r="B357" s="20"/>
      <c r="C357" s="20"/>
      <c r="D357" s="20"/>
      <c r="E357" s="20"/>
      <c r="F357" s="20"/>
      <c r="G357" s="20"/>
      <c r="H357" s="20"/>
      <c r="I357" s="20"/>
    </row>
    <row r="358" spans="1:9" ht="14.25" customHeight="1" x14ac:dyDescent="0.35">
      <c r="A358" s="20"/>
      <c r="B358" s="20"/>
      <c r="C358" s="20"/>
      <c r="D358" s="20"/>
      <c r="E358" s="20"/>
      <c r="F358" s="20"/>
      <c r="G358" s="20"/>
      <c r="H358" s="20"/>
      <c r="I358" s="20"/>
    </row>
    <row r="359" spans="1:9" ht="14.25" customHeight="1" x14ac:dyDescent="0.35">
      <c r="A359" s="20"/>
      <c r="B359" s="20"/>
      <c r="C359" s="20"/>
      <c r="D359" s="20"/>
      <c r="E359" s="20"/>
      <c r="F359" s="20"/>
      <c r="G359" s="20"/>
      <c r="H359" s="20"/>
      <c r="I359" s="20"/>
    </row>
    <row r="360" spans="1:9" ht="14.25" customHeight="1" x14ac:dyDescent="0.35">
      <c r="A360" s="20"/>
      <c r="B360" s="20"/>
      <c r="C360" s="20"/>
      <c r="D360" s="20"/>
      <c r="E360" s="20"/>
      <c r="F360" s="20"/>
      <c r="G360" s="20"/>
      <c r="H360" s="20"/>
      <c r="I360" s="20"/>
    </row>
    <row r="361" spans="1:9" ht="14.25" customHeight="1" x14ac:dyDescent="0.35">
      <c r="A361" s="20"/>
      <c r="B361" s="20"/>
      <c r="C361" s="20"/>
      <c r="D361" s="20"/>
      <c r="E361" s="20"/>
      <c r="F361" s="20"/>
      <c r="G361" s="20"/>
      <c r="H361" s="20"/>
      <c r="I361" s="20"/>
    </row>
    <row r="362" spans="1:9" ht="14.25" customHeight="1" x14ac:dyDescent="0.35">
      <c r="A362" s="20"/>
      <c r="B362" s="20"/>
      <c r="C362" s="20"/>
      <c r="D362" s="20"/>
      <c r="E362" s="20"/>
      <c r="F362" s="20"/>
      <c r="G362" s="20"/>
      <c r="H362" s="20"/>
      <c r="I362" s="20"/>
    </row>
    <row r="363" spans="1:9" ht="14.25" customHeight="1" x14ac:dyDescent="0.35">
      <c r="A363" s="20"/>
      <c r="B363" s="20"/>
      <c r="C363" s="20"/>
      <c r="D363" s="20"/>
      <c r="E363" s="20"/>
      <c r="F363" s="20"/>
      <c r="G363" s="20"/>
      <c r="H363" s="20"/>
      <c r="I363" s="20"/>
    </row>
    <row r="364" spans="1:9" ht="14.25" customHeight="1" x14ac:dyDescent="0.35">
      <c r="A364" s="20"/>
      <c r="B364" s="20"/>
      <c r="C364" s="20"/>
      <c r="D364" s="20"/>
      <c r="E364" s="20"/>
      <c r="F364" s="20"/>
      <c r="G364" s="20"/>
      <c r="H364" s="20"/>
      <c r="I364" s="20"/>
    </row>
    <row r="365" spans="1:9" ht="14.25" customHeight="1" x14ac:dyDescent="0.35">
      <c r="A365" s="20"/>
      <c r="B365" s="20"/>
      <c r="C365" s="20"/>
      <c r="D365" s="20"/>
      <c r="E365" s="20"/>
      <c r="F365" s="20"/>
      <c r="G365" s="20"/>
      <c r="H365" s="20"/>
      <c r="I365" s="20"/>
    </row>
    <row r="366" spans="1:9" ht="14.25" customHeight="1" x14ac:dyDescent="0.35">
      <c r="A366" s="20"/>
      <c r="B366" s="20"/>
      <c r="C366" s="20"/>
      <c r="D366" s="20"/>
      <c r="E366" s="20"/>
      <c r="F366" s="20"/>
      <c r="G366" s="20"/>
      <c r="H366" s="20"/>
      <c r="I366" s="20"/>
    </row>
    <row r="367" spans="1:9" ht="14.25" customHeight="1" x14ac:dyDescent="0.35">
      <c r="A367" s="20"/>
      <c r="B367" s="20"/>
      <c r="C367" s="20"/>
      <c r="D367" s="20"/>
      <c r="E367" s="20"/>
      <c r="F367" s="20"/>
      <c r="G367" s="20"/>
      <c r="H367" s="20"/>
      <c r="I367" s="20"/>
    </row>
    <row r="368" spans="1:9" ht="14.25" customHeight="1" x14ac:dyDescent="0.35">
      <c r="A368" s="20"/>
      <c r="B368" s="20"/>
      <c r="C368" s="20"/>
      <c r="D368" s="20"/>
      <c r="E368" s="20"/>
      <c r="F368" s="20"/>
      <c r="G368" s="20"/>
      <c r="H368" s="20"/>
      <c r="I368" s="20"/>
    </row>
    <row r="369" spans="1:9" ht="14.25" customHeight="1" x14ac:dyDescent="0.35">
      <c r="A369" s="20"/>
      <c r="B369" s="20"/>
      <c r="C369" s="20"/>
      <c r="D369" s="20"/>
      <c r="E369" s="20"/>
      <c r="F369" s="20"/>
      <c r="G369" s="20"/>
      <c r="H369" s="20"/>
      <c r="I369" s="20"/>
    </row>
    <row r="370" spans="1:9" ht="14.25" customHeight="1" x14ac:dyDescent="0.35">
      <c r="A370" s="20"/>
      <c r="B370" s="20"/>
      <c r="C370" s="20"/>
      <c r="D370" s="20"/>
      <c r="E370" s="20"/>
      <c r="F370" s="20"/>
      <c r="G370" s="20"/>
      <c r="H370" s="20"/>
      <c r="I370" s="20"/>
    </row>
    <row r="371" spans="1:9" ht="14.25" customHeight="1" x14ac:dyDescent="0.35">
      <c r="A371" s="20"/>
      <c r="B371" s="20"/>
      <c r="C371" s="20"/>
      <c r="D371" s="20"/>
      <c r="E371" s="20"/>
      <c r="F371" s="20"/>
      <c r="G371" s="20"/>
      <c r="H371" s="20"/>
      <c r="I371" s="20"/>
    </row>
    <row r="372" spans="1:9" ht="14.25" customHeight="1" x14ac:dyDescent="0.35">
      <c r="A372" s="20"/>
      <c r="B372" s="20"/>
      <c r="C372" s="20"/>
      <c r="D372" s="20"/>
      <c r="E372" s="20"/>
      <c r="F372" s="20"/>
      <c r="G372" s="20"/>
      <c r="H372" s="20"/>
      <c r="I372" s="20"/>
    </row>
    <row r="373" spans="1:9" ht="14.25" customHeight="1" x14ac:dyDescent="0.35">
      <c r="A373" s="20"/>
      <c r="B373" s="20"/>
      <c r="C373" s="20"/>
      <c r="D373" s="20"/>
      <c r="E373" s="20"/>
      <c r="F373" s="20"/>
      <c r="G373" s="20"/>
      <c r="H373" s="20"/>
      <c r="I373" s="20"/>
    </row>
    <row r="374" spans="1:9" ht="14.25" customHeight="1" x14ac:dyDescent="0.35">
      <c r="A374" s="20"/>
      <c r="B374" s="20"/>
      <c r="C374" s="20"/>
      <c r="D374" s="20"/>
      <c r="E374" s="20"/>
      <c r="F374" s="20"/>
      <c r="G374" s="20"/>
      <c r="H374" s="20"/>
      <c r="I374" s="20"/>
    </row>
    <row r="375" spans="1:9" ht="14.25" customHeight="1" x14ac:dyDescent="0.35">
      <c r="A375" s="20"/>
      <c r="B375" s="20"/>
      <c r="C375" s="20"/>
      <c r="D375" s="20"/>
      <c r="E375" s="20"/>
      <c r="F375" s="20"/>
      <c r="G375" s="20"/>
      <c r="H375" s="20"/>
      <c r="I375" s="20"/>
    </row>
    <row r="376" spans="1:9" ht="14.25" customHeight="1" x14ac:dyDescent="0.35">
      <c r="A376" s="20"/>
      <c r="B376" s="20"/>
      <c r="C376" s="20"/>
      <c r="D376" s="20"/>
      <c r="E376" s="20"/>
      <c r="F376" s="20"/>
      <c r="G376" s="20"/>
      <c r="H376" s="20"/>
      <c r="I376" s="20"/>
    </row>
    <row r="377" spans="1:9" ht="14.25" customHeight="1" x14ac:dyDescent="0.35">
      <c r="A377" s="20"/>
      <c r="B377" s="20"/>
      <c r="C377" s="20"/>
      <c r="D377" s="20"/>
      <c r="E377" s="20"/>
      <c r="F377" s="20"/>
      <c r="G377" s="20"/>
      <c r="H377" s="20"/>
      <c r="I377" s="20"/>
    </row>
    <row r="378" spans="1:9" ht="14.25" customHeight="1" x14ac:dyDescent="0.35">
      <c r="A378" s="20"/>
      <c r="B378" s="20"/>
      <c r="C378" s="20"/>
      <c r="D378" s="20"/>
      <c r="E378" s="20"/>
      <c r="F378" s="20"/>
      <c r="G378" s="20"/>
      <c r="H378" s="20"/>
      <c r="I378" s="20"/>
    </row>
    <row r="379" spans="1:9" ht="14.25" customHeight="1" x14ac:dyDescent="0.35">
      <c r="A379" s="20"/>
      <c r="B379" s="20"/>
      <c r="C379" s="20"/>
      <c r="D379" s="20"/>
      <c r="E379" s="20"/>
      <c r="F379" s="20"/>
      <c r="G379" s="20"/>
      <c r="H379" s="20"/>
      <c r="I379" s="20"/>
    </row>
    <row r="380" spans="1:9" ht="14.25" customHeight="1" x14ac:dyDescent="0.35">
      <c r="A380" s="20"/>
      <c r="B380" s="20"/>
      <c r="C380" s="20"/>
      <c r="D380" s="20"/>
      <c r="E380" s="20"/>
      <c r="F380" s="20"/>
      <c r="G380" s="20"/>
      <c r="H380" s="20"/>
      <c r="I380" s="20"/>
    </row>
    <row r="381" spans="1:9" ht="14.25" customHeight="1" x14ac:dyDescent="0.35">
      <c r="A381" s="20"/>
      <c r="B381" s="20"/>
      <c r="C381" s="20"/>
      <c r="D381" s="20"/>
      <c r="E381" s="20"/>
      <c r="F381" s="20"/>
      <c r="G381" s="20"/>
      <c r="H381" s="20"/>
      <c r="I381" s="20"/>
    </row>
    <row r="382" spans="1:9" ht="14.25" customHeight="1" x14ac:dyDescent="0.35">
      <c r="A382" s="20"/>
      <c r="B382" s="20"/>
      <c r="C382" s="20"/>
      <c r="D382" s="20"/>
      <c r="E382" s="20"/>
      <c r="F382" s="20"/>
      <c r="G382" s="20"/>
      <c r="H382" s="20"/>
      <c r="I382" s="20"/>
    </row>
    <row r="383" spans="1:9" ht="14.25" customHeight="1" x14ac:dyDescent="0.35">
      <c r="A383" s="20"/>
      <c r="B383" s="20"/>
      <c r="C383" s="20"/>
      <c r="D383" s="20"/>
      <c r="E383" s="20"/>
      <c r="F383" s="20"/>
      <c r="G383" s="20"/>
      <c r="H383" s="20"/>
      <c r="I383" s="20"/>
    </row>
    <row r="384" spans="1:9" ht="14.25" customHeight="1" x14ac:dyDescent="0.35">
      <c r="A384" s="20"/>
      <c r="B384" s="20"/>
      <c r="C384" s="20"/>
      <c r="D384" s="20"/>
      <c r="E384" s="20"/>
      <c r="F384" s="20"/>
      <c r="G384" s="20"/>
      <c r="H384" s="20"/>
      <c r="I384" s="20"/>
    </row>
    <row r="385" spans="1:9" ht="14.25" customHeight="1" x14ac:dyDescent="0.35">
      <c r="A385" s="20"/>
      <c r="B385" s="20"/>
      <c r="C385" s="20"/>
      <c r="D385" s="20"/>
      <c r="E385" s="20"/>
      <c r="F385" s="20"/>
      <c r="G385" s="20"/>
      <c r="H385" s="20"/>
      <c r="I385" s="20"/>
    </row>
    <row r="386" spans="1:9" ht="14.25" customHeight="1" x14ac:dyDescent="0.35">
      <c r="A386" s="20"/>
      <c r="B386" s="20"/>
      <c r="C386" s="20"/>
      <c r="D386" s="20"/>
      <c r="E386" s="20"/>
      <c r="F386" s="20"/>
      <c r="G386" s="20"/>
      <c r="H386" s="20"/>
      <c r="I386" s="20"/>
    </row>
    <row r="387" spans="1:9" ht="14.25" customHeight="1" x14ac:dyDescent="0.35">
      <c r="A387" s="20"/>
      <c r="B387" s="20"/>
      <c r="C387" s="20"/>
      <c r="D387" s="20"/>
      <c r="E387" s="20"/>
      <c r="F387" s="20"/>
      <c r="G387" s="20"/>
      <c r="H387" s="20"/>
      <c r="I387" s="20"/>
    </row>
    <row r="388" spans="1:9" ht="14.25" customHeight="1" x14ac:dyDescent="0.35">
      <c r="A388" s="20"/>
      <c r="B388" s="20"/>
      <c r="C388" s="20"/>
      <c r="D388" s="20"/>
      <c r="E388" s="20"/>
      <c r="F388" s="20"/>
      <c r="G388" s="20"/>
      <c r="H388" s="20"/>
      <c r="I388" s="20"/>
    </row>
    <row r="389" spans="1:9" ht="14.25" customHeight="1" x14ac:dyDescent="0.35">
      <c r="A389" s="20"/>
      <c r="B389" s="20"/>
      <c r="C389" s="20"/>
      <c r="D389" s="20"/>
      <c r="E389" s="20"/>
      <c r="F389" s="20"/>
      <c r="G389" s="20"/>
      <c r="H389" s="20"/>
      <c r="I389" s="20"/>
    </row>
    <row r="390" spans="1:9" ht="14.25" customHeight="1" x14ac:dyDescent="0.35">
      <c r="A390" s="20"/>
      <c r="B390" s="20"/>
      <c r="C390" s="20"/>
      <c r="D390" s="20"/>
      <c r="E390" s="20"/>
      <c r="F390" s="20"/>
      <c r="G390" s="20"/>
      <c r="H390" s="20"/>
      <c r="I390" s="20"/>
    </row>
    <row r="391" spans="1:9" ht="14.25" customHeight="1" x14ac:dyDescent="0.35">
      <c r="A391" s="20"/>
      <c r="B391" s="20"/>
      <c r="C391" s="20"/>
      <c r="D391" s="20"/>
      <c r="E391" s="20"/>
      <c r="F391" s="20"/>
      <c r="G391" s="20"/>
      <c r="H391" s="20"/>
      <c r="I391" s="20"/>
    </row>
    <row r="392" spans="1:9" ht="14.25" customHeight="1" x14ac:dyDescent="0.35">
      <c r="A392" s="20"/>
      <c r="B392" s="20"/>
      <c r="C392" s="20"/>
      <c r="D392" s="20"/>
      <c r="E392" s="20"/>
      <c r="F392" s="20"/>
      <c r="G392" s="20"/>
      <c r="H392" s="20"/>
      <c r="I392" s="20"/>
    </row>
    <row r="393" spans="1:9" ht="14.25" customHeight="1" x14ac:dyDescent="0.35">
      <c r="A393" s="20"/>
      <c r="B393" s="20"/>
      <c r="C393" s="20"/>
      <c r="D393" s="20"/>
      <c r="E393" s="20"/>
      <c r="F393" s="20"/>
      <c r="G393" s="20"/>
      <c r="H393" s="20"/>
      <c r="I393" s="20"/>
    </row>
    <row r="394" spans="1:9" ht="14.25" customHeight="1" x14ac:dyDescent="0.35">
      <c r="A394" s="20"/>
      <c r="B394" s="20"/>
      <c r="C394" s="20"/>
      <c r="D394" s="20"/>
      <c r="E394" s="20"/>
      <c r="F394" s="20"/>
      <c r="G394" s="20"/>
      <c r="H394" s="20"/>
      <c r="I394" s="20"/>
    </row>
    <row r="395" spans="1:9" ht="14.25" customHeight="1" x14ac:dyDescent="0.35">
      <c r="A395" s="20"/>
      <c r="B395" s="20"/>
      <c r="C395" s="20"/>
      <c r="D395" s="20"/>
      <c r="E395" s="20"/>
      <c r="F395" s="20"/>
      <c r="G395" s="20"/>
      <c r="H395" s="20"/>
      <c r="I395" s="20"/>
    </row>
    <row r="396" spans="1:9" ht="14.25" customHeight="1" x14ac:dyDescent="0.35">
      <c r="A396" s="20"/>
      <c r="B396" s="20"/>
      <c r="C396" s="20"/>
      <c r="D396" s="20"/>
      <c r="E396" s="20"/>
      <c r="F396" s="20"/>
      <c r="G396" s="20"/>
      <c r="H396" s="20"/>
      <c r="I396" s="20"/>
    </row>
    <row r="397" spans="1:9" ht="14.25" customHeight="1" x14ac:dyDescent="0.35">
      <c r="A397" s="20"/>
      <c r="B397" s="20"/>
      <c r="C397" s="20"/>
      <c r="D397" s="20"/>
      <c r="E397" s="20"/>
      <c r="F397" s="20"/>
      <c r="G397" s="20"/>
      <c r="H397" s="20"/>
      <c r="I397" s="20"/>
    </row>
    <row r="398" spans="1:9" ht="14.25" customHeight="1" x14ac:dyDescent="0.35">
      <c r="A398" s="20"/>
      <c r="B398" s="20"/>
      <c r="C398" s="20"/>
      <c r="D398" s="20"/>
      <c r="E398" s="20"/>
      <c r="F398" s="20"/>
      <c r="G398" s="20"/>
      <c r="H398" s="20"/>
      <c r="I398" s="20"/>
    </row>
    <row r="399" spans="1:9" ht="14.25" customHeight="1" x14ac:dyDescent="0.35">
      <c r="A399" s="20"/>
      <c r="B399" s="20"/>
      <c r="C399" s="20"/>
      <c r="D399" s="20"/>
      <c r="E399" s="20"/>
      <c r="F399" s="20"/>
      <c r="G399" s="20"/>
      <c r="H399" s="20"/>
      <c r="I399" s="20"/>
    </row>
    <row r="400" spans="1:9" ht="14.25" customHeight="1" x14ac:dyDescent="0.35">
      <c r="A400" s="20"/>
      <c r="B400" s="20"/>
      <c r="C400" s="20"/>
      <c r="D400" s="20"/>
      <c r="E400" s="20"/>
      <c r="F400" s="20"/>
      <c r="G400" s="20"/>
      <c r="H400" s="20"/>
      <c r="I400" s="20"/>
    </row>
    <row r="401" spans="1:9" ht="14.25" customHeight="1" x14ac:dyDescent="0.35">
      <c r="A401" s="20"/>
      <c r="B401" s="20"/>
      <c r="C401" s="20"/>
      <c r="D401" s="20"/>
      <c r="E401" s="20"/>
      <c r="F401" s="20"/>
      <c r="G401" s="20"/>
      <c r="H401" s="20"/>
      <c r="I401" s="20"/>
    </row>
    <row r="402" spans="1:9" ht="14.25" customHeight="1" x14ac:dyDescent="0.35">
      <c r="A402" s="20"/>
      <c r="B402" s="20"/>
      <c r="C402" s="20"/>
      <c r="D402" s="20"/>
      <c r="E402" s="20"/>
      <c r="F402" s="20"/>
      <c r="G402" s="20"/>
      <c r="H402" s="20"/>
      <c r="I402" s="20"/>
    </row>
    <row r="403" spans="1:9" ht="14.25" customHeight="1" x14ac:dyDescent="0.35">
      <c r="A403" s="20"/>
      <c r="B403" s="20"/>
      <c r="C403" s="20"/>
      <c r="D403" s="20"/>
      <c r="E403" s="20"/>
      <c r="F403" s="20"/>
      <c r="G403" s="20"/>
      <c r="H403" s="20"/>
      <c r="I403" s="20"/>
    </row>
    <row r="404" spans="1:9" ht="14.25" customHeight="1" x14ac:dyDescent="0.35">
      <c r="A404" s="20"/>
      <c r="B404" s="20"/>
      <c r="C404" s="20"/>
      <c r="D404" s="20"/>
      <c r="E404" s="20"/>
      <c r="F404" s="20"/>
      <c r="G404" s="20"/>
      <c r="H404" s="20"/>
      <c r="I404" s="20"/>
    </row>
    <row r="405" spans="1:9" ht="14.25" customHeight="1" x14ac:dyDescent="0.35">
      <c r="A405" s="20"/>
      <c r="B405" s="20"/>
      <c r="C405" s="20"/>
      <c r="D405" s="20"/>
      <c r="E405" s="20"/>
      <c r="F405" s="20"/>
      <c r="G405" s="20"/>
      <c r="H405" s="20"/>
      <c r="I405" s="20"/>
    </row>
    <row r="406" spans="1:9" ht="14.25" customHeight="1" x14ac:dyDescent="0.35">
      <c r="A406" s="20"/>
      <c r="B406" s="20"/>
      <c r="C406" s="20"/>
      <c r="D406" s="20"/>
      <c r="E406" s="20"/>
      <c r="F406" s="20"/>
      <c r="G406" s="20"/>
      <c r="H406" s="20"/>
      <c r="I406" s="20"/>
    </row>
    <row r="407" spans="1:9" ht="14.25" customHeight="1" x14ac:dyDescent="0.35">
      <c r="A407" s="20"/>
      <c r="B407" s="20"/>
      <c r="C407" s="20"/>
      <c r="D407" s="20"/>
      <c r="E407" s="20"/>
      <c r="F407" s="20"/>
      <c r="G407" s="20"/>
      <c r="H407" s="20"/>
      <c r="I407" s="20"/>
    </row>
    <row r="408" spans="1:9" ht="14.25" customHeight="1" x14ac:dyDescent="0.35">
      <c r="A408" s="20"/>
      <c r="B408" s="20"/>
      <c r="C408" s="20"/>
      <c r="D408" s="20"/>
      <c r="E408" s="20"/>
      <c r="F408" s="20"/>
      <c r="G408" s="20"/>
      <c r="H408" s="20"/>
      <c r="I408" s="20"/>
    </row>
    <row r="409" spans="1:9" ht="14.25" customHeight="1" x14ac:dyDescent="0.35">
      <c r="A409" s="20"/>
      <c r="B409" s="20"/>
      <c r="C409" s="20"/>
      <c r="D409" s="20"/>
      <c r="E409" s="20"/>
      <c r="F409" s="20"/>
      <c r="G409" s="20"/>
      <c r="H409" s="20"/>
      <c r="I409" s="20"/>
    </row>
    <row r="410" spans="1:9" ht="14.25" customHeight="1" x14ac:dyDescent="0.35">
      <c r="A410" s="20"/>
      <c r="B410" s="20"/>
      <c r="C410" s="20"/>
      <c r="D410" s="20"/>
      <c r="E410" s="20"/>
      <c r="F410" s="20"/>
      <c r="G410" s="20"/>
      <c r="H410" s="20"/>
      <c r="I410" s="20"/>
    </row>
    <row r="411" spans="1:9" ht="14.25" customHeight="1" x14ac:dyDescent="0.35">
      <c r="A411" s="20"/>
      <c r="B411" s="20"/>
      <c r="C411" s="20"/>
      <c r="D411" s="20"/>
      <c r="E411" s="20"/>
      <c r="F411" s="20"/>
      <c r="G411" s="20"/>
      <c r="H411" s="20"/>
      <c r="I411" s="20"/>
    </row>
    <row r="412" spans="1:9" ht="14.25" customHeight="1" x14ac:dyDescent="0.35">
      <c r="A412" s="20"/>
      <c r="B412" s="20"/>
      <c r="C412" s="20"/>
      <c r="D412" s="20"/>
      <c r="E412" s="20"/>
      <c r="F412" s="20"/>
      <c r="G412" s="20"/>
      <c r="H412" s="20"/>
      <c r="I412" s="20"/>
    </row>
    <row r="413" spans="1:9" ht="14.25" customHeight="1" x14ac:dyDescent="0.35">
      <c r="A413" s="20"/>
      <c r="B413" s="20"/>
      <c r="C413" s="20"/>
      <c r="D413" s="20"/>
      <c r="E413" s="20"/>
      <c r="F413" s="20"/>
      <c r="G413" s="20"/>
      <c r="H413" s="20"/>
      <c r="I413" s="20"/>
    </row>
    <row r="414" spans="1:9" ht="14.25" customHeight="1" x14ac:dyDescent="0.35">
      <c r="A414" s="20"/>
      <c r="B414" s="20"/>
      <c r="C414" s="20"/>
      <c r="D414" s="20"/>
      <c r="E414" s="20"/>
      <c r="F414" s="20"/>
      <c r="G414" s="20"/>
      <c r="H414" s="20"/>
      <c r="I414" s="20"/>
    </row>
    <row r="415" spans="1:9" ht="14.25" customHeight="1" x14ac:dyDescent="0.35">
      <c r="A415" s="20"/>
      <c r="B415" s="20"/>
      <c r="C415" s="20"/>
      <c r="D415" s="20"/>
      <c r="E415" s="20"/>
      <c r="F415" s="20"/>
      <c r="G415" s="20"/>
      <c r="H415" s="20"/>
      <c r="I415" s="20"/>
    </row>
    <row r="416" spans="1:9" ht="14.25" customHeight="1" x14ac:dyDescent="0.35">
      <c r="A416" s="20"/>
      <c r="B416" s="20"/>
      <c r="C416" s="20"/>
      <c r="D416" s="20"/>
      <c r="E416" s="20"/>
      <c r="F416" s="20"/>
      <c r="G416" s="20"/>
      <c r="H416" s="20"/>
      <c r="I416" s="20"/>
    </row>
    <row r="417" spans="1:9" ht="14.25" customHeight="1" x14ac:dyDescent="0.35">
      <c r="A417" s="20"/>
      <c r="B417" s="20"/>
      <c r="C417" s="20"/>
      <c r="D417" s="20"/>
      <c r="E417" s="20"/>
      <c r="F417" s="20"/>
      <c r="G417" s="20"/>
      <c r="H417" s="20"/>
      <c r="I417" s="20"/>
    </row>
    <row r="418" spans="1:9" ht="14.25" customHeight="1" x14ac:dyDescent="0.35">
      <c r="A418" s="20"/>
      <c r="B418" s="20"/>
      <c r="C418" s="20"/>
      <c r="D418" s="20"/>
      <c r="E418" s="20"/>
      <c r="F418" s="20"/>
      <c r="G418" s="20"/>
      <c r="H418" s="20"/>
      <c r="I418" s="20"/>
    </row>
    <row r="419" spans="1:9" ht="14.25" customHeight="1" x14ac:dyDescent="0.35">
      <c r="A419" s="20"/>
      <c r="B419" s="20"/>
      <c r="C419" s="20"/>
      <c r="D419" s="20"/>
      <c r="E419" s="20"/>
      <c r="F419" s="20"/>
      <c r="G419" s="20"/>
      <c r="H419" s="20"/>
      <c r="I419" s="20"/>
    </row>
    <row r="420" spans="1:9" ht="14.25" customHeight="1" x14ac:dyDescent="0.35">
      <c r="A420" s="20"/>
      <c r="B420" s="20"/>
      <c r="C420" s="20"/>
      <c r="D420" s="20"/>
      <c r="E420" s="20"/>
      <c r="F420" s="20"/>
      <c r="G420" s="20"/>
      <c r="H420" s="20"/>
      <c r="I420" s="20"/>
    </row>
    <row r="421" spans="1:9" ht="14.25" customHeight="1" x14ac:dyDescent="0.35">
      <c r="A421" s="20"/>
      <c r="B421" s="20"/>
      <c r="C421" s="20"/>
      <c r="D421" s="20"/>
      <c r="E421" s="20"/>
      <c r="F421" s="20"/>
      <c r="G421" s="20"/>
      <c r="H421" s="20"/>
      <c r="I421" s="20"/>
    </row>
    <row r="422" spans="1:9" ht="14.25" customHeight="1" x14ac:dyDescent="0.35">
      <c r="A422" s="20"/>
      <c r="B422" s="20"/>
      <c r="C422" s="20"/>
      <c r="D422" s="20"/>
      <c r="E422" s="20"/>
      <c r="F422" s="20"/>
      <c r="G422" s="20"/>
      <c r="H422" s="20"/>
      <c r="I422" s="20"/>
    </row>
    <row r="423" spans="1:9" ht="14.25" customHeight="1" x14ac:dyDescent="0.35">
      <c r="A423" s="20"/>
      <c r="B423" s="20"/>
      <c r="C423" s="20"/>
      <c r="D423" s="20"/>
      <c r="E423" s="20"/>
      <c r="F423" s="20"/>
      <c r="G423" s="20"/>
      <c r="H423" s="20"/>
      <c r="I423" s="20"/>
    </row>
    <row r="424" spans="1:9" ht="14.25" customHeight="1" x14ac:dyDescent="0.35">
      <c r="A424" s="20"/>
      <c r="B424" s="20"/>
      <c r="C424" s="20"/>
      <c r="D424" s="20"/>
      <c r="E424" s="20"/>
      <c r="F424" s="20"/>
      <c r="G424" s="20"/>
      <c r="H424" s="20"/>
      <c r="I424" s="20"/>
    </row>
    <row r="425" spans="1:9" ht="14.25" customHeight="1" x14ac:dyDescent="0.35">
      <c r="A425" s="20"/>
      <c r="B425" s="20"/>
      <c r="C425" s="20"/>
      <c r="D425" s="20"/>
      <c r="E425" s="20"/>
      <c r="F425" s="20"/>
      <c r="G425" s="20"/>
      <c r="H425" s="20"/>
      <c r="I425" s="20"/>
    </row>
    <row r="426" spans="1:9" ht="14.25" customHeight="1" x14ac:dyDescent="0.35">
      <c r="A426" s="20"/>
      <c r="B426" s="20"/>
      <c r="C426" s="20"/>
      <c r="D426" s="20"/>
      <c r="E426" s="20"/>
      <c r="F426" s="20"/>
      <c r="G426" s="20"/>
      <c r="H426" s="20"/>
      <c r="I426" s="20"/>
    </row>
    <row r="427" spans="1:9" ht="14.25" customHeight="1" x14ac:dyDescent="0.35">
      <c r="A427" s="20"/>
      <c r="B427" s="20"/>
      <c r="C427" s="20"/>
      <c r="D427" s="20"/>
      <c r="E427" s="20"/>
      <c r="F427" s="20"/>
      <c r="G427" s="20"/>
      <c r="H427" s="20"/>
      <c r="I427" s="20"/>
    </row>
    <row r="428" spans="1:9" ht="14.25" customHeight="1" x14ac:dyDescent="0.35">
      <c r="A428" s="20"/>
      <c r="B428" s="20"/>
      <c r="C428" s="20"/>
      <c r="D428" s="20"/>
      <c r="E428" s="20"/>
      <c r="F428" s="20"/>
      <c r="G428" s="20"/>
      <c r="H428" s="20"/>
      <c r="I428" s="20"/>
    </row>
    <row r="429" spans="1:9" ht="14.25" customHeight="1" x14ac:dyDescent="0.35">
      <c r="A429" s="20"/>
      <c r="B429" s="20"/>
      <c r="C429" s="20"/>
      <c r="D429" s="20"/>
      <c r="E429" s="20"/>
      <c r="F429" s="20"/>
      <c r="G429" s="20"/>
      <c r="H429" s="20"/>
      <c r="I429" s="20"/>
    </row>
    <row r="430" spans="1:9" ht="14.25" customHeight="1" x14ac:dyDescent="0.35">
      <c r="A430" s="20"/>
      <c r="B430" s="20"/>
      <c r="C430" s="20"/>
      <c r="D430" s="20"/>
      <c r="E430" s="20"/>
      <c r="F430" s="20"/>
      <c r="G430" s="20"/>
      <c r="H430" s="20"/>
      <c r="I430" s="20"/>
    </row>
    <row r="431" spans="1:9" ht="14.25" customHeight="1" x14ac:dyDescent="0.35">
      <c r="A431" s="20"/>
      <c r="B431" s="20"/>
      <c r="C431" s="20"/>
      <c r="D431" s="20"/>
      <c r="E431" s="20"/>
      <c r="F431" s="20"/>
      <c r="G431" s="20"/>
      <c r="H431" s="20"/>
      <c r="I431" s="20"/>
    </row>
    <row r="432" spans="1:9" ht="14.25" customHeight="1" x14ac:dyDescent="0.35">
      <c r="A432" s="20"/>
      <c r="B432" s="20"/>
      <c r="C432" s="20"/>
      <c r="D432" s="20"/>
      <c r="E432" s="20"/>
      <c r="F432" s="20"/>
      <c r="G432" s="20"/>
      <c r="H432" s="20"/>
      <c r="I432" s="20"/>
    </row>
    <row r="433" spans="1:9" ht="14.25" customHeight="1" x14ac:dyDescent="0.35">
      <c r="A433" s="20"/>
      <c r="B433" s="20"/>
      <c r="C433" s="20"/>
      <c r="D433" s="20"/>
      <c r="E433" s="20"/>
      <c r="F433" s="20"/>
      <c r="G433" s="20"/>
      <c r="H433" s="20"/>
      <c r="I433" s="20"/>
    </row>
    <row r="434" spans="1:9" ht="14.25" customHeight="1" x14ac:dyDescent="0.35">
      <c r="A434" s="20"/>
      <c r="B434" s="20"/>
      <c r="C434" s="20"/>
      <c r="D434" s="20"/>
      <c r="E434" s="20"/>
      <c r="F434" s="20"/>
      <c r="G434" s="20"/>
      <c r="H434" s="20"/>
      <c r="I434" s="20"/>
    </row>
    <row r="435" spans="1:9" ht="14.25" customHeight="1" x14ac:dyDescent="0.35">
      <c r="A435" s="20"/>
      <c r="B435" s="20"/>
      <c r="C435" s="20"/>
      <c r="D435" s="20"/>
      <c r="E435" s="20"/>
      <c r="F435" s="20"/>
      <c r="G435" s="20"/>
      <c r="H435" s="20"/>
      <c r="I435" s="20"/>
    </row>
    <row r="436" spans="1:9" ht="14.25" customHeight="1" x14ac:dyDescent="0.35">
      <c r="A436" s="20"/>
      <c r="B436" s="20"/>
      <c r="C436" s="20"/>
      <c r="D436" s="20"/>
      <c r="E436" s="20"/>
      <c r="F436" s="20"/>
      <c r="G436" s="20"/>
      <c r="H436" s="20"/>
      <c r="I436" s="20"/>
    </row>
    <row r="437" spans="1:9" ht="14.25" customHeight="1" x14ac:dyDescent="0.35">
      <c r="A437" s="20"/>
      <c r="B437" s="20"/>
      <c r="C437" s="20"/>
      <c r="D437" s="20"/>
      <c r="E437" s="20"/>
      <c r="F437" s="20"/>
      <c r="G437" s="20"/>
      <c r="H437" s="20"/>
      <c r="I437" s="20"/>
    </row>
    <row r="438" spans="1:9" ht="14.25" customHeight="1" x14ac:dyDescent="0.35">
      <c r="A438" s="20"/>
      <c r="B438" s="20"/>
      <c r="C438" s="20"/>
      <c r="D438" s="20"/>
      <c r="E438" s="20"/>
      <c r="F438" s="20"/>
      <c r="G438" s="20"/>
      <c r="H438" s="20"/>
      <c r="I438" s="20"/>
    </row>
    <row r="439" spans="1:9" ht="14.25" customHeight="1" x14ac:dyDescent="0.35">
      <c r="A439" s="20"/>
      <c r="B439" s="20"/>
      <c r="C439" s="20"/>
      <c r="D439" s="20"/>
      <c r="E439" s="20"/>
      <c r="F439" s="20"/>
      <c r="G439" s="20"/>
      <c r="H439" s="20"/>
      <c r="I439" s="20"/>
    </row>
    <row r="440" spans="1:9" ht="14.25" customHeight="1" x14ac:dyDescent="0.35">
      <c r="A440" s="20"/>
      <c r="B440" s="20"/>
      <c r="C440" s="20"/>
      <c r="D440" s="20"/>
      <c r="E440" s="20"/>
      <c r="F440" s="20"/>
      <c r="G440" s="20"/>
      <c r="H440" s="20"/>
      <c r="I440" s="20"/>
    </row>
    <row r="441" spans="1:9" ht="14.25" customHeight="1" x14ac:dyDescent="0.35">
      <c r="A441" s="20"/>
      <c r="B441" s="20"/>
      <c r="C441" s="20"/>
      <c r="D441" s="20"/>
      <c r="E441" s="20"/>
      <c r="F441" s="20"/>
      <c r="G441" s="20"/>
      <c r="H441" s="20"/>
      <c r="I441" s="20"/>
    </row>
    <row r="442" spans="1:9" ht="14.25" customHeight="1" x14ac:dyDescent="0.35">
      <c r="A442" s="20"/>
      <c r="B442" s="20"/>
      <c r="C442" s="20"/>
      <c r="D442" s="20"/>
      <c r="E442" s="20"/>
      <c r="F442" s="20"/>
      <c r="G442" s="20"/>
      <c r="H442" s="20"/>
      <c r="I442" s="20"/>
    </row>
    <row r="443" spans="1:9" ht="14.25" customHeight="1" x14ac:dyDescent="0.35">
      <c r="A443" s="20"/>
      <c r="B443" s="20"/>
      <c r="C443" s="20"/>
      <c r="D443" s="20"/>
      <c r="E443" s="20"/>
      <c r="F443" s="20"/>
      <c r="G443" s="20"/>
      <c r="H443" s="20"/>
      <c r="I443" s="20"/>
    </row>
    <row r="444" spans="1:9" ht="14.25" customHeight="1" x14ac:dyDescent="0.35">
      <c r="A444" s="20"/>
      <c r="B444" s="20"/>
      <c r="C444" s="20"/>
      <c r="D444" s="20"/>
      <c r="E444" s="20"/>
      <c r="F444" s="20"/>
      <c r="G444" s="20"/>
      <c r="H444" s="20"/>
      <c r="I444" s="20"/>
    </row>
    <row r="445" spans="1:9" ht="14.25" customHeight="1" x14ac:dyDescent="0.35">
      <c r="A445" s="20"/>
      <c r="B445" s="20"/>
      <c r="C445" s="20"/>
      <c r="D445" s="20"/>
      <c r="E445" s="20"/>
      <c r="F445" s="20"/>
      <c r="G445" s="20"/>
      <c r="H445" s="20"/>
      <c r="I445" s="20"/>
    </row>
    <row r="446" spans="1:9" ht="14.25" customHeight="1" x14ac:dyDescent="0.35">
      <c r="A446" s="20"/>
      <c r="B446" s="20"/>
      <c r="C446" s="20"/>
      <c r="D446" s="20"/>
      <c r="E446" s="20"/>
      <c r="F446" s="20"/>
      <c r="G446" s="20"/>
      <c r="H446" s="20"/>
      <c r="I446" s="20"/>
    </row>
    <row r="447" spans="1:9" ht="14.25" customHeight="1" x14ac:dyDescent="0.35">
      <c r="A447" s="20"/>
      <c r="B447" s="20"/>
      <c r="C447" s="20"/>
      <c r="D447" s="20"/>
      <c r="E447" s="20"/>
      <c r="F447" s="20"/>
      <c r="G447" s="20"/>
      <c r="H447" s="20"/>
      <c r="I447" s="20"/>
    </row>
    <row r="448" spans="1:9" ht="14.25" customHeight="1" x14ac:dyDescent="0.35">
      <c r="A448" s="20"/>
      <c r="B448" s="20"/>
      <c r="C448" s="20"/>
      <c r="D448" s="20"/>
      <c r="E448" s="20"/>
      <c r="F448" s="20"/>
      <c r="G448" s="20"/>
      <c r="H448" s="20"/>
      <c r="I448" s="20"/>
    </row>
    <row r="449" spans="1:9" ht="14.25" customHeight="1" x14ac:dyDescent="0.35">
      <c r="A449" s="20"/>
      <c r="B449" s="20"/>
      <c r="C449" s="20"/>
      <c r="D449" s="20"/>
      <c r="E449" s="20"/>
      <c r="F449" s="20"/>
      <c r="G449" s="20"/>
      <c r="H449" s="20"/>
      <c r="I449" s="20"/>
    </row>
    <row r="450" spans="1:9" ht="14.25" customHeight="1" x14ac:dyDescent="0.35">
      <c r="A450" s="20"/>
      <c r="B450" s="20"/>
      <c r="C450" s="20"/>
      <c r="D450" s="20"/>
      <c r="E450" s="20"/>
      <c r="F450" s="20"/>
      <c r="G450" s="20"/>
      <c r="H450" s="20"/>
      <c r="I450" s="20"/>
    </row>
    <row r="451" spans="1:9" ht="14.25" customHeight="1" x14ac:dyDescent="0.35">
      <c r="A451" s="20"/>
      <c r="B451" s="20"/>
      <c r="C451" s="20"/>
      <c r="D451" s="20"/>
      <c r="E451" s="20"/>
      <c r="F451" s="20"/>
      <c r="G451" s="20"/>
      <c r="H451" s="20"/>
      <c r="I451" s="20"/>
    </row>
    <row r="452" spans="1:9" ht="14.25" customHeight="1" x14ac:dyDescent="0.35">
      <c r="A452" s="20"/>
      <c r="B452" s="20"/>
      <c r="C452" s="20"/>
      <c r="D452" s="20"/>
      <c r="E452" s="20"/>
      <c r="F452" s="20"/>
      <c r="G452" s="20"/>
      <c r="H452" s="20"/>
      <c r="I452" s="20"/>
    </row>
    <row r="453" spans="1:9" ht="14.25" customHeight="1" x14ac:dyDescent="0.35">
      <c r="A453" s="20"/>
      <c r="B453" s="20"/>
      <c r="C453" s="20"/>
      <c r="D453" s="20"/>
      <c r="E453" s="20"/>
      <c r="F453" s="20"/>
      <c r="G453" s="20"/>
      <c r="H453" s="20"/>
      <c r="I453" s="20"/>
    </row>
    <row r="454" spans="1:9" ht="14.25" customHeight="1" x14ac:dyDescent="0.35">
      <c r="A454" s="20"/>
      <c r="B454" s="20"/>
      <c r="C454" s="20"/>
      <c r="D454" s="20"/>
      <c r="E454" s="20"/>
      <c r="F454" s="20"/>
      <c r="G454" s="20"/>
      <c r="H454" s="20"/>
      <c r="I454" s="20"/>
    </row>
    <row r="455" spans="1:9" ht="14.25" customHeight="1" x14ac:dyDescent="0.35">
      <c r="A455" s="20"/>
      <c r="B455" s="20"/>
      <c r="C455" s="20"/>
      <c r="D455" s="20"/>
      <c r="E455" s="20"/>
      <c r="F455" s="20"/>
      <c r="G455" s="20"/>
      <c r="H455" s="20"/>
      <c r="I455" s="20"/>
    </row>
    <row r="456" spans="1:9" ht="14.25" customHeight="1" x14ac:dyDescent="0.35">
      <c r="A456" s="20"/>
      <c r="B456" s="20"/>
      <c r="C456" s="20"/>
      <c r="D456" s="20"/>
      <c r="E456" s="20"/>
      <c r="F456" s="20"/>
      <c r="G456" s="20"/>
      <c r="H456" s="20"/>
      <c r="I456" s="20"/>
    </row>
    <row r="457" spans="1:9" ht="14.25" customHeight="1" x14ac:dyDescent="0.35">
      <c r="A457" s="20"/>
      <c r="B457" s="20"/>
      <c r="C457" s="20"/>
      <c r="D457" s="20"/>
      <c r="E457" s="20"/>
      <c r="F457" s="20"/>
      <c r="G457" s="20"/>
      <c r="H457" s="20"/>
      <c r="I457" s="20"/>
    </row>
    <row r="458" spans="1:9" ht="14.25" customHeight="1" x14ac:dyDescent="0.35">
      <c r="A458" s="20"/>
      <c r="B458" s="20"/>
      <c r="C458" s="20"/>
      <c r="D458" s="20"/>
      <c r="E458" s="20"/>
      <c r="F458" s="20"/>
      <c r="G458" s="20"/>
      <c r="H458" s="20"/>
      <c r="I458" s="20"/>
    </row>
    <row r="459" spans="1:9" ht="14.25" customHeight="1" x14ac:dyDescent="0.35">
      <c r="A459" s="20"/>
      <c r="B459" s="20"/>
      <c r="C459" s="20"/>
      <c r="D459" s="20"/>
      <c r="E459" s="20"/>
      <c r="F459" s="20"/>
      <c r="G459" s="20"/>
      <c r="H459" s="20"/>
      <c r="I459" s="20"/>
    </row>
    <row r="460" spans="1:9" ht="14.25" customHeight="1" x14ac:dyDescent="0.35">
      <c r="A460" s="20"/>
      <c r="B460" s="20"/>
      <c r="C460" s="20"/>
      <c r="D460" s="20"/>
      <c r="E460" s="20"/>
      <c r="F460" s="20"/>
      <c r="G460" s="20"/>
      <c r="H460" s="20"/>
      <c r="I460" s="20"/>
    </row>
    <row r="461" spans="1:9" ht="14.25" customHeight="1" x14ac:dyDescent="0.35">
      <c r="A461" s="20"/>
      <c r="B461" s="20"/>
      <c r="C461" s="20"/>
      <c r="D461" s="20"/>
      <c r="E461" s="20"/>
      <c r="F461" s="20"/>
      <c r="G461" s="20"/>
      <c r="H461" s="20"/>
      <c r="I461" s="20"/>
    </row>
    <row r="462" spans="1:9" ht="14.25" customHeight="1" x14ac:dyDescent="0.35">
      <c r="A462" s="20"/>
      <c r="B462" s="20"/>
      <c r="C462" s="20"/>
      <c r="D462" s="20"/>
      <c r="E462" s="20"/>
      <c r="F462" s="20"/>
      <c r="G462" s="20"/>
      <c r="H462" s="20"/>
      <c r="I462" s="20"/>
    </row>
    <row r="463" spans="1:9" ht="14.25" customHeight="1" x14ac:dyDescent="0.35">
      <c r="A463" s="20"/>
      <c r="B463" s="20"/>
      <c r="C463" s="20"/>
      <c r="D463" s="20"/>
      <c r="E463" s="20"/>
      <c r="F463" s="20"/>
      <c r="G463" s="20"/>
      <c r="H463" s="20"/>
      <c r="I463" s="20"/>
    </row>
    <row r="464" spans="1:9" ht="14.25" customHeight="1" x14ac:dyDescent="0.35">
      <c r="A464" s="20"/>
      <c r="B464" s="20"/>
      <c r="C464" s="20"/>
      <c r="D464" s="20"/>
      <c r="E464" s="20"/>
      <c r="F464" s="20"/>
      <c r="G464" s="20"/>
      <c r="H464" s="20"/>
      <c r="I464" s="20"/>
    </row>
    <row r="465" spans="1:9" ht="14.25" customHeight="1" x14ac:dyDescent="0.35">
      <c r="A465" s="20"/>
      <c r="B465" s="20"/>
      <c r="C465" s="20"/>
      <c r="D465" s="20"/>
      <c r="E465" s="20"/>
      <c r="F465" s="20"/>
      <c r="G465" s="20"/>
      <c r="H465" s="20"/>
      <c r="I465" s="20"/>
    </row>
    <row r="466" spans="1:9" ht="14.25" customHeight="1" x14ac:dyDescent="0.35">
      <c r="A466" s="20"/>
      <c r="B466" s="20"/>
      <c r="C466" s="20"/>
      <c r="D466" s="20"/>
      <c r="E466" s="20"/>
      <c r="F466" s="20"/>
      <c r="G466" s="20"/>
      <c r="H466" s="20"/>
      <c r="I466" s="20"/>
    </row>
    <row r="467" spans="1:9" ht="14.25" customHeight="1" x14ac:dyDescent="0.35">
      <c r="A467" s="20"/>
      <c r="B467" s="20"/>
      <c r="C467" s="20"/>
      <c r="D467" s="20"/>
      <c r="E467" s="20"/>
      <c r="F467" s="20"/>
      <c r="G467" s="20"/>
      <c r="H467" s="20"/>
      <c r="I467" s="20"/>
    </row>
    <row r="468" spans="1:9" ht="14.25" customHeight="1" x14ac:dyDescent="0.35">
      <c r="A468" s="20"/>
      <c r="B468" s="20"/>
      <c r="C468" s="20"/>
      <c r="D468" s="20"/>
      <c r="E468" s="20"/>
      <c r="F468" s="20"/>
      <c r="G468" s="20"/>
      <c r="H468" s="20"/>
      <c r="I468" s="20"/>
    </row>
    <row r="469" spans="1:9" ht="14.25" customHeight="1" x14ac:dyDescent="0.35">
      <c r="A469" s="20"/>
      <c r="B469" s="20"/>
      <c r="C469" s="20"/>
      <c r="D469" s="20"/>
      <c r="E469" s="20"/>
      <c r="F469" s="20"/>
      <c r="G469" s="20"/>
      <c r="H469" s="20"/>
      <c r="I469" s="20"/>
    </row>
    <row r="470" spans="1:9" ht="14.25" customHeight="1" x14ac:dyDescent="0.35">
      <c r="A470" s="20"/>
      <c r="B470" s="20"/>
      <c r="C470" s="20"/>
      <c r="D470" s="20"/>
      <c r="E470" s="20"/>
      <c r="F470" s="20"/>
      <c r="G470" s="20"/>
      <c r="H470" s="20"/>
      <c r="I470" s="20"/>
    </row>
    <row r="471" spans="1:9" ht="14.25" customHeight="1" x14ac:dyDescent="0.35">
      <c r="A471" s="20"/>
      <c r="B471" s="20"/>
      <c r="C471" s="20"/>
      <c r="D471" s="20"/>
      <c r="E471" s="20"/>
      <c r="F471" s="20"/>
      <c r="G471" s="20"/>
      <c r="H471" s="20"/>
      <c r="I471" s="20"/>
    </row>
    <row r="472" spans="1:9" ht="14.25" customHeight="1" x14ac:dyDescent="0.35">
      <c r="A472" s="20"/>
      <c r="B472" s="20"/>
      <c r="C472" s="20"/>
      <c r="D472" s="20"/>
      <c r="E472" s="20"/>
      <c r="F472" s="20"/>
      <c r="G472" s="20"/>
      <c r="H472" s="20"/>
      <c r="I472" s="20"/>
    </row>
    <row r="473" spans="1:9" ht="14.25" customHeight="1" x14ac:dyDescent="0.35">
      <c r="A473" s="20"/>
      <c r="B473" s="20"/>
      <c r="C473" s="20"/>
      <c r="D473" s="20"/>
      <c r="E473" s="20"/>
      <c r="F473" s="20"/>
      <c r="G473" s="20"/>
      <c r="H473" s="20"/>
      <c r="I473" s="20"/>
    </row>
    <row r="474" spans="1:9" ht="14.25" customHeight="1" x14ac:dyDescent="0.35">
      <c r="A474" s="20"/>
      <c r="B474" s="20"/>
      <c r="C474" s="20"/>
      <c r="D474" s="20"/>
      <c r="E474" s="20"/>
      <c r="F474" s="20"/>
      <c r="G474" s="20"/>
      <c r="H474" s="20"/>
      <c r="I474" s="20"/>
    </row>
    <row r="475" spans="1:9" ht="14.25" customHeight="1" x14ac:dyDescent="0.35">
      <c r="A475" s="20"/>
      <c r="B475" s="20"/>
      <c r="C475" s="20"/>
      <c r="D475" s="20"/>
      <c r="E475" s="20"/>
      <c r="F475" s="20"/>
      <c r="G475" s="20"/>
      <c r="H475" s="20"/>
      <c r="I475" s="20"/>
    </row>
    <row r="476" spans="1:9" ht="14.25" customHeight="1" x14ac:dyDescent="0.35">
      <c r="A476" s="20"/>
      <c r="B476" s="20"/>
      <c r="C476" s="20"/>
      <c r="D476" s="20"/>
      <c r="E476" s="20"/>
      <c r="F476" s="20"/>
      <c r="G476" s="20"/>
      <c r="H476" s="20"/>
      <c r="I476" s="20"/>
    </row>
    <row r="477" spans="1:9" ht="14.25" customHeight="1" x14ac:dyDescent="0.35">
      <c r="A477" s="20"/>
      <c r="B477" s="20"/>
      <c r="C477" s="20"/>
      <c r="D477" s="20"/>
      <c r="E477" s="20"/>
      <c r="F477" s="20"/>
      <c r="G477" s="20"/>
      <c r="H477" s="20"/>
      <c r="I477" s="20"/>
    </row>
    <row r="478" spans="1:9" ht="14.25" customHeight="1" x14ac:dyDescent="0.35">
      <c r="A478" s="20"/>
      <c r="B478" s="20"/>
      <c r="C478" s="20"/>
      <c r="D478" s="20"/>
      <c r="E478" s="20"/>
      <c r="F478" s="20"/>
      <c r="G478" s="20"/>
      <c r="H478" s="20"/>
      <c r="I478" s="20"/>
    </row>
    <row r="479" spans="1:9" ht="14.25" customHeight="1" x14ac:dyDescent="0.35">
      <c r="A479" s="20"/>
      <c r="B479" s="20"/>
      <c r="C479" s="20"/>
      <c r="D479" s="20"/>
      <c r="E479" s="20"/>
      <c r="F479" s="20"/>
      <c r="G479" s="20"/>
      <c r="H479" s="20"/>
      <c r="I479" s="20"/>
    </row>
    <row r="480" spans="1:9" ht="14.25" customHeight="1" x14ac:dyDescent="0.35">
      <c r="A480" s="20"/>
      <c r="B480" s="20"/>
      <c r="C480" s="20"/>
      <c r="D480" s="20"/>
      <c r="E480" s="20"/>
      <c r="F480" s="20"/>
      <c r="G480" s="20"/>
      <c r="H480" s="20"/>
      <c r="I480" s="20"/>
    </row>
    <row r="481" spans="1:9" ht="14.25" customHeight="1" x14ac:dyDescent="0.35">
      <c r="A481" s="20"/>
      <c r="B481" s="20"/>
      <c r="C481" s="20"/>
      <c r="D481" s="20"/>
      <c r="E481" s="20"/>
      <c r="F481" s="20"/>
      <c r="G481" s="20"/>
      <c r="H481" s="20"/>
      <c r="I481" s="20"/>
    </row>
    <row r="482" spans="1:9" ht="14.25" customHeight="1" x14ac:dyDescent="0.35">
      <c r="A482" s="20"/>
      <c r="B482" s="20"/>
      <c r="C482" s="20"/>
      <c r="D482" s="20"/>
      <c r="E482" s="20"/>
      <c r="F482" s="20"/>
      <c r="G482" s="20"/>
      <c r="H482" s="20"/>
      <c r="I482" s="20"/>
    </row>
    <row r="483" spans="1:9" ht="14.25" customHeight="1" x14ac:dyDescent="0.35">
      <c r="A483" s="20"/>
      <c r="B483" s="20"/>
      <c r="C483" s="20"/>
      <c r="D483" s="20"/>
      <c r="E483" s="20"/>
      <c r="F483" s="20"/>
      <c r="G483" s="20"/>
      <c r="H483" s="20"/>
      <c r="I483" s="20"/>
    </row>
    <row r="484" spans="1:9" ht="14.25" customHeight="1" x14ac:dyDescent="0.35">
      <c r="A484" s="20"/>
      <c r="B484" s="20"/>
      <c r="C484" s="20"/>
      <c r="D484" s="20"/>
      <c r="E484" s="20"/>
      <c r="F484" s="20"/>
      <c r="G484" s="20"/>
      <c r="H484" s="20"/>
      <c r="I484" s="20"/>
    </row>
    <row r="485" spans="1:9" ht="14.25" customHeight="1" x14ac:dyDescent="0.35">
      <c r="A485" s="20"/>
      <c r="B485" s="20"/>
      <c r="C485" s="20"/>
      <c r="D485" s="20"/>
      <c r="E485" s="20"/>
      <c r="F485" s="20"/>
      <c r="G485" s="20"/>
      <c r="H485" s="20"/>
      <c r="I485" s="20"/>
    </row>
    <row r="486" spans="1:9" ht="14.25" customHeight="1" x14ac:dyDescent="0.35">
      <c r="A486" s="20"/>
      <c r="B486" s="20"/>
      <c r="C486" s="20"/>
      <c r="D486" s="20"/>
      <c r="E486" s="20"/>
      <c r="F486" s="20"/>
      <c r="G486" s="20"/>
      <c r="H486" s="20"/>
      <c r="I486" s="20"/>
    </row>
    <row r="487" spans="1:9" ht="14.25" customHeight="1" x14ac:dyDescent="0.35">
      <c r="A487" s="20"/>
      <c r="B487" s="20"/>
      <c r="C487" s="20"/>
      <c r="D487" s="20"/>
      <c r="E487" s="20"/>
      <c r="F487" s="20"/>
      <c r="G487" s="20"/>
      <c r="H487" s="20"/>
      <c r="I487" s="20"/>
    </row>
    <row r="488" spans="1:9" ht="14.25" customHeight="1" x14ac:dyDescent="0.35">
      <c r="A488" s="20"/>
      <c r="B488" s="20"/>
      <c r="C488" s="20"/>
      <c r="D488" s="20"/>
      <c r="E488" s="20"/>
      <c r="F488" s="20"/>
      <c r="G488" s="20"/>
      <c r="H488" s="20"/>
      <c r="I488" s="20"/>
    </row>
    <row r="489" spans="1:9" ht="14.25" customHeight="1" x14ac:dyDescent="0.35">
      <c r="A489" s="20"/>
      <c r="B489" s="20"/>
      <c r="C489" s="20"/>
      <c r="D489" s="20"/>
      <c r="E489" s="20"/>
      <c r="F489" s="20"/>
      <c r="G489" s="20"/>
      <c r="H489" s="20"/>
      <c r="I489" s="20"/>
    </row>
    <row r="490" spans="1:9" ht="14.25" customHeight="1" x14ac:dyDescent="0.35">
      <c r="A490" s="20"/>
      <c r="B490" s="20"/>
      <c r="C490" s="20"/>
      <c r="D490" s="20"/>
      <c r="E490" s="20"/>
      <c r="F490" s="20"/>
      <c r="G490" s="20"/>
      <c r="H490" s="20"/>
      <c r="I490" s="20"/>
    </row>
    <row r="491" spans="1:9" ht="14.25" customHeight="1" x14ac:dyDescent="0.35">
      <c r="A491" s="20"/>
      <c r="B491" s="20"/>
      <c r="C491" s="20"/>
      <c r="D491" s="20"/>
      <c r="E491" s="20"/>
      <c r="F491" s="20"/>
      <c r="G491" s="20"/>
      <c r="H491" s="20"/>
      <c r="I491" s="20"/>
    </row>
    <row r="492" spans="1:9" ht="14.25" customHeight="1" x14ac:dyDescent="0.35">
      <c r="A492" s="20"/>
      <c r="B492" s="20"/>
      <c r="C492" s="20"/>
      <c r="D492" s="20"/>
      <c r="E492" s="20"/>
      <c r="F492" s="20"/>
      <c r="G492" s="20"/>
      <c r="H492" s="20"/>
      <c r="I492" s="20"/>
    </row>
    <row r="493" spans="1:9" ht="14.25" customHeight="1" x14ac:dyDescent="0.35">
      <c r="A493" s="20"/>
      <c r="B493" s="20"/>
      <c r="C493" s="20"/>
      <c r="D493" s="20"/>
      <c r="E493" s="20"/>
      <c r="F493" s="20"/>
      <c r="G493" s="20"/>
      <c r="H493" s="20"/>
      <c r="I493" s="20"/>
    </row>
    <row r="494" spans="1:9" ht="14.25" customHeight="1" x14ac:dyDescent="0.35">
      <c r="A494" s="20"/>
      <c r="B494" s="20"/>
      <c r="C494" s="20"/>
      <c r="D494" s="20"/>
      <c r="E494" s="20"/>
      <c r="F494" s="20"/>
      <c r="G494" s="20"/>
      <c r="H494" s="20"/>
      <c r="I494" s="20"/>
    </row>
    <row r="495" spans="1:9" ht="14.25" customHeight="1" x14ac:dyDescent="0.35">
      <c r="A495" s="20"/>
      <c r="B495" s="20"/>
      <c r="C495" s="20"/>
      <c r="D495" s="20"/>
      <c r="E495" s="20"/>
      <c r="F495" s="20"/>
      <c r="G495" s="20"/>
      <c r="H495" s="20"/>
      <c r="I495" s="20"/>
    </row>
    <row r="496" spans="1:9" ht="14.25" customHeight="1" x14ac:dyDescent="0.35">
      <c r="A496" s="20"/>
      <c r="B496" s="20"/>
      <c r="C496" s="20"/>
      <c r="D496" s="20"/>
      <c r="E496" s="20"/>
      <c r="F496" s="20"/>
      <c r="G496" s="20"/>
      <c r="H496" s="20"/>
      <c r="I496" s="20"/>
    </row>
    <row r="497" spans="1:9" ht="14.25" customHeight="1" x14ac:dyDescent="0.35">
      <c r="A497" s="20"/>
      <c r="B497" s="20"/>
      <c r="C497" s="20"/>
      <c r="D497" s="20"/>
      <c r="E497" s="20"/>
      <c r="F497" s="20"/>
      <c r="G497" s="20"/>
      <c r="H497" s="20"/>
      <c r="I497" s="20"/>
    </row>
    <row r="498" spans="1:9" ht="14.25" customHeight="1" x14ac:dyDescent="0.35">
      <c r="A498" s="20"/>
      <c r="B498" s="20"/>
      <c r="C498" s="20"/>
      <c r="D498" s="20"/>
      <c r="E498" s="20"/>
      <c r="F498" s="20"/>
      <c r="G498" s="20"/>
      <c r="H498" s="20"/>
      <c r="I498" s="20"/>
    </row>
    <row r="499" spans="1:9" ht="14.25" customHeight="1" x14ac:dyDescent="0.35">
      <c r="A499" s="20"/>
      <c r="B499" s="20"/>
      <c r="C499" s="20"/>
      <c r="D499" s="20"/>
      <c r="E499" s="20"/>
      <c r="F499" s="20"/>
      <c r="G499" s="20"/>
      <c r="H499" s="20"/>
      <c r="I499" s="20"/>
    </row>
    <row r="500" spans="1:9" ht="14.25" customHeight="1" x14ac:dyDescent="0.35">
      <c r="A500" s="20"/>
      <c r="B500" s="20"/>
      <c r="C500" s="20"/>
      <c r="D500" s="20"/>
      <c r="E500" s="20"/>
      <c r="F500" s="20"/>
      <c r="G500" s="20"/>
      <c r="H500" s="20"/>
      <c r="I500" s="20"/>
    </row>
    <row r="501" spans="1:9" ht="14.25" customHeight="1" x14ac:dyDescent="0.35">
      <c r="A501" s="20"/>
      <c r="B501" s="20"/>
      <c r="C501" s="20"/>
      <c r="D501" s="20"/>
      <c r="E501" s="20"/>
      <c r="F501" s="20"/>
      <c r="G501" s="20"/>
      <c r="H501" s="20"/>
      <c r="I501" s="20"/>
    </row>
    <row r="502" spans="1:9" ht="14.25" customHeight="1" x14ac:dyDescent="0.35">
      <c r="A502" s="20"/>
      <c r="B502" s="20"/>
      <c r="C502" s="20"/>
      <c r="D502" s="20"/>
      <c r="E502" s="20"/>
      <c r="F502" s="20"/>
      <c r="G502" s="20"/>
      <c r="H502" s="20"/>
      <c r="I502" s="20"/>
    </row>
    <row r="503" spans="1:9" ht="14.25" customHeight="1" x14ac:dyDescent="0.35">
      <c r="A503" s="20"/>
      <c r="B503" s="20"/>
      <c r="C503" s="20"/>
      <c r="D503" s="20"/>
      <c r="E503" s="20"/>
      <c r="F503" s="20"/>
      <c r="G503" s="20"/>
      <c r="H503" s="20"/>
      <c r="I503" s="20"/>
    </row>
    <row r="504" spans="1:9" ht="14.25" customHeight="1" x14ac:dyDescent="0.35">
      <c r="A504" s="20"/>
      <c r="B504" s="20"/>
      <c r="C504" s="20"/>
      <c r="D504" s="20"/>
      <c r="E504" s="20"/>
      <c r="F504" s="20"/>
      <c r="G504" s="20"/>
      <c r="H504" s="20"/>
      <c r="I504" s="20"/>
    </row>
    <row r="505" spans="1:9" ht="14.25" customHeight="1" x14ac:dyDescent="0.35">
      <c r="A505" s="20"/>
      <c r="B505" s="20"/>
      <c r="C505" s="20"/>
      <c r="D505" s="20"/>
      <c r="E505" s="20"/>
      <c r="F505" s="20"/>
      <c r="G505" s="20"/>
      <c r="H505" s="20"/>
      <c r="I505" s="20"/>
    </row>
    <row r="506" spans="1:9" ht="14.25" customHeight="1" x14ac:dyDescent="0.35">
      <c r="A506" s="20"/>
      <c r="B506" s="20"/>
      <c r="C506" s="20"/>
      <c r="D506" s="20"/>
      <c r="E506" s="20"/>
      <c r="F506" s="20"/>
      <c r="G506" s="20"/>
      <c r="H506" s="20"/>
      <c r="I506" s="20"/>
    </row>
    <row r="507" spans="1:9" ht="14.25" customHeight="1" x14ac:dyDescent="0.35">
      <c r="A507" s="20"/>
      <c r="B507" s="20"/>
      <c r="C507" s="20"/>
      <c r="D507" s="20"/>
      <c r="E507" s="20"/>
      <c r="F507" s="20"/>
      <c r="G507" s="20"/>
      <c r="H507" s="20"/>
      <c r="I507" s="20"/>
    </row>
    <row r="508" spans="1:9" ht="14.25" customHeight="1" x14ac:dyDescent="0.35">
      <c r="A508" s="20"/>
      <c r="B508" s="20"/>
      <c r="C508" s="20"/>
      <c r="D508" s="20"/>
      <c r="E508" s="20"/>
      <c r="F508" s="20"/>
      <c r="G508" s="20"/>
      <c r="H508" s="20"/>
      <c r="I508" s="20"/>
    </row>
    <row r="509" spans="1:9" ht="14.25" customHeight="1" x14ac:dyDescent="0.35">
      <c r="A509" s="20"/>
      <c r="B509" s="20"/>
      <c r="C509" s="20"/>
      <c r="D509" s="20"/>
      <c r="E509" s="20"/>
      <c r="F509" s="20"/>
      <c r="G509" s="20"/>
      <c r="H509" s="20"/>
      <c r="I509" s="20"/>
    </row>
    <row r="510" spans="1:9" ht="14.25" customHeight="1" x14ac:dyDescent="0.35">
      <c r="A510" s="20"/>
      <c r="B510" s="20"/>
      <c r="C510" s="20"/>
      <c r="D510" s="20"/>
      <c r="E510" s="20"/>
      <c r="F510" s="20"/>
      <c r="G510" s="20"/>
      <c r="H510" s="20"/>
      <c r="I510" s="20"/>
    </row>
    <row r="511" spans="1:9" ht="14.25" customHeight="1" x14ac:dyDescent="0.35">
      <c r="A511" s="20"/>
      <c r="B511" s="20"/>
      <c r="C511" s="20"/>
      <c r="D511" s="20"/>
      <c r="E511" s="20"/>
      <c r="F511" s="20"/>
      <c r="G511" s="20"/>
      <c r="H511" s="20"/>
      <c r="I511" s="20"/>
    </row>
    <row r="512" spans="1:9" ht="14.25" customHeight="1" x14ac:dyDescent="0.35">
      <c r="A512" s="20"/>
      <c r="B512" s="20"/>
      <c r="C512" s="20"/>
      <c r="D512" s="20"/>
      <c r="E512" s="20"/>
      <c r="F512" s="20"/>
      <c r="G512" s="20"/>
      <c r="H512" s="20"/>
      <c r="I512" s="20"/>
    </row>
    <row r="513" spans="1:9" ht="14.25" customHeight="1" x14ac:dyDescent="0.35">
      <c r="A513" s="20"/>
      <c r="B513" s="20"/>
      <c r="C513" s="20"/>
      <c r="D513" s="20"/>
      <c r="E513" s="20"/>
      <c r="F513" s="20"/>
      <c r="G513" s="20"/>
      <c r="H513" s="20"/>
      <c r="I513" s="20"/>
    </row>
    <row r="514" spans="1:9" ht="14.25" customHeight="1" x14ac:dyDescent="0.35">
      <c r="A514" s="20"/>
      <c r="B514" s="20"/>
      <c r="C514" s="20"/>
      <c r="D514" s="20"/>
      <c r="E514" s="20"/>
      <c r="F514" s="20"/>
      <c r="G514" s="20"/>
      <c r="H514" s="20"/>
      <c r="I514" s="20"/>
    </row>
    <row r="515" spans="1:9" ht="14.25" customHeight="1" x14ac:dyDescent="0.35">
      <c r="A515" s="20"/>
      <c r="B515" s="20"/>
      <c r="C515" s="20"/>
      <c r="D515" s="20"/>
      <c r="E515" s="20"/>
      <c r="F515" s="20"/>
      <c r="G515" s="20"/>
      <c r="H515" s="20"/>
      <c r="I515" s="20"/>
    </row>
    <row r="516" spans="1:9" ht="14.25" customHeight="1" x14ac:dyDescent="0.35">
      <c r="A516" s="20"/>
      <c r="B516" s="20"/>
      <c r="C516" s="20"/>
      <c r="D516" s="20"/>
      <c r="E516" s="20"/>
      <c r="F516" s="20"/>
      <c r="G516" s="20"/>
      <c r="H516" s="20"/>
      <c r="I516" s="20"/>
    </row>
    <row r="517" spans="1:9" ht="14.25" customHeight="1" x14ac:dyDescent="0.35">
      <c r="A517" s="20"/>
      <c r="B517" s="20"/>
      <c r="C517" s="20"/>
      <c r="D517" s="20"/>
      <c r="E517" s="20"/>
      <c r="F517" s="20"/>
      <c r="G517" s="20"/>
      <c r="H517" s="20"/>
      <c r="I517" s="20"/>
    </row>
    <row r="518" spans="1:9" ht="14.25" customHeight="1" x14ac:dyDescent="0.35">
      <c r="A518" s="20"/>
      <c r="B518" s="20"/>
      <c r="C518" s="20"/>
      <c r="D518" s="20"/>
      <c r="E518" s="20"/>
      <c r="F518" s="20"/>
      <c r="G518" s="20"/>
      <c r="H518" s="20"/>
      <c r="I518" s="20"/>
    </row>
    <row r="519" spans="1:9" ht="14.25" customHeight="1" x14ac:dyDescent="0.35">
      <c r="A519" s="20"/>
      <c r="B519" s="20"/>
      <c r="C519" s="20"/>
      <c r="D519" s="20"/>
      <c r="E519" s="20"/>
      <c r="F519" s="20"/>
      <c r="G519" s="20"/>
      <c r="H519" s="20"/>
      <c r="I519" s="20"/>
    </row>
    <row r="520" spans="1:9" ht="14.25" customHeight="1" x14ac:dyDescent="0.35">
      <c r="A520" s="20"/>
      <c r="B520" s="20"/>
      <c r="C520" s="20"/>
      <c r="D520" s="20"/>
      <c r="E520" s="20"/>
      <c r="F520" s="20"/>
      <c r="G520" s="20"/>
      <c r="H520" s="20"/>
      <c r="I520" s="20"/>
    </row>
    <row r="521" spans="1:9" ht="14.25" customHeight="1" x14ac:dyDescent="0.35">
      <c r="A521" s="20"/>
      <c r="B521" s="20"/>
      <c r="C521" s="20"/>
      <c r="D521" s="20"/>
      <c r="E521" s="20"/>
      <c r="F521" s="20"/>
      <c r="G521" s="20"/>
      <c r="H521" s="20"/>
      <c r="I521" s="20"/>
    </row>
    <row r="522" spans="1:9" ht="14.25" customHeight="1" x14ac:dyDescent="0.35">
      <c r="A522" s="20"/>
      <c r="B522" s="20"/>
      <c r="C522" s="20"/>
      <c r="D522" s="20"/>
      <c r="E522" s="20"/>
      <c r="F522" s="20"/>
      <c r="G522" s="20"/>
      <c r="H522" s="20"/>
      <c r="I522" s="20"/>
    </row>
    <row r="523" spans="1:9" ht="14.25" customHeight="1" x14ac:dyDescent="0.35">
      <c r="A523" s="20"/>
      <c r="B523" s="20"/>
      <c r="C523" s="20"/>
      <c r="D523" s="20"/>
      <c r="E523" s="20"/>
      <c r="F523" s="20"/>
      <c r="G523" s="20"/>
      <c r="H523" s="20"/>
      <c r="I523" s="20"/>
    </row>
    <row r="524" spans="1:9" ht="14.25" customHeight="1" x14ac:dyDescent="0.35">
      <c r="A524" s="20"/>
      <c r="B524" s="20"/>
      <c r="C524" s="20"/>
      <c r="D524" s="20"/>
      <c r="E524" s="20"/>
      <c r="F524" s="20"/>
      <c r="G524" s="20"/>
      <c r="H524" s="20"/>
      <c r="I524" s="20"/>
    </row>
    <row r="525" spans="1:9" ht="14.25" customHeight="1" x14ac:dyDescent="0.35">
      <c r="A525" s="20"/>
      <c r="B525" s="20"/>
      <c r="C525" s="20"/>
      <c r="D525" s="20"/>
      <c r="E525" s="20"/>
      <c r="F525" s="20"/>
      <c r="G525" s="20"/>
      <c r="H525" s="20"/>
      <c r="I525" s="20"/>
    </row>
    <row r="526" spans="1:9" ht="14.25" customHeight="1" x14ac:dyDescent="0.35">
      <c r="A526" s="20"/>
      <c r="B526" s="20"/>
      <c r="C526" s="20"/>
      <c r="D526" s="20"/>
      <c r="E526" s="20"/>
      <c r="F526" s="20"/>
      <c r="G526" s="20"/>
      <c r="H526" s="20"/>
      <c r="I526" s="20"/>
    </row>
    <row r="527" spans="1:9" ht="14.25" customHeight="1" x14ac:dyDescent="0.35">
      <c r="A527" s="20"/>
      <c r="B527" s="20"/>
      <c r="C527" s="20"/>
      <c r="D527" s="20"/>
      <c r="E527" s="20"/>
      <c r="F527" s="20"/>
      <c r="G527" s="20"/>
      <c r="H527" s="20"/>
      <c r="I527" s="20"/>
    </row>
    <row r="528" spans="1:9" ht="14.25" customHeight="1" x14ac:dyDescent="0.35">
      <c r="A528" s="20"/>
      <c r="B528" s="20"/>
      <c r="C528" s="20"/>
      <c r="D528" s="20"/>
      <c r="E528" s="20"/>
      <c r="F528" s="20"/>
      <c r="G528" s="20"/>
      <c r="H528" s="20"/>
      <c r="I528" s="20"/>
    </row>
    <row r="529" spans="1:9" ht="14.25" customHeight="1" x14ac:dyDescent="0.35">
      <c r="A529" s="20"/>
      <c r="B529" s="20"/>
      <c r="C529" s="20"/>
      <c r="D529" s="20"/>
      <c r="E529" s="20"/>
      <c r="F529" s="20"/>
      <c r="G529" s="20"/>
      <c r="H529" s="20"/>
      <c r="I529" s="20"/>
    </row>
    <row r="530" spans="1:9" ht="14.25" customHeight="1" x14ac:dyDescent="0.35">
      <c r="A530" s="20"/>
      <c r="B530" s="20"/>
      <c r="C530" s="20"/>
      <c r="D530" s="20"/>
      <c r="E530" s="20"/>
      <c r="F530" s="20"/>
      <c r="G530" s="20"/>
      <c r="H530" s="20"/>
      <c r="I530" s="20"/>
    </row>
    <row r="531" spans="1:9" ht="14.25" customHeight="1" x14ac:dyDescent="0.35">
      <c r="A531" s="20"/>
      <c r="B531" s="20"/>
      <c r="C531" s="20"/>
      <c r="D531" s="20"/>
      <c r="E531" s="20"/>
      <c r="F531" s="20"/>
      <c r="G531" s="20"/>
      <c r="H531" s="20"/>
      <c r="I531" s="20"/>
    </row>
    <row r="532" spans="1:9" ht="14.25" customHeight="1" x14ac:dyDescent="0.35">
      <c r="A532" s="20"/>
      <c r="B532" s="20"/>
      <c r="C532" s="20"/>
      <c r="D532" s="20"/>
      <c r="E532" s="20"/>
      <c r="F532" s="20"/>
      <c r="G532" s="20"/>
      <c r="H532" s="20"/>
      <c r="I532" s="20"/>
    </row>
    <row r="533" spans="1:9" ht="14.25" customHeight="1" x14ac:dyDescent="0.35">
      <c r="A533" s="20"/>
      <c r="B533" s="20"/>
      <c r="C533" s="20"/>
      <c r="D533" s="20"/>
      <c r="E533" s="20"/>
      <c r="F533" s="20"/>
      <c r="G533" s="20"/>
      <c r="H533" s="20"/>
      <c r="I533" s="20"/>
    </row>
    <row r="534" spans="1:9" ht="14.25" customHeight="1" x14ac:dyDescent="0.35">
      <c r="A534" s="20"/>
      <c r="B534" s="20"/>
      <c r="C534" s="20"/>
      <c r="D534" s="20"/>
      <c r="E534" s="20"/>
      <c r="F534" s="20"/>
      <c r="G534" s="20"/>
      <c r="H534" s="20"/>
      <c r="I534" s="20"/>
    </row>
    <row r="535" spans="1:9" ht="14.25" customHeight="1" x14ac:dyDescent="0.35">
      <c r="A535" s="20"/>
      <c r="B535" s="20"/>
      <c r="C535" s="20"/>
      <c r="D535" s="20"/>
      <c r="E535" s="20"/>
      <c r="F535" s="20"/>
      <c r="G535" s="20"/>
      <c r="H535" s="20"/>
      <c r="I535" s="20"/>
    </row>
    <row r="536" spans="1:9" ht="14.25" customHeight="1" x14ac:dyDescent="0.35">
      <c r="A536" s="20"/>
      <c r="B536" s="20"/>
      <c r="C536" s="20"/>
      <c r="D536" s="20"/>
      <c r="E536" s="20"/>
      <c r="F536" s="20"/>
      <c r="G536" s="20"/>
      <c r="H536" s="20"/>
      <c r="I536" s="20"/>
    </row>
    <row r="537" spans="1:9" ht="14.25" customHeight="1" x14ac:dyDescent="0.35">
      <c r="A537" s="20"/>
      <c r="B537" s="20"/>
      <c r="C537" s="20"/>
      <c r="D537" s="20"/>
      <c r="E537" s="20"/>
      <c r="F537" s="20"/>
      <c r="G537" s="20"/>
      <c r="H537" s="20"/>
      <c r="I537" s="20"/>
    </row>
    <row r="538" spans="1:9" ht="14.25" customHeight="1" x14ac:dyDescent="0.35">
      <c r="A538" s="20"/>
      <c r="B538" s="20"/>
      <c r="C538" s="20"/>
      <c r="D538" s="20"/>
      <c r="E538" s="20"/>
      <c r="F538" s="20"/>
      <c r="G538" s="20"/>
      <c r="H538" s="20"/>
      <c r="I538" s="20"/>
    </row>
    <row r="539" spans="1:9" ht="14.25" customHeight="1" x14ac:dyDescent="0.35">
      <c r="A539" s="20"/>
      <c r="B539" s="20"/>
      <c r="C539" s="20"/>
      <c r="D539" s="20"/>
      <c r="E539" s="20"/>
      <c r="F539" s="20"/>
      <c r="G539" s="20"/>
      <c r="H539" s="20"/>
      <c r="I539" s="20"/>
    </row>
    <row r="540" spans="1:9" ht="14.25" customHeight="1" x14ac:dyDescent="0.35">
      <c r="A540" s="20"/>
      <c r="B540" s="20"/>
      <c r="C540" s="20"/>
      <c r="D540" s="20"/>
      <c r="E540" s="20"/>
      <c r="F540" s="20"/>
      <c r="G540" s="20"/>
      <c r="H540" s="20"/>
      <c r="I540" s="20"/>
    </row>
    <row r="541" spans="1:9" ht="14.25" customHeight="1" x14ac:dyDescent="0.35">
      <c r="A541" s="20"/>
      <c r="B541" s="20"/>
      <c r="C541" s="20"/>
      <c r="D541" s="20"/>
      <c r="E541" s="20"/>
      <c r="F541" s="20"/>
      <c r="G541" s="20"/>
      <c r="H541" s="20"/>
      <c r="I541" s="20"/>
    </row>
    <row r="542" spans="1:9" ht="14.25" customHeight="1" x14ac:dyDescent="0.35">
      <c r="A542" s="20"/>
      <c r="B542" s="20"/>
      <c r="C542" s="20"/>
      <c r="D542" s="20"/>
      <c r="E542" s="20"/>
      <c r="F542" s="20"/>
      <c r="G542" s="20"/>
      <c r="H542" s="20"/>
      <c r="I542" s="20"/>
    </row>
    <row r="543" spans="1:9" ht="14.25" customHeight="1" x14ac:dyDescent="0.35">
      <c r="A543" s="20"/>
      <c r="B543" s="20"/>
      <c r="C543" s="20"/>
      <c r="D543" s="20"/>
      <c r="E543" s="20"/>
      <c r="F543" s="20"/>
      <c r="G543" s="20"/>
      <c r="H543" s="20"/>
      <c r="I543" s="20"/>
    </row>
    <row r="544" spans="1:9" ht="14.25" customHeight="1" x14ac:dyDescent="0.35">
      <c r="A544" s="20"/>
      <c r="B544" s="20"/>
      <c r="C544" s="20"/>
      <c r="D544" s="20"/>
      <c r="E544" s="20"/>
      <c r="F544" s="20"/>
      <c r="G544" s="20"/>
      <c r="H544" s="20"/>
      <c r="I544" s="20"/>
    </row>
    <row r="545" spans="1:9" ht="14.25" customHeight="1" x14ac:dyDescent="0.35">
      <c r="A545" s="20"/>
      <c r="B545" s="20"/>
      <c r="C545" s="20"/>
      <c r="D545" s="20"/>
      <c r="E545" s="20"/>
      <c r="F545" s="20"/>
      <c r="G545" s="20"/>
      <c r="H545" s="20"/>
      <c r="I545" s="20"/>
    </row>
    <row r="546" spans="1:9" ht="14.25" customHeight="1" x14ac:dyDescent="0.35">
      <c r="A546" s="20"/>
      <c r="B546" s="20"/>
      <c r="C546" s="20"/>
      <c r="D546" s="20"/>
      <c r="E546" s="20"/>
      <c r="F546" s="20"/>
      <c r="G546" s="20"/>
      <c r="H546" s="20"/>
      <c r="I546" s="20"/>
    </row>
    <row r="547" spans="1:9" ht="14.25" customHeight="1" x14ac:dyDescent="0.35">
      <c r="A547" s="20"/>
      <c r="B547" s="20"/>
      <c r="C547" s="20"/>
      <c r="D547" s="20"/>
      <c r="E547" s="20"/>
      <c r="F547" s="20"/>
      <c r="G547" s="20"/>
      <c r="H547" s="20"/>
      <c r="I547" s="20"/>
    </row>
    <row r="548" spans="1:9" ht="14.25" customHeight="1" x14ac:dyDescent="0.35">
      <c r="A548" s="20"/>
      <c r="B548" s="20"/>
      <c r="C548" s="20"/>
      <c r="D548" s="20"/>
      <c r="E548" s="20"/>
      <c r="F548" s="20"/>
      <c r="G548" s="20"/>
      <c r="H548" s="20"/>
      <c r="I548" s="20"/>
    </row>
    <row r="549" spans="1:9" ht="14.25" customHeight="1" x14ac:dyDescent="0.35">
      <c r="A549" s="20"/>
      <c r="B549" s="20"/>
      <c r="C549" s="20"/>
      <c r="D549" s="20"/>
      <c r="E549" s="20"/>
      <c r="F549" s="20"/>
      <c r="G549" s="20"/>
      <c r="H549" s="20"/>
      <c r="I549" s="20"/>
    </row>
    <row r="550" spans="1:9" ht="14.25" customHeight="1" x14ac:dyDescent="0.35">
      <c r="A550" s="20"/>
      <c r="B550" s="20"/>
      <c r="C550" s="20"/>
      <c r="D550" s="20"/>
      <c r="E550" s="20"/>
      <c r="F550" s="20"/>
      <c r="G550" s="20"/>
      <c r="H550" s="20"/>
      <c r="I550" s="20"/>
    </row>
    <row r="551" spans="1:9" ht="14.25" customHeight="1" x14ac:dyDescent="0.35">
      <c r="A551" s="20"/>
      <c r="B551" s="20"/>
      <c r="C551" s="20"/>
      <c r="D551" s="20"/>
      <c r="E551" s="20"/>
      <c r="F551" s="20"/>
      <c r="G551" s="20"/>
      <c r="H551" s="20"/>
      <c r="I551" s="20"/>
    </row>
    <row r="552" spans="1:9" ht="14.25" customHeight="1" x14ac:dyDescent="0.35">
      <c r="A552" s="20"/>
      <c r="B552" s="20"/>
      <c r="C552" s="20"/>
      <c r="D552" s="20"/>
      <c r="E552" s="20"/>
      <c r="F552" s="20"/>
      <c r="G552" s="20"/>
      <c r="H552" s="20"/>
      <c r="I552" s="20"/>
    </row>
    <row r="553" spans="1:9" ht="14.25" customHeight="1" x14ac:dyDescent="0.35">
      <c r="A553" s="20"/>
      <c r="B553" s="20"/>
      <c r="C553" s="20"/>
      <c r="D553" s="20"/>
      <c r="E553" s="20"/>
      <c r="F553" s="20"/>
      <c r="G553" s="20"/>
      <c r="H553" s="20"/>
      <c r="I553" s="20"/>
    </row>
    <row r="554" spans="1:9" ht="14.25" customHeight="1" x14ac:dyDescent="0.35">
      <c r="A554" s="20"/>
      <c r="B554" s="20"/>
      <c r="C554" s="20"/>
      <c r="D554" s="20"/>
      <c r="E554" s="20"/>
      <c r="F554" s="20"/>
      <c r="G554" s="20"/>
      <c r="H554" s="20"/>
      <c r="I554" s="20"/>
    </row>
    <row r="555" spans="1:9" ht="14.25" customHeight="1" x14ac:dyDescent="0.35">
      <c r="A555" s="20"/>
      <c r="B555" s="20"/>
      <c r="C555" s="20"/>
      <c r="D555" s="20"/>
      <c r="E555" s="20"/>
      <c r="F555" s="20"/>
      <c r="G555" s="20"/>
      <c r="H555" s="20"/>
      <c r="I555" s="20"/>
    </row>
    <row r="556" spans="1:9" ht="14.25" customHeight="1" x14ac:dyDescent="0.35">
      <c r="A556" s="20"/>
      <c r="B556" s="20"/>
      <c r="C556" s="20"/>
      <c r="D556" s="20"/>
      <c r="E556" s="20"/>
      <c r="F556" s="20"/>
      <c r="G556" s="20"/>
      <c r="H556" s="20"/>
      <c r="I556" s="20"/>
    </row>
    <row r="557" spans="1:9" ht="14.25" customHeight="1" x14ac:dyDescent="0.35">
      <c r="A557" s="20"/>
      <c r="B557" s="20"/>
      <c r="C557" s="20"/>
      <c r="D557" s="20"/>
      <c r="E557" s="20"/>
      <c r="F557" s="20"/>
      <c r="G557" s="20"/>
      <c r="H557" s="20"/>
      <c r="I557" s="20"/>
    </row>
    <row r="558" spans="1:9" ht="14.25" customHeight="1" x14ac:dyDescent="0.35">
      <c r="A558" s="20"/>
      <c r="B558" s="20"/>
      <c r="C558" s="20"/>
      <c r="D558" s="20"/>
      <c r="E558" s="20"/>
      <c r="F558" s="20"/>
      <c r="G558" s="20"/>
      <c r="H558" s="20"/>
      <c r="I558" s="20"/>
    </row>
    <row r="559" spans="1:9" ht="14.25" customHeight="1" x14ac:dyDescent="0.35">
      <c r="A559" s="20"/>
      <c r="B559" s="20"/>
      <c r="C559" s="20"/>
      <c r="D559" s="20"/>
      <c r="E559" s="20"/>
      <c r="F559" s="20"/>
      <c r="G559" s="20"/>
      <c r="H559" s="20"/>
      <c r="I559" s="20"/>
    </row>
    <row r="560" spans="1:9" ht="14.25" customHeight="1" x14ac:dyDescent="0.35">
      <c r="A560" s="20"/>
      <c r="B560" s="20"/>
      <c r="C560" s="20"/>
      <c r="D560" s="20"/>
      <c r="E560" s="20"/>
      <c r="F560" s="20"/>
      <c r="G560" s="20"/>
      <c r="H560" s="20"/>
      <c r="I560" s="20"/>
    </row>
    <row r="561" spans="1:9" ht="14.25" customHeight="1" x14ac:dyDescent="0.35">
      <c r="A561" s="20"/>
      <c r="B561" s="20"/>
      <c r="C561" s="20"/>
      <c r="D561" s="20"/>
      <c r="E561" s="20"/>
      <c r="F561" s="20"/>
      <c r="G561" s="20"/>
      <c r="H561" s="20"/>
      <c r="I561" s="20"/>
    </row>
    <row r="562" spans="1:9" ht="14.25" customHeight="1" x14ac:dyDescent="0.35">
      <c r="A562" s="20"/>
      <c r="B562" s="20"/>
      <c r="C562" s="20"/>
      <c r="D562" s="20"/>
      <c r="E562" s="20"/>
      <c r="F562" s="20"/>
      <c r="G562" s="20"/>
      <c r="H562" s="20"/>
      <c r="I562" s="20"/>
    </row>
    <row r="563" spans="1:9" ht="14.25" customHeight="1" x14ac:dyDescent="0.35">
      <c r="A563" s="20"/>
      <c r="B563" s="20"/>
      <c r="C563" s="20"/>
      <c r="D563" s="20"/>
      <c r="E563" s="20"/>
      <c r="F563" s="20"/>
      <c r="G563" s="20"/>
      <c r="H563" s="20"/>
      <c r="I563" s="20"/>
    </row>
    <row r="564" spans="1:9" ht="14.25" customHeight="1" x14ac:dyDescent="0.35">
      <c r="A564" s="20"/>
      <c r="B564" s="20"/>
      <c r="C564" s="20"/>
      <c r="D564" s="20"/>
      <c r="E564" s="20"/>
      <c r="F564" s="20"/>
      <c r="G564" s="20"/>
      <c r="H564" s="20"/>
      <c r="I564" s="20"/>
    </row>
    <row r="565" spans="1:9" ht="14.25" customHeight="1" x14ac:dyDescent="0.35">
      <c r="A565" s="20"/>
      <c r="B565" s="20"/>
      <c r="C565" s="20"/>
      <c r="D565" s="20"/>
      <c r="E565" s="20"/>
      <c r="F565" s="20"/>
      <c r="G565" s="20"/>
      <c r="H565" s="20"/>
      <c r="I565" s="20"/>
    </row>
    <row r="566" spans="1:9" ht="14.25" customHeight="1" x14ac:dyDescent="0.35">
      <c r="A566" s="20"/>
      <c r="B566" s="20"/>
      <c r="C566" s="20"/>
      <c r="D566" s="20"/>
      <c r="E566" s="20"/>
      <c r="F566" s="20"/>
      <c r="G566" s="20"/>
      <c r="H566" s="20"/>
      <c r="I566" s="20"/>
    </row>
    <row r="567" spans="1:9" ht="14.25" customHeight="1" x14ac:dyDescent="0.35">
      <c r="A567" s="20"/>
      <c r="B567" s="20"/>
      <c r="C567" s="20"/>
      <c r="D567" s="20"/>
      <c r="E567" s="20"/>
      <c r="F567" s="20"/>
      <c r="G567" s="20"/>
      <c r="H567" s="20"/>
      <c r="I567" s="20"/>
    </row>
    <row r="568" spans="1:9" ht="14.25" customHeight="1" x14ac:dyDescent="0.35">
      <c r="A568" s="20"/>
      <c r="B568" s="20"/>
      <c r="C568" s="20"/>
      <c r="D568" s="20"/>
      <c r="E568" s="20"/>
      <c r="F568" s="20"/>
      <c r="G568" s="20"/>
      <c r="H568" s="20"/>
      <c r="I568" s="20"/>
    </row>
    <row r="569" spans="1:9" ht="14.25" customHeight="1" x14ac:dyDescent="0.35">
      <c r="A569" s="20"/>
      <c r="B569" s="20"/>
      <c r="C569" s="20"/>
      <c r="D569" s="20"/>
      <c r="E569" s="20"/>
      <c r="F569" s="20"/>
      <c r="G569" s="20"/>
      <c r="H569" s="20"/>
      <c r="I569" s="20"/>
    </row>
    <row r="570" spans="1:9" ht="14.25" customHeight="1" x14ac:dyDescent="0.35">
      <c r="A570" s="20"/>
      <c r="B570" s="20"/>
      <c r="C570" s="20"/>
      <c r="D570" s="20"/>
      <c r="E570" s="20"/>
      <c r="F570" s="20"/>
      <c r="G570" s="20"/>
      <c r="H570" s="20"/>
      <c r="I570" s="20"/>
    </row>
    <row r="571" spans="1:9" ht="14.25" customHeight="1" x14ac:dyDescent="0.35">
      <c r="A571" s="20"/>
      <c r="B571" s="20"/>
      <c r="C571" s="20"/>
      <c r="D571" s="20"/>
      <c r="E571" s="20"/>
      <c r="F571" s="20"/>
      <c r="G571" s="20"/>
      <c r="H571" s="20"/>
      <c r="I571" s="20"/>
    </row>
    <row r="572" spans="1:9" ht="14.25" customHeight="1" x14ac:dyDescent="0.35">
      <c r="A572" s="20"/>
      <c r="B572" s="20"/>
      <c r="C572" s="20"/>
      <c r="D572" s="20"/>
      <c r="E572" s="20"/>
      <c r="F572" s="20"/>
      <c r="G572" s="20"/>
      <c r="H572" s="20"/>
      <c r="I572" s="20"/>
    </row>
    <row r="573" spans="1:9" ht="14.25" customHeight="1" x14ac:dyDescent="0.35">
      <c r="A573" s="20"/>
      <c r="B573" s="20"/>
      <c r="C573" s="20"/>
      <c r="D573" s="20"/>
      <c r="E573" s="20"/>
      <c r="F573" s="20"/>
      <c r="G573" s="20"/>
      <c r="H573" s="20"/>
      <c r="I573" s="20"/>
    </row>
    <row r="574" spans="1:9" ht="14.25" customHeight="1" x14ac:dyDescent="0.35">
      <c r="A574" s="20"/>
      <c r="B574" s="20"/>
      <c r="C574" s="20"/>
      <c r="D574" s="20"/>
      <c r="E574" s="20"/>
      <c r="F574" s="20"/>
      <c r="G574" s="20"/>
      <c r="H574" s="20"/>
      <c r="I574" s="20"/>
    </row>
    <row r="575" spans="1:9" ht="14.25" customHeight="1" x14ac:dyDescent="0.35">
      <c r="A575" s="20"/>
      <c r="B575" s="20"/>
      <c r="C575" s="20"/>
      <c r="D575" s="20"/>
      <c r="E575" s="20"/>
      <c r="F575" s="20"/>
      <c r="G575" s="20"/>
      <c r="H575" s="20"/>
      <c r="I575" s="20"/>
    </row>
    <row r="576" spans="1:9" ht="14.25" customHeight="1" x14ac:dyDescent="0.35">
      <c r="A576" s="20"/>
      <c r="B576" s="20"/>
      <c r="C576" s="20"/>
      <c r="D576" s="20"/>
      <c r="E576" s="20"/>
      <c r="F576" s="20"/>
      <c r="G576" s="20"/>
      <c r="H576" s="20"/>
      <c r="I576" s="20"/>
    </row>
    <row r="577" spans="1:9" ht="14.25" customHeight="1" x14ac:dyDescent="0.35">
      <c r="A577" s="20"/>
      <c r="B577" s="20"/>
      <c r="C577" s="20"/>
      <c r="D577" s="20"/>
      <c r="E577" s="20"/>
      <c r="F577" s="20"/>
      <c r="G577" s="20"/>
      <c r="H577" s="20"/>
      <c r="I577" s="20"/>
    </row>
    <row r="578" spans="1:9" ht="14.25" customHeight="1" x14ac:dyDescent="0.35">
      <c r="A578" s="20"/>
      <c r="B578" s="20"/>
      <c r="C578" s="20"/>
      <c r="D578" s="20"/>
      <c r="E578" s="20"/>
      <c r="F578" s="20"/>
      <c r="G578" s="20"/>
      <c r="H578" s="20"/>
      <c r="I578" s="20"/>
    </row>
    <row r="579" spans="1:9" ht="14.25" customHeight="1" x14ac:dyDescent="0.35">
      <c r="A579" s="20"/>
      <c r="B579" s="20"/>
      <c r="C579" s="20"/>
      <c r="D579" s="20"/>
      <c r="E579" s="20"/>
      <c r="F579" s="20"/>
      <c r="G579" s="20"/>
      <c r="H579" s="20"/>
      <c r="I579" s="20"/>
    </row>
    <row r="580" spans="1:9" ht="14.25" customHeight="1" x14ac:dyDescent="0.35">
      <c r="A580" s="20"/>
      <c r="B580" s="20"/>
      <c r="C580" s="20"/>
      <c r="D580" s="20"/>
      <c r="E580" s="20"/>
      <c r="F580" s="20"/>
      <c r="G580" s="20"/>
      <c r="H580" s="20"/>
      <c r="I580" s="20"/>
    </row>
    <row r="581" spans="1:9" ht="14.25" customHeight="1" x14ac:dyDescent="0.35">
      <c r="A581" s="20"/>
      <c r="B581" s="20"/>
      <c r="C581" s="20"/>
      <c r="D581" s="20"/>
      <c r="E581" s="20"/>
      <c r="F581" s="20"/>
      <c r="G581" s="20"/>
      <c r="H581" s="20"/>
      <c r="I581" s="20"/>
    </row>
    <row r="582" spans="1:9" ht="14.25" customHeight="1" x14ac:dyDescent="0.35">
      <c r="A582" s="20"/>
      <c r="B582" s="20"/>
      <c r="C582" s="20"/>
      <c r="D582" s="20"/>
      <c r="E582" s="20"/>
      <c r="F582" s="20"/>
      <c r="G582" s="20"/>
      <c r="H582" s="20"/>
      <c r="I582" s="20"/>
    </row>
    <row r="583" spans="1:9" ht="14.25" customHeight="1" x14ac:dyDescent="0.35">
      <c r="A583" s="20"/>
      <c r="B583" s="20"/>
      <c r="C583" s="20"/>
      <c r="D583" s="20"/>
      <c r="E583" s="20"/>
      <c r="F583" s="20"/>
      <c r="G583" s="20"/>
      <c r="H583" s="20"/>
      <c r="I583" s="20"/>
    </row>
    <row r="584" spans="1:9" ht="14.25" customHeight="1" x14ac:dyDescent="0.35">
      <c r="A584" s="20"/>
      <c r="B584" s="20"/>
      <c r="C584" s="20"/>
      <c r="D584" s="20"/>
      <c r="E584" s="20"/>
      <c r="F584" s="20"/>
      <c r="G584" s="20"/>
      <c r="H584" s="20"/>
      <c r="I584" s="20"/>
    </row>
    <row r="585" spans="1:9" ht="14.25" customHeight="1" x14ac:dyDescent="0.35">
      <c r="A585" s="20"/>
      <c r="B585" s="20"/>
      <c r="C585" s="20"/>
      <c r="D585" s="20"/>
      <c r="E585" s="20"/>
      <c r="F585" s="20"/>
      <c r="G585" s="20"/>
      <c r="H585" s="20"/>
      <c r="I585" s="20"/>
    </row>
    <row r="586" spans="1:9" ht="14.25" customHeight="1" x14ac:dyDescent="0.35">
      <c r="A586" s="20"/>
      <c r="B586" s="20"/>
      <c r="C586" s="20"/>
      <c r="D586" s="20"/>
      <c r="E586" s="20"/>
      <c r="F586" s="20"/>
      <c r="G586" s="20"/>
      <c r="H586" s="20"/>
      <c r="I586" s="20"/>
    </row>
    <row r="587" spans="1:9" ht="14.25" customHeight="1" x14ac:dyDescent="0.35">
      <c r="A587" s="20"/>
      <c r="B587" s="20"/>
      <c r="C587" s="20"/>
      <c r="D587" s="20"/>
      <c r="E587" s="20"/>
      <c r="F587" s="20"/>
      <c r="G587" s="20"/>
      <c r="H587" s="20"/>
      <c r="I587" s="20"/>
    </row>
    <row r="588" spans="1:9" ht="14.25" customHeight="1" x14ac:dyDescent="0.35">
      <c r="A588" s="20"/>
      <c r="B588" s="20"/>
      <c r="C588" s="20"/>
      <c r="D588" s="20"/>
      <c r="E588" s="20"/>
      <c r="F588" s="20"/>
      <c r="G588" s="20"/>
      <c r="H588" s="20"/>
      <c r="I588" s="20"/>
    </row>
    <row r="589" spans="1:9" ht="14.25" customHeight="1" x14ac:dyDescent="0.35">
      <c r="A589" s="20"/>
      <c r="B589" s="20"/>
      <c r="C589" s="20"/>
      <c r="D589" s="20"/>
      <c r="E589" s="20"/>
      <c r="F589" s="20"/>
      <c r="G589" s="20"/>
      <c r="H589" s="20"/>
      <c r="I589" s="20"/>
    </row>
    <row r="590" spans="1:9" ht="14.25" customHeight="1" x14ac:dyDescent="0.35">
      <c r="A590" s="20"/>
      <c r="B590" s="20"/>
      <c r="C590" s="20"/>
      <c r="D590" s="20"/>
      <c r="E590" s="20"/>
      <c r="F590" s="20"/>
      <c r="G590" s="20"/>
      <c r="H590" s="20"/>
      <c r="I590" s="20"/>
    </row>
    <row r="591" spans="1:9" ht="14.25" customHeight="1" x14ac:dyDescent="0.35">
      <c r="A591" s="20"/>
      <c r="B591" s="20"/>
      <c r="C591" s="20"/>
      <c r="D591" s="20"/>
      <c r="E591" s="20"/>
      <c r="F591" s="20"/>
      <c r="G591" s="20"/>
      <c r="H591" s="20"/>
      <c r="I591" s="20"/>
    </row>
    <row r="592" spans="1:9" ht="14.25" customHeight="1" x14ac:dyDescent="0.35">
      <c r="A592" s="20"/>
      <c r="B592" s="20"/>
      <c r="C592" s="20"/>
      <c r="D592" s="20"/>
      <c r="E592" s="20"/>
      <c r="F592" s="20"/>
      <c r="G592" s="20"/>
      <c r="H592" s="20"/>
      <c r="I592" s="20"/>
    </row>
    <row r="593" spans="1:9" ht="14.25" customHeight="1" x14ac:dyDescent="0.35">
      <c r="A593" s="20"/>
      <c r="B593" s="20"/>
      <c r="C593" s="20"/>
      <c r="D593" s="20"/>
      <c r="E593" s="20"/>
      <c r="F593" s="20"/>
      <c r="G593" s="20"/>
      <c r="H593" s="20"/>
      <c r="I593" s="20"/>
    </row>
    <row r="594" spans="1:9" ht="14.25" customHeight="1" x14ac:dyDescent="0.35">
      <c r="A594" s="20"/>
      <c r="B594" s="20"/>
      <c r="C594" s="20"/>
      <c r="D594" s="20"/>
      <c r="E594" s="20"/>
      <c r="F594" s="20"/>
      <c r="G594" s="20"/>
      <c r="H594" s="20"/>
      <c r="I594" s="20"/>
    </row>
    <row r="595" spans="1:9" ht="14.25" customHeight="1" x14ac:dyDescent="0.35">
      <c r="A595" s="20"/>
      <c r="B595" s="20"/>
      <c r="C595" s="20"/>
      <c r="D595" s="20"/>
      <c r="E595" s="20"/>
      <c r="F595" s="20"/>
      <c r="G595" s="20"/>
      <c r="H595" s="20"/>
      <c r="I595" s="20"/>
    </row>
    <row r="596" spans="1:9" ht="14.25" customHeight="1" x14ac:dyDescent="0.35">
      <c r="A596" s="20"/>
      <c r="B596" s="20"/>
      <c r="C596" s="20"/>
      <c r="D596" s="20"/>
      <c r="E596" s="20"/>
      <c r="F596" s="20"/>
      <c r="G596" s="20"/>
      <c r="H596" s="20"/>
      <c r="I596" s="20"/>
    </row>
    <row r="597" spans="1:9" ht="14.25" customHeight="1" x14ac:dyDescent="0.35">
      <c r="A597" s="20"/>
      <c r="B597" s="20"/>
      <c r="C597" s="20"/>
      <c r="D597" s="20"/>
      <c r="E597" s="20"/>
      <c r="F597" s="20"/>
      <c r="G597" s="20"/>
      <c r="H597" s="20"/>
      <c r="I597" s="20"/>
    </row>
    <row r="598" spans="1:9" ht="14.25" customHeight="1" x14ac:dyDescent="0.35">
      <c r="A598" s="20"/>
      <c r="B598" s="20"/>
      <c r="C598" s="20"/>
      <c r="D598" s="20"/>
      <c r="E598" s="20"/>
      <c r="F598" s="20"/>
      <c r="G598" s="20"/>
      <c r="H598" s="20"/>
      <c r="I598" s="20"/>
    </row>
    <row r="599" spans="1:9" ht="14.25" customHeight="1" x14ac:dyDescent="0.35">
      <c r="A599" s="20"/>
      <c r="B599" s="20"/>
      <c r="C599" s="20"/>
      <c r="D599" s="20"/>
      <c r="E599" s="20"/>
      <c r="F599" s="20"/>
      <c r="G599" s="20"/>
      <c r="H599" s="20"/>
      <c r="I599" s="20"/>
    </row>
    <row r="600" spans="1:9" ht="14.25" customHeight="1" x14ac:dyDescent="0.35">
      <c r="A600" s="20"/>
      <c r="B600" s="20"/>
      <c r="C600" s="20"/>
      <c r="D600" s="20"/>
      <c r="E600" s="20"/>
      <c r="F600" s="20"/>
      <c r="G600" s="20"/>
      <c r="H600" s="20"/>
      <c r="I600" s="20"/>
    </row>
    <row r="601" spans="1:9" ht="14.25" customHeight="1" x14ac:dyDescent="0.35">
      <c r="A601" s="20"/>
      <c r="B601" s="20"/>
      <c r="C601" s="20"/>
      <c r="D601" s="20"/>
      <c r="E601" s="20"/>
      <c r="F601" s="20"/>
      <c r="G601" s="20"/>
      <c r="H601" s="20"/>
      <c r="I601" s="20"/>
    </row>
    <row r="602" spans="1:9" ht="14.25" customHeight="1" x14ac:dyDescent="0.35">
      <c r="A602" s="20"/>
      <c r="B602" s="20"/>
      <c r="C602" s="20"/>
      <c r="D602" s="20"/>
      <c r="E602" s="20"/>
      <c r="F602" s="20"/>
      <c r="G602" s="20"/>
      <c r="H602" s="20"/>
      <c r="I602" s="20"/>
    </row>
    <row r="603" spans="1:9" ht="14.25" customHeight="1" x14ac:dyDescent="0.35">
      <c r="A603" s="20"/>
      <c r="B603" s="20"/>
      <c r="C603" s="20"/>
      <c r="D603" s="20"/>
      <c r="E603" s="20"/>
      <c r="F603" s="20"/>
      <c r="G603" s="20"/>
      <c r="H603" s="20"/>
      <c r="I603" s="20"/>
    </row>
    <row r="604" spans="1:9" ht="14.25" customHeight="1" x14ac:dyDescent="0.35">
      <c r="A604" s="20"/>
      <c r="B604" s="20"/>
      <c r="C604" s="20"/>
      <c r="D604" s="20"/>
      <c r="E604" s="20"/>
      <c r="F604" s="20"/>
      <c r="G604" s="20"/>
      <c r="H604" s="20"/>
      <c r="I604" s="20"/>
    </row>
    <row r="605" spans="1:9" ht="14.25" customHeight="1" x14ac:dyDescent="0.35">
      <c r="A605" s="20"/>
      <c r="B605" s="20"/>
      <c r="C605" s="20"/>
      <c r="D605" s="20"/>
      <c r="E605" s="20"/>
      <c r="F605" s="20"/>
      <c r="G605" s="20"/>
      <c r="H605" s="20"/>
      <c r="I605" s="20"/>
    </row>
    <row r="606" spans="1:9" ht="14.25" customHeight="1" x14ac:dyDescent="0.35">
      <c r="A606" s="20"/>
      <c r="B606" s="20"/>
      <c r="C606" s="20"/>
      <c r="D606" s="20"/>
      <c r="E606" s="20"/>
      <c r="F606" s="20"/>
      <c r="G606" s="20"/>
      <c r="H606" s="20"/>
      <c r="I606" s="20"/>
    </row>
    <row r="607" spans="1:9" ht="14.25" customHeight="1" x14ac:dyDescent="0.35">
      <c r="A607" s="20"/>
      <c r="B607" s="20"/>
      <c r="C607" s="20"/>
      <c r="D607" s="20"/>
      <c r="E607" s="20"/>
      <c r="F607" s="20"/>
      <c r="G607" s="20"/>
      <c r="H607" s="20"/>
      <c r="I607" s="20"/>
    </row>
    <row r="608" spans="1:9" ht="14.25" customHeight="1" x14ac:dyDescent="0.35">
      <c r="A608" s="20"/>
      <c r="B608" s="20"/>
      <c r="C608" s="20"/>
      <c r="D608" s="20"/>
      <c r="E608" s="20"/>
      <c r="F608" s="20"/>
      <c r="G608" s="20"/>
      <c r="H608" s="20"/>
      <c r="I608" s="20"/>
    </row>
    <row r="609" spans="1:9" ht="14.25" customHeight="1" x14ac:dyDescent="0.35">
      <c r="A609" s="20"/>
      <c r="B609" s="20"/>
      <c r="C609" s="20"/>
      <c r="D609" s="20"/>
      <c r="E609" s="20"/>
      <c r="F609" s="20"/>
      <c r="G609" s="20"/>
      <c r="H609" s="20"/>
      <c r="I609" s="20"/>
    </row>
    <row r="610" spans="1:9" ht="14.25" customHeight="1" x14ac:dyDescent="0.35">
      <c r="A610" s="20"/>
      <c r="B610" s="20"/>
      <c r="C610" s="20"/>
      <c r="D610" s="20"/>
      <c r="E610" s="20"/>
      <c r="F610" s="20"/>
      <c r="G610" s="20"/>
      <c r="H610" s="20"/>
      <c r="I610" s="20"/>
    </row>
    <row r="611" spans="1:9" ht="14.25" customHeight="1" x14ac:dyDescent="0.35">
      <c r="A611" s="20"/>
      <c r="B611" s="20"/>
      <c r="C611" s="20"/>
      <c r="D611" s="20"/>
      <c r="E611" s="20"/>
      <c r="F611" s="20"/>
      <c r="G611" s="20"/>
      <c r="H611" s="20"/>
      <c r="I611" s="20"/>
    </row>
    <row r="612" spans="1:9" ht="14.25" customHeight="1" x14ac:dyDescent="0.35">
      <c r="A612" s="20"/>
      <c r="B612" s="20"/>
      <c r="C612" s="20"/>
      <c r="D612" s="20"/>
      <c r="E612" s="20"/>
      <c r="F612" s="20"/>
      <c r="G612" s="20"/>
      <c r="H612" s="20"/>
      <c r="I612" s="20"/>
    </row>
    <row r="613" spans="1:9" ht="14.25" customHeight="1" x14ac:dyDescent="0.35">
      <c r="A613" s="20"/>
      <c r="B613" s="20"/>
      <c r="C613" s="20"/>
      <c r="D613" s="20"/>
      <c r="E613" s="20"/>
      <c r="F613" s="20"/>
      <c r="G613" s="20"/>
      <c r="H613" s="20"/>
      <c r="I613" s="20"/>
    </row>
    <row r="614" spans="1:9" ht="14.25" customHeight="1" x14ac:dyDescent="0.35">
      <c r="A614" s="20"/>
      <c r="B614" s="20"/>
      <c r="C614" s="20"/>
      <c r="D614" s="20"/>
      <c r="E614" s="20"/>
      <c r="F614" s="20"/>
      <c r="G614" s="20"/>
      <c r="H614" s="20"/>
      <c r="I614" s="20"/>
    </row>
    <row r="615" spans="1:9" ht="14.25" customHeight="1" x14ac:dyDescent="0.35">
      <c r="A615" s="20"/>
      <c r="B615" s="20"/>
      <c r="C615" s="20"/>
      <c r="D615" s="20"/>
      <c r="E615" s="20"/>
      <c r="F615" s="20"/>
      <c r="G615" s="20"/>
      <c r="H615" s="20"/>
      <c r="I615" s="20"/>
    </row>
    <row r="616" spans="1:9" ht="14.25" customHeight="1" x14ac:dyDescent="0.35">
      <c r="A616" s="20"/>
      <c r="B616" s="20"/>
      <c r="C616" s="20"/>
      <c r="D616" s="20"/>
      <c r="E616" s="20"/>
      <c r="F616" s="20"/>
      <c r="G616" s="20"/>
      <c r="H616" s="20"/>
      <c r="I616" s="20"/>
    </row>
    <row r="617" spans="1:9" ht="14.25" customHeight="1" x14ac:dyDescent="0.35">
      <c r="A617" s="20"/>
      <c r="B617" s="20"/>
      <c r="C617" s="20"/>
      <c r="D617" s="20"/>
      <c r="E617" s="20"/>
      <c r="F617" s="20"/>
      <c r="G617" s="20"/>
      <c r="H617" s="20"/>
      <c r="I617" s="20"/>
    </row>
    <row r="618" spans="1:9" ht="14.25" customHeight="1" x14ac:dyDescent="0.35">
      <c r="A618" s="20"/>
      <c r="B618" s="20"/>
      <c r="C618" s="20"/>
      <c r="D618" s="20"/>
      <c r="E618" s="20"/>
      <c r="F618" s="20"/>
      <c r="G618" s="20"/>
      <c r="H618" s="20"/>
      <c r="I618" s="20"/>
    </row>
    <row r="619" spans="1:9" ht="14.25" customHeight="1" x14ac:dyDescent="0.35">
      <c r="A619" s="20"/>
      <c r="B619" s="20"/>
      <c r="C619" s="20"/>
      <c r="D619" s="20"/>
      <c r="E619" s="20"/>
      <c r="F619" s="20"/>
      <c r="G619" s="20"/>
      <c r="H619" s="20"/>
      <c r="I619" s="20"/>
    </row>
    <row r="620" spans="1:9" ht="14.25" customHeight="1" x14ac:dyDescent="0.35">
      <c r="A620" s="20"/>
      <c r="B620" s="20"/>
      <c r="C620" s="20"/>
      <c r="D620" s="20"/>
      <c r="E620" s="20"/>
      <c r="F620" s="20"/>
      <c r="G620" s="20"/>
      <c r="H620" s="20"/>
      <c r="I620" s="20"/>
    </row>
    <row r="621" spans="1:9" ht="14.25" customHeight="1" x14ac:dyDescent="0.35">
      <c r="A621" s="20"/>
      <c r="B621" s="20"/>
      <c r="C621" s="20"/>
      <c r="D621" s="20"/>
      <c r="E621" s="20"/>
      <c r="F621" s="20"/>
      <c r="G621" s="20"/>
      <c r="H621" s="20"/>
      <c r="I621" s="20"/>
    </row>
    <row r="622" spans="1:9" ht="14.25" customHeight="1" x14ac:dyDescent="0.35">
      <c r="A622" s="20"/>
      <c r="B622" s="20"/>
      <c r="C622" s="20"/>
      <c r="D622" s="20"/>
      <c r="E622" s="20"/>
      <c r="F622" s="20"/>
      <c r="G622" s="20"/>
      <c r="H622" s="20"/>
      <c r="I622" s="20"/>
    </row>
    <row r="623" spans="1:9" ht="14.25" customHeight="1" x14ac:dyDescent="0.35">
      <c r="A623" s="20"/>
      <c r="B623" s="20"/>
      <c r="C623" s="20"/>
      <c r="D623" s="20"/>
      <c r="E623" s="20"/>
      <c r="F623" s="20"/>
      <c r="G623" s="20"/>
      <c r="H623" s="20"/>
      <c r="I623" s="20"/>
    </row>
    <row r="624" spans="1:9" ht="14.25" customHeight="1" x14ac:dyDescent="0.35">
      <c r="A624" s="20"/>
      <c r="B624" s="20"/>
      <c r="C624" s="20"/>
      <c r="D624" s="20"/>
      <c r="E624" s="20"/>
      <c r="F624" s="20"/>
      <c r="G624" s="20"/>
      <c r="H624" s="20"/>
      <c r="I624" s="20"/>
    </row>
    <row r="625" spans="1:9" ht="14.25" customHeight="1" x14ac:dyDescent="0.35">
      <c r="A625" s="20"/>
      <c r="B625" s="20"/>
      <c r="C625" s="20"/>
      <c r="D625" s="20"/>
      <c r="E625" s="20"/>
      <c r="F625" s="20"/>
      <c r="G625" s="20"/>
      <c r="H625" s="20"/>
      <c r="I625" s="20"/>
    </row>
    <row r="626" spans="1:9" ht="14.25" customHeight="1" x14ac:dyDescent="0.35">
      <c r="A626" s="20"/>
      <c r="B626" s="20"/>
      <c r="C626" s="20"/>
      <c r="D626" s="20"/>
      <c r="E626" s="20"/>
      <c r="F626" s="20"/>
      <c r="G626" s="20"/>
      <c r="H626" s="20"/>
      <c r="I626" s="20"/>
    </row>
    <row r="627" spans="1:9" ht="14.25" customHeight="1" x14ac:dyDescent="0.35">
      <c r="A627" s="20"/>
      <c r="B627" s="20"/>
      <c r="C627" s="20"/>
      <c r="D627" s="20"/>
      <c r="E627" s="20"/>
      <c r="F627" s="20"/>
      <c r="G627" s="20"/>
      <c r="H627" s="20"/>
      <c r="I627" s="20"/>
    </row>
    <row r="628" spans="1:9" ht="14.25" customHeight="1" x14ac:dyDescent="0.35">
      <c r="A628" s="20"/>
      <c r="B628" s="20"/>
      <c r="C628" s="20"/>
      <c r="D628" s="20"/>
      <c r="E628" s="20"/>
      <c r="F628" s="20"/>
      <c r="G628" s="20"/>
      <c r="H628" s="20"/>
      <c r="I628" s="20"/>
    </row>
    <row r="629" spans="1:9" ht="14.25" customHeight="1" x14ac:dyDescent="0.35">
      <c r="A629" s="20"/>
      <c r="B629" s="20"/>
      <c r="C629" s="20"/>
      <c r="D629" s="20"/>
      <c r="E629" s="20"/>
      <c r="F629" s="20"/>
      <c r="G629" s="20"/>
      <c r="H629" s="20"/>
      <c r="I629" s="20"/>
    </row>
    <row r="630" spans="1:9" ht="14.25" customHeight="1" x14ac:dyDescent="0.35">
      <c r="A630" s="20"/>
      <c r="B630" s="20"/>
      <c r="C630" s="20"/>
      <c r="D630" s="20"/>
      <c r="E630" s="20"/>
      <c r="F630" s="20"/>
      <c r="G630" s="20"/>
      <c r="H630" s="20"/>
      <c r="I630" s="20"/>
    </row>
    <row r="631" spans="1:9" ht="14.25" customHeight="1" x14ac:dyDescent="0.35">
      <c r="A631" s="20"/>
      <c r="B631" s="20"/>
      <c r="C631" s="20"/>
      <c r="D631" s="20"/>
      <c r="E631" s="20"/>
      <c r="F631" s="20"/>
      <c r="G631" s="20"/>
      <c r="H631" s="20"/>
      <c r="I631" s="20"/>
    </row>
    <row r="632" spans="1:9" ht="14.25" customHeight="1" x14ac:dyDescent="0.35">
      <c r="A632" s="20"/>
      <c r="B632" s="20"/>
      <c r="C632" s="20"/>
      <c r="D632" s="20"/>
      <c r="E632" s="20"/>
      <c r="F632" s="20"/>
      <c r="G632" s="20"/>
      <c r="H632" s="20"/>
      <c r="I632" s="20"/>
    </row>
    <row r="633" spans="1:9" ht="14.25" customHeight="1" x14ac:dyDescent="0.35">
      <c r="A633" s="20"/>
      <c r="B633" s="20"/>
      <c r="C633" s="20"/>
      <c r="D633" s="20"/>
      <c r="E633" s="20"/>
      <c r="F633" s="20"/>
      <c r="G633" s="20"/>
      <c r="H633" s="20"/>
      <c r="I633" s="20"/>
    </row>
    <row r="634" spans="1:9" ht="14.25" customHeight="1" x14ac:dyDescent="0.35">
      <c r="A634" s="20"/>
      <c r="B634" s="20"/>
      <c r="C634" s="20"/>
      <c r="D634" s="20"/>
      <c r="E634" s="20"/>
      <c r="F634" s="20"/>
      <c r="G634" s="20"/>
      <c r="H634" s="20"/>
      <c r="I634" s="20"/>
    </row>
    <row r="635" spans="1:9" ht="14.25" customHeight="1" x14ac:dyDescent="0.35">
      <c r="A635" s="20"/>
      <c r="B635" s="20"/>
      <c r="C635" s="20"/>
      <c r="D635" s="20"/>
      <c r="E635" s="20"/>
      <c r="F635" s="20"/>
      <c r="G635" s="20"/>
      <c r="H635" s="20"/>
      <c r="I635" s="20"/>
    </row>
    <row r="636" spans="1:9" ht="14.25" customHeight="1" x14ac:dyDescent="0.35">
      <c r="A636" s="20"/>
      <c r="B636" s="20"/>
      <c r="C636" s="20"/>
      <c r="D636" s="20"/>
      <c r="E636" s="20"/>
      <c r="F636" s="20"/>
      <c r="G636" s="20"/>
      <c r="H636" s="20"/>
      <c r="I636" s="20"/>
    </row>
    <row r="637" spans="1:9" ht="14.25" customHeight="1" x14ac:dyDescent="0.35">
      <c r="A637" s="20"/>
      <c r="B637" s="20"/>
      <c r="C637" s="20"/>
      <c r="D637" s="20"/>
      <c r="E637" s="20"/>
      <c r="F637" s="20"/>
      <c r="G637" s="20"/>
      <c r="H637" s="20"/>
      <c r="I637" s="20"/>
    </row>
    <row r="638" spans="1:9" ht="14.25" customHeight="1" x14ac:dyDescent="0.35">
      <c r="A638" s="20"/>
      <c r="B638" s="20"/>
      <c r="C638" s="20"/>
      <c r="D638" s="20"/>
      <c r="E638" s="20"/>
      <c r="F638" s="20"/>
      <c r="G638" s="20"/>
      <c r="H638" s="20"/>
      <c r="I638" s="20"/>
    </row>
    <row r="639" spans="1:9" ht="14.25" customHeight="1" x14ac:dyDescent="0.35">
      <c r="A639" s="20"/>
      <c r="B639" s="20"/>
      <c r="C639" s="20"/>
      <c r="D639" s="20"/>
      <c r="E639" s="20"/>
      <c r="F639" s="20"/>
      <c r="G639" s="20"/>
      <c r="H639" s="20"/>
      <c r="I639" s="20"/>
    </row>
    <row r="640" spans="1:9" ht="14.25" customHeight="1" x14ac:dyDescent="0.35">
      <c r="A640" s="20"/>
      <c r="B640" s="20"/>
      <c r="C640" s="20"/>
      <c r="D640" s="20"/>
      <c r="E640" s="20"/>
      <c r="F640" s="20"/>
      <c r="G640" s="20"/>
      <c r="H640" s="20"/>
      <c r="I640" s="20"/>
    </row>
    <row r="641" spans="1:9" ht="14.25" customHeight="1" x14ac:dyDescent="0.35">
      <c r="A641" s="20"/>
      <c r="B641" s="20"/>
      <c r="C641" s="20"/>
      <c r="D641" s="20"/>
      <c r="E641" s="20"/>
      <c r="F641" s="20"/>
      <c r="G641" s="20"/>
      <c r="H641" s="20"/>
      <c r="I641" s="20"/>
    </row>
    <row r="642" spans="1:9" ht="14.25" customHeight="1" x14ac:dyDescent="0.35">
      <c r="A642" s="20"/>
      <c r="B642" s="20"/>
      <c r="C642" s="20"/>
      <c r="D642" s="20"/>
      <c r="E642" s="20"/>
      <c r="F642" s="20"/>
      <c r="G642" s="20"/>
      <c r="H642" s="20"/>
      <c r="I642" s="20"/>
    </row>
    <row r="643" spans="1:9" ht="14.25" customHeight="1" x14ac:dyDescent="0.35">
      <c r="A643" s="20"/>
      <c r="B643" s="20"/>
      <c r="C643" s="20"/>
      <c r="D643" s="20"/>
      <c r="E643" s="20"/>
      <c r="F643" s="20"/>
      <c r="G643" s="20"/>
      <c r="H643" s="20"/>
      <c r="I643" s="20"/>
    </row>
    <row r="644" spans="1:9" ht="14.25" customHeight="1" x14ac:dyDescent="0.35">
      <c r="A644" s="20"/>
      <c r="B644" s="20"/>
      <c r="C644" s="20"/>
      <c r="D644" s="20"/>
      <c r="E644" s="20"/>
      <c r="F644" s="20"/>
      <c r="G644" s="20"/>
      <c r="H644" s="20"/>
      <c r="I644" s="20"/>
    </row>
    <row r="645" spans="1:9" ht="14.25" customHeight="1" x14ac:dyDescent="0.35">
      <c r="A645" s="20"/>
      <c r="B645" s="20"/>
      <c r="C645" s="20"/>
      <c r="D645" s="20"/>
      <c r="E645" s="20"/>
      <c r="F645" s="20"/>
      <c r="G645" s="20"/>
      <c r="H645" s="20"/>
      <c r="I645" s="20"/>
    </row>
    <row r="646" spans="1:9" ht="14.25" customHeight="1" x14ac:dyDescent="0.35">
      <c r="A646" s="20"/>
      <c r="B646" s="20"/>
      <c r="C646" s="20"/>
      <c r="D646" s="20"/>
      <c r="E646" s="20"/>
      <c r="F646" s="20"/>
      <c r="G646" s="20"/>
      <c r="H646" s="20"/>
      <c r="I646" s="20"/>
    </row>
    <row r="647" spans="1:9" ht="14.25" customHeight="1" x14ac:dyDescent="0.35">
      <c r="A647" s="20"/>
      <c r="B647" s="20"/>
      <c r="C647" s="20"/>
      <c r="D647" s="20"/>
      <c r="E647" s="20"/>
      <c r="F647" s="20"/>
      <c r="G647" s="20"/>
      <c r="H647" s="20"/>
      <c r="I647" s="20"/>
    </row>
    <row r="648" spans="1:9" ht="14.25" customHeight="1" x14ac:dyDescent="0.35">
      <c r="A648" s="20"/>
      <c r="B648" s="20"/>
      <c r="C648" s="20"/>
      <c r="D648" s="20"/>
      <c r="E648" s="20"/>
      <c r="F648" s="20"/>
      <c r="G648" s="20"/>
      <c r="H648" s="20"/>
      <c r="I648" s="20"/>
    </row>
    <row r="649" spans="1:9" ht="14.25" customHeight="1" x14ac:dyDescent="0.35">
      <c r="A649" s="20"/>
      <c r="B649" s="20"/>
      <c r="C649" s="20"/>
      <c r="D649" s="20"/>
      <c r="E649" s="20"/>
      <c r="F649" s="20"/>
      <c r="G649" s="20"/>
      <c r="H649" s="20"/>
      <c r="I649" s="20"/>
    </row>
    <row r="650" spans="1:9" ht="14.25" customHeight="1" x14ac:dyDescent="0.35">
      <c r="A650" s="20"/>
      <c r="B650" s="20"/>
      <c r="C650" s="20"/>
      <c r="D650" s="20"/>
      <c r="E650" s="20"/>
      <c r="F650" s="20"/>
      <c r="G650" s="20"/>
      <c r="H650" s="20"/>
      <c r="I650" s="20"/>
    </row>
    <row r="651" spans="1:9" ht="14.25" customHeight="1" x14ac:dyDescent="0.35">
      <c r="A651" s="20"/>
      <c r="B651" s="20"/>
      <c r="C651" s="20"/>
      <c r="D651" s="20"/>
      <c r="E651" s="20"/>
      <c r="F651" s="20"/>
      <c r="G651" s="20"/>
      <c r="H651" s="20"/>
      <c r="I651" s="20"/>
    </row>
    <row r="652" spans="1:9" ht="14.25" customHeight="1" x14ac:dyDescent="0.35">
      <c r="A652" s="20"/>
      <c r="B652" s="20"/>
      <c r="C652" s="20"/>
      <c r="D652" s="20"/>
      <c r="E652" s="20"/>
      <c r="F652" s="20"/>
      <c r="G652" s="20"/>
      <c r="H652" s="20"/>
      <c r="I652" s="20"/>
    </row>
    <row r="653" spans="1:9" ht="14.25" customHeight="1" x14ac:dyDescent="0.35">
      <c r="A653" s="20"/>
      <c r="B653" s="20"/>
      <c r="C653" s="20"/>
      <c r="D653" s="20"/>
      <c r="E653" s="20"/>
      <c r="F653" s="20"/>
      <c r="G653" s="20"/>
      <c r="H653" s="20"/>
      <c r="I653" s="20"/>
    </row>
    <row r="654" spans="1:9" ht="14.25" customHeight="1" x14ac:dyDescent="0.35">
      <c r="A654" s="20"/>
      <c r="B654" s="20"/>
      <c r="C654" s="20"/>
      <c r="D654" s="20"/>
      <c r="E654" s="20"/>
      <c r="F654" s="20"/>
      <c r="G654" s="20"/>
      <c r="H654" s="20"/>
      <c r="I654" s="20"/>
    </row>
    <row r="655" spans="1:9" ht="14.25" customHeight="1" x14ac:dyDescent="0.35">
      <c r="A655" s="20"/>
      <c r="B655" s="20"/>
      <c r="C655" s="20"/>
      <c r="D655" s="20"/>
      <c r="E655" s="20"/>
      <c r="F655" s="20"/>
      <c r="G655" s="20"/>
      <c r="H655" s="20"/>
      <c r="I655" s="20"/>
    </row>
    <row r="656" spans="1:9" ht="14.25" customHeight="1" x14ac:dyDescent="0.35">
      <c r="A656" s="20"/>
      <c r="B656" s="20"/>
      <c r="C656" s="20"/>
      <c r="D656" s="20"/>
      <c r="E656" s="20"/>
      <c r="F656" s="20"/>
      <c r="G656" s="20"/>
      <c r="H656" s="20"/>
      <c r="I656" s="20"/>
    </row>
    <row r="657" spans="1:9" ht="14.25" customHeight="1" x14ac:dyDescent="0.35">
      <c r="A657" s="20"/>
      <c r="B657" s="20"/>
      <c r="C657" s="20"/>
      <c r="D657" s="20"/>
      <c r="E657" s="20"/>
      <c r="F657" s="20"/>
      <c r="G657" s="20"/>
      <c r="H657" s="20"/>
      <c r="I657" s="20"/>
    </row>
    <row r="658" spans="1:9" ht="14.25" customHeight="1" x14ac:dyDescent="0.35">
      <c r="A658" s="20"/>
      <c r="B658" s="20"/>
      <c r="C658" s="20"/>
      <c r="D658" s="20"/>
      <c r="E658" s="20"/>
      <c r="F658" s="20"/>
      <c r="G658" s="20"/>
      <c r="H658" s="20"/>
      <c r="I658" s="20"/>
    </row>
    <row r="659" spans="1:9" ht="14.25" customHeight="1" x14ac:dyDescent="0.35">
      <c r="A659" s="20"/>
      <c r="B659" s="20"/>
      <c r="C659" s="20"/>
      <c r="D659" s="20"/>
      <c r="E659" s="20"/>
      <c r="F659" s="20"/>
      <c r="G659" s="20"/>
      <c r="H659" s="20"/>
      <c r="I659" s="20"/>
    </row>
    <row r="660" spans="1:9" ht="14.25" customHeight="1" x14ac:dyDescent="0.35">
      <c r="A660" s="20"/>
      <c r="B660" s="20"/>
      <c r="C660" s="20"/>
      <c r="D660" s="20"/>
      <c r="E660" s="20"/>
      <c r="F660" s="20"/>
      <c r="G660" s="20"/>
      <c r="H660" s="20"/>
      <c r="I660" s="20"/>
    </row>
    <row r="661" spans="1:9" ht="14.25" customHeight="1" x14ac:dyDescent="0.35">
      <c r="A661" s="20"/>
      <c r="B661" s="20"/>
      <c r="C661" s="20"/>
      <c r="D661" s="20"/>
      <c r="E661" s="20"/>
      <c r="F661" s="20"/>
      <c r="G661" s="20"/>
      <c r="H661" s="20"/>
      <c r="I661" s="20"/>
    </row>
    <row r="662" spans="1:9" ht="14.25" customHeight="1" x14ac:dyDescent="0.35">
      <c r="A662" s="20"/>
      <c r="B662" s="20"/>
      <c r="C662" s="20"/>
      <c r="D662" s="20"/>
      <c r="E662" s="20"/>
      <c r="F662" s="20"/>
      <c r="G662" s="20"/>
      <c r="H662" s="20"/>
      <c r="I662" s="20"/>
    </row>
    <row r="663" spans="1:9" ht="14.25" customHeight="1" x14ac:dyDescent="0.35">
      <c r="A663" s="20"/>
      <c r="B663" s="20"/>
      <c r="C663" s="20"/>
      <c r="D663" s="20"/>
      <c r="E663" s="20"/>
      <c r="F663" s="20"/>
      <c r="G663" s="20"/>
      <c r="H663" s="20"/>
      <c r="I663" s="20"/>
    </row>
    <row r="664" spans="1:9" ht="14.25" customHeight="1" x14ac:dyDescent="0.35">
      <c r="A664" s="20"/>
      <c r="B664" s="20"/>
      <c r="C664" s="20"/>
      <c r="D664" s="20"/>
      <c r="E664" s="20"/>
      <c r="F664" s="20"/>
      <c r="G664" s="20"/>
      <c r="H664" s="20"/>
      <c r="I664" s="20"/>
    </row>
    <row r="665" spans="1:9" ht="14.25" customHeight="1" x14ac:dyDescent="0.35">
      <c r="A665" s="20"/>
      <c r="B665" s="20"/>
      <c r="C665" s="20"/>
      <c r="D665" s="20"/>
      <c r="E665" s="20"/>
      <c r="F665" s="20"/>
      <c r="G665" s="20"/>
      <c r="H665" s="20"/>
      <c r="I665" s="20"/>
    </row>
    <row r="666" spans="1:9" ht="14.25" customHeight="1" x14ac:dyDescent="0.35">
      <c r="A666" s="20"/>
      <c r="B666" s="20"/>
      <c r="C666" s="20"/>
      <c r="D666" s="20"/>
      <c r="E666" s="20"/>
      <c r="F666" s="20"/>
      <c r="G666" s="20"/>
      <c r="H666" s="20"/>
      <c r="I666" s="20"/>
    </row>
    <row r="667" spans="1:9" ht="14.25" customHeight="1" x14ac:dyDescent="0.35">
      <c r="A667" s="20"/>
      <c r="B667" s="20"/>
      <c r="C667" s="20"/>
      <c r="D667" s="20"/>
      <c r="E667" s="20"/>
      <c r="F667" s="20"/>
      <c r="G667" s="20"/>
      <c r="H667" s="20"/>
      <c r="I667" s="20"/>
    </row>
    <row r="668" spans="1:9" ht="14.25" customHeight="1" x14ac:dyDescent="0.35">
      <c r="A668" s="20"/>
      <c r="B668" s="20"/>
      <c r="C668" s="20"/>
      <c r="D668" s="20"/>
      <c r="E668" s="20"/>
      <c r="F668" s="20"/>
      <c r="G668" s="20"/>
      <c r="H668" s="20"/>
      <c r="I668" s="20"/>
    </row>
    <row r="669" spans="1:9" ht="14.25" customHeight="1" x14ac:dyDescent="0.35">
      <c r="A669" s="20"/>
      <c r="B669" s="20"/>
      <c r="C669" s="20"/>
      <c r="D669" s="20"/>
      <c r="E669" s="20"/>
      <c r="F669" s="20"/>
      <c r="G669" s="20"/>
      <c r="H669" s="20"/>
      <c r="I669" s="20"/>
    </row>
    <row r="670" spans="1:9" ht="14.25" customHeight="1" x14ac:dyDescent="0.35">
      <c r="A670" s="20"/>
      <c r="B670" s="20"/>
      <c r="C670" s="20"/>
      <c r="D670" s="20"/>
      <c r="E670" s="20"/>
      <c r="F670" s="20"/>
      <c r="G670" s="20"/>
      <c r="H670" s="20"/>
      <c r="I670" s="20"/>
    </row>
    <row r="671" spans="1:9" ht="14.25" customHeight="1" x14ac:dyDescent="0.35">
      <c r="A671" s="20"/>
      <c r="B671" s="20"/>
      <c r="C671" s="20"/>
      <c r="D671" s="20"/>
      <c r="E671" s="20"/>
      <c r="F671" s="20"/>
      <c r="G671" s="20"/>
      <c r="H671" s="20"/>
      <c r="I671" s="20"/>
    </row>
    <row r="672" spans="1:9" ht="14.25" customHeight="1" x14ac:dyDescent="0.35">
      <c r="A672" s="20"/>
      <c r="B672" s="20"/>
      <c r="C672" s="20"/>
      <c r="D672" s="20"/>
      <c r="E672" s="20"/>
      <c r="F672" s="20"/>
      <c r="G672" s="20"/>
      <c r="H672" s="20"/>
      <c r="I672" s="20"/>
    </row>
    <row r="673" spans="1:9" ht="14.25" customHeight="1" x14ac:dyDescent="0.35">
      <c r="A673" s="20"/>
      <c r="B673" s="20"/>
      <c r="C673" s="20"/>
      <c r="D673" s="20"/>
      <c r="E673" s="20"/>
      <c r="F673" s="20"/>
      <c r="G673" s="20"/>
      <c r="H673" s="20"/>
      <c r="I673" s="20"/>
    </row>
    <row r="674" spans="1:9" ht="14.25" customHeight="1" x14ac:dyDescent="0.35">
      <c r="A674" s="20"/>
      <c r="B674" s="20"/>
      <c r="C674" s="20"/>
      <c r="D674" s="20"/>
      <c r="E674" s="20"/>
      <c r="F674" s="20"/>
      <c r="G674" s="20"/>
      <c r="H674" s="20"/>
      <c r="I674" s="20"/>
    </row>
    <row r="675" spans="1:9" ht="14.25" customHeight="1" x14ac:dyDescent="0.35">
      <c r="A675" s="20"/>
      <c r="B675" s="20"/>
      <c r="C675" s="20"/>
      <c r="D675" s="20"/>
      <c r="E675" s="20"/>
      <c r="F675" s="20"/>
      <c r="G675" s="20"/>
      <c r="H675" s="20"/>
      <c r="I675" s="20"/>
    </row>
    <row r="676" spans="1:9" ht="14.25" customHeight="1" x14ac:dyDescent="0.35">
      <c r="A676" s="20"/>
      <c r="B676" s="20"/>
      <c r="C676" s="20"/>
      <c r="D676" s="20"/>
      <c r="E676" s="20"/>
      <c r="F676" s="20"/>
      <c r="G676" s="20"/>
      <c r="H676" s="20"/>
      <c r="I676" s="20"/>
    </row>
    <row r="677" spans="1:9" ht="14.25" customHeight="1" x14ac:dyDescent="0.35">
      <c r="A677" s="20"/>
      <c r="B677" s="20"/>
      <c r="C677" s="20"/>
      <c r="D677" s="20"/>
      <c r="E677" s="20"/>
      <c r="F677" s="20"/>
      <c r="G677" s="20"/>
      <c r="H677" s="20"/>
      <c r="I677" s="20"/>
    </row>
    <row r="678" spans="1:9" ht="14.25" customHeight="1" x14ac:dyDescent="0.35">
      <c r="A678" s="20"/>
      <c r="B678" s="20"/>
      <c r="C678" s="20"/>
      <c r="D678" s="20"/>
      <c r="E678" s="20"/>
      <c r="F678" s="20"/>
      <c r="G678" s="20"/>
      <c r="H678" s="20"/>
      <c r="I678" s="20"/>
    </row>
    <row r="679" spans="1:9" ht="14.25" customHeight="1" x14ac:dyDescent="0.35">
      <c r="A679" s="20"/>
      <c r="B679" s="20"/>
      <c r="C679" s="20"/>
      <c r="D679" s="20"/>
      <c r="E679" s="20"/>
      <c r="F679" s="20"/>
      <c r="G679" s="20"/>
      <c r="H679" s="20"/>
      <c r="I679" s="20"/>
    </row>
    <row r="680" spans="1:9" ht="14.25" customHeight="1" x14ac:dyDescent="0.35">
      <c r="A680" s="20"/>
      <c r="B680" s="20"/>
      <c r="C680" s="20"/>
      <c r="D680" s="20"/>
      <c r="E680" s="20"/>
      <c r="F680" s="20"/>
      <c r="G680" s="20"/>
      <c r="H680" s="20"/>
      <c r="I680" s="20"/>
    </row>
    <row r="681" spans="1:9" ht="14.25" customHeight="1" x14ac:dyDescent="0.35">
      <c r="A681" s="20"/>
      <c r="B681" s="20"/>
      <c r="C681" s="20"/>
      <c r="D681" s="20"/>
      <c r="E681" s="20"/>
      <c r="F681" s="20"/>
      <c r="G681" s="20"/>
      <c r="H681" s="20"/>
      <c r="I681" s="20"/>
    </row>
    <row r="682" spans="1:9" ht="14.25" customHeight="1" x14ac:dyDescent="0.35">
      <c r="A682" s="20"/>
      <c r="B682" s="20"/>
      <c r="C682" s="20"/>
      <c r="D682" s="20"/>
      <c r="E682" s="20"/>
      <c r="F682" s="20"/>
      <c r="G682" s="20"/>
      <c r="H682" s="20"/>
      <c r="I682" s="20"/>
    </row>
    <row r="683" spans="1:9" ht="14.25" customHeight="1" x14ac:dyDescent="0.35">
      <c r="A683" s="20"/>
      <c r="B683" s="20"/>
      <c r="C683" s="20"/>
      <c r="D683" s="20"/>
      <c r="E683" s="20"/>
      <c r="F683" s="20"/>
      <c r="G683" s="20"/>
      <c r="H683" s="20"/>
      <c r="I683" s="20"/>
    </row>
    <row r="684" spans="1:9" ht="14.25" customHeight="1" x14ac:dyDescent="0.35">
      <c r="A684" s="20"/>
      <c r="B684" s="20"/>
      <c r="C684" s="20"/>
      <c r="D684" s="20"/>
      <c r="E684" s="20"/>
      <c r="F684" s="20"/>
      <c r="G684" s="20"/>
      <c r="H684" s="20"/>
      <c r="I684" s="20"/>
    </row>
    <row r="685" spans="1:9" ht="14.25" customHeight="1" x14ac:dyDescent="0.35">
      <c r="A685" s="20"/>
      <c r="B685" s="20"/>
      <c r="C685" s="20"/>
      <c r="D685" s="20"/>
      <c r="E685" s="20"/>
      <c r="F685" s="20"/>
      <c r="G685" s="20"/>
      <c r="H685" s="20"/>
      <c r="I685" s="20"/>
    </row>
    <row r="686" spans="1:9" ht="14.25" customHeight="1" x14ac:dyDescent="0.35">
      <c r="A686" s="20"/>
      <c r="B686" s="20"/>
      <c r="C686" s="20"/>
      <c r="D686" s="20"/>
      <c r="E686" s="20"/>
      <c r="F686" s="20"/>
      <c r="G686" s="20"/>
      <c r="H686" s="20"/>
      <c r="I686" s="20"/>
    </row>
    <row r="687" spans="1:9" ht="14.25" customHeight="1" x14ac:dyDescent="0.35">
      <c r="A687" s="20"/>
      <c r="B687" s="20"/>
      <c r="C687" s="20"/>
      <c r="D687" s="20"/>
      <c r="E687" s="20"/>
      <c r="F687" s="20"/>
      <c r="G687" s="20"/>
      <c r="H687" s="20"/>
      <c r="I687" s="20"/>
    </row>
    <row r="688" spans="1:9" ht="14.25" customHeight="1" x14ac:dyDescent="0.35">
      <c r="A688" s="20"/>
      <c r="B688" s="20"/>
      <c r="C688" s="20"/>
      <c r="D688" s="20"/>
      <c r="E688" s="20"/>
      <c r="F688" s="20"/>
      <c r="G688" s="20"/>
      <c r="H688" s="20"/>
      <c r="I688" s="20"/>
    </row>
    <row r="689" spans="1:9" ht="14.25" customHeight="1" x14ac:dyDescent="0.35">
      <c r="A689" s="20"/>
      <c r="B689" s="20"/>
      <c r="C689" s="20"/>
      <c r="D689" s="20"/>
      <c r="E689" s="20"/>
      <c r="F689" s="20"/>
      <c r="G689" s="20"/>
      <c r="H689" s="20"/>
      <c r="I689" s="20"/>
    </row>
    <row r="690" spans="1:9" ht="14.25" customHeight="1" x14ac:dyDescent="0.35">
      <c r="A690" s="20"/>
      <c r="B690" s="20"/>
      <c r="C690" s="20"/>
      <c r="D690" s="20"/>
      <c r="E690" s="20"/>
      <c r="F690" s="20"/>
      <c r="G690" s="20"/>
      <c r="H690" s="20"/>
      <c r="I690" s="20"/>
    </row>
    <row r="691" spans="1:9" ht="14.25" customHeight="1" x14ac:dyDescent="0.35">
      <c r="A691" s="20"/>
      <c r="B691" s="20"/>
      <c r="C691" s="20"/>
      <c r="D691" s="20"/>
      <c r="E691" s="20"/>
      <c r="F691" s="20"/>
      <c r="G691" s="20"/>
      <c r="H691" s="20"/>
      <c r="I691" s="20"/>
    </row>
    <row r="692" spans="1:9" ht="14.25" customHeight="1" x14ac:dyDescent="0.35">
      <c r="A692" s="20"/>
      <c r="B692" s="20"/>
      <c r="C692" s="20"/>
      <c r="D692" s="20"/>
      <c r="E692" s="20"/>
      <c r="F692" s="20"/>
      <c r="G692" s="20"/>
      <c r="H692" s="20"/>
      <c r="I692" s="20"/>
    </row>
    <row r="693" spans="1:9" ht="14.25" customHeight="1" x14ac:dyDescent="0.35">
      <c r="A693" s="20"/>
      <c r="B693" s="20"/>
      <c r="C693" s="20"/>
      <c r="D693" s="20"/>
      <c r="E693" s="20"/>
      <c r="F693" s="20"/>
      <c r="G693" s="20"/>
      <c r="H693" s="20"/>
      <c r="I693" s="20"/>
    </row>
    <row r="694" spans="1:9" ht="14.25" customHeight="1" x14ac:dyDescent="0.35">
      <c r="A694" s="20"/>
      <c r="B694" s="20"/>
      <c r="C694" s="20"/>
      <c r="D694" s="20"/>
      <c r="E694" s="20"/>
      <c r="F694" s="20"/>
      <c r="G694" s="20"/>
      <c r="H694" s="20"/>
      <c r="I694" s="20"/>
    </row>
    <row r="695" spans="1:9" ht="14.25" customHeight="1" x14ac:dyDescent="0.35">
      <c r="A695" s="20"/>
      <c r="B695" s="20"/>
      <c r="C695" s="20"/>
      <c r="D695" s="20"/>
      <c r="E695" s="20"/>
      <c r="F695" s="20"/>
      <c r="G695" s="20"/>
      <c r="H695" s="20"/>
      <c r="I695" s="20"/>
    </row>
    <row r="696" spans="1:9" ht="14.25" customHeight="1" x14ac:dyDescent="0.35">
      <c r="A696" s="20"/>
      <c r="B696" s="20"/>
      <c r="C696" s="20"/>
      <c r="D696" s="20"/>
      <c r="E696" s="20"/>
      <c r="F696" s="20"/>
      <c r="G696" s="20"/>
      <c r="H696" s="20"/>
      <c r="I696" s="20"/>
    </row>
    <row r="697" spans="1:9" ht="14.25" customHeight="1" x14ac:dyDescent="0.35">
      <c r="A697" s="20"/>
      <c r="B697" s="20"/>
      <c r="C697" s="20"/>
      <c r="D697" s="20"/>
      <c r="E697" s="20"/>
      <c r="F697" s="20"/>
      <c r="G697" s="20"/>
      <c r="H697" s="20"/>
      <c r="I697" s="20"/>
    </row>
    <row r="698" spans="1:9" ht="14.25" customHeight="1" x14ac:dyDescent="0.35">
      <c r="A698" s="20"/>
      <c r="B698" s="20"/>
      <c r="C698" s="20"/>
      <c r="D698" s="20"/>
      <c r="E698" s="20"/>
      <c r="F698" s="20"/>
      <c r="G698" s="20"/>
      <c r="H698" s="20"/>
      <c r="I698" s="20"/>
    </row>
    <row r="699" spans="1:9" ht="14.25" customHeight="1" x14ac:dyDescent="0.35">
      <c r="A699" s="20"/>
      <c r="B699" s="20"/>
      <c r="C699" s="20"/>
      <c r="D699" s="20"/>
      <c r="E699" s="20"/>
      <c r="F699" s="20"/>
      <c r="G699" s="20"/>
      <c r="H699" s="20"/>
      <c r="I699" s="20"/>
    </row>
    <row r="700" spans="1:9" ht="14.25" customHeight="1" x14ac:dyDescent="0.35">
      <c r="A700" s="20"/>
      <c r="B700" s="20"/>
      <c r="C700" s="20"/>
      <c r="D700" s="20"/>
      <c r="E700" s="20"/>
      <c r="F700" s="20"/>
      <c r="G700" s="20"/>
      <c r="H700" s="20"/>
      <c r="I700" s="20"/>
    </row>
    <row r="701" spans="1:9" ht="14.25" customHeight="1" x14ac:dyDescent="0.35">
      <c r="A701" s="20"/>
      <c r="B701" s="20"/>
      <c r="C701" s="20"/>
      <c r="D701" s="20"/>
      <c r="E701" s="20"/>
      <c r="F701" s="20"/>
      <c r="G701" s="20"/>
      <c r="H701" s="20"/>
      <c r="I701" s="20"/>
    </row>
    <row r="702" spans="1:9" ht="14.25" customHeight="1" x14ac:dyDescent="0.35">
      <c r="A702" s="20"/>
      <c r="B702" s="20"/>
      <c r="C702" s="20"/>
      <c r="D702" s="20"/>
      <c r="E702" s="20"/>
      <c r="F702" s="20"/>
      <c r="G702" s="20"/>
      <c r="H702" s="20"/>
      <c r="I702" s="20"/>
    </row>
    <row r="703" spans="1:9" ht="14.25" customHeight="1" x14ac:dyDescent="0.35">
      <c r="A703" s="20"/>
      <c r="B703" s="20"/>
      <c r="C703" s="20"/>
      <c r="D703" s="20"/>
      <c r="E703" s="20"/>
      <c r="F703" s="20"/>
      <c r="G703" s="20"/>
      <c r="H703" s="20"/>
      <c r="I703" s="20"/>
    </row>
    <row r="704" spans="1:9" ht="14.25" customHeight="1" x14ac:dyDescent="0.35">
      <c r="A704" s="20"/>
      <c r="B704" s="20"/>
      <c r="C704" s="20"/>
      <c r="D704" s="20"/>
      <c r="E704" s="20"/>
      <c r="F704" s="20"/>
      <c r="G704" s="20"/>
      <c r="H704" s="20"/>
      <c r="I704" s="20"/>
    </row>
    <row r="705" spans="1:9" ht="14.25" customHeight="1" x14ac:dyDescent="0.35">
      <c r="A705" s="20"/>
      <c r="B705" s="20"/>
      <c r="C705" s="20"/>
      <c r="D705" s="20"/>
      <c r="E705" s="20"/>
      <c r="F705" s="20"/>
      <c r="G705" s="20"/>
      <c r="H705" s="20"/>
      <c r="I705" s="20"/>
    </row>
    <row r="706" spans="1:9" ht="14.25" customHeight="1" x14ac:dyDescent="0.35">
      <c r="A706" s="20"/>
      <c r="B706" s="20"/>
      <c r="C706" s="20"/>
      <c r="D706" s="20"/>
      <c r="E706" s="20"/>
      <c r="F706" s="20"/>
      <c r="G706" s="20"/>
      <c r="H706" s="20"/>
      <c r="I706" s="20"/>
    </row>
    <row r="707" spans="1:9" ht="14.25" customHeight="1" x14ac:dyDescent="0.35">
      <c r="A707" s="20"/>
      <c r="B707" s="20"/>
      <c r="C707" s="20"/>
      <c r="D707" s="20"/>
      <c r="E707" s="20"/>
      <c r="F707" s="20"/>
      <c r="G707" s="20"/>
      <c r="H707" s="20"/>
      <c r="I707" s="20"/>
    </row>
    <row r="708" spans="1:9" ht="14.25" customHeight="1" x14ac:dyDescent="0.35">
      <c r="A708" s="20"/>
      <c r="B708" s="20"/>
      <c r="C708" s="20"/>
      <c r="D708" s="20"/>
      <c r="E708" s="20"/>
      <c r="F708" s="20"/>
      <c r="G708" s="20"/>
      <c r="H708" s="20"/>
      <c r="I708" s="20"/>
    </row>
    <row r="709" spans="1:9" ht="14.25" customHeight="1" x14ac:dyDescent="0.35">
      <c r="A709" s="20"/>
      <c r="B709" s="20"/>
      <c r="C709" s="20"/>
      <c r="D709" s="20"/>
      <c r="E709" s="20"/>
      <c r="F709" s="20"/>
      <c r="G709" s="20"/>
      <c r="H709" s="20"/>
      <c r="I709" s="20"/>
    </row>
    <row r="710" spans="1:9" ht="14.25" customHeight="1" x14ac:dyDescent="0.35">
      <c r="A710" s="20"/>
      <c r="B710" s="20"/>
      <c r="C710" s="20"/>
      <c r="D710" s="20"/>
      <c r="E710" s="20"/>
      <c r="F710" s="20"/>
      <c r="G710" s="20"/>
      <c r="H710" s="20"/>
      <c r="I710" s="20"/>
    </row>
    <row r="711" spans="1:9" ht="14.25" customHeight="1" x14ac:dyDescent="0.35">
      <c r="A711" s="20"/>
      <c r="B711" s="20"/>
      <c r="C711" s="20"/>
      <c r="D711" s="20"/>
      <c r="E711" s="20"/>
      <c r="F711" s="20"/>
      <c r="G711" s="20"/>
      <c r="H711" s="20"/>
      <c r="I711" s="20"/>
    </row>
    <row r="712" spans="1:9" ht="14.25" customHeight="1" x14ac:dyDescent="0.35">
      <c r="A712" s="20"/>
      <c r="B712" s="20"/>
      <c r="C712" s="20"/>
      <c r="D712" s="20"/>
      <c r="E712" s="20"/>
      <c r="F712" s="20"/>
      <c r="G712" s="20"/>
      <c r="H712" s="20"/>
      <c r="I712" s="20"/>
    </row>
    <row r="713" spans="1:9" ht="14.25" customHeight="1" x14ac:dyDescent="0.35">
      <c r="A713" s="20"/>
      <c r="B713" s="20"/>
      <c r="C713" s="20"/>
      <c r="D713" s="20"/>
      <c r="E713" s="20"/>
      <c r="F713" s="20"/>
      <c r="G713" s="20"/>
      <c r="H713" s="20"/>
      <c r="I713" s="20"/>
    </row>
    <row r="714" spans="1:9" ht="14.25" customHeight="1" x14ac:dyDescent="0.35">
      <c r="A714" s="20"/>
      <c r="B714" s="20"/>
      <c r="C714" s="20"/>
      <c r="D714" s="20"/>
      <c r="E714" s="20"/>
      <c r="F714" s="20"/>
      <c r="G714" s="20"/>
      <c r="H714" s="20"/>
      <c r="I714" s="20"/>
    </row>
    <row r="715" spans="1:9" ht="14.25" customHeight="1" x14ac:dyDescent="0.35">
      <c r="A715" s="20"/>
      <c r="B715" s="20"/>
      <c r="C715" s="20"/>
      <c r="D715" s="20"/>
      <c r="E715" s="20"/>
      <c r="F715" s="20"/>
      <c r="G715" s="20"/>
      <c r="H715" s="20"/>
      <c r="I715" s="20"/>
    </row>
    <row r="716" spans="1:9" ht="14.25" customHeight="1" x14ac:dyDescent="0.35">
      <c r="A716" s="20"/>
      <c r="B716" s="20"/>
      <c r="C716" s="20"/>
      <c r="D716" s="20"/>
      <c r="E716" s="20"/>
      <c r="F716" s="20"/>
      <c r="G716" s="20"/>
      <c r="H716" s="20"/>
      <c r="I716" s="20"/>
    </row>
    <row r="717" spans="1:9" ht="14.25" customHeight="1" x14ac:dyDescent="0.35">
      <c r="A717" s="20"/>
      <c r="B717" s="20"/>
      <c r="C717" s="20"/>
      <c r="D717" s="20"/>
      <c r="E717" s="20"/>
      <c r="F717" s="20"/>
      <c r="G717" s="20"/>
      <c r="H717" s="20"/>
      <c r="I717" s="20"/>
    </row>
    <row r="718" spans="1:9" ht="14.25" customHeight="1" x14ac:dyDescent="0.35">
      <c r="A718" s="20"/>
      <c r="B718" s="20"/>
      <c r="C718" s="20"/>
      <c r="D718" s="20"/>
      <c r="E718" s="20"/>
      <c r="F718" s="20"/>
      <c r="G718" s="20"/>
      <c r="H718" s="20"/>
      <c r="I718" s="20"/>
    </row>
    <row r="719" spans="1:9" ht="14.25" customHeight="1" x14ac:dyDescent="0.35">
      <c r="A719" s="20"/>
      <c r="B719" s="20"/>
      <c r="C719" s="20"/>
      <c r="D719" s="20"/>
      <c r="E719" s="20"/>
      <c r="F719" s="20"/>
      <c r="G719" s="20"/>
      <c r="H719" s="20"/>
      <c r="I719" s="20"/>
    </row>
    <row r="720" spans="1:9" ht="14.25" customHeight="1" x14ac:dyDescent="0.35">
      <c r="A720" s="20"/>
      <c r="B720" s="20"/>
      <c r="C720" s="20"/>
      <c r="D720" s="20"/>
      <c r="E720" s="20"/>
      <c r="F720" s="20"/>
      <c r="G720" s="20"/>
      <c r="H720" s="20"/>
      <c r="I720" s="20"/>
    </row>
    <row r="721" spans="1:9" ht="14.25" customHeight="1" x14ac:dyDescent="0.35">
      <c r="A721" s="20"/>
      <c r="B721" s="20"/>
      <c r="C721" s="20"/>
      <c r="D721" s="20"/>
      <c r="E721" s="20"/>
      <c r="F721" s="20"/>
      <c r="G721" s="20"/>
      <c r="H721" s="20"/>
      <c r="I721" s="20"/>
    </row>
    <row r="722" spans="1:9" ht="14.25" customHeight="1" x14ac:dyDescent="0.35">
      <c r="A722" s="20"/>
      <c r="B722" s="20"/>
      <c r="C722" s="20"/>
      <c r="D722" s="20"/>
      <c r="E722" s="20"/>
      <c r="F722" s="20"/>
      <c r="G722" s="20"/>
      <c r="H722" s="20"/>
      <c r="I722" s="20"/>
    </row>
    <row r="723" spans="1:9" ht="14.25" customHeight="1" x14ac:dyDescent="0.35">
      <c r="A723" s="20"/>
      <c r="B723" s="20"/>
      <c r="C723" s="20"/>
      <c r="D723" s="20"/>
      <c r="E723" s="20"/>
      <c r="F723" s="20"/>
      <c r="G723" s="20"/>
      <c r="H723" s="20"/>
      <c r="I723" s="20"/>
    </row>
    <row r="724" spans="1:9" ht="14.25" customHeight="1" x14ac:dyDescent="0.35">
      <c r="A724" s="20"/>
      <c r="B724" s="20"/>
      <c r="C724" s="20"/>
      <c r="D724" s="20"/>
      <c r="E724" s="20"/>
      <c r="F724" s="20"/>
      <c r="G724" s="20"/>
      <c r="H724" s="20"/>
      <c r="I724" s="20"/>
    </row>
    <row r="725" spans="1:9" ht="14.25" customHeight="1" x14ac:dyDescent="0.35">
      <c r="A725" s="20"/>
      <c r="B725" s="20"/>
      <c r="C725" s="20"/>
      <c r="D725" s="20"/>
      <c r="E725" s="20"/>
      <c r="F725" s="20"/>
      <c r="G725" s="20"/>
      <c r="H725" s="20"/>
      <c r="I725" s="20"/>
    </row>
    <row r="726" spans="1:9" ht="14.25" customHeight="1" x14ac:dyDescent="0.35">
      <c r="A726" s="20"/>
      <c r="B726" s="20"/>
      <c r="C726" s="20"/>
      <c r="D726" s="20"/>
      <c r="E726" s="20"/>
      <c r="F726" s="20"/>
      <c r="G726" s="20"/>
      <c r="H726" s="20"/>
      <c r="I726" s="20"/>
    </row>
    <row r="727" spans="1:9" ht="14.25" customHeight="1" x14ac:dyDescent="0.35">
      <c r="A727" s="20"/>
      <c r="B727" s="20"/>
      <c r="C727" s="20"/>
      <c r="D727" s="20"/>
      <c r="E727" s="20"/>
      <c r="F727" s="20"/>
      <c r="G727" s="20"/>
      <c r="H727" s="20"/>
      <c r="I727" s="20"/>
    </row>
    <row r="728" spans="1:9" ht="14.25" customHeight="1" x14ac:dyDescent="0.35">
      <c r="A728" s="20"/>
      <c r="B728" s="20"/>
      <c r="C728" s="20"/>
      <c r="D728" s="20"/>
      <c r="E728" s="20"/>
      <c r="F728" s="20"/>
      <c r="G728" s="20"/>
      <c r="H728" s="20"/>
      <c r="I728" s="20"/>
    </row>
    <row r="729" spans="1:9" ht="14.25" customHeight="1" x14ac:dyDescent="0.35">
      <c r="A729" s="20"/>
      <c r="B729" s="20"/>
      <c r="C729" s="20"/>
      <c r="D729" s="20"/>
      <c r="E729" s="20"/>
      <c r="F729" s="20"/>
      <c r="G729" s="20"/>
      <c r="H729" s="20"/>
      <c r="I729" s="20"/>
    </row>
    <row r="730" spans="1:9" ht="14.25" customHeight="1" x14ac:dyDescent="0.35">
      <c r="A730" s="20"/>
      <c r="B730" s="20"/>
      <c r="C730" s="20"/>
      <c r="D730" s="20"/>
      <c r="E730" s="20"/>
      <c r="F730" s="20"/>
      <c r="G730" s="20"/>
      <c r="H730" s="20"/>
      <c r="I730" s="20"/>
    </row>
    <row r="731" spans="1:9" ht="14.25" customHeight="1" x14ac:dyDescent="0.35">
      <c r="A731" s="20"/>
      <c r="B731" s="20"/>
      <c r="C731" s="20"/>
      <c r="D731" s="20"/>
      <c r="E731" s="20"/>
      <c r="F731" s="20"/>
      <c r="G731" s="20"/>
      <c r="H731" s="20"/>
      <c r="I731" s="20"/>
    </row>
    <row r="732" spans="1:9" ht="14.25" customHeight="1" x14ac:dyDescent="0.35">
      <c r="A732" s="20"/>
      <c r="B732" s="20"/>
      <c r="C732" s="20"/>
      <c r="D732" s="20"/>
      <c r="E732" s="20"/>
      <c r="F732" s="20"/>
      <c r="G732" s="20"/>
      <c r="H732" s="20"/>
      <c r="I732" s="20"/>
    </row>
    <row r="733" spans="1:9" ht="14.25" customHeight="1" x14ac:dyDescent="0.35">
      <c r="A733" s="20"/>
      <c r="B733" s="20"/>
      <c r="C733" s="20"/>
      <c r="D733" s="20"/>
      <c r="E733" s="20"/>
      <c r="F733" s="20"/>
      <c r="G733" s="20"/>
      <c r="H733" s="20"/>
      <c r="I733" s="20"/>
    </row>
    <row r="734" spans="1:9" ht="14.25" customHeight="1" x14ac:dyDescent="0.35">
      <c r="A734" s="20"/>
      <c r="B734" s="20"/>
      <c r="C734" s="20"/>
      <c r="D734" s="20"/>
      <c r="E734" s="20"/>
      <c r="F734" s="20"/>
      <c r="G734" s="20"/>
      <c r="H734" s="20"/>
      <c r="I734" s="20"/>
    </row>
    <row r="735" spans="1:9" ht="14.25" customHeight="1" x14ac:dyDescent="0.35">
      <c r="A735" s="20"/>
      <c r="B735" s="20"/>
      <c r="C735" s="20"/>
      <c r="D735" s="20"/>
      <c r="E735" s="20"/>
      <c r="F735" s="20"/>
      <c r="G735" s="20"/>
      <c r="H735" s="20"/>
      <c r="I735" s="20"/>
    </row>
    <row r="736" spans="1:9" ht="14.25" customHeight="1" x14ac:dyDescent="0.35">
      <c r="A736" s="20"/>
      <c r="B736" s="20"/>
      <c r="C736" s="20"/>
      <c r="D736" s="20"/>
      <c r="E736" s="20"/>
      <c r="F736" s="20"/>
      <c r="G736" s="20"/>
      <c r="H736" s="20"/>
      <c r="I736" s="20"/>
    </row>
    <row r="737" spans="1:9" ht="14.25" customHeight="1" x14ac:dyDescent="0.35">
      <c r="A737" s="20"/>
      <c r="B737" s="20"/>
      <c r="C737" s="20"/>
      <c r="D737" s="20"/>
      <c r="E737" s="20"/>
      <c r="F737" s="20"/>
      <c r="G737" s="20"/>
      <c r="H737" s="20"/>
      <c r="I737" s="20"/>
    </row>
    <row r="738" spans="1:9" ht="14.25" customHeight="1" x14ac:dyDescent="0.35">
      <c r="A738" s="20"/>
      <c r="B738" s="20"/>
      <c r="C738" s="20"/>
      <c r="D738" s="20"/>
      <c r="E738" s="20"/>
      <c r="F738" s="20"/>
      <c r="G738" s="20"/>
      <c r="H738" s="20"/>
      <c r="I738" s="20"/>
    </row>
    <row r="739" spans="1:9" ht="14.25" customHeight="1" x14ac:dyDescent="0.35">
      <c r="A739" s="20"/>
      <c r="B739" s="20"/>
      <c r="C739" s="20"/>
      <c r="D739" s="20"/>
      <c r="E739" s="20"/>
      <c r="F739" s="20"/>
      <c r="G739" s="20"/>
      <c r="H739" s="20"/>
      <c r="I739" s="20"/>
    </row>
    <row r="740" spans="1:9" ht="14.25" customHeight="1" x14ac:dyDescent="0.35">
      <c r="A740" s="20"/>
      <c r="B740" s="20"/>
      <c r="C740" s="20"/>
      <c r="D740" s="20"/>
      <c r="E740" s="20"/>
      <c r="F740" s="20"/>
      <c r="G740" s="20"/>
      <c r="H740" s="20"/>
      <c r="I740" s="20"/>
    </row>
    <row r="741" spans="1:9" ht="14.25" customHeight="1" x14ac:dyDescent="0.35">
      <c r="A741" s="20"/>
      <c r="B741" s="20"/>
      <c r="C741" s="20"/>
      <c r="D741" s="20"/>
      <c r="E741" s="20"/>
      <c r="F741" s="20"/>
      <c r="G741" s="20"/>
      <c r="H741" s="20"/>
      <c r="I741" s="20"/>
    </row>
    <row r="742" spans="1:9" ht="14.25" customHeight="1" x14ac:dyDescent="0.35">
      <c r="A742" s="20"/>
      <c r="B742" s="20"/>
      <c r="C742" s="20"/>
      <c r="D742" s="20"/>
      <c r="E742" s="20"/>
      <c r="F742" s="20"/>
      <c r="G742" s="20"/>
      <c r="H742" s="20"/>
      <c r="I742" s="20"/>
    </row>
    <row r="743" spans="1:9" ht="14.25" customHeight="1" x14ac:dyDescent="0.35">
      <c r="A743" s="20"/>
      <c r="B743" s="20"/>
      <c r="C743" s="20"/>
      <c r="D743" s="20"/>
      <c r="E743" s="20"/>
      <c r="F743" s="20"/>
      <c r="G743" s="20"/>
      <c r="H743" s="20"/>
      <c r="I743" s="20"/>
    </row>
    <row r="744" spans="1:9" ht="14.25" customHeight="1" x14ac:dyDescent="0.35">
      <c r="A744" s="20"/>
      <c r="B744" s="20"/>
      <c r="C744" s="20"/>
      <c r="D744" s="20"/>
      <c r="E744" s="20"/>
      <c r="F744" s="20"/>
      <c r="G744" s="20"/>
      <c r="H744" s="20"/>
      <c r="I744" s="20"/>
    </row>
    <row r="745" spans="1:9" ht="14.25" customHeight="1" x14ac:dyDescent="0.35">
      <c r="A745" s="20"/>
      <c r="B745" s="20"/>
      <c r="C745" s="20"/>
      <c r="D745" s="20"/>
      <c r="E745" s="20"/>
      <c r="F745" s="20"/>
      <c r="G745" s="20"/>
      <c r="H745" s="20"/>
      <c r="I745" s="20"/>
    </row>
    <row r="746" spans="1:9" ht="14.25" customHeight="1" x14ac:dyDescent="0.35">
      <c r="A746" s="20"/>
      <c r="B746" s="20"/>
      <c r="C746" s="20"/>
      <c r="D746" s="20"/>
      <c r="E746" s="20"/>
      <c r="F746" s="20"/>
      <c r="G746" s="20"/>
      <c r="H746" s="20"/>
      <c r="I746" s="20"/>
    </row>
    <row r="747" spans="1:9" ht="14.25" customHeight="1" x14ac:dyDescent="0.35">
      <c r="A747" s="20"/>
      <c r="B747" s="20"/>
      <c r="C747" s="20"/>
      <c r="D747" s="20"/>
      <c r="E747" s="20"/>
      <c r="F747" s="20"/>
      <c r="G747" s="20"/>
      <c r="H747" s="20"/>
      <c r="I747" s="20"/>
    </row>
    <row r="748" spans="1:9" ht="14.25" customHeight="1" x14ac:dyDescent="0.35">
      <c r="A748" s="20"/>
      <c r="B748" s="20"/>
      <c r="C748" s="20"/>
      <c r="D748" s="20"/>
      <c r="E748" s="20"/>
      <c r="F748" s="20"/>
      <c r="G748" s="20"/>
      <c r="H748" s="20"/>
      <c r="I748" s="20"/>
    </row>
    <row r="749" spans="1:9" ht="14.25" customHeight="1" x14ac:dyDescent="0.35">
      <c r="A749" s="20"/>
      <c r="B749" s="20"/>
      <c r="C749" s="20"/>
      <c r="D749" s="20"/>
      <c r="E749" s="20"/>
      <c r="F749" s="20"/>
      <c r="G749" s="20"/>
      <c r="H749" s="20"/>
      <c r="I749" s="20"/>
    </row>
    <row r="750" spans="1:9" ht="14.25" customHeight="1" x14ac:dyDescent="0.35">
      <c r="A750" s="20"/>
      <c r="B750" s="20"/>
      <c r="C750" s="20"/>
      <c r="D750" s="20"/>
      <c r="E750" s="20"/>
      <c r="F750" s="20"/>
      <c r="G750" s="20"/>
      <c r="H750" s="20"/>
      <c r="I750" s="20"/>
    </row>
    <row r="751" spans="1:9" ht="14.25" customHeight="1" x14ac:dyDescent="0.35">
      <c r="A751" s="20"/>
      <c r="B751" s="20"/>
      <c r="C751" s="20"/>
      <c r="D751" s="20"/>
      <c r="E751" s="20"/>
      <c r="F751" s="20"/>
      <c r="G751" s="20"/>
      <c r="H751" s="20"/>
      <c r="I751" s="20"/>
    </row>
    <row r="752" spans="1:9" ht="14.25" customHeight="1" x14ac:dyDescent="0.35">
      <c r="A752" s="20"/>
      <c r="B752" s="20"/>
      <c r="C752" s="20"/>
      <c r="D752" s="20"/>
      <c r="E752" s="20"/>
      <c r="F752" s="20"/>
      <c r="G752" s="20"/>
      <c r="H752" s="20"/>
      <c r="I752" s="20"/>
    </row>
    <row r="753" spans="1:9" ht="14.25" customHeight="1" x14ac:dyDescent="0.35">
      <c r="A753" s="20"/>
      <c r="B753" s="20"/>
      <c r="C753" s="20"/>
      <c r="D753" s="20"/>
      <c r="E753" s="20"/>
      <c r="F753" s="20"/>
      <c r="G753" s="20"/>
      <c r="H753" s="20"/>
      <c r="I753" s="20"/>
    </row>
    <row r="754" spans="1:9" ht="14.25" customHeight="1" x14ac:dyDescent="0.35">
      <c r="A754" s="20"/>
      <c r="B754" s="20"/>
      <c r="C754" s="20"/>
      <c r="D754" s="20"/>
      <c r="E754" s="20"/>
      <c r="F754" s="20"/>
      <c r="G754" s="20"/>
      <c r="H754" s="20"/>
      <c r="I754" s="20"/>
    </row>
    <row r="755" spans="1:9" ht="14.25" customHeight="1" x14ac:dyDescent="0.35">
      <c r="A755" s="20"/>
      <c r="B755" s="20"/>
      <c r="C755" s="20"/>
      <c r="D755" s="20"/>
      <c r="E755" s="20"/>
      <c r="F755" s="20"/>
      <c r="G755" s="20"/>
      <c r="H755" s="20"/>
      <c r="I755" s="20"/>
    </row>
    <row r="756" spans="1:9" ht="14.25" customHeight="1" x14ac:dyDescent="0.35">
      <c r="A756" s="20"/>
      <c r="B756" s="20"/>
      <c r="C756" s="20"/>
      <c r="D756" s="20"/>
      <c r="E756" s="20"/>
      <c r="F756" s="20"/>
      <c r="G756" s="20"/>
      <c r="H756" s="20"/>
      <c r="I756" s="20"/>
    </row>
    <row r="757" spans="1:9" ht="14.25" customHeight="1" x14ac:dyDescent="0.35">
      <c r="A757" s="20"/>
      <c r="B757" s="20"/>
      <c r="C757" s="20"/>
      <c r="D757" s="20"/>
      <c r="E757" s="20"/>
      <c r="F757" s="20"/>
      <c r="G757" s="20"/>
      <c r="H757" s="20"/>
      <c r="I757" s="20"/>
    </row>
    <row r="758" spans="1:9" ht="14.25" customHeight="1" x14ac:dyDescent="0.35">
      <c r="A758" s="20"/>
      <c r="B758" s="20"/>
      <c r="C758" s="20"/>
      <c r="D758" s="20"/>
      <c r="E758" s="20"/>
      <c r="F758" s="20"/>
      <c r="G758" s="20"/>
      <c r="H758" s="20"/>
      <c r="I758" s="20"/>
    </row>
    <row r="759" spans="1:9" ht="14.25" customHeight="1" x14ac:dyDescent="0.35">
      <c r="A759" s="20"/>
      <c r="B759" s="20"/>
      <c r="C759" s="20"/>
      <c r="D759" s="20"/>
      <c r="E759" s="20"/>
      <c r="F759" s="20"/>
      <c r="G759" s="20"/>
      <c r="H759" s="20"/>
      <c r="I759" s="20"/>
    </row>
    <row r="760" spans="1:9" ht="14.25" customHeight="1" x14ac:dyDescent="0.35">
      <c r="A760" s="20"/>
      <c r="B760" s="20"/>
      <c r="C760" s="20"/>
      <c r="D760" s="20"/>
      <c r="E760" s="20"/>
      <c r="F760" s="20"/>
      <c r="G760" s="20"/>
      <c r="H760" s="20"/>
      <c r="I760" s="20"/>
    </row>
    <row r="761" spans="1:9" ht="14.25" customHeight="1" x14ac:dyDescent="0.35">
      <c r="A761" s="20"/>
      <c r="B761" s="20"/>
      <c r="C761" s="20"/>
      <c r="D761" s="20"/>
      <c r="E761" s="20"/>
      <c r="F761" s="20"/>
      <c r="G761" s="20"/>
      <c r="H761" s="20"/>
      <c r="I761" s="20"/>
    </row>
    <row r="762" spans="1:9" ht="14.25" customHeight="1" x14ac:dyDescent="0.35">
      <c r="A762" s="20"/>
      <c r="B762" s="20"/>
      <c r="C762" s="20"/>
      <c r="D762" s="20"/>
      <c r="E762" s="20"/>
      <c r="F762" s="20"/>
      <c r="G762" s="20"/>
      <c r="H762" s="20"/>
      <c r="I762" s="20"/>
    </row>
    <row r="763" spans="1:9" ht="14.25" customHeight="1" x14ac:dyDescent="0.35">
      <c r="A763" s="20"/>
      <c r="B763" s="20"/>
      <c r="C763" s="20"/>
      <c r="D763" s="20"/>
      <c r="E763" s="20"/>
      <c r="F763" s="20"/>
      <c r="G763" s="20"/>
      <c r="H763" s="20"/>
      <c r="I763" s="20"/>
    </row>
    <row r="764" spans="1:9" ht="14.25" customHeight="1" x14ac:dyDescent="0.35">
      <c r="A764" s="20"/>
      <c r="B764" s="20"/>
      <c r="C764" s="20"/>
      <c r="D764" s="20"/>
      <c r="E764" s="20"/>
      <c r="F764" s="20"/>
      <c r="G764" s="20"/>
      <c r="H764" s="20"/>
      <c r="I764" s="20"/>
    </row>
    <row r="765" spans="1:9" ht="14.25" customHeight="1" x14ac:dyDescent="0.35">
      <c r="A765" s="20"/>
      <c r="B765" s="20"/>
      <c r="C765" s="20"/>
      <c r="D765" s="20"/>
      <c r="E765" s="20"/>
      <c r="F765" s="20"/>
      <c r="G765" s="20"/>
      <c r="H765" s="20"/>
      <c r="I765" s="20"/>
    </row>
    <row r="766" spans="1:9" ht="14.25" customHeight="1" x14ac:dyDescent="0.35">
      <c r="A766" s="20"/>
      <c r="B766" s="20"/>
      <c r="C766" s="20"/>
      <c r="D766" s="20"/>
      <c r="E766" s="20"/>
      <c r="F766" s="20"/>
      <c r="G766" s="20"/>
      <c r="H766" s="20"/>
      <c r="I766" s="20"/>
    </row>
    <row r="767" spans="1:9" ht="14.25" customHeight="1" x14ac:dyDescent="0.35">
      <c r="A767" s="20"/>
      <c r="B767" s="20"/>
      <c r="C767" s="20"/>
      <c r="D767" s="20"/>
      <c r="E767" s="20"/>
      <c r="F767" s="20"/>
      <c r="G767" s="20"/>
      <c r="H767" s="20"/>
      <c r="I767" s="20"/>
    </row>
    <row r="768" spans="1:9" ht="14.25" customHeight="1" x14ac:dyDescent="0.35">
      <c r="A768" s="20"/>
      <c r="B768" s="20"/>
      <c r="C768" s="20"/>
      <c r="D768" s="20"/>
      <c r="E768" s="20"/>
      <c r="F768" s="20"/>
      <c r="G768" s="20"/>
      <c r="H768" s="20"/>
      <c r="I768" s="20"/>
    </row>
    <row r="769" spans="1:9" ht="14.25" customHeight="1" x14ac:dyDescent="0.35">
      <c r="A769" s="20"/>
      <c r="B769" s="20"/>
      <c r="C769" s="20"/>
      <c r="D769" s="20"/>
      <c r="E769" s="20"/>
      <c r="F769" s="20"/>
      <c r="G769" s="20"/>
      <c r="H769" s="20"/>
      <c r="I769" s="20"/>
    </row>
    <row r="770" spans="1:9" ht="14.25" customHeight="1" x14ac:dyDescent="0.35">
      <c r="A770" s="20"/>
      <c r="B770" s="20"/>
      <c r="C770" s="20"/>
      <c r="D770" s="20"/>
      <c r="E770" s="20"/>
      <c r="F770" s="20"/>
      <c r="G770" s="20"/>
      <c r="H770" s="20"/>
      <c r="I770" s="20"/>
    </row>
    <row r="771" spans="1:9" ht="14.25" customHeight="1" x14ac:dyDescent="0.35">
      <c r="A771" s="20"/>
      <c r="B771" s="20"/>
      <c r="C771" s="20"/>
      <c r="D771" s="20"/>
      <c r="E771" s="20"/>
      <c r="F771" s="20"/>
      <c r="G771" s="20"/>
      <c r="H771" s="20"/>
      <c r="I771" s="20"/>
    </row>
    <row r="772" spans="1:9" ht="14.25" customHeight="1" x14ac:dyDescent="0.35">
      <c r="A772" s="20"/>
      <c r="B772" s="20"/>
      <c r="C772" s="20"/>
      <c r="D772" s="20"/>
      <c r="E772" s="20"/>
      <c r="F772" s="20"/>
      <c r="G772" s="20"/>
      <c r="H772" s="20"/>
      <c r="I772" s="20"/>
    </row>
    <row r="773" spans="1:9" ht="14.25" customHeight="1" x14ac:dyDescent="0.35">
      <c r="A773" s="20"/>
      <c r="B773" s="20"/>
      <c r="C773" s="20"/>
      <c r="D773" s="20"/>
      <c r="E773" s="20"/>
      <c r="F773" s="20"/>
      <c r="G773" s="20"/>
      <c r="H773" s="20"/>
      <c r="I773" s="20"/>
    </row>
    <row r="774" spans="1:9" ht="14.25" customHeight="1" x14ac:dyDescent="0.35">
      <c r="A774" s="20"/>
      <c r="B774" s="20"/>
      <c r="C774" s="20"/>
      <c r="D774" s="20"/>
      <c r="E774" s="20"/>
      <c r="F774" s="20"/>
      <c r="G774" s="20"/>
      <c r="H774" s="20"/>
      <c r="I774" s="20"/>
    </row>
    <row r="775" spans="1:9" ht="14.25" customHeight="1" x14ac:dyDescent="0.35">
      <c r="A775" s="20"/>
      <c r="B775" s="20"/>
      <c r="C775" s="20"/>
      <c r="D775" s="20"/>
      <c r="E775" s="20"/>
      <c r="F775" s="20"/>
      <c r="G775" s="20"/>
      <c r="H775" s="20"/>
      <c r="I775" s="20"/>
    </row>
    <row r="776" spans="1:9" ht="14.25" customHeight="1" x14ac:dyDescent="0.35">
      <c r="A776" s="20"/>
      <c r="B776" s="20"/>
      <c r="C776" s="20"/>
      <c r="D776" s="20"/>
      <c r="E776" s="20"/>
      <c r="F776" s="20"/>
      <c r="G776" s="20"/>
      <c r="H776" s="20"/>
      <c r="I776" s="20"/>
    </row>
    <row r="777" spans="1:9" ht="14.25" customHeight="1" x14ac:dyDescent="0.35">
      <c r="A777" s="20"/>
      <c r="B777" s="20"/>
      <c r="C777" s="20"/>
      <c r="D777" s="20"/>
      <c r="E777" s="20"/>
      <c r="F777" s="20"/>
      <c r="G777" s="20"/>
      <c r="H777" s="20"/>
      <c r="I777" s="20"/>
    </row>
    <row r="778" spans="1:9" ht="14.25" customHeight="1" x14ac:dyDescent="0.35">
      <c r="A778" s="20"/>
      <c r="B778" s="20"/>
      <c r="C778" s="20"/>
      <c r="D778" s="20"/>
      <c r="E778" s="20"/>
      <c r="F778" s="20"/>
      <c r="G778" s="20"/>
      <c r="H778" s="20"/>
      <c r="I778" s="20"/>
    </row>
    <row r="779" spans="1:9" ht="14.25" customHeight="1" x14ac:dyDescent="0.35">
      <c r="A779" s="20"/>
      <c r="B779" s="20"/>
      <c r="C779" s="20"/>
      <c r="D779" s="20"/>
      <c r="E779" s="20"/>
      <c r="F779" s="20"/>
      <c r="G779" s="20"/>
      <c r="H779" s="20"/>
      <c r="I779" s="20"/>
    </row>
    <row r="780" spans="1:9" ht="14.25" customHeight="1" x14ac:dyDescent="0.35">
      <c r="A780" s="20"/>
      <c r="B780" s="20"/>
      <c r="C780" s="20"/>
      <c r="D780" s="20"/>
      <c r="E780" s="20"/>
      <c r="F780" s="20"/>
      <c r="G780" s="20"/>
      <c r="H780" s="20"/>
      <c r="I780" s="20"/>
    </row>
    <row r="781" spans="1:9" ht="14.25" customHeight="1" x14ac:dyDescent="0.35">
      <c r="A781" s="20"/>
      <c r="B781" s="20"/>
      <c r="C781" s="20"/>
      <c r="D781" s="20"/>
      <c r="E781" s="20"/>
      <c r="F781" s="20"/>
      <c r="G781" s="20"/>
      <c r="H781" s="20"/>
      <c r="I781" s="20"/>
    </row>
    <row r="782" spans="1:9" ht="14.25" customHeight="1" x14ac:dyDescent="0.35">
      <c r="A782" s="20"/>
      <c r="B782" s="20"/>
      <c r="C782" s="20"/>
      <c r="D782" s="20"/>
      <c r="E782" s="20"/>
      <c r="F782" s="20"/>
      <c r="G782" s="20"/>
      <c r="H782" s="20"/>
      <c r="I782" s="20"/>
    </row>
    <row r="783" spans="1:9" ht="14.25" customHeight="1" x14ac:dyDescent="0.35">
      <c r="A783" s="20"/>
      <c r="B783" s="20"/>
      <c r="C783" s="20"/>
      <c r="D783" s="20"/>
      <c r="E783" s="20"/>
      <c r="F783" s="20"/>
      <c r="G783" s="20"/>
      <c r="H783" s="20"/>
      <c r="I783" s="20"/>
    </row>
    <row r="784" spans="1:9" ht="14.25" customHeight="1" x14ac:dyDescent="0.35">
      <c r="A784" s="20"/>
      <c r="B784" s="20"/>
      <c r="C784" s="20"/>
      <c r="D784" s="20"/>
      <c r="E784" s="20"/>
      <c r="F784" s="20"/>
      <c r="G784" s="20"/>
      <c r="H784" s="20"/>
      <c r="I784" s="20"/>
    </row>
    <row r="785" spans="1:9" ht="14.25" customHeight="1" x14ac:dyDescent="0.35">
      <c r="A785" s="20"/>
      <c r="B785" s="20"/>
      <c r="C785" s="20"/>
      <c r="D785" s="20"/>
      <c r="E785" s="20"/>
      <c r="F785" s="20"/>
      <c r="G785" s="20"/>
      <c r="H785" s="20"/>
      <c r="I785" s="20"/>
    </row>
    <row r="786" spans="1:9" ht="14.25" customHeight="1" x14ac:dyDescent="0.35">
      <c r="A786" s="20"/>
      <c r="B786" s="20"/>
      <c r="C786" s="20"/>
      <c r="D786" s="20"/>
      <c r="E786" s="20"/>
      <c r="F786" s="20"/>
      <c r="G786" s="20"/>
      <c r="H786" s="20"/>
      <c r="I786" s="20"/>
    </row>
    <row r="787" spans="1:9" ht="14.25" customHeight="1" x14ac:dyDescent="0.35">
      <c r="A787" s="20"/>
      <c r="B787" s="20"/>
      <c r="C787" s="20"/>
      <c r="D787" s="20"/>
      <c r="E787" s="20"/>
      <c r="F787" s="20"/>
      <c r="G787" s="20"/>
      <c r="H787" s="20"/>
      <c r="I787" s="20"/>
    </row>
    <row r="788" spans="1:9" ht="14.25" customHeight="1" x14ac:dyDescent="0.35">
      <c r="A788" s="20"/>
      <c r="B788" s="20"/>
      <c r="C788" s="20"/>
      <c r="D788" s="20"/>
      <c r="E788" s="20"/>
      <c r="F788" s="20"/>
      <c r="G788" s="20"/>
      <c r="H788" s="20"/>
      <c r="I788" s="20"/>
    </row>
    <row r="789" spans="1:9" ht="14.25" customHeight="1" x14ac:dyDescent="0.35">
      <c r="A789" s="20"/>
      <c r="B789" s="20"/>
      <c r="C789" s="20"/>
      <c r="D789" s="20"/>
      <c r="E789" s="20"/>
      <c r="F789" s="20"/>
      <c r="G789" s="20"/>
      <c r="H789" s="20"/>
      <c r="I789" s="20"/>
    </row>
    <row r="790" spans="1:9" ht="14.25" customHeight="1" x14ac:dyDescent="0.35">
      <c r="A790" s="20"/>
      <c r="B790" s="20"/>
      <c r="C790" s="20"/>
      <c r="D790" s="20"/>
      <c r="E790" s="20"/>
      <c r="F790" s="20"/>
      <c r="G790" s="20"/>
      <c r="H790" s="20"/>
      <c r="I790" s="20"/>
    </row>
    <row r="791" spans="1:9" ht="14.25" customHeight="1" x14ac:dyDescent="0.35">
      <c r="A791" s="20"/>
      <c r="B791" s="20"/>
      <c r="C791" s="20"/>
      <c r="D791" s="20"/>
      <c r="E791" s="20"/>
      <c r="F791" s="20"/>
      <c r="G791" s="20"/>
      <c r="H791" s="20"/>
      <c r="I791" s="20"/>
    </row>
    <row r="792" spans="1:9" ht="14.25" customHeight="1" x14ac:dyDescent="0.35">
      <c r="A792" s="20"/>
      <c r="B792" s="20"/>
      <c r="C792" s="20"/>
      <c r="D792" s="20"/>
      <c r="E792" s="20"/>
      <c r="F792" s="20"/>
      <c r="G792" s="20"/>
      <c r="H792" s="20"/>
      <c r="I792" s="20"/>
    </row>
    <row r="793" spans="1:9" ht="14.25" customHeight="1" x14ac:dyDescent="0.35">
      <c r="A793" s="20"/>
      <c r="B793" s="20"/>
      <c r="C793" s="20"/>
      <c r="D793" s="20"/>
      <c r="E793" s="20"/>
      <c r="F793" s="20"/>
      <c r="G793" s="20"/>
      <c r="H793" s="20"/>
      <c r="I793" s="20"/>
    </row>
    <row r="794" spans="1:9" ht="14.25" customHeight="1" x14ac:dyDescent="0.35">
      <c r="A794" s="20"/>
      <c r="B794" s="20"/>
      <c r="C794" s="20"/>
      <c r="D794" s="20"/>
      <c r="E794" s="20"/>
      <c r="F794" s="20"/>
      <c r="G794" s="20"/>
      <c r="H794" s="20"/>
      <c r="I794" s="20"/>
    </row>
    <row r="795" spans="1:9" ht="14.25" customHeight="1" x14ac:dyDescent="0.35">
      <c r="A795" s="20"/>
      <c r="B795" s="20"/>
      <c r="C795" s="20"/>
      <c r="D795" s="20"/>
      <c r="E795" s="20"/>
      <c r="F795" s="20"/>
      <c r="G795" s="20"/>
      <c r="H795" s="20"/>
      <c r="I795" s="20"/>
    </row>
    <row r="796" spans="1:9" ht="14.25" customHeight="1" x14ac:dyDescent="0.35">
      <c r="A796" s="20"/>
      <c r="B796" s="20"/>
      <c r="C796" s="20"/>
      <c r="D796" s="20"/>
      <c r="E796" s="20"/>
      <c r="F796" s="20"/>
      <c r="G796" s="20"/>
      <c r="H796" s="20"/>
      <c r="I796" s="20"/>
    </row>
    <row r="797" spans="1:9" ht="14.25" customHeight="1" x14ac:dyDescent="0.35">
      <c r="A797" s="20"/>
      <c r="B797" s="20"/>
      <c r="C797" s="20"/>
      <c r="D797" s="20"/>
      <c r="E797" s="20"/>
      <c r="F797" s="20"/>
      <c r="G797" s="20"/>
      <c r="H797" s="20"/>
      <c r="I797" s="20"/>
    </row>
    <row r="798" spans="1:9" ht="14.25" customHeight="1" x14ac:dyDescent="0.35">
      <c r="A798" s="20"/>
      <c r="B798" s="20"/>
      <c r="C798" s="20"/>
      <c r="D798" s="20"/>
      <c r="E798" s="20"/>
      <c r="F798" s="20"/>
      <c r="G798" s="20"/>
      <c r="H798" s="20"/>
      <c r="I798" s="20"/>
    </row>
    <row r="799" spans="1:9" ht="14.25" customHeight="1" x14ac:dyDescent="0.35">
      <c r="A799" s="20"/>
      <c r="B799" s="20"/>
      <c r="C799" s="20"/>
      <c r="D799" s="20"/>
      <c r="E799" s="20"/>
      <c r="F799" s="20"/>
      <c r="G799" s="20"/>
      <c r="H799" s="20"/>
      <c r="I799" s="20"/>
    </row>
    <row r="800" spans="1:9" ht="14.25" customHeight="1" x14ac:dyDescent="0.35">
      <c r="A800" s="20"/>
      <c r="B800" s="20"/>
      <c r="C800" s="20"/>
      <c r="D800" s="20"/>
      <c r="E800" s="20"/>
      <c r="F800" s="20"/>
      <c r="G800" s="20"/>
      <c r="H800" s="20"/>
      <c r="I800" s="20"/>
    </row>
    <row r="801" spans="1:9" ht="14.25" customHeight="1" x14ac:dyDescent="0.35">
      <c r="A801" s="20"/>
      <c r="B801" s="20"/>
      <c r="C801" s="20"/>
      <c r="D801" s="20"/>
      <c r="E801" s="20"/>
      <c r="F801" s="20"/>
      <c r="G801" s="20"/>
      <c r="H801" s="20"/>
      <c r="I801" s="20"/>
    </row>
    <row r="802" spans="1:9" ht="14.25" customHeight="1" x14ac:dyDescent="0.35">
      <c r="A802" s="20"/>
      <c r="B802" s="20"/>
      <c r="C802" s="20"/>
      <c r="D802" s="20"/>
      <c r="E802" s="20"/>
      <c r="F802" s="20"/>
      <c r="G802" s="20"/>
      <c r="H802" s="20"/>
      <c r="I802" s="20"/>
    </row>
    <row r="803" spans="1:9" ht="14.25" customHeight="1" x14ac:dyDescent="0.35">
      <c r="A803" s="20"/>
      <c r="B803" s="20"/>
      <c r="C803" s="20"/>
      <c r="D803" s="20"/>
      <c r="E803" s="20"/>
      <c r="F803" s="20"/>
      <c r="G803" s="20"/>
      <c r="H803" s="20"/>
      <c r="I803" s="20"/>
    </row>
    <row r="804" spans="1:9" ht="14.25" customHeight="1" x14ac:dyDescent="0.35">
      <c r="A804" s="20"/>
      <c r="B804" s="20"/>
      <c r="C804" s="20"/>
      <c r="D804" s="20"/>
      <c r="E804" s="20"/>
      <c r="F804" s="20"/>
      <c r="G804" s="20"/>
      <c r="H804" s="20"/>
      <c r="I804" s="20"/>
    </row>
    <row r="805" spans="1:9" ht="14.25" customHeight="1" x14ac:dyDescent="0.35">
      <c r="A805" s="20"/>
      <c r="B805" s="20"/>
      <c r="C805" s="20"/>
      <c r="D805" s="20"/>
      <c r="E805" s="20"/>
      <c r="F805" s="20"/>
      <c r="G805" s="20"/>
      <c r="H805" s="20"/>
      <c r="I805" s="20"/>
    </row>
    <row r="806" spans="1:9" ht="14.25" customHeight="1" x14ac:dyDescent="0.35">
      <c r="A806" s="20"/>
      <c r="B806" s="20"/>
      <c r="C806" s="20"/>
      <c r="D806" s="20"/>
      <c r="E806" s="20"/>
      <c r="F806" s="20"/>
      <c r="G806" s="20"/>
      <c r="H806" s="20"/>
      <c r="I806" s="20"/>
    </row>
    <row r="807" spans="1:9" ht="14.25" customHeight="1" x14ac:dyDescent="0.35">
      <c r="A807" s="20"/>
      <c r="B807" s="20"/>
      <c r="C807" s="20"/>
      <c r="D807" s="20"/>
      <c r="E807" s="20"/>
      <c r="F807" s="20"/>
      <c r="G807" s="20"/>
      <c r="H807" s="20"/>
      <c r="I807" s="20"/>
    </row>
    <row r="808" spans="1:9" ht="14.25" customHeight="1" x14ac:dyDescent="0.35">
      <c r="A808" s="20"/>
      <c r="B808" s="20"/>
      <c r="C808" s="20"/>
      <c r="D808" s="20"/>
      <c r="E808" s="20"/>
      <c r="F808" s="20"/>
      <c r="G808" s="20"/>
      <c r="H808" s="20"/>
      <c r="I808" s="20"/>
    </row>
    <row r="809" spans="1:9" ht="14.25" customHeight="1" x14ac:dyDescent="0.35">
      <c r="A809" s="20"/>
      <c r="B809" s="20"/>
      <c r="C809" s="20"/>
      <c r="D809" s="20"/>
      <c r="E809" s="20"/>
      <c r="F809" s="20"/>
      <c r="G809" s="20"/>
      <c r="H809" s="20"/>
      <c r="I809" s="20"/>
    </row>
    <row r="810" spans="1:9" ht="14.25" customHeight="1" x14ac:dyDescent="0.35">
      <c r="A810" s="20"/>
      <c r="B810" s="20"/>
      <c r="C810" s="20"/>
      <c r="D810" s="20"/>
      <c r="E810" s="20"/>
      <c r="F810" s="20"/>
      <c r="G810" s="20"/>
      <c r="H810" s="20"/>
      <c r="I810" s="20"/>
    </row>
    <row r="811" spans="1:9" ht="14.25" customHeight="1" x14ac:dyDescent="0.35">
      <c r="A811" s="20"/>
      <c r="B811" s="20"/>
      <c r="C811" s="20"/>
      <c r="D811" s="20"/>
      <c r="E811" s="20"/>
      <c r="F811" s="20"/>
      <c r="G811" s="20"/>
      <c r="H811" s="20"/>
      <c r="I811" s="20"/>
    </row>
    <row r="812" spans="1:9" ht="14.25" customHeight="1" x14ac:dyDescent="0.35">
      <c r="A812" s="20"/>
      <c r="B812" s="20"/>
      <c r="C812" s="20"/>
      <c r="D812" s="20"/>
      <c r="E812" s="20"/>
      <c r="F812" s="20"/>
      <c r="G812" s="20"/>
      <c r="H812" s="20"/>
      <c r="I812" s="20"/>
    </row>
    <row r="813" spans="1:9" ht="14.25" customHeight="1" x14ac:dyDescent="0.35">
      <c r="A813" s="20"/>
      <c r="B813" s="20"/>
      <c r="C813" s="20"/>
      <c r="D813" s="20"/>
      <c r="E813" s="20"/>
      <c r="F813" s="20"/>
      <c r="G813" s="20"/>
      <c r="H813" s="20"/>
      <c r="I813" s="20"/>
    </row>
    <row r="814" spans="1:9" ht="14.25" customHeight="1" x14ac:dyDescent="0.35">
      <c r="A814" s="20"/>
      <c r="B814" s="20"/>
      <c r="C814" s="20"/>
      <c r="D814" s="20"/>
      <c r="E814" s="20"/>
      <c r="F814" s="20"/>
      <c r="G814" s="20"/>
      <c r="H814" s="20"/>
      <c r="I814" s="20"/>
    </row>
    <row r="815" spans="1:9" ht="14.25" customHeight="1" x14ac:dyDescent="0.35">
      <c r="A815" s="20"/>
      <c r="B815" s="20"/>
      <c r="C815" s="20"/>
      <c r="D815" s="20"/>
      <c r="E815" s="20"/>
      <c r="F815" s="20"/>
      <c r="G815" s="20"/>
      <c r="H815" s="20"/>
      <c r="I815" s="20"/>
    </row>
    <row r="816" spans="1:9" ht="14.25" customHeight="1" x14ac:dyDescent="0.35">
      <c r="A816" s="20"/>
      <c r="B816" s="20"/>
      <c r="C816" s="20"/>
      <c r="D816" s="20"/>
      <c r="E816" s="20"/>
      <c r="F816" s="20"/>
      <c r="G816" s="20"/>
      <c r="H816" s="20"/>
      <c r="I816" s="20"/>
    </row>
    <row r="817" spans="1:9" ht="14.25" customHeight="1" x14ac:dyDescent="0.35">
      <c r="A817" s="20"/>
      <c r="B817" s="20"/>
      <c r="C817" s="20"/>
      <c r="D817" s="20"/>
      <c r="E817" s="20"/>
      <c r="F817" s="20"/>
      <c r="G817" s="20"/>
      <c r="H817" s="20"/>
      <c r="I817" s="20"/>
    </row>
    <row r="818" spans="1:9" ht="14.25" customHeight="1" x14ac:dyDescent="0.35">
      <c r="A818" s="20"/>
      <c r="B818" s="20"/>
      <c r="C818" s="20"/>
      <c r="D818" s="20"/>
      <c r="E818" s="20"/>
      <c r="F818" s="20"/>
      <c r="G818" s="20"/>
      <c r="H818" s="20"/>
      <c r="I818" s="20"/>
    </row>
    <row r="819" spans="1:9" ht="14.25" customHeight="1" x14ac:dyDescent="0.35">
      <c r="A819" s="20"/>
      <c r="B819" s="20"/>
      <c r="C819" s="20"/>
      <c r="D819" s="20"/>
      <c r="E819" s="20"/>
      <c r="F819" s="20"/>
      <c r="G819" s="20"/>
      <c r="H819" s="20"/>
      <c r="I819" s="20"/>
    </row>
    <row r="820" spans="1:9" ht="14.25" customHeight="1" x14ac:dyDescent="0.35">
      <c r="A820" s="20"/>
      <c r="B820" s="20"/>
      <c r="C820" s="20"/>
      <c r="D820" s="20"/>
      <c r="E820" s="20"/>
      <c r="F820" s="20"/>
      <c r="G820" s="20"/>
      <c r="H820" s="20"/>
      <c r="I820" s="20"/>
    </row>
    <row r="821" spans="1:9" ht="14.25" customHeight="1" x14ac:dyDescent="0.35">
      <c r="A821" s="20"/>
      <c r="B821" s="20"/>
      <c r="C821" s="20"/>
      <c r="D821" s="20"/>
      <c r="E821" s="20"/>
      <c r="F821" s="20"/>
      <c r="G821" s="20"/>
      <c r="H821" s="20"/>
      <c r="I821" s="20"/>
    </row>
    <row r="822" spans="1:9" ht="14.25" customHeight="1" x14ac:dyDescent="0.35">
      <c r="A822" s="20"/>
      <c r="B822" s="20"/>
      <c r="C822" s="20"/>
      <c r="D822" s="20"/>
      <c r="E822" s="20"/>
      <c r="F822" s="20"/>
      <c r="G822" s="20"/>
      <c r="H822" s="20"/>
      <c r="I822" s="20"/>
    </row>
    <row r="823" spans="1:9" ht="14.25" customHeight="1" x14ac:dyDescent="0.35">
      <c r="A823" s="20"/>
      <c r="B823" s="20"/>
      <c r="C823" s="20"/>
      <c r="D823" s="20"/>
      <c r="E823" s="20"/>
      <c r="F823" s="20"/>
      <c r="G823" s="20"/>
      <c r="H823" s="20"/>
      <c r="I823" s="20"/>
    </row>
    <row r="824" spans="1:9" ht="14.25" customHeight="1" x14ac:dyDescent="0.35">
      <c r="A824" s="20"/>
      <c r="B824" s="20"/>
      <c r="C824" s="20"/>
      <c r="D824" s="20"/>
      <c r="E824" s="20"/>
      <c r="F824" s="20"/>
      <c r="G824" s="20"/>
      <c r="H824" s="20"/>
      <c r="I824" s="20"/>
    </row>
    <row r="825" spans="1:9" ht="14.25" customHeight="1" x14ac:dyDescent="0.35">
      <c r="A825" s="20"/>
      <c r="B825" s="20"/>
      <c r="C825" s="20"/>
      <c r="D825" s="20"/>
      <c r="E825" s="20"/>
      <c r="F825" s="20"/>
      <c r="G825" s="20"/>
      <c r="H825" s="20"/>
      <c r="I825" s="20"/>
    </row>
    <row r="826" spans="1:9" ht="14.25" customHeight="1" x14ac:dyDescent="0.35">
      <c r="A826" s="20"/>
      <c r="B826" s="20"/>
      <c r="C826" s="20"/>
      <c r="D826" s="20"/>
      <c r="E826" s="20"/>
      <c r="F826" s="20"/>
      <c r="G826" s="20"/>
      <c r="H826" s="20"/>
      <c r="I826" s="20"/>
    </row>
    <row r="827" spans="1:9" ht="14.25" customHeight="1" x14ac:dyDescent="0.35">
      <c r="A827" s="20"/>
      <c r="B827" s="20"/>
      <c r="C827" s="20"/>
      <c r="D827" s="20"/>
      <c r="E827" s="20"/>
      <c r="F827" s="20"/>
      <c r="G827" s="20"/>
      <c r="H827" s="20"/>
      <c r="I827" s="20"/>
    </row>
    <row r="828" spans="1:9" ht="14.25" customHeight="1" x14ac:dyDescent="0.35">
      <c r="A828" s="20"/>
      <c r="B828" s="20"/>
      <c r="C828" s="20"/>
      <c r="D828" s="20"/>
      <c r="E828" s="20"/>
      <c r="F828" s="20"/>
      <c r="G828" s="20"/>
      <c r="H828" s="20"/>
      <c r="I828" s="20"/>
    </row>
    <row r="829" spans="1:9" ht="14.25" customHeight="1" x14ac:dyDescent="0.35">
      <c r="A829" s="20"/>
      <c r="B829" s="20"/>
      <c r="C829" s="20"/>
      <c r="D829" s="20"/>
      <c r="E829" s="20"/>
      <c r="F829" s="20"/>
      <c r="G829" s="20"/>
      <c r="H829" s="20"/>
      <c r="I829" s="20"/>
    </row>
    <row r="830" spans="1:9" ht="14.25" customHeight="1" x14ac:dyDescent="0.35">
      <c r="A830" s="20"/>
      <c r="B830" s="20"/>
      <c r="C830" s="20"/>
      <c r="D830" s="20"/>
      <c r="E830" s="20"/>
      <c r="F830" s="20"/>
      <c r="G830" s="20"/>
      <c r="H830" s="20"/>
      <c r="I830" s="20"/>
    </row>
    <row r="831" spans="1:9" ht="14.25" customHeight="1" x14ac:dyDescent="0.35">
      <c r="A831" s="20"/>
      <c r="B831" s="20"/>
      <c r="C831" s="20"/>
      <c r="D831" s="20"/>
      <c r="E831" s="20"/>
      <c r="F831" s="20"/>
      <c r="G831" s="20"/>
      <c r="H831" s="20"/>
      <c r="I831" s="20"/>
    </row>
    <row r="832" spans="1:9" ht="14.25" customHeight="1" x14ac:dyDescent="0.35">
      <c r="A832" s="20"/>
      <c r="B832" s="20"/>
      <c r="C832" s="20"/>
      <c r="D832" s="20"/>
      <c r="E832" s="20"/>
      <c r="F832" s="20"/>
      <c r="G832" s="20"/>
      <c r="H832" s="20"/>
      <c r="I832" s="20"/>
    </row>
    <row r="833" spans="1:9" ht="14.25" customHeight="1" x14ac:dyDescent="0.35">
      <c r="A833" s="20"/>
      <c r="B833" s="20"/>
      <c r="C833" s="20"/>
      <c r="D833" s="20"/>
      <c r="E833" s="20"/>
      <c r="F833" s="20"/>
      <c r="G833" s="20"/>
      <c r="H833" s="20"/>
      <c r="I833" s="20"/>
    </row>
    <row r="834" spans="1:9" ht="14.25" customHeight="1" x14ac:dyDescent="0.35">
      <c r="A834" s="20"/>
      <c r="B834" s="20"/>
      <c r="C834" s="20"/>
      <c r="D834" s="20"/>
      <c r="E834" s="20"/>
      <c r="F834" s="20"/>
      <c r="G834" s="20"/>
      <c r="H834" s="20"/>
      <c r="I834" s="20"/>
    </row>
    <row r="835" spans="1:9" ht="14.25" customHeight="1" x14ac:dyDescent="0.35">
      <c r="A835" s="20"/>
      <c r="B835" s="20"/>
      <c r="C835" s="20"/>
      <c r="D835" s="20"/>
      <c r="E835" s="20"/>
      <c r="F835" s="20"/>
      <c r="G835" s="20"/>
      <c r="H835" s="20"/>
      <c r="I835" s="20"/>
    </row>
    <row r="836" spans="1:9" ht="14.25" customHeight="1" x14ac:dyDescent="0.35">
      <c r="A836" s="20"/>
      <c r="B836" s="20"/>
      <c r="C836" s="20"/>
      <c r="D836" s="20"/>
      <c r="E836" s="20"/>
      <c r="F836" s="20"/>
      <c r="G836" s="20"/>
      <c r="H836" s="20"/>
      <c r="I836" s="20"/>
    </row>
    <row r="837" spans="1:9" ht="14.25" customHeight="1" x14ac:dyDescent="0.35">
      <c r="A837" s="20"/>
      <c r="B837" s="20"/>
      <c r="C837" s="20"/>
      <c r="D837" s="20"/>
      <c r="E837" s="20"/>
      <c r="F837" s="20"/>
      <c r="G837" s="20"/>
      <c r="H837" s="20"/>
      <c r="I837" s="20"/>
    </row>
    <row r="838" spans="1:9" ht="14.25" customHeight="1" x14ac:dyDescent="0.35">
      <c r="A838" s="20"/>
      <c r="B838" s="20"/>
      <c r="C838" s="20"/>
      <c r="D838" s="20"/>
      <c r="E838" s="20"/>
      <c r="F838" s="20"/>
      <c r="G838" s="20"/>
      <c r="H838" s="20"/>
      <c r="I838" s="20"/>
    </row>
    <row r="839" spans="1:9" ht="14.25" customHeight="1" x14ac:dyDescent="0.35">
      <c r="A839" s="20"/>
      <c r="B839" s="20"/>
      <c r="C839" s="20"/>
      <c r="D839" s="20"/>
      <c r="E839" s="20"/>
      <c r="F839" s="20"/>
      <c r="G839" s="20"/>
      <c r="H839" s="20"/>
      <c r="I839" s="20"/>
    </row>
    <row r="840" spans="1:9" ht="14.25" customHeight="1" x14ac:dyDescent="0.35">
      <c r="A840" s="20"/>
      <c r="B840" s="20"/>
      <c r="C840" s="20"/>
      <c r="D840" s="20"/>
      <c r="E840" s="20"/>
      <c r="F840" s="20"/>
      <c r="G840" s="20"/>
      <c r="H840" s="20"/>
      <c r="I840" s="20"/>
    </row>
    <row r="841" spans="1:9" ht="14.25" customHeight="1" x14ac:dyDescent="0.35">
      <c r="A841" s="20"/>
      <c r="B841" s="20"/>
      <c r="C841" s="20"/>
      <c r="D841" s="20"/>
      <c r="E841" s="20"/>
      <c r="F841" s="20"/>
      <c r="G841" s="20"/>
      <c r="H841" s="20"/>
      <c r="I841" s="20"/>
    </row>
    <row r="842" spans="1:9" ht="14.25" customHeight="1" x14ac:dyDescent="0.35">
      <c r="A842" s="20"/>
      <c r="B842" s="20"/>
      <c r="C842" s="20"/>
      <c r="D842" s="20"/>
      <c r="E842" s="20"/>
      <c r="F842" s="20"/>
      <c r="G842" s="20"/>
      <c r="H842" s="20"/>
      <c r="I842" s="20"/>
    </row>
    <row r="843" spans="1:9" ht="14.25" customHeight="1" x14ac:dyDescent="0.35">
      <c r="A843" s="20"/>
      <c r="B843" s="20"/>
      <c r="C843" s="20"/>
      <c r="D843" s="20"/>
      <c r="E843" s="20"/>
      <c r="F843" s="20"/>
      <c r="G843" s="20"/>
      <c r="H843" s="20"/>
      <c r="I843" s="20"/>
    </row>
    <row r="844" spans="1:9" ht="14.25" customHeight="1" x14ac:dyDescent="0.35">
      <c r="A844" s="20"/>
      <c r="B844" s="20"/>
      <c r="C844" s="20"/>
      <c r="D844" s="20"/>
      <c r="E844" s="20"/>
      <c r="F844" s="20"/>
      <c r="G844" s="20"/>
      <c r="H844" s="20"/>
      <c r="I844" s="20"/>
    </row>
    <row r="845" spans="1:9" ht="14.25" customHeight="1" x14ac:dyDescent="0.35">
      <c r="A845" s="20"/>
      <c r="B845" s="20"/>
      <c r="C845" s="20"/>
      <c r="D845" s="20"/>
      <c r="E845" s="20"/>
      <c r="F845" s="20"/>
      <c r="G845" s="20"/>
      <c r="H845" s="20"/>
      <c r="I845" s="20"/>
    </row>
    <row r="846" spans="1:9" ht="14.25" customHeight="1" x14ac:dyDescent="0.35">
      <c r="A846" s="20"/>
      <c r="B846" s="20"/>
      <c r="C846" s="20"/>
      <c r="D846" s="20"/>
      <c r="E846" s="20"/>
      <c r="F846" s="20"/>
      <c r="G846" s="20"/>
      <c r="H846" s="20"/>
      <c r="I846" s="20"/>
    </row>
    <row r="847" spans="1:9" ht="14.25" customHeight="1" x14ac:dyDescent="0.35">
      <c r="A847" s="20"/>
      <c r="B847" s="20"/>
      <c r="C847" s="20"/>
      <c r="D847" s="20"/>
      <c r="E847" s="20"/>
      <c r="F847" s="20"/>
      <c r="G847" s="20"/>
      <c r="H847" s="20"/>
      <c r="I847" s="20"/>
    </row>
    <row r="848" spans="1:9" ht="14.25" customHeight="1" x14ac:dyDescent="0.35">
      <c r="A848" s="20"/>
      <c r="B848" s="20"/>
      <c r="C848" s="20"/>
      <c r="D848" s="20"/>
      <c r="E848" s="20"/>
      <c r="F848" s="20"/>
      <c r="G848" s="20"/>
      <c r="H848" s="20"/>
      <c r="I848" s="20"/>
    </row>
    <row r="849" spans="1:9" ht="14.25" customHeight="1" x14ac:dyDescent="0.35">
      <c r="A849" s="20"/>
      <c r="B849" s="20"/>
      <c r="C849" s="20"/>
      <c r="D849" s="20"/>
      <c r="E849" s="20"/>
      <c r="F849" s="20"/>
      <c r="G849" s="20"/>
      <c r="H849" s="20"/>
      <c r="I849" s="20"/>
    </row>
    <row r="850" spans="1:9" ht="14.25" customHeight="1" x14ac:dyDescent="0.35">
      <c r="A850" s="20"/>
      <c r="B850" s="20"/>
      <c r="C850" s="20"/>
      <c r="D850" s="20"/>
      <c r="E850" s="20"/>
      <c r="F850" s="20"/>
      <c r="G850" s="20"/>
      <c r="H850" s="20"/>
      <c r="I850" s="20"/>
    </row>
    <row r="851" spans="1:9" ht="14.25" customHeight="1" x14ac:dyDescent="0.35">
      <c r="A851" s="20"/>
      <c r="B851" s="20"/>
      <c r="C851" s="20"/>
      <c r="D851" s="20"/>
      <c r="E851" s="20"/>
      <c r="F851" s="20"/>
      <c r="G851" s="20"/>
      <c r="H851" s="20"/>
      <c r="I851" s="20"/>
    </row>
    <row r="852" spans="1:9" ht="14.25" customHeight="1" x14ac:dyDescent="0.35">
      <c r="A852" s="20"/>
      <c r="B852" s="20"/>
      <c r="C852" s="20"/>
      <c r="D852" s="20"/>
      <c r="E852" s="20"/>
      <c r="F852" s="20"/>
      <c r="G852" s="20"/>
      <c r="H852" s="20"/>
      <c r="I852" s="20"/>
    </row>
    <row r="853" spans="1:9" ht="14.25" customHeight="1" x14ac:dyDescent="0.35">
      <c r="A853" s="20"/>
      <c r="B853" s="20"/>
      <c r="C853" s="20"/>
      <c r="D853" s="20"/>
      <c r="E853" s="20"/>
      <c r="F853" s="20"/>
      <c r="G853" s="20"/>
      <c r="H853" s="20"/>
      <c r="I853" s="20"/>
    </row>
    <row r="854" spans="1:9" ht="14.25" customHeight="1" x14ac:dyDescent="0.35">
      <c r="A854" s="20"/>
      <c r="B854" s="20"/>
      <c r="C854" s="20"/>
      <c r="D854" s="20"/>
      <c r="E854" s="20"/>
      <c r="F854" s="20"/>
      <c r="G854" s="20"/>
      <c r="H854" s="20"/>
      <c r="I854" s="20"/>
    </row>
    <row r="855" spans="1:9" ht="14.25" customHeight="1" x14ac:dyDescent="0.35">
      <c r="A855" s="20"/>
      <c r="B855" s="20"/>
      <c r="C855" s="20"/>
      <c r="D855" s="20"/>
      <c r="E855" s="20"/>
      <c r="F855" s="20"/>
      <c r="G855" s="20"/>
      <c r="H855" s="20"/>
      <c r="I855" s="20"/>
    </row>
    <row r="856" spans="1:9" ht="14.25" customHeight="1" x14ac:dyDescent="0.35">
      <c r="A856" s="20"/>
      <c r="B856" s="20"/>
      <c r="C856" s="20"/>
      <c r="D856" s="20"/>
      <c r="E856" s="20"/>
      <c r="F856" s="20"/>
      <c r="G856" s="20"/>
      <c r="H856" s="20"/>
      <c r="I856" s="20"/>
    </row>
    <row r="857" spans="1:9" ht="14.25" customHeight="1" x14ac:dyDescent="0.35">
      <c r="A857" s="20"/>
      <c r="B857" s="20"/>
      <c r="C857" s="20"/>
      <c r="D857" s="20"/>
      <c r="E857" s="20"/>
      <c r="F857" s="20"/>
      <c r="G857" s="20"/>
      <c r="H857" s="20"/>
      <c r="I857" s="20"/>
    </row>
    <row r="858" spans="1:9" ht="14.25" customHeight="1" x14ac:dyDescent="0.35">
      <c r="A858" s="20"/>
      <c r="B858" s="20"/>
      <c r="C858" s="20"/>
      <c r="D858" s="20"/>
      <c r="E858" s="20"/>
      <c r="F858" s="20"/>
      <c r="G858" s="20"/>
      <c r="H858" s="20"/>
      <c r="I858" s="20"/>
    </row>
    <row r="859" spans="1:9" ht="14.25" customHeight="1" x14ac:dyDescent="0.35">
      <c r="A859" s="20"/>
      <c r="B859" s="20"/>
      <c r="C859" s="20"/>
      <c r="D859" s="20"/>
      <c r="E859" s="20"/>
      <c r="F859" s="20"/>
      <c r="G859" s="20"/>
      <c r="H859" s="20"/>
      <c r="I859" s="20"/>
    </row>
    <row r="860" spans="1:9" ht="14.25" customHeight="1" x14ac:dyDescent="0.35">
      <c r="A860" s="20"/>
      <c r="B860" s="20"/>
      <c r="C860" s="20"/>
      <c r="D860" s="20"/>
      <c r="E860" s="20"/>
      <c r="F860" s="20"/>
      <c r="G860" s="20"/>
      <c r="H860" s="20"/>
      <c r="I860" s="20"/>
    </row>
    <row r="861" spans="1:9" ht="14.25" customHeight="1" x14ac:dyDescent="0.35">
      <c r="A861" s="20"/>
      <c r="B861" s="20"/>
      <c r="C861" s="20"/>
      <c r="D861" s="20"/>
      <c r="E861" s="20"/>
      <c r="F861" s="20"/>
      <c r="G861" s="20"/>
      <c r="H861" s="20"/>
      <c r="I861" s="20"/>
    </row>
    <row r="862" spans="1:9" ht="14.25" customHeight="1" x14ac:dyDescent="0.35">
      <c r="A862" s="20"/>
      <c r="B862" s="20"/>
      <c r="C862" s="20"/>
      <c r="D862" s="20"/>
      <c r="E862" s="20"/>
      <c r="F862" s="20"/>
      <c r="G862" s="20"/>
      <c r="H862" s="20"/>
      <c r="I862" s="20"/>
    </row>
    <row r="863" spans="1:9" ht="14.25" customHeight="1" x14ac:dyDescent="0.35">
      <c r="A863" s="20"/>
      <c r="B863" s="20"/>
      <c r="C863" s="20"/>
      <c r="D863" s="20"/>
      <c r="E863" s="20"/>
      <c r="F863" s="20"/>
      <c r="G863" s="20"/>
      <c r="H863" s="20"/>
      <c r="I863" s="20"/>
    </row>
    <row r="864" spans="1:9" ht="14.25" customHeight="1" x14ac:dyDescent="0.35">
      <c r="A864" s="20"/>
      <c r="B864" s="20"/>
      <c r="C864" s="20"/>
      <c r="D864" s="20"/>
      <c r="E864" s="20"/>
      <c r="F864" s="20"/>
      <c r="G864" s="20"/>
      <c r="H864" s="20"/>
      <c r="I864" s="20"/>
    </row>
    <row r="865" spans="1:9" ht="14.25" customHeight="1" x14ac:dyDescent="0.35">
      <c r="A865" s="20"/>
      <c r="B865" s="20"/>
      <c r="C865" s="20"/>
      <c r="D865" s="20"/>
      <c r="E865" s="20"/>
      <c r="F865" s="20"/>
      <c r="G865" s="20"/>
      <c r="H865" s="20"/>
      <c r="I865" s="20"/>
    </row>
    <row r="866" spans="1:9" ht="14.25" customHeight="1" x14ac:dyDescent="0.35">
      <c r="A866" s="20"/>
      <c r="B866" s="20"/>
      <c r="C866" s="20"/>
      <c r="D866" s="20"/>
      <c r="E866" s="20"/>
      <c r="F866" s="20"/>
      <c r="G866" s="20"/>
      <c r="H866" s="20"/>
      <c r="I866" s="20"/>
    </row>
    <row r="867" spans="1:9" ht="14.25" customHeight="1" x14ac:dyDescent="0.35">
      <c r="A867" s="20"/>
      <c r="B867" s="20"/>
      <c r="C867" s="20"/>
      <c r="D867" s="20"/>
      <c r="E867" s="20"/>
      <c r="F867" s="20"/>
      <c r="G867" s="20"/>
      <c r="H867" s="20"/>
      <c r="I867" s="20"/>
    </row>
    <row r="868" spans="1:9" ht="14.25" customHeight="1" x14ac:dyDescent="0.35">
      <c r="A868" s="20"/>
      <c r="B868" s="20"/>
      <c r="C868" s="20"/>
      <c r="D868" s="20"/>
      <c r="E868" s="20"/>
      <c r="F868" s="20"/>
      <c r="G868" s="20"/>
      <c r="H868" s="20"/>
      <c r="I868" s="20"/>
    </row>
    <row r="869" spans="1:9" ht="14.25" customHeight="1" x14ac:dyDescent="0.35">
      <c r="A869" s="20"/>
      <c r="B869" s="20"/>
      <c r="C869" s="20"/>
      <c r="D869" s="20"/>
      <c r="E869" s="20"/>
      <c r="F869" s="20"/>
      <c r="G869" s="20"/>
      <c r="H869" s="20"/>
      <c r="I869" s="20"/>
    </row>
    <row r="870" spans="1:9" ht="14.25" customHeight="1" x14ac:dyDescent="0.35">
      <c r="A870" s="20"/>
      <c r="B870" s="20"/>
      <c r="C870" s="20"/>
      <c r="D870" s="20"/>
      <c r="E870" s="20"/>
      <c r="F870" s="20"/>
      <c r="G870" s="20"/>
      <c r="H870" s="20"/>
      <c r="I870" s="20"/>
    </row>
    <row r="871" spans="1:9" ht="14.25" customHeight="1" x14ac:dyDescent="0.35">
      <c r="A871" s="20"/>
      <c r="B871" s="20"/>
      <c r="C871" s="20"/>
      <c r="D871" s="20"/>
      <c r="E871" s="20"/>
      <c r="F871" s="20"/>
      <c r="G871" s="20"/>
      <c r="H871" s="20"/>
      <c r="I871" s="20"/>
    </row>
    <row r="872" spans="1:9" ht="14.25" customHeight="1" x14ac:dyDescent="0.35">
      <c r="A872" s="20"/>
      <c r="B872" s="20"/>
      <c r="C872" s="20"/>
      <c r="D872" s="20"/>
      <c r="E872" s="20"/>
      <c r="F872" s="20"/>
      <c r="G872" s="20"/>
      <c r="H872" s="20"/>
      <c r="I872" s="20"/>
    </row>
    <row r="873" spans="1:9" ht="14.25" customHeight="1" x14ac:dyDescent="0.35">
      <c r="A873" s="20"/>
      <c r="B873" s="20"/>
      <c r="C873" s="20"/>
      <c r="D873" s="20"/>
      <c r="E873" s="20"/>
      <c r="F873" s="20"/>
      <c r="G873" s="20"/>
      <c r="H873" s="20"/>
      <c r="I873" s="20"/>
    </row>
    <row r="874" spans="1:9" ht="14.25" customHeight="1" x14ac:dyDescent="0.35">
      <c r="A874" s="20"/>
      <c r="B874" s="20"/>
      <c r="C874" s="20"/>
      <c r="D874" s="20"/>
      <c r="E874" s="20"/>
      <c r="F874" s="20"/>
      <c r="G874" s="20"/>
      <c r="H874" s="20"/>
      <c r="I874" s="20"/>
    </row>
    <row r="875" spans="1:9" ht="14.25" customHeight="1" x14ac:dyDescent="0.35">
      <c r="A875" s="20"/>
      <c r="B875" s="20"/>
      <c r="C875" s="20"/>
      <c r="D875" s="20"/>
      <c r="E875" s="20"/>
      <c r="F875" s="20"/>
      <c r="G875" s="20"/>
      <c r="H875" s="20"/>
      <c r="I875" s="20"/>
    </row>
    <row r="876" spans="1:9" ht="14.25" customHeight="1" x14ac:dyDescent="0.35">
      <c r="A876" s="20"/>
      <c r="B876" s="20"/>
      <c r="C876" s="20"/>
      <c r="D876" s="20"/>
      <c r="E876" s="20"/>
      <c r="F876" s="20"/>
      <c r="G876" s="20"/>
      <c r="H876" s="20"/>
      <c r="I876" s="20"/>
    </row>
    <row r="877" spans="1:9" ht="14.25" customHeight="1" x14ac:dyDescent="0.35">
      <c r="A877" s="20"/>
      <c r="B877" s="20"/>
      <c r="C877" s="20"/>
      <c r="D877" s="20"/>
      <c r="E877" s="20"/>
      <c r="F877" s="20"/>
      <c r="G877" s="20"/>
      <c r="H877" s="20"/>
      <c r="I877" s="20"/>
    </row>
    <row r="878" spans="1:9" ht="14.25" customHeight="1" x14ac:dyDescent="0.35">
      <c r="A878" s="20"/>
      <c r="B878" s="20"/>
      <c r="C878" s="20"/>
      <c r="D878" s="20"/>
      <c r="E878" s="20"/>
      <c r="F878" s="20"/>
      <c r="G878" s="20"/>
      <c r="H878" s="20"/>
      <c r="I878" s="20"/>
    </row>
    <row r="879" spans="1:9" ht="14.25" customHeight="1" x14ac:dyDescent="0.35">
      <c r="A879" s="20"/>
      <c r="B879" s="20"/>
      <c r="C879" s="20"/>
      <c r="D879" s="20"/>
      <c r="E879" s="20"/>
      <c r="F879" s="20"/>
      <c r="G879" s="20"/>
      <c r="H879" s="20"/>
      <c r="I879" s="20"/>
    </row>
    <row r="880" spans="1:9" ht="14.25" customHeight="1" x14ac:dyDescent="0.35">
      <c r="A880" s="20"/>
      <c r="B880" s="20"/>
      <c r="C880" s="20"/>
      <c r="D880" s="20"/>
      <c r="E880" s="20"/>
      <c r="F880" s="20"/>
      <c r="G880" s="20"/>
      <c r="H880" s="20"/>
      <c r="I880" s="20"/>
    </row>
    <row r="881" spans="1:9" ht="14.25" customHeight="1" x14ac:dyDescent="0.35">
      <c r="A881" s="20"/>
      <c r="B881" s="20"/>
      <c r="C881" s="20"/>
      <c r="D881" s="20"/>
      <c r="E881" s="20"/>
      <c r="F881" s="20"/>
      <c r="G881" s="20"/>
      <c r="H881" s="20"/>
      <c r="I881" s="20"/>
    </row>
    <row r="882" spans="1:9" ht="14.25" customHeight="1" x14ac:dyDescent="0.35">
      <c r="A882" s="20"/>
      <c r="B882" s="20"/>
      <c r="C882" s="20"/>
      <c r="D882" s="20"/>
      <c r="E882" s="20"/>
      <c r="F882" s="20"/>
      <c r="G882" s="20"/>
      <c r="H882" s="20"/>
      <c r="I882" s="20"/>
    </row>
    <row r="883" spans="1:9" ht="14.25" customHeight="1" x14ac:dyDescent="0.35">
      <c r="A883" s="20"/>
      <c r="B883" s="20"/>
      <c r="C883" s="20"/>
      <c r="D883" s="20"/>
      <c r="E883" s="20"/>
      <c r="F883" s="20"/>
      <c r="G883" s="20"/>
      <c r="H883" s="20"/>
      <c r="I883" s="20"/>
    </row>
    <row r="884" spans="1:9" ht="14.25" customHeight="1" x14ac:dyDescent="0.35">
      <c r="A884" s="20"/>
      <c r="B884" s="20"/>
      <c r="C884" s="20"/>
      <c r="D884" s="20"/>
      <c r="E884" s="20"/>
      <c r="F884" s="20"/>
      <c r="G884" s="20"/>
      <c r="H884" s="20"/>
      <c r="I884" s="20"/>
    </row>
    <row r="885" spans="1:9" ht="14.25" customHeight="1" x14ac:dyDescent="0.35">
      <c r="A885" s="20"/>
      <c r="B885" s="20"/>
      <c r="C885" s="20"/>
      <c r="D885" s="20"/>
      <c r="E885" s="20"/>
      <c r="F885" s="20"/>
      <c r="G885" s="20"/>
      <c r="H885" s="20"/>
      <c r="I885" s="20"/>
    </row>
    <row r="886" spans="1:9" ht="14.25" customHeight="1" x14ac:dyDescent="0.35">
      <c r="A886" s="20"/>
      <c r="B886" s="20"/>
      <c r="C886" s="20"/>
      <c r="D886" s="20"/>
      <c r="E886" s="20"/>
      <c r="F886" s="20"/>
      <c r="G886" s="20"/>
      <c r="H886" s="20"/>
      <c r="I886" s="20"/>
    </row>
    <row r="887" spans="1:9" ht="14.25" customHeight="1" x14ac:dyDescent="0.35">
      <c r="A887" s="20"/>
      <c r="B887" s="20"/>
      <c r="C887" s="20"/>
      <c r="D887" s="20"/>
      <c r="E887" s="20"/>
      <c r="F887" s="20"/>
      <c r="G887" s="20"/>
      <c r="H887" s="20"/>
      <c r="I887" s="20"/>
    </row>
    <row r="888" spans="1:9" ht="14.25" customHeight="1" x14ac:dyDescent="0.35">
      <c r="A888" s="20"/>
      <c r="B888" s="20"/>
      <c r="C888" s="20"/>
      <c r="D888" s="20"/>
      <c r="E888" s="20"/>
      <c r="F888" s="20"/>
      <c r="G888" s="20"/>
      <c r="H888" s="20"/>
      <c r="I888" s="20"/>
    </row>
    <row r="889" spans="1:9" ht="14.25" customHeight="1" x14ac:dyDescent="0.35">
      <c r="A889" s="20"/>
      <c r="B889" s="20"/>
      <c r="C889" s="20"/>
      <c r="D889" s="20"/>
      <c r="E889" s="20"/>
      <c r="F889" s="20"/>
      <c r="G889" s="20"/>
      <c r="H889" s="20"/>
      <c r="I889" s="20"/>
    </row>
    <row r="890" spans="1:9" ht="14.25" customHeight="1" x14ac:dyDescent="0.35">
      <c r="A890" s="20"/>
      <c r="B890" s="20"/>
      <c r="C890" s="20"/>
      <c r="D890" s="20"/>
      <c r="E890" s="20"/>
      <c r="F890" s="20"/>
      <c r="G890" s="20"/>
      <c r="H890" s="20"/>
      <c r="I890" s="20"/>
    </row>
    <row r="891" spans="1:9" ht="14.25" customHeight="1" x14ac:dyDescent="0.35">
      <c r="A891" s="20"/>
      <c r="B891" s="20"/>
      <c r="C891" s="20"/>
      <c r="D891" s="20"/>
      <c r="E891" s="20"/>
      <c r="F891" s="20"/>
      <c r="G891" s="20"/>
      <c r="H891" s="20"/>
      <c r="I891" s="20"/>
    </row>
    <row r="892" spans="1:9" ht="14.25" customHeight="1" x14ac:dyDescent="0.35">
      <c r="A892" s="20"/>
      <c r="B892" s="20"/>
      <c r="C892" s="20"/>
      <c r="D892" s="20"/>
      <c r="E892" s="20"/>
      <c r="F892" s="20"/>
      <c r="G892" s="20"/>
      <c r="H892" s="20"/>
      <c r="I892" s="20"/>
    </row>
    <row r="893" spans="1:9" ht="14.25" customHeight="1" x14ac:dyDescent="0.35">
      <c r="A893" s="20"/>
      <c r="B893" s="20"/>
      <c r="C893" s="20"/>
      <c r="D893" s="20"/>
      <c r="E893" s="20"/>
      <c r="F893" s="20"/>
      <c r="G893" s="20"/>
      <c r="H893" s="20"/>
      <c r="I893" s="20"/>
    </row>
    <row r="894" spans="1:9" ht="14.25" customHeight="1" x14ac:dyDescent="0.35">
      <c r="A894" s="20"/>
      <c r="B894" s="20"/>
      <c r="C894" s="20"/>
      <c r="D894" s="20"/>
      <c r="E894" s="20"/>
      <c r="F894" s="20"/>
      <c r="G894" s="20"/>
      <c r="H894" s="20"/>
      <c r="I894" s="20"/>
    </row>
    <row r="895" spans="1:9" ht="14.25" customHeight="1" x14ac:dyDescent="0.35">
      <c r="A895" s="20"/>
      <c r="B895" s="20"/>
      <c r="C895" s="20"/>
      <c r="D895" s="20"/>
      <c r="E895" s="20"/>
      <c r="F895" s="20"/>
      <c r="G895" s="20"/>
      <c r="H895" s="20"/>
      <c r="I895" s="20"/>
    </row>
    <row r="896" spans="1:9" ht="14.25" customHeight="1" x14ac:dyDescent="0.35">
      <c r="A896" s="20"/>
      <c r="B896" s="20"/>
      <c r="C896" s="20"/>
      <c r="D896" s="20"/>
      <c r="E896" s="20"/>
      <c r="F896" s="20"/>
      <c r="G896" s="20"/>
      <c r="H896" s="20"/>
      <c r="I896" s="20"/>
    </row>
    <row r="897" spans="1:9" ht="14.25" customHeight="1" x14ac:dyDescent="0.35">
      <c r="A897" s="20"/>
      <c r="B897" s="20"/>
      <c r="C897" s="20"/>
      <c r="D897" s="20"/>
      <c r="E897" s="20"/>
      <c r="F897" s="20"/>
      <c r="G897" s="20"/>
      <c r="H897" s="20"/>
      <c r="I897" s="20"/>
    </row>
    <row r="898" spans="1:9" ht="14.25" customHeight="1" x14ac:dyDescent="0.35">
      <c r="A898" s="20"/>
      <c r="B898" s="20"/>
      <c r="C898" s="20"/>
      <c r="D898" s="20"/>
      <c r="E898" s="20"/>
      <c r="F898" s="20"/>
      <c r="G898" s="20"/>
      <c r="H898" s="20"/>
      <c r="I898" s="20"/>
    </row>
    <row r="899" spans="1:9" ht="14.25" customHeight="1" x14ac:dyDescent="0.35">
      <c r="A899" s="20"/>
      <c r="B899" s="20"/>
      <c r="C899" s="20"/>
      <c r="D899" s="20"/>
      <c r="E899" s="20"/>
      <c r="F899" s="20"/>
      <c r="G899" s="20"/>
      <c r="H899" s="20"/>
      <c r="I899" s="20"/>
    </row>
    <row r="900" spans="1:9" ht="14.25" customHeight="1" x14ac:dyDescent="0.35">
      <c r="A900" s="20"/>
      <c r="B900" s="20"/>
      <c r="C900" s="20"/>
      <c r="D900" s="20"/>
      <c r="E900" s="20"/>
      <c r="F900" s="20"/>
      <c r="G900" s="20"/>
      <c r="H900" s="20"/>
      <c r="I900" s="20"/>
    </row>
    <row r="901" spans="1:9" ht="14.25" customHeight="1" x14ac:dyDescent="0.35">
      <c r="A901" s="20"/>
      <c r="B901" s="20"/>
      <c r="C901" s="20"/>
      <c r="D901" s="20"/>
      <c r="E901" s="20"/>
      <c r="F901" s="20"/>
      <c r="G901" s="20"/>
      <c r="H901" s="20"/>
      <c r="I901" s="20"/>
    </row>
    <row r="902" spans="1:9" ht="14.25" customHeight="1" x14ac:dyDescent="0.35">
      <c r="A902" s="20"/>
      <c r="B902" s="20"/>
      <c r="C902" s="20"/>
      <c r="D902" s="20"/>
      <c r="E902" s="20"/>
      <c r="F902" s="20"/>
      <c r="G902" s="20"/>
      <c r="H902" s="20"/>
      <c r="I902" s="20"/>
    </row>
    <row r="903" spans="1:9" ht="14.25" customHeight="1" x14ac:dyDescent="0.35">
      <c r="A903" s="20"/>
      <c r="B903" s="20"/>
      <c r="C903" s="20"/>
      <c r="D903" s="20"/>
      <c r="E903" s="20"/>
      <c r="F903" s="20"/>
      <c r="G903" s="20"/>
      <c r="H903" s="20"/>
      <c r="I903" s="20"/>
    </row>
    <row r="904" spans="1:9" ht="14.25" customHeight="1" x14ac:dyDescent="0.35">
      <c r="A904" s="20"/>
      <c r="B904" s="20"/>
      <c r="C904" s="20"/>
      <c r="D904" s="20"/>
      <c r="E904" s="20"/>
      <c r="F904" s="20"/>
      <c r="G904" s="20"/>
      <c r="H904" s="20"/>
      <c r="I904" s="20"/>
    </row>
    <row r="905" spans="1:9" ht="14.25" customHeight="1" x14ac:dyDescent="0.35">
      <c r="A905" s="20"/>
      <c r="B905" s="20"/>
      <c r="C905" s="20"/>
      <c r="D905" s="20"/>
      <c r="E905" s="20"/>
      <c r="F905" s="20"/>
      <c r="G905" s="20"/>
      <c r="H905" s="20"/>
      <c r="I905" s="20"/>
    </row>
    <row r="906" spans="1:9" ht="14.25" customHeight="1" x14ac:dyDescent="0.35">
      <c r="A906" s="20"/>
      <c r="B906" s="20"/>
      <c r="C906" s="20"/>
      <c r="D906" s="20"/>
      <c r="E906" s="20"/>
      <c r="F906" s="20"/>
      <c r="G906" s="20"/>
      <c r="H906" s="20"/>
      <c r="I906" s="20"/>
    </row>
    <row r="907" spans="1:9" ht="14.25" customHeight="1" x14ac:dyDescent="0.35">
      <c r="A907" s="20"/>
      <c r="B907" s="20"/>
      <c r="C907" s="20"/>
      <c r="D907" s="20"/>
      <c r="E907" s="20"/>
      <c r="F907" s="20"/>
      <c r="G907" s="20"/>
      <c r="H907" s="20"/>
      <c r="I907" s="20"/>
    </row>
    <row r="908" spans="1:9" ht="14.25" customHeight="1" x14ac:dyDescent="0.35">
      <c r="A908" s="20"/>
      <c r="B908" s="20"/>
      <c r="C908" s="20"/>
      <c r="D908" s="20"/>
      <c r="E908" s="20"/>
      <c r="F908" s="20"/>
      <c r="G908" s="20"/>
      <c r="H908" s="20"/>
      <c r="I908" s="20"/>
    </row>
    <row r="909" spans="1:9" ht="14.25" customHeight="1" x14ac:dyDescent="0.35">
      <c r="A909" s="20"/>
      <c r="B909" s="20"/>
      <c r="C909" s="20"/>
      <c r="D909" s="20"/>
      <c r="E909" s="20"/>
      <c r="F909" s="20"/>
      <c r="G909" s="20"/>
      <c r="H909" s="20"/>
      <c r="I909" s="20"/>
    </row>
    <row r="910" spans="1:9" ht="14.25" customHeight="1" x14ac:dyDescent="0.35">
      <c r="A910" s="20"/>
      <c r="B910" s="20"/>
      <c r="C910" s="20"/>
      <c r="D910" s="20"/>
      <c r="E910" s="20"/>
      <c r="F910" s="20"/>
      <c r="G910" s="20"/>
      <c r="H910" s="20"/>
      <c r="I910" s="20"/>
    </row>
    <row r="911" spans="1:9" ht="14.25" customHeight="1" x14ac:dyDescent="0.35">
      <c r="A911" s="20"/>
      <c r="B911" s="20"/>
      <c r="C911" s="20"/>
      <c r="D911" s="20"/>
      <c r="E911" s="20"/>
      <c r="F911" s="20"/>
      <c r="G911" s="20"/>
      <c r="H911" s="20"/>
      <c r="I911" s="20"/>
    </row>
    <row r="912" spans="1:9" ht="14.25" customHeight="1" x14ac:dyDescent="0.35">
      <c r="A912" s="20"/>
      <c r="B912" s="20"/>
      <c r="C912" s="20"/>
      <c r="D912" s="20"/>
      <c r="E912" s="20"/>
      <c r="F912" s="20"/>
      <c r="G912" s="20"/>
      <c r="H912" s="20"/>
      <c r="I912" s="20"/>
    </row>
    <row r="913" spans="1:9" ht="14.25" customHeight="1" x14ac:dyDescent="0.35">
      <c r="A913" s="20"/>
      <c r="B913" s="20"/>
      <c r="C913" s="20"/>
      <c r="D913" s="20"/>
      <c r="E913" s="20"/>
      <c r="F913" s="20"/>
      <c r="G913" s="20"/>
      <c r="H913" s="20"/>
      <c r="I913" s="20"/>
    </row>
    <row r="914" spans="1:9" ht="14.25" customHeight="1" x14ac:dyDescent="0.35">
      <c r="A914" s="20"/>
      <c r="B914" s="20"/>
      <c r="C914" s="20"/>
      <c r="D914" s="20"/>
      <c r="E914" s="20"/>
      <c r="F914" s="20"/>
      <c r="G914" s="20"/>
      <c r="H914" s="20"/>
      <c r="I914" s="20"/>
    </row>
    <row r="915" spans="1:9" ht="14.25" customHeight="1" x14ac:dyDescent="0.35">
      <c r="A915" s="20"/>
      <c r="B915" s="20"/>
      <c r="C915" s="20"/>
      <c r="D915" s="20"/>
      <c r="E915" s="20"/>
      <c r="F915" s="20"/>
      <c r="G915" s="20"/>
      <c r="H915" s="20"/>
      <c r="I915" s="20"/>
    </row>
    <row r="916" spans="1:9" ht="14.25" customHeight="1" x14ac:dyDescent="0.35">
      <c r="A916" s="20"/>
      <c r="B916" s="20"/>
      <c r="C916" s="20"/>
      <c r="D916" s="20"/>
      <c r="E916" s="20"/>
      <c r="F916" s="20"/>
      <c r="G916" s="20"/>
      <c r="H916" s="20"/>
      <c r="I916" s="20"/>
    </row>
    <row r="917" spans="1:9" ht="14.25" customHeight="1" x14ac:dyDescent="0.35">
      <c r="A917" s="20"/>
      <c r="B917" s="20"/>
      <c r="C917" s="20"/>
      <c r="D917" s="20"/>
      <c r="E917" s="20"/>
      <c r="F917" s="20"/>
      <c r="G917" s="20"/>
      <c r="H917" s="20"/>
      <c r="I917" s="20"/>
    </row>
    <row r="918" spans="1:9" ht="14.25" customHeight="1" x14ac:dyDescent="0.35">
      <c r="A918" s="20"/>
      <c r="B918" s="20"/>
      <c r="C918" s="20"/>
      <c r="D918" s="20"/>
      <c r="E918" s="20"/>
      <c r="F918" s="20"/>
      <c r="G918" s="20"/>
      <c r="H918" s="20"/>
      <c r="I918" s="20"/>
    </row>
    <row r="919" spans="1:9" ht="14.25" customHeight="1" x14ac:dyDescent="0.35">
      <c r="A919" s="20"/>
      <c r="B919" s="20"/>
      <c r="C919" s="20"/>
      <c r="D919" s="20"/>
      <c r="E919" s="20"/>
      <c r="F919" s="20"/>
      <c r="G919" s="20"/>
      <c r="H919" s="20"/>
      <c r="I919" s="20"/>
    </row>
    <row r="920" spans="1:9" ht="14.25" customHeight="1" x14ac:dyDescent="0.35">
      <c r="A920" s="20"/>
      <c r="B920" s="20"/>
      <c r="C920" s="20"/>
      <c r="D920" s="20"/>
      <c r="E920" s="20"/>
      <c r="F920" s="20"/>
      <c r="G920" s="20"/>
      <c r="H920" s="20"/>
      <c r="I920" s="20"/>
    </row>
    <row r="921" spans="1:9" ht="14.25" customHeight="1" x14ac:dyDescent="0.35">
      <c r="A921" s="20"/>
      <c r="B921" s="20"/>
      <c r="C921" s="20"/>
      <c r="D921" s="20"/>
      <c r="E921" s="20"/>
      <c r="F921" s="20"/>
      <c r="G921" s="20"/>
      <c r="H921" s="20"/>
      <c r="I921" s="20"/>
    </row>
    <row r="922" spans="1:9" ht="14.25" customHeight="1" x14ac:dyDescent="0.35">
      <c r="A922" s="20"/>
      <c r="B922" s="20"/>
      <c r="C922" s="20"/>
      <c r="D922" s="20"/>
      <c r="E922" s="20"/>
      <c r="F922" s="20"/>
      <c r="G922" s="20"/>
      <c r="H922" s="20"/>
      <c r="I922" s="20"/>
    </row>
    <row r="923" spans="1:9" ht="14.25" customHeight="1" x14ac:dyDescent="0.35">
      <c r="A923" s="20"/>
      <c r="B923" s="20"/>
      <c r="C923" s="20"/>
      <c r="D923" s="20"/>
      <c r="E923" s="20"/>
      <c r="F923" s="20"/>
      <c r="G923" s="20"/>
      <c r="H923" s="20"/>
      <c r="I923" s="20"/>
    </row>
    <row r="924" spans="1:9" ht="14.25" customHeight="1" x14ac:dyDescent="0.35">
      <c r="A924" s="20"/>
      <c r="B924" s="20"/>
      <c r="C924" s="20"/>
      <c r="D924" s="20"/>
      <c r="E924" s="20"/>
      <c r="F924" s="20"/>
      <c r="G924" s="20"/>
      <c r="H924" s="20"/>
      <c r="I924" s="20"/>
    </row>
    <row r="925" spans="1:9" ht="14.25" customHeight="1" x14ac:dyDescent="0.35">
      <c r="A925" s="20"/>
      <c r="B925" s="20"/>
      <c r="C925" s="20"/>
      <c r="D925" s="20"/>
      <c r="E925" s="20"/>
      <c r="F925" s="20"/>
      <c r="G925" s="20"/>
      <c r="H925" s="20"/>
      <c r="I925" s="20"/>
    </row>
    <row r="926" spans="1:9" ht="14.25" customHeight="1" x14ac:dyDescent="0.35">
      <c r="A926" s="20"/>
      <c r="B926" s="20"/>
      <c r="C926" s="20"/>
      <c r="D926" s="20"/>
      <c r="E926" s="20"/>
      <c r="F926" s="20"/>
      <c r="G926" s="20"/>
      <c r="H926" s="20"/>
      <c r="I926" s="20"/>
    </row>
    <row r="927" spans="1:9" ht="14.25" customHeight="1" x14ac:dyDescent="0.35">
      <c r="A927" s="20"/>
      <c r="B927" s="20"/>
      <c r="C927" s="20"/>
      <c r="D927" s="20"/>
      <c r="E927" s="20"/>
      <c r="F927" s="20"/>
      <c r="G927" s="20"/>
      <c r="H927" s="20"/>
      <c r="I927" s="20"/>
    </row>
    <row r="928" spans="1:9" ht="14.25" customHeight="1" x14ac:dyDescent="0.35">
      <c r="A928" s="20"/>
      <c r="B928" s="20"/>
      <c r="C928" s="20"/>
      <c r="D928" s="20"/>
      <c r="E928" s="20"/>
      <c r="F928" s="20"/>
      <c r="G928" s="20"/>
      <c r="H928" s="20"/>
      <c r="I928" s="20"/>
    </row>
    <row r="929" spans="1:9" ht="14.25" customHeight="1" x14ac:dyDescent="0.35">
      <c r="A929" s="20"/>
      <c r="B929" s="20"/>
      <c r="C929" s="20"/>
      <c r="D929" s="20"/>
      <c r="E929" s="20"/>
      <c r="F929" s="20"/>
      <c r="G929" s="20"/>
      <c r="H929" s="20"/>
      <c r="I929" s="20"/>
    </row>
    <row r="930" spans="1:9" ht="14.25" customHeight="1" x14ac:dyDescent="0.35">
      <c r="A930" s="20"/>
      <c r="B930" s="20"/>
      <c r="C930" s="20"/>
      <c r="D930" s="20"/>
      <c r="E930" s="20"/>
      <c r="F930" s="20"/>
      <c r="G930" s="20"/>
      <c r="H930" s="20"/>
      <c r="I930" s="20"/>
    </row>
    <row r="931" spans="1:9" ht="14.25" customHeight="1" x14ac:dyDescent="0.35">
      <c r="A931" s="20"/>
      <c r="B931" s="20"/>
      <c r="C931" s="20"/>
      <c r="D931" s="20"/>
      <c r="E931" s="20"/>
      <c r="F931" s="20"/>
      <c r="G931" s="20"/>
      <c r="H931" s="20"/>
      <c r="I931" s="20"/>
    </row>
    <row r="932" spans="1:9" ht="14.25" customHeight="1" x14ac:dyDescent="0.35">
      <c r="A932" s="20"/>
      <c r="B932" s="20"/>
      <c r="C932" s="20"/>
      <c r="D932" s="20"/>
      <c r="E932" s="20"/>
      <c r="F932" s="20"/>
      <c r="G932" s="20"/>
      <c r="H932" s="20"/>
      <c r="I932" s="20"/>
    </row>
    <row r="933" spans="1:9" ht="14.25" customHeight="1" x14ac:dyDescent="0.35">
      <c r="A933" s="20"/>
      <c r="B933" s="20"/>
      <c r="C933" s="20"/>
      <c r="D933" s="20"/>
      <c r="E933" s="20"/>
      <c r="F933" s="20"/>
      <c r="G933" s="20"/>
      <c r="H933" s="20"/>
      <c r="I933" s="20"/>
    </row>
    <row r="934" spans="1:9" ht="14.25" customHeight="1" x14ac:dyDescent="0.35">
      <c r="A934" s="20"/>
      <c r="B934" s="20"/>
      <c r="C934" s="20"/>
      <c r="D934" s="20"/>
      <c r="E934" s="20"/>
      <c r="F934" s="20"/>
      <c r="G934" s="20"/>
      <c r="H934" s="20"/>
      <c r="I934" s="20"/>
    </row>
    <row r="935" spans="1:9" ht="14.25" customHeight="1" x14ac:dyDescent="0.35">
      <c r="A935" s="20"/>
      <c r="B935" s="20"/>
      <c r="C935" s="20"/>
      <c r="D935" s="20"/>
      <c r="E935" s="20"/>
      <c r="F935" s="20"/>
      <c r="G935" s="20"/>
      <c r="H935" s="20"/>
      <c r="I935" s="20"/>
    </row>
    <row r="936" spans="1:9" ht="14.25" customHeight="1" x14ac:dyDescent="0.35">
      <c r="A936" s="20"/>
      <c r="B936" s="20"/>
      <c r="C936" s="20"/>
      <c r="D936" s="20"/>
      <c r="E936" s="20"/>
      <c r="F936" s="20"/>
      <c r="G936" s="20"/>
      <c r="H936" s="20"/>
      <c r="I936" s="20"/>
    </row>
    <row r="937" spans="1:9" ht="14.25" customHeight="1" x14ac:dyDescent="0.35">
      <c r="A937" s="20"/>
      <c r="B937" s="20"/>
      <c r="C937" s="20"/>
      <c r="D937" s="20"/>
      <c r="E937" s="20"/>
      <c r="F937" s="20"/>
      <c r="G937" s="20"/>
      <c r="H937" s="20"/>
      <c r="I937" s="20"/>
    </row>
    <row r="938" spans="1:9" ht="14.25" customHeight="1" x14ac:dyDescent="0.35">
      <c r="A938" s="20"/>
      <c r="B938" s="20"/>
      <c r="C938" s="20"/>
      <c r="D938" s="20"/>
      <c r="E938" s="20"/>
      <c r="F938" s="20"/>
      <c r="G938" s="20"/>
      <c r="H938" s="20"/>
      <c r="I938" s="20"/>
    </row>
    <row r="939" spans="1:9" ht="14.25" customHeight="1" x14ac:dyDescent="0.35">
      <c r="A939" s="20"/>
      <c r="B939" s="20"/>
      <c r="C939" s="20"/>
      <c r="D939" s="20"/>
      <c r="E939" s="20"/>
      <c r="F939" s="20"/>
      <c r="G939" s="20"/>
      <c r="H939" s="20"/>
      <c r="I939" s="20"/>
    </row>
    <row r="940" spans="1:9" ht="14.25" customHeight="1" x14ac:dyDescent="0.35">
      <c r="A940" s="20"/>
      <c r="B940" s="20"/>
      <c r="C940" s="20"/>
      <c r="D940" s="20"/>
      <c r="E940" s="20"/>
      <c r="F940" s="20"/>
      <c r="G940" s="20"/>
      <c r="H940" s="20"/>
      <c r="I940" s="20"/>
    </row>
    <row r="941" spans="1:9" ht="14.25" customHeight="1" x14ac:dyDescent="0.35">
      <c r="A941" s="20"/>
      <c r="B941" s="20"/>
      <c r="C941" s="20"/>
      <c r="D941" s="20"/>
      <c r="E941" s="20"/>
      <c r="F941" s="20"/>
      <c r="G941" s="20"/>
      <c r="H941" s="20"/>
      <c r="I941" s="20"/>
    </row>
    <row r="942" spans="1:9" ht="14.25" customHeight="1" x14ac:dyDescent="0.35">
      <c r="A942" s="20"/>
      <c r="B942" s="20"/>
      <c r="C942" s="20"/>
      <c r="D942" s="20"/>
      <c r="E942" s="20"/>
      <c r="F942" s="20"/>
      <c r="G942" s="20"/>
      <c r="H942" s="20"/>
      <c r="I942" s="20"/>
    </row>
    <row r="943" spans="1:9" ht="14.25" customHeight="1" x14ac:dyDescent="0.35">
      <c r="A943" s="20"/>
      <c r="B943" s="20"/>
      <c r="C943" s="20"/>
      <c r="D943" s="20"/>
      <c r="E943" s="20"/>
      <c r="F943" s="20"/>
      <c r="G943" s="20"/>
      <c r="H943" s="20"/>
      <c r="I943" s="20"/>
    </row>
    <row r="944" spans="1:9" ht="14.25" customHeight="1" x14ac:dyDescent="0.35">
      <c r="A944" s="20"/>
      <c r="B944" s="20"/>
      <c r="C944" s="20"/>
      <c r="D944" s="20"/>
      <c r="E944" s="20"/>
      <c r="F944" s="20"/>
      <c r="G944" s="20"/>
      <c r="H944" s="20"/>
      <c r="I944" s="20"/>
    </row>
    <row r="945" spans="1:9" ht="14.25" customHeight="1" x14ac:dyDescent="0.35">
      <c r="A945" s="20"/>
      <c r="B945" s="20"/>
      <c r="C945" s="20"/>
      <c r="D945" s="20"/>
      <c r="E945" s="20"/>
      <c r="F945" s="20"/>
      <c r="G945" s="20"/>
      <c r="H945" s="20"/>
      <c r="I945" s="20"/>
    </row>
    <row r="946" spans="1:9" ht="14.25" customHeight="1" x14ac:dyDescent="0.35">
      <c r="A946" s="20"/>
      <c r="B946" s="20"/>
      <c r="C946" s="20"/>
      <c r="D946" s="20"/>
      <c r="E946" s="20"/>
      <c r="F946" s="20"/>
      <c r="G946" s="20"/>
      <c r="H946" s="20"/>
      <c r="I946" s="20"/>
    </row>
    <row r="947" spans="1:9" ht="14.25" customHeight="1" x14ac:dyDescent="0.35">
      <c r="A947" s="20"/>
      <c r="B947" s="20"/>
      <c r="C947" s="20"/>
      <c r="D947" s="20"/>
      <c r="E947" s="20"/>
      <c r="F947" s="20"/>
      <c r="G947" s="20"/>
      <c r="H947" s="20"/>
      <c r="I947" s="20"/>
    </row>
    <row r="948" spans="1:9" ht="14.25" customHeight="1" x14ac:dyDescent="0.35">
      <c r="A948" s="20"/>
      <c r="B948" s="20"/>
      <c r="C948" s="20"/>
      <c r="D948" s="20"/>
      <c r="E948" s="20"/>
      <c r="F948" s="20"/>
      <c r="G948" s="20"/>
      <c r="H948" s="20"/>
      <c r="I948" s="20"/>
    </row>
    <row r="949" spans="1:9" ht="14.25" customHeight="1" x14ac:dyDescent="0.35">
      <c r="A949" s="20"/>
      <c r="B949" s="20"/>
      <c r="C949" s="20"/>
      <c r="D949" s="20"/>
      <c r="E949" s="20"/>
      <c r="F949" s="20"/>
      <c r="G949" s="20"/>
      <c r="H949" s="20"/>
      <c r="I949" s="20"/>
    </row>
    <row r="950" spans="1:9" ht="14.25" customHeight="1" x14ac:dyDescent="0.35">
      <c r="A950" s="20"/>
      <c r="B950" s="20"/>
      <c r="C950" s="20"/>
      <c r="D950" s="20"/>
      <c r="E950" s="20"/>
      <c r="F950" s="20"/>
      <c r="G950" s="20"/>
      <c r="H950" s="20"/>
      <c r="I950" s="20"/>
    </row>
    <row r="951" spans="1:9" ht="14.25" customHeight="1" x14ac:dyDescent="0.35">
      <c r="A951" s="20"/>
      <c r="B951" s="20"/>
      <c r="C951" s="20"/>
      <c r="D951" s="20"/>
      <c r="E951" s="20"/>
      <c r="F951" s="20"/>
      <c r="G951" s="20"/>
      <c r="H951" s="20"/>
      <c r="I951" s="20"/>
    </row>
    <row r="952" spans="1:9" ht="14.25" customHeight="1" x14ac:dyDescent="0.35">
      <c r="A952" s="20"/>
      <c r="B952" s="20"/>
      <c r="C952" s="20"/>
      <c r="D952" s="20"/>
      <c r="E952" s="20"/>
      <c r="F952" s="20"/>
      <c r="G952" s="20"/>
      <c r="H952" s="20"/>
      <c r="I952" s="20"/>
    </row>
    <row r="953" spans="1:9" ht="14.25" customHeight="1" x14ac:dyDescent="0.35">
      <c r="A953" s="20"/>
      <c r="B953" s="20"/>
      <c r="C953" s="20"/>
      <c r="D953" s="20"/>
      <c r="E953" s="20"/>
      <c r="F953" s="20"/>
      <c r="G953" s="20"/>
      <c r="H953" s="20"/>
      <c r="I953" s="20"/>
    </row>
    <row r="954" spans="1:9" ht="14.25" customHeight="1" x14ac:dyDescent="0.35">
      <c r="A954" s="20"/>
      <c r="B954" s="20"/>
      <c r="C954" s="20"/>
      <c r="D954" s="20"/>
      <c r="E954" s="20"/>
      <c r="F954" s="20"/>
      <c r="G954" s="20"/>
      <c r="H954" s="20"/>
      <c r="I954" s="20"/>
    </row>
    <row r="955" spans="1:9" ht="14.25" customHeight="1" x14ac:dyDescent="0.35">
      <c r="A955" s="20"/>
      <c r="B955" s="20"/>
      <c r="C955" s="20"/>
      <c r="D955" s="20"/>
      <c r="E955" s="20"/>
      <c r="F955" s="20"/>
      <c r="G955" s="20"/>
      <c r="H955" s="20"/>
      <c r="I955" s="20"/>
    </row>
    <row r="956" spans="1:9" ht="14.25" customHeight="1" x14ac:dyDescent="0.35">
      <c r="A956" s="20"/>
      <c r="B956" s="20"/>
      <c r="C956" s="20"/>
      <c r="D956" s="20"/>
      <c r="E956" s="20"/>
      <c r="F956" s="20"/>
      <c r="G956" s="20"/>
      <c r="H956" s="20"/>
      <c r="I956" s="20"/>
    </row>
    <row r="957" spans="1:9" ht="14.25" customHeight="1" x14ac:dyDescent="0.35">
      <c r="A957" s="20"/>
      <c r="B957" s="20"/>
      <c r="C957" s="20"/>
      <c r="D957" s="20"/>
      <c r="E957" s="20"/>
      <c r="F957" s="20"/>
      <c r="G957" s="20"/>
      <c r="H957" s="20"/>
      <c r="I957" s="20"/>
    </row>
    <row r="958" spans="1:9" ht="14.25" customHeight="1" x14ac:dyDescent="0.35">
      <c r="A958" s="20"/>
      <c r="B958" s="20"/>
      <c r="C958" s="20"/>
      <c r="D958" s="20"/>
      <c r="E958" s="20"/>
      <c r="F958" s="20"/>
      <c r="G958" s="20"/>
      <c r="H958" s="20"/>
      <c r="I958" s="20"/>
    </row>
    <row r="959" spans="1:9" ht="14.25" customHeight="1" x14ac:dyDescent="0.35">
      <c r="A959" s="20"/>
      <c r="B959" s="20"/>
      <c r="C959" s="20"/>
      <c r="D959" s="20"/>
      <c r="E959" s="20"/>
      <c r="F959" s="20"/>
      <c r="G959" s="20"/>
      <c r="H959" s="20"/>
      <c r="I959" s="20"/>
    </row>
    <row r="960" spans="1:9" ht="14.25" customHeight="1" x14ac:dyDescent="0.35">
      <c r="A960" s="20"/>
      <c r="B960" s="20"/>
      <c r="C960" s="20"/>
      <c r="D960" s="20"/>
      <c r="E960" s="20"/>
      <c r="F960" s="20"/>
      <c r="G960" s="20"/>
      <c r="H960" s="20"/>
      <c r="I960" s="20"/>
    </row>
    <row r="961" spans="1:9" ht="14.25" customHeight="1" x14ac:dyDescent="0.35">
      <c r="A961" s="20"/>
      <c r="B961" s="20"/>
      <c r="C961" s="20"/>
      <c r="D961" s="20"/>
      <c r="E961" s="20"/>
      <c r="F961" s="20"/>
      <c r="G961" s="20"/>
      <c r="H961" s="20"/>
      <c r="I961" s="20"/>
    </row>
    <row r="962" spans="1:9" ht="14.25" customHeight="1" x14ac:dyDescent="0.35">
      <c r="A962" s="20"/>
      <c r="B962" s="20"/>
      <c r="C962" s="20"/>
      <c r="D962" s="20"/>
      <c r="E962" s="20"/>
      <c r="F962" s="20"/>
      <c r="G962" s="20"/>
      <c r="H962" s="20"/>
      <c r="I962" s="20"/>
    </row>
    <row r="963" spans="1:9" ht="14.25" customHeight="1" x14ac:dyDescent="0.35">
      <c r="A963" s="20"/>
      <c r="B963" s="20"/>
      <c r="C963" s="20"/>
      <c r="D963" s="20"/>
      <c r="E963" s="20"/>
      <c r="F963" s="20"/>
      <c r="G963" s="20"/>
      <c r="H963" s="20"/>
      <c r="I963" s="20"/>
    </row>
    <row r="964" spans="1:9" ht="14.25" customHeight="1" x14ac:dyDescent="0.35">
      <c r="A964" s="20"/>
      <c r="B964" s="20"/>
      <c r="C964" s="20"/>
      <c r="D964" s="20"/>
      <c r="E964" s="20"/>
      <c r="F964" s="20"/>
      <c r="G964" s="20"/>
      <c r="H964" s="20"/>
      <c r="I964" s="20"/>
    </row>
    <row r="965" spans="1:9" ht="14.25" customHeight="1" x14ac:dyDescent="0.35">
      <c r="A965" s="20"/>
      <c r="B965" s="20"/>
      <c r="C965" s="20"/>
      <c r="D965" s="20"/>
      <c r="E965" s="20"/>
      <c r="F965" s="20"/>
      <c r="G965" s="20"/>
      <c r="H965" s="20"/>
      <c r="I965" s="20"/>
    </row>
    <row r="966" spans="1:9" ht="14.25" customHeight="1" x14ac:dyDescent="0.35">
      <c r="A966" s="20"/>
      <c r="B966" s="20"/>
      <c r="C966" s="20"/>
      <c r="D966" s="20"/>
      <c r="E966" s="20"/>
      <c r="F966" s="20"/>
      <c r="G966" s="20"/>
      <c r="H966" s="20"/>
      <c r="I966" s="20"/>
    </row>
    <row r="967" spans="1:9" ht="14.25" customHeight="1" x14ac:dyDescent="0.35">
      <c r="A967" s="20"/>
      <c r="B967" s="20"/>
      <c r="C967" s="20"/>
      <c r="D967" s="20"/>
      <c r="E967" s="20"/>
      <c r="F967" s="20"/>
      <c r="G967" s="20"/>
      <c r="H967" s="20"/>
      <c r="I967" s="20"/>
    </row>
    <row r="968" spans="1:9" ht="14.25" customHeight="1" x14ac:dyDescent="0.35">
      <c r="A968" s="20"/>
      <c r="B968" s="20"/>
      <c r="C968" s="20"/>
      <c r="D968" s="20"/>
      <c r="E968" s="20"/>
      <c r="F968" s="20"/>
      <c r="G968" s="20"/>
      <c r="H968" s="20"/>
      <c r="I968" s="20"/>
    </row>
    <row r="969" spans="1:9" ht="14.25" customHeight="1" x14ac:dyDescent="0.35">
      <c r="A969" s="20"/>
      <c r="B969" s="20"/>
      <c r="C969" s="20"/>
      <c r="D969" s="20"/>
      <c r="E969" s="20"/>
      <c r="F969" s="20"/>
      <c r="G969" s="20"/>
      <c r="H969" s="20"/>
      <c r="I969" s="20"/>
    </row>
    <row r="970" spans="1:9" ht="14.25" customHeight="1" x14ac:dyDescent="0.35">
      <c r="A970" s="20"/>
      <c r="B970" s="20"/>
      <c r="C970" s="20"/>
      <c r="D970" s="20"/>
      <c r="E970" s="20"/>
      <c r="F970" s="20"/>
      <c r="G970" s="20"/>
      <c r="H970" s="20"/>
      <c r="I970" s="20"/>
    </row>
    <row r="971" spans="1:9" ht="14.25" customHeight="1" x14ac:dyDescent="0.35">
      <c r="A971" s="20"/>
      <c r="B971" s="20"/>
      <c r="C971" s="20"/>
      <c r="D971" s="20"/>
      <c r="E971" s="20"/>
      <c r="F971" s="20"/>
      <c r="G971" s="20"/>
      <c r="H971" s="20"/>
      <c r="I971" s="20"/>
    </row>
    <row r="972" spans="1:9" ht="14.25" customHeight="1" x14ac:dyDescent="0.35">
      <c r="A972" s="20"/>
      <c r="B972" s="20"/>
      <c r="C972" s="20"/>
      <c r="D972" s="20"/>
      <c r="E972" s="20"/>
      <c r="F972" s="20"/>
      <c r="G972" s="20"/>
      <c r="H972" s="20"/>
      <c r="I972" s="20"/>
    </row>
    <row r="973" spans="1:9" ht="14.25" customHeight="1" x14ac:dyDescent="0.35">
      <c r="A973" s="20"/>
      <c r="B973" s="20"/>
      <c r="C973" s="20"/>
      <c r="D973" s="20"/>
      <c r="E973" s="20"/>
      <c r="F973" s="20"/>
      <c r="G973" s="20"/>
      <c r="H973" s="20"/>
      <c r="I973" s="20"/>
    </row>
    <row r="974" spans="1:9" ht="14.25" customHeight="1" x14ac:dyDescent="0.35">
      <c r="A974" s="20"/>
      <c r="B974" s="20"/>
      <c r="C974" s="20"/>
      <c r="D974" s="20"/>
      <c r="E974" s="20"/>
      <c r="F974" s="20"/>
      <c r="G974" s="20"/>
      <c r="H974" s="20"/>
      <c r="I974" s="20"/>
    </row>
    <row r="975" spans="1:9" ht="14.25" customHeight="1" x14ac:dyDescent="0.35">
      <c r="A975" s="20"/>
      <c r="B975" s="20"/>
      <c r="C975" s="20"/>
      <c r="D975" s="20"/>
      <c r="E975" s="20"/>
      <c r="F975" s="20"/>
      <c r="G975" s="20"/>
      <c r="H975" s="20"/>
      <c r="I975" s="20"/>
    </row>
    <row r="976" spans="1:9" ht="14.25" customHeight="1" x14ac:dyDescent="0.35">
      <c r="A976" s="20"/>
      <c r="B976" s="20"/>
      <c r="C976" s="20"/>
      <c r="D976" s="20"/>
      <c r="E976" s="20"/>
      <c r="F976" s="20"/>
      <c r="G976" s="20"/>
      <c r="H976" s="20"/>
      <c r="I976" s="20"/>
    </row>
    <row r="977" spans="1:9" ht="14.25" customHeight="1" x14ac:dyDescent="0.35">
      <c r="A977" s="20"/>
      <c r="B977" s="20"/>
      <c r="C977" s="20"/>
      <c r="D977" s="20"/>
      <c r="E977" s="20"/>
      <c r="F977" s="20"/>
      <c r="G977" s="20"/>
      <c r="H977" s="20"/>
      <c r="I977" s="20"/>
    </row>
    <row r="978" spans="1:9" ht="14.25" customHeight="1" x14ac:dyDescent="0.35">
      <c r="A978" s="20"/>
      <c r="B978" s="20"/>
      <c r="C978" s="20"/>
      <c r="D978" s="20"/>
      <c r="E978" s="20"/>
      <c r="F978" s="20"/>
      <c r="G978" s="20"/>
      <c r="H978" s="20"/>
      <c r="I978" s="20"/>
    </row>
    <row r="979" spans="1:9" ht="14.25" customHeight="1" x14ac:dyDescent="0.35">
      <c r="A979" s="20"/>
      <c r="B979" s="20"/>
      <c r="C979" s="20"/>
      <c r="D979" s="20"/>
      <c r="E979" s="20"/>
      <c r="F979" s="20"/>
      <c r="G979" s="20"/>
      <c r="H979" s="20"/>
      <c r="I979" s="20"/>
    </row>
    <row r="980" spans="1:9" ht="14.25" customHeight="1" x14ac:dyDescent="0.35">
      <c r="A980" s="20"/>
      <c r="B980" s="20"/>
      <c r="C980" s="20"/>
      <c r="D980" s="20"/>
      <c r="E980" s="20"/>
      <c r="F980" s="20"/>
      <c r="G980" s="20"/>
      <c r="H980" s="20"/>
      <c r="I980" s="20"/>
    </row>
    <row r="981" spans="1:9" ht="14.25" customHeight="1" x14ac:dyDescent="0.35">
      <c r="A981" s="20"/>
      <c r="B981" s="20"/>
      <c r="C981" s="20"/>
      <c r="D981" s="20"/>
      <c r="E981" s="20"/>
      <c r="F981" s="20"/>
      <c r="G981" s="20"/>
      <c r="H981" s="20"/>
      <c r="I981" s="20"/>
    </row>
    <row r="982" spans="1:9" ht="14.25" customHeight="1" x14ac:dyDescent="0.35">
      <c r="A982" s="20"/>
      <c r="B982" s="20"/>
      <c r="C982" s="20"/>
      <c r="D982" s="20"/>
      <c r="E982" s="20"/>
      <c r="F982" s="20"/>
      <c r="G982" s="20"/>
      <c r="H982" s="20"/>
      <c r="I982" s="20"/>
    </row>
    <row r="983" spans="1:9" ht="14.25" customHeight="1" x14ac:dyDescent="0.35">
      <c r="A983" s="20"/>
      <c r="B983" s="20"/>
      <c r="C983" s="20"/>
      <c r="D983" s="20"/>
      <c r="E983" s="20"/>
      <c r="F983" s="20"/>
      <c r="G983" s="20"/>
      <c r="H983" s="20"/>
      <c r="I983" s="20"/>
    </row>
    <row r="984" spans="1:9" ht="14.25" customHeight="1" x14ac:dyDescent="0.35">
      <c r="A984" s="20"/>
      <c r="B984" s="20"/>
      <c r="C984" s="20"/>
      <c r="D984" s="20"/>
      <c r="E984" s="20"/>
      <c r="F984" s="20"/>
      <c r="G984" s="20"/>
      <c r="H984" s="20"/>
      <c r="I984" s="20"/>
    </row>
    <row r="985" spans="1:9" ht="14.25" customHeight="1" x14ac:dyDescent="0.35">
      <c r="A985" s="20"/>
      <c r="B985" s="20"/>
      <c r="C985" s="20"/>
      <c r="D985" s="20"/>
      <c r="E985" s="20"/>
      <c r="F985" s="20"/>
      <c r="G985" s="20"/>
      <c r="H985" s="20"/>
      <c r="I985" s="20"/>
    </row>
    <row r="986" spans="1:9" ht="14.25" customHeight="1" x14ac:dyDescent="0.35">
      <c r="A986" s="20"/>
      <c r="B986" s="20"/>
      <c r="C986" s="20"/>
      <c r="D986" s="20"/>
      <c r="E986" s="20"/>
      <c r="F986" s="20"/>
      <c r="G986" s="20"/>
      <c r="H986" s="20"/>
      <c r="I986" s="20"/>
    </row>
    <row r="987" spans="1:9" ht="14.25" customHeight="1" x14ac:dyDescent="0.35">
      <c r="A987" s="20"/>
      <c r="B987" s="20"/>
      <c r="C987" s="20"/>
      <c r="D987" s="20"/>
      <c r="E987" s="20"/>
      <c r="F987" s="20"/>
      <c r="G987" s="20"/>
      <c r="H987" s="20"/>
      <c r="I987" s="20"/>
    </row>
    <row r="988" spans="1:9" ht="14.25" customHeight="1" x14ac:dyDescent="0.35">
      <c r="A988" s="20"/>
      <c r="B988" s="20"/>
      <c r="C988" s="20"/>
      <c r="D988" s="20"/>
      <c r="E988" s="20"/>
      <c r="F988" s="20"/>
      <c r="G988" s="20"/>
      <c r="H988" s="20"/>
      <c r="I988" s="20"/>
    </row>
    <row r="989" spans="1:9" ht="14.25" customHeight="1" x14ac:dyDescent="0.35">
      <c r="A989" s="20"/>
      <c r="B989" s="20"/>
      <c r="C989" s="20"/>
      <c r="D989" s="20"/>
      <c r="E989" s="20"/>
      <c r="F989" s="20"/>
      <c r="G989" s="20"/>
      <c r="H989" s="20"/>
      <c r="I989" s="20"/>
    </row>
    <row r="990" spans="1:9" ht="14.25" customHeight="1" x14ac:dyDescent="0.35">
      <c r="A990" s="20"/>
      <c r="B990" s="20"/>
      <c r="C990" s="20"/>
      <c r="D990" s="20"/>
      <c r="E990" s="20"/>
      <c r="F990" s="20"/>
      <c r="G990" s="20"/>
      <c r="H990" s="20"/>
      <c r="I990" s="20"/>
    </row>
    <row r="991" spans="1:9" ht="14.25" customHeight="1" x14ac:dyDescent="0.35">
      <c r="A991" s="20"/>
      <c r="B991" s="20"/>
      <c r="C991" s="20"/>
      <c r="D991" s="20"/>
      <c r="E991" s="20"/>
      <c r="F991" s="20"/>
      <c r="G991" s="20"/>
      <c r="H991" s="20"/>
      <c r="I991" s="20"/>
    </row>
    <row r="992" spans="1:9" ht="14.25" customHeight="1" x14ac:dyDescent="0.35">
      <c r="A992" s="20"/>
      <c r="B992" s="20"/>
      <c r="C992" s="20"/>
      <c r="D992" s="20"/>
      <c r="E992" s="20"/>
      <c r="F992" s="20"/>
      <c r="G992" s="20"/>
      <c r="H992" s="20"/>
      <c r="I992" s="20"/>
    </row>
    <row r="993" spans="1:9" ht="14.25" customHeight="1" x14ac:dyDescent="0.35">
      <c r="A993" s="20"/>
      <c r="B993" s="20"/>
      <c r="C993" s="20"/>
      <c r="D993" s="20"/>
      <c r="E993" s="20"/>
      <c r="F993" s="20"/>
      <c r="G993" s="20"/>
      <c r="H993" s="20"/>
      <c r="I993" s="20"/>
    </row>
    <row r="994" spans="1:9" ht="14.25" customHeight="1" x14ac:dyDescent="0.35">
      <c r="A994" s="20"/>
      <c r="B994" s="20"/>
      <c r="C994" s="20"/>
      <c r="D994" s="20"/>
      <c r="E994" s="20"/>
      <c r="F994" s="20"/>
      <c r="G994" s="20"/>
      <c r="H994" s="20"/>
      <c r="I994" s="20"/>
    </row>
    <row r="995" spans="1:9" ht="14.25" customHeight="1" x14ac:dyDescent="0.35">
      <c r="A995" s="20"/>
      <c r="B995" s="20"/>
      <c r="C995" s="20"/>
      <c r="D995" s="20"/>
      <c r="E995" s="20"/>
      <c r="F995" s="20"/>
      <c r="G995" s="20"/>
      <c r="H995" s="20"/>
      <c r="I995" s="20"/>
    </row>
    <row r="996" spans="1:9" ht="14.25" customHeight="1" x14ac:dyDescent="0.35">
      <c r="A996" s="20"/>
      <c r="B996" s="20"/>
      <c r="C996" s="20"/>
      <c r="D996" s="20"/>
      <c r="E996" s="20"/>
      <c r="F996" s="20"/>
      <c r="G996" s="20"/>
      <c r="H996" s="20"/>
      <c r="I996" s="20"/>
    </row>
    <row r="997" spans="1:9" ht="14.25" customHeight="1" x14ac:dyDescent="0.35">
      <c r="A997" s="20"/>
      <c r="B997" s="20"/>
      <c r="C997" s="20"/>
      <c r="D997" s="20"/>
      <c r="E997" s="20"/>
      <c r="F997" s="20"/>
      <c r="G997" s="20"/>
      <c r="H997" s="20"/>
      <c r="I997" s="20"/>
    </row>
    <row r="998" spans="1:9" ht="14.25" customHeight="1" x14ac:dyDescent="0.35">
      <c r="A998" s="20"/>
      <c r="B998" s="20"/>
      <c r="C998" s="20"/>
      <c r="D998" s="20"/>
      <c r="E998" s="20"/>
      <c r="F998" s="20"/>
      <c r="G998" s="20"/>
      <c r="H998" s="20"/>
      <c r="I998" s="20"/>
    </row>
    <row r="999" spans="1:9" ht="14.25" customHeight="1" x14ac:dyDescent="0.35">
      <c r="A999" s="20"/>
      <c r="B999" s="20"/>
      <c r="C999" s="20"/>
      <c r="D999" s="20"/>
      <c r="E999" s="20"/>
      <c r="F999" s="20"/>
      <c r="G999" s="20"/>
      <c r="H999" s="20"/>
      <c r="I999" s="20"/>
    </row>
    <row r="1000" spans="1:9" ht="14.25" customHeight="1" x14ac:dyDescent="0.35">
      <c r="A1000" s="20"/>
      <c r="B1000" s="20"/>
      <c r="C1000" s="20"/>
      <c r="D1000" s="20"/>
      <c r="E1000" s="20"/>
      <c r="F1000" s="20"/>
      <c r="G1000" s="20"/>
      <c r="H1000" s="20"/>
      <c r="I1000" s="20"/>
    </row>
  </sheetData>
  <autoFilter ref="A1:G287" xr:uid="{00000000-0009-0000-0000-000007000000}"/>
  <dataValidations count="2">
    <dataValidation type="custom" allowBlank="1" showDropDown="1" sqref="C2:C286" xr:uid="{00000000-0002-0000-0700-000000000000}">
      <formula1>AND(ISNUMBER(C2),(NOT(OR(NOT(ISERROR(DATEVALUE(C2))), AND(ISNUMBER(C2), LEFT(CELL("format", C2))="D")))))</formula1>
    </dataValidation>
    <dataValidation type="list" allowBlank="1" showDropDown="1" showErrorMessage="1" sqref="B2:B286" xr:uid="{00000000-0002-0000-0700-000001000000}">
      <formula1>"Oost-Vlaanderen,Vlaams-Brabant,Antwerpen,Limburg,West-Vlaanderen"</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27.54296875" customWidth="1"/>
    <col min="2" max="2" width="15.81640625" customWidth="1"/>
    <col min="3" max="4" width="13.26953125" customWidth="1"/>
    <col min="5" max="5" width="13.81640625" customWidth="1"/>
    <col min="6" max="7" width="15.08984375" customWidth="1"/>
  </cols>
  <sheetData>
    <row r="1" spans="1:7" ht="45.75" customHeight="1" x14ac:dyDescent="0.35">
      <c r="A1" s="136" t="s">
        <v>0</v>
      </c>
      <c r="B1" s="137" t="s">
        <v>1</v>
      </c>
      <c r="C1" s="136" t="s">
        <v>2</v>
      </c>
      <c r="D1" s="136" t="s">
        <v>35</v>
      </c>
      <c r="E1" s="136" t="s">
        <v>36</v>
      </c>
      <c r="F1" s="136" t="s">
        <v>41</v>
      </c>
      <c r="G1" s="136" t="s">
        <v>42</v>
      </c>
    </row>
    <row r="2" spans="1:7" ht="14.25" customHeight="1" x14ac:dyDescent="0.35">
      <c r="A2" s="138" t="s">
        <v>65</v>
      </c>
      <c r="B2" s="139" t="s">
        <v>50</v>
      </c>
      <c r="C2" s="139">
        <v>41002</v>
      </c>
      <c r="D2" s="139">
        <v>9</v>
      </c>
      <c r="E2" s="139">
        <v>0</v>
      </c>
      <c r="F2" s="139">
        <v>7</v>
      </c>
      <c r="G2" s="139">
        <v>0</v>
      </c>
    </row>
    <row r="3" spans="1:7" ht="14.25" customHeight="1" x14ac:dyDescent="0.35">
      <c r="A3" s="138" t="s">
        <v>231</v>
      </c>
      <c r="B3" s="139" t="s">
        <v>50</v>
      </c>
      <c r="C3" s="139">
        <v>44084</v>
      </c>
      <c r="D3" s="139">
        <v>0</v>
      </c>
      <c r="E3" s="139">
        <v>0</v>
      </c>
      <c r="F3" s="139">
        <v>0</v>
      </c>
      <c r="G3" s="139">
        <v>0</v>
      </c>
    </row>
    <row r="4" spans="1:7" ht="14.25" customHeight="1" x14ac:dyDescent="0.35">
      <c r="A4" s="138" t="s">
        <v>84</v>
      </c>
      <c r="B4" s="139" t="s">
        <v>52</v>
      </c>
      <c r="C4" s="139">
        <v>24001</v>
      </c>
      <c r="D4" s="139">
        <v>1</v>
      </c>
      <c r="E4" s="139">
        <v>0</v>
      </c>
      <c r="F4" s="139">
        <v>1</v>
      </c>
      <c r="G4" s="139">
        <v>0</v>
      </c>
    </row>
    <row r="5" spans="1:7" ht="14.25" customHeight="1" x14ac:dyDescent="0.35">
      <c r="A5" s="138" t="s">
        <v>335</v>
      </c>
      <c r="B5" s="139" t="s">
        <v>48</v>
      </c>
      <c r="C5" s="139">
        <v>11001</v>
      </c>
      <c r="D5" s="139">
        <v>0</v>
      </c>
      <c r="E5" s="139">
        <v>0</v>
      </c>
      <c r="F5" s="139">
        <v>0</v>
      </c>
      <c r="G5" s="139">
        <v>0</v>
      </c>
    </row>
    <row r="6" spans="1:7" ht="14.25" customHeight="1" x14ac:dyDescent="0.35">
      <c r="A6" s="138" t="s">
        <v>306</v>
      </c>
      <c r="B6" s="139" t="s">
        <v>52</v>
      </c>
      <c r="C6" s="139">
        <v>23105</v>
      </c>
      <c r="D6" s="139">
        <v>1</v>
      </c>
      <c r="E6" s="139">
        <v>0</v>
      </c>
      <c r="F6" s="139">
        <v>1</v>
      </c>
      <c r="G6" s="139">
        <v>0</v>
      </c>
    </row>
    <row r="7" spans="1:7" ht="14.25" customHeight="1" x14ac:dyDescent="0.35">
      <c r="A7" s="138" t="s">
        <v>279</v>
      </c>
      <c r="B7" s="139" t="s">
        <v>59</v>
      </c>
      <c r="C7" s="139">
        <v>73001</v>
      </c>
      <c r="D7" s="139">
        <v>0</v>
      </c>
      <c r="E7" s="139">
        <v>0</v>
      </c>
      <c r="F7" s="139">
        <v>0</v>
      </c>
      <c r="G7" s="139">
        <v>0</v>
      </c>
    </row>
    <row r="8" spans="1:7" ht="14.25" customHeight="1" x14ac:dyDescent="0.35">
      <c r="A8" s="138" t="s">
        <v>242</v>
      </c>
      <c r="B8" s="139" t="s">
        <v>55</v>
      </c>
      <c r="C8" s="139">
        <v>38002</v>
      </c>
      <c r="D8" s="139">
        <v>0</v>
      </c>
      <c r="E8" s="139">
        <v>0</v>
      </c>
      <c r="F8" s="139">
        <v>0</v>
      </c>
      <c r="G8" s="139">
        <v>0</v>
      </c>
    </row>
    <row r="9" spans="1:7" ht="14.25" customHeight="1" x14ac:dyDescent="0.35">
      <c r="A9" s="138" t="s">
        <v>48</v>
      </c>
      <c r="B9" s="139" t="s">
        <v>48</v>
      </c>
      <c r="C9" s="139">
        <v>11002</v>
      </c>
      <c r="D9" s="139">
        <v>101</v>
      </c>
      <c r="E9" s="139">
        <v>2</v>
      </c>
      <c r="F9" s="139">
        <v>94</v>
      </c>
      <c r="G9" s="139">
        <v>3</v>
      </c>
    </row>
    <row r="10" spans="1:7" ht="14.25" customHeight="1" x14ac:dyDescent="0.35">
      <c r="A10" s="138" t="s">
        <v>276</v>
      </c>
      <c r="B10" s="139" t="s">
        <v>55</v>
      </c>
      <c r="C10" s="139">
        <v>34002</v>
      </c>
      <c r="D10" s="139">
        <v>1</v>
      </c>
      <c r="E10" s="139">
        <v>1</v>
      </c>
      <c r="F10" s="139">
        <v>0</v>
      </c>
      <c r="G10" s="139">
        <v>0</v>
      </c>
    </row>
    <row r="11" spans="1:7" ht="14.25" customHeight="1" x14ac:dyDescent="0.35">
      <c r="A11" s="138" t="s">
        <v>199</v>
      </c>
      <c r="B11" s="139" t="s">
        <v>55</v>
      </c>
      <c r="C11" s="139">
        <v>37020</v>
      </c>
      <c r="D11" s="139">
        <v>1</v>
      </c>
      <c r="E11" s="139">
        <v>0</v>
      </c>
      <c r="F11" s="139">
        <v>1</v>
      </c>
      <c r="G11" s="139">
        <v>0</v>
      </c>
    </row>
    <row r="12" spans="1:7" ht="14.25" customHeight="1" x14ac:dyDescent="0.35">
      <c r="A12" s="138" t="s">
        <v>304</v>
      </c>
      <c r="B12" s="139" t="s">
        <v>48</v>
      </c>
      <c r="C12" s="139">
        <v>13001</v>
      </c>
      <c r="D12" s="139">
        <v>0</v>
      </c>
      <c r="E12" s="139">
        <v>0</v>
      </c>
      <c r="F12" s="139">
        <v>0</v>
      </c>
      <c r="G12" s="139">
        <v>0</v>
      </c>
    </row>
    <row r="13" spans="1:7" ht="14.25" customHeight="1" x14ac:dyDescent="0.35">
      <c r="A13" s="138" t="s">
        <v>307</v>
      </c>
      <c r="B13" s="139" t="s">
        <v>59</v>
      </c>
      <c r="C13" s="139">
        <v>71002</v>
      </c>
      <c r="D13" s="139">
        <v>0</v>
      </c>
      <c r="E13" s="139">
        <v>0</v>
      </c>
      <c r="F13" s="139">
        <v>0</v>
      </c>
      <c r="G13" s="139">
        <v>0</v>
      </c>
    </row>
    <row r="14" spans="1:7" ht="14.25" customHeight="1" x14ac:dyDescent="0.35">
      <c r="A14" s="138" t="s">
        <v>131</v>
      </c>
      <c r="B14" s="139" t="s">
        <v>52</v>
      </c>
      <c r="C14" s="139">
        <v>23002</v>
      </c>
      <c r="D14" s="139">
        <v>5</v>
      </c>
      <c r="E14" s="139">
        <v>0</v>
      </c>
      <c r="F14" s="139">
        <v>5</v>
      </c>
      <c r="G14" s="139">
        <v>0</v>
      </c>
    </row>
    <row r="15" spans="1:7" ht="14.25" customHeight="1" x14ac:dyDescent="0.35">
      <c r="A15" s="138" t="s">
        <v>177</v>
      </c>
      <c r="B15" s="139" t="s">
        <v>50</v>
      </c>
      <c r="C15" s="139">
        <v>43002</v>
      </c>
      <c r="D15" s="139">
        <v>0</v>
      </c>
      <c r="E15" s="139">
        <v>0</v>
      </c>
      <c r="F15" s="139">
        <v>0</v>
      </c>
      <c r="G15" s="139">
        <v>0</v>
      </c>
    </row>
    <row r="16" spans="1:7" ht="14.25" customHeight="1" x14ac:dyDescent="0.35">
      <c r="A16" s="138" t="s">
        <v>260</v>
      </c>
      <c r="B16" s="139" t="s">
        <v>55</v>
      </c>
      <c r="C16" s="139">
        <v>34003</v>
      </c>
      <c r="D16" s="139">
        <v>0</v>
      </c>
      <c r="E16" s="139">
        <v>0</v>
      </c>
      <c r="F16" s="139">
        <v>0</v>
      </c>
      <c r="G16" s="139">
        <v>0</v>
      </c>
    </row>
    <row r="17" spans="1:7" ht="14.25" customHeight="1" x14ac:dyDescent="0.35">
      <c r="A17" s="138" t="s">
        <v>317</v>
      </c>
      <c r="B17" s="139" t="s">
        <v>48</v>
      </c>
      <c r="C17" s="139">
        <v>13002</v>
      </c>
      <c r="D17" s="139">
        <v>0</v>
      </c>
      <c r="E17" s="139">
        <v>0</v>
      </c>
      <c r="F17" s="139">
        <v>0</v>
      </c>
      <c r="G17" s="139">
        <v>0</v>
      </c>
    </row>
    <row r="18" spans="1:7" ht="14.25" customHeight="1" x14ac:dyDescent="0.35">
      <c r="A18" s="138" t="s">
        <v>125</v>
      </c>
      <c r="B18" s="139" t="s">
        <v>48</v>
      </c>
      <c r="C18" s="139">
        <v>13003</v>
      </c>
      <c r="D18" s="139">
        <v>2</v>
      </c>
      <c r="E18" s="139">
        <v>0</v>
      </c>
      <c r="F18" s="139">
        <v>2</v>
      </c>
      <c r="G18" s="139">
        <v>0</v>
      </c>
    </row>
    <row r="19" spans="1:7" ht="14.25" customHeight="1" x14ac:dyDescent="0.35">
      <c r="A19" s="138" t="s">
        <v>112</v>
      </c>
      <c r="B19" s="139" t="s">
        <v>55</v>
      </c>
      <c r="C19" s="139">
        <v>31003</v>
      </c>
      <c r="D19" s="139">
        <v>1</v>
      </c>
      <c r="E19" s="139">
        <v>0</v>
      </c>
      <c r="F19" s="139">
        <v>1</v>
      </c>
      <c r="G19" s="139">
        <v>0</v>
      </c>
    </row>
    <row r="20" spans="1:7" ht="14.25" customHeight="1" x14ac:dyDescent="0.35">
      <c r="A20" s="138" t="s">
        <v>221</v>
      </c>
      <c r="B20" s="139" t="s">
        <v>48</v>
      </c>
      <c r="C20" s="139">
        <v>13004</v>
      </c>
      <c r="D20" s="139">
        <v>1</v>
      </c>
      <c r="E20" s="139">
        <v>0</v>
      </c>
      <c r="F20" s="139">
        <v>1</v>
      </c>
      <c r="G20" s="139">
        <v>0</v>
      </c>
    </row>
    <row r="21" spans="1:7" ht="14.25" customHeight="1" x14ac:dyDescent="0.35">
      <c r="A21" s="138" t="s">
        <v>128</v>
      </c>
      <c r="B21" s="139" t="s">
        <v>52</v>
      </c>
      <c r="C21" s="139">
        <v>23003</v>
      </c>
      <c r="D21" s="139">
        <v>1</v>
      </c>
      <c r="E21" s="139">
        <v>0</v>
      </c>
      <c r="F21" s="139">
        <v>1</v>
      </c>
      <c r="G21" s="139">
        <v>0</v>
      </c>
    </row>
    <row r="22" spans="1:7" ht="14.25" customHeight="1" x14ac:dyDescent="0.35">
      <c r="A22" s="138" t="s">
        <v>327</v>
      </c>
      <c r="B22" s="139" t="s">
        <v>52</v>
      </c>
      <c r="C22" s="139">
        <v>24007</v>
      </c>
      <c r="D22" s="139">
        <v>1</v>
      </c>
      <c r="E22" s="139">
        <v>0</v>
      </c>
      <c r="F22" s="139">
        <v>0</v>
      </c>
      <c r="G22" s="139">
        <v>0</v>
      </c>
    </row>
    <row r="23" spans="1:7" ht="14.25" customHeight="1" x14ac:dyDescent="0.35">
      <c r="A23" s="138" t="s">
        <v>249</v>
      </c>
      <c r="B23" s="139" t="s">
        <v>52</v>
      </c>
      <c r="C23" s="139">
        <v>24008</v>
      </c>
      <c r="D23" s="139">
        <v>0</v>
      </c>
      <c r="E23" s="139">
        <v>0</v>
      </c>
      <c r="F23" s="139">
        <v>0</v>
      </c>
      <c r="G23" s="139">
        <v>0</v>
      </c>
    </row>
    <row r="24" spans="1:7" ht="14.25" customHeight="1" x14ac:dyDescent="0.35">
      <c r="A24" s="138" t="s">
        <v>235</v>
      </c>
      <c r="B24" s="139" t="s">
        <v>59</v>
      </c>
      <c r="C24" s="139">
        <v>71004</v>
      </c>
      <c r="D24" s="139">
        <v>0</v>
      </c>
      <c r="E24" s="139">
        <v>0</v>
      </c>
      <c r="F24" s="139">
        <v>0</v>
      </c>
      <c r="G24" s="139">
        <v>0</v>
      </c>
    </row>
    <row r="25" spans="1:7" ht="14.25" customHeight="1" x14ac:dyDescent="0.35">
      <c r="A25" s="138" t="s">
        <v>136</v>
      </c>
      <c r="B25" s="139" t="s">
        <v>48</v>
      </c>
      <c r="C25" s="139">
        <v>12002</v>
      </c>
      <c r="D25" s="139">
        <v>4</v>
      </c>
      <c r="E25" s="139">
        <v>1</v>
      </c>
      <c r="F25" s="139">
        <v>4</v>
      </c>
      <c r="G25" s="139">
        <v>1</v>
      </c>
    </row>
    <row r="26" spans="1:7" ht="14.25" customHeight="1" x14ac:dyDescent="0.35">
      <c r="A26" s="138" t="s">
        <v>216</v>
      </c>
      <c r="B26" s="139" t="s">
        <v>50</v>
      </c>
      <c r="C26" s="139">
        <v>42003</v>
      </c>
      <c r="D26" s="139">
        <v>1</v>
      </c>
      <c r="E26" s="139">
        <v>0</v>
      </c>
      <c r="F26" s="139">
        <v>1</v>
      </c>
      <c r="G26" s="139">
        <v>0</v>
      </c>
    </row>
    <row r="27" spans="1:7" ht="14.25" customHeight="1" x14ac:dyDescent="0.35">
      <c r="A27" s="138" t="s">
        <v>259</v>
      </c>
      <c r="B27" s="139" t="s">
        <v>52</v>
      </c>
      <c r="C27" s="139">
        <v>24009</v>
      </c>
      <c r="D27" s="139">
        <v>0</v>
      </c>
      <c r="E27" s="139">
        <v>0</v>
      </c>
      <c r="F27" s="139">
        <v>0</v>
      </c>
      <c r="G27" s="139">
        <v>0</v>
      </c>
    </row>
    <row r="28" spans="1:7" ht="14.25" customHeight="1" x14ac:dyDescent="0.35">
      <c r="A28" s="138" t="s">
        <v>315</v>
      </c>
      <c r="B28" s="139" t="s">
        <v>52</v>
      </c>
      <c r="C28" s="139">
        <v>23009</v>
      </c>
      <c r="D28" s="139">
        <v>0</v>
      </c>
      <c r="E28" s="139">
        <v>0</v>
      </c>
      <c r="F28" s="139">
        <v>0</v>
      </c>
      <c r="G28" s="139">
        <v>0</v>
      </c>
    </row>
    <row r="29" spans="1:7" ht="14.25" customHeight="1" x14ac:dyDescent="0.35">
      <c r="A29" s="138" t="s">
        <v>67</v>
      </c>
      <c r="B29" s="139" t="s">
        <v>50</v>
      </c>
      <c r="C29" s="139">
        <v>46003</v>
      </c>
      <c r="D29" s="139">
        <v>6</v>
      </c>
      <c r="E29" s="139">
        <v>0</v>
      </c>
      <c r="F29" s="139">
        <v>6</v>
      </c>
      <c r="G29" s="139">
        <v>0</v>
      </c>
    </row>
    <row r="30" spans="1:7" ht="14.25" customHeight="1" x14ac:dyDescent="0.35">
      <c r="A30" s="138" t="s">
        <v>109</v>
      </c>
      <c r="B30" s="139" t="s">
        <v>52</v>
      </c>
      <c r="C30" s="139">
        <v>24011</v>
      </c>
      <c r="D30" s="139">
        <v>4</v>
      </c>
      <c r="E30" s="139">
        <v>1</v>
      </c>
      <c r="F30" s="139">
        <v>4</v>
      </c>
      <c r="G30" s="139">
        <v>1</v>
      </c>
    </row>
    <row r="31" spans="1:7" ht="14.25" customHeight="1" x14ac:dyDescent="0.35">
      <c r="A31" s="138" t="s">
        <v>237</v>
      </c>
      <c r="B31" s="139" t="s">
        <v>59</v>
      </c>
      <c r="C31" s="139">
        <v>73006</v>
      </c>
      <c r="D31" s="139">
        <v>1</v>
      </c>
      <c r="E31" s="139">
        <v>0</v>
      </c>
      <c r="F31" s="139">
        <v>1</v>
      </c>
      <c r="G31" s="139">
        <v>0</v>
      </c>
    </row>
    <row r="32" spans="1:7" ht="14.25" customHeight="1" x14ac:dyDescent="0.35">
      <c r="A32" s="138" t="s">
        <v>99</v>
      </c>
      <c r="B32" s="139" t="s">
        <v>55</v>
      </c>
      <c r="C32" s="139">
        <v>31004</v>
      </c>
      <c r="D32" s="139">
        <v>1</v>
      </c>
      <c r="E32" s="139">
        <v>0</v>
      </c>
      <c r="F32" s="139">
        <v>1</v>
      </c>
      <c r="G32" s="139">
        <v>0</v>
      </c>
    </row>
    <row r="33" spans="1:7" ht="14.25" customHeight="1" x14ac:dyDescent="0.35">
      <c r="A33" s="138" t="s">
        <v>329</v>
      </c>
      <c r="B33" s="139" t="s">
        <v>59</v>
      </c>
      <c r="C33" s="139">
        <v>72003</v>
      </c>
      <c r="D33" s="139">
        <v>0</v>
      </c>
      <c r="E33" s="139">
        <v>0</v>
      </c>
      <c r="F33" s="139">
        <v>0</v>
      </c>
      <c r="G33" s="139">
        <v>0</v>
      </c>
    </row>
    <row r="34" spans="1:7" ht="14.25" customHeight="1" x14ac:dyDescent="0.35">
      <c r="A34" s="138" t="s">
        <v>271</v>
      </c>
      <c r="B34" s="139" t="s">
        <v>48</v>
      </c>
      <c r="C34" s="139">
        <v>11004</v>
      </c>
      <c r="D34" s="139">
        <v>1</v>
      </c>
      <c r="E34" s="139">
        <v>0</v>
      </c>
      <c r="F34" s="139">
        <v>2</v>
      </c>
      <c r="G34" s="139">
        <v>0</v>
      </c>
    </row>
    <row r="35" spans="1:7" ht="14.25" customHeight="1" x14ac:dyDescent="0.35">
      <c r="A35" s="138" t="s">
        <v>97</v>
      </c>
      <c r="B35" s="139" t="s">
        <v>48</v>
      </c>
      <c r="C35" s="139">
        <v>12005</v>
      </c>
      <c r="D35" s="139">
        <v>2</v>
      </c>
      <c r="E35" s="139">
        <v>0</v>
      </c>
      <c r="F35" s="139">
        <v>2</v>
      </c>
      <c r="G35" s="139">
        <v>0</v>
      </c>
    </row>
    <row r="36" spans="1:7" ht="14.25" customHeight="1" x14ac:dyDescent="0.35">
      <c r="A36" s="138" t="s">
        <v>224</v>
      </c>
      <c r="B36" s="139" t="s">
        <v>48</v>
      </c>
      <c r="C36" s="139">
        <v>11005</v>
      </c>
      <c r="D36" s="139">
        <v>4</v>
      </c>
      <c r="E36" s="139">
        <v>0</v>
      </c>
      <c r="F36" s="139">
        <v>3</v>
      </c>
      <c r="G36" s="139">
        <v>0</v>
      </c>
    </row>
    <row r="37" spans="1:7" ht="14.25" customHeight="1" x14ac:dyDescent="0.35">
      <c r="A37" s="138" t="s">
        <v>157</v>
      </c>
      <c r="B37" s="139" t="s">
        <v>52</v>
      </c>
      <c r="C37" s="139">
        <v>24014</v>
      </c>
      <c r="D37" s="139">
        <v>3</v>
      </c>
      <c r="E37" s="139">
        <v>0</v>
      </c>
      <c r="F37" s="139">
        <v>3</v>
      </c>
      <c r="G37" s="139">
        <v>0</v>
      </c>
    </row>
    <row r="38" spans="1:7" ht="14.25" customHeight="1" x14ac:dyDescent="0.35">
      <c r="A38" s="138" t="s">
        <v>184</v>
      </c>
      <c r="B38" s="139" t="s">
        <v>48</v>
      </c>
      <c r="C38" s="139">
        <v>12007</v>
      </c>
      <c r="D38" s="139">
        <v>3</v>
      </c>
      <c r="E38" s="139">
        <v>0</v>
      </c>
      <c r="F38" s="139">
        <v>2</v>
      </c>
      <c r="G38" s="139">
        <v>0</v>
      </c>
    </row>
    <row r="39" spans="1:7" ht="14.25" customHeight="1" x14ac:dyDescent="0.35">
      <c r="A39" s="138" t="s">
        <v>170</v>
      </c>
      <c r="B39" s="139" t="s">
        <v>52</v>
      </c>
      <c r="C39" s="139">
        <v>24016</v>
      </c>
      <c r="D39" s="139">
        <v>2</v>
      </c>
      <c r="E39" s="139">
        <v>0</v>
      </c>
      <c r="F39" s="139">
        <v>1</v>
      </c>
      <c r="G39" s="139">
        <v>0</v>
      </c>
    </row>
    <row r="40" spans="1:7" ht="14.25" customHeight="1" x14ac:dyDescent="0.35">
      <c r="A40" s="138" t="s">
        <v>275</v>
      </c>
      <c r="B40" s="139" t="s">
        <v>50</v>
      </c>
      <c r="C40" s="139">
        <v>45059</v>
      </c>
      <c r="D40" s="139">
        <v>0</v>
      </c>
      <c r="E40" s="139">
        <v>0</v>
      </c>
      <c r="F40" s="139">
        <v>0</v>
      </c>
      <c r="G40" s="139">
        <v>0</v>
      </c>
    </row>
    <row r="41" spans="1:7" ht="14.25" customHeight="1" x14ac:dyDescent="0.35">
      <c r="A41" s="138" t="s">
        <v>106</v>
      </c>
      <c r="B41" s="139" t="s">
        <v>48</v>
      </c>
      <c r="C41" s="139">
        <v>11008</v>
      </c>
      <c r="D41" s="139">
        <v>1</v>
      </c>
      <c r="E41" s="139">
        <v>0</v>
      </c>
      <c r="F41" s="139">
        <v>1</v>
      </c>
      <c r="G41" s="139">
        <v>0</v>
      </c>
    </row>
    <row r="42" spans="1:7" ht="14.25" customHeight="1" x14ac:dyDescent="0.35">
      <c r="A42" s="138" t="s">
        <v>294</v>
      </c>
      <c r="B42" s="139" t="s">
        <v>48</v>
      </c>
      <c r="C42" s="139">
        <v>11009</v>
      </c>
      <c r="D42" s="139">
        <v>2</v>
      </c>
      <c r="E42" s="139">
        <v>0</v>
      </c>
      <c r="F42" s="139">
        <v>2</v>
      </c>
      <c r="G42" s="139">
        <v>0</v>
      </c>
    </row>
    <row r="43" spans="1:7" ht="14.25" customHeight="1" x14ac:dyDescent="0.35">
      <c r="A43" s="138" t="s">
        <v>219</v>
      </c>
      <c r="B43" s="139" t="s">
        <v>55</v>
      </c>
      <c r="C43" s="139">
        <v>35002</v>
      </c>
      <c r="D43" s="139">
        <v>0</v>
      </c>
      <c r="E43" s="139">
        <v>0</v>
      </c>
      <c r="F43" s="139">
        <v>0</v>
      </c>
      <c r="G43" s="139">
        <v>0</v>
      </c>
    </row>
    <row r="44" spans="1:7" ht="14.25" customHeight="1" x14ac:dyDescent="0.35">
      <c r="A44" s="138" t="s">
        <v>227</v>
      </c>
      <c r="B44" s="139" t="s">
        <v>59</v>
      </c>
      <c r="C44" s="139">
        <v>72004</v>
      </c>
      <c r="D44" s="139">
        <v>1</v>
      </c>
      <c r="E44" s="139">
        <v>0</v>
      </c>
      <c r="F44" s="139">
        <v>1</v>
      </c>
      <c r="G44" s="139">
        <v>0</v>
      </c>
    </row>
    <row r="45" spans="1:7" ht="14.25" customHeight="1" x14ac:dyDescent="0.35">
      <c r="A45" s="138" t="s">
        <v>54</v>
      </c>
      <c r="B45" s="139" t="s">
        <v>55</v>
      </c>
      <c r="C45" s="139">
        <v>31005</v>
      </c>
      <c r="D45" s="139">
        <v>24</v>
      </c>
      <c r="E45" s="139">
        <v>2</v>
      </c>
      <c r="F45" s="139">
        <v>25</v>
      </c>
      <c r="G45" s="139">
        <v>3</v>
      </c>
    </row>
    <row r="46" spans="1:7" ht="14.25" customHeight="1" x14ac:dyDescent="0.35">
      <c r="A46" s="138" t="s">
        <v>274</v>
      </c>
      <c r="B46" s="139" t="s">
        <v>50</v>
      </c>
      <c r="C46" s="139">
        <v>42004</v>
      </c>
      <c r="D46" s="139">
        <v>0</v>
      </c>
      <c r="E46" s="139">
        <v>0</v>
      </c>
      <c r="F46" s="139">
        <v>0</v>
      </c>
      <c r="G46" s="139">
        <v>0</v>
      </c>
    </row>
    <row r="47" spans="1:7" ht="14.25" customHeight="1" x14ac:dyDescent="0.35">
      <c r="A47" s="138" t="s">
        <v>96</v>
      </c>
      <c r="B47" s="139" t="s">
        <v>55</v>
      </c>
      <c r="C47" s="139">
        <v>31006</v>
      </c>
      <c r="D47" s="139">
        <v>0</v>
      </c>
      <c r="E47" s="139">
        <v>0</v>
      </c>
      <c r="F47" s="139">
        <v>0</v>
      </c>
      <c r="G47" s="139">
        <v>0</v>
      </c>
    </row>
    <row r="48" spans="1:7" ht="14.25" customHeight="1" x14ac:dyDescent="0.35">
      <c r="A48" s="138" t="s">
        <v>268</v>
      </c>
      <c r="B48" s="139" t="s">
        <v>55</v>
      </c>
      <c r="C48" s="139">
        <v>35029</v>
      </c>
      <c r="D48" s="139">
        <v>0</v>
      </c>
      <c r="E48" s="139">
        <v>0</v>
      </c>
      <c r="F48" s="139">
        <v>0</v>
      </c>
      <c r="G48" s="139">
        <v>0</v>
      </c>
    </row>
    <row r="49" spans="1:7" ht="14.25" customHeight="1" x14ac:dyDescent="0.35">
      <c r="A49" s="138" t="s">
        <v>135</v>
      </c>
      <c r="B49" s="139" t="s">
        <v>55</v>
      </c>
      <c r="C49" s="139">
        <v>38008</v>
      </c>
      <c r="D49" s="139">
        <v>2</v>
      </c>
      <c r="E49" s="139">
        <v>1</v>
      </c>
      <c r="F49" s="139">
        <v>2</v>
      </c>
      <c r="G49" s="139">
        <v>1</v>
      </c>
    </row>
    <row r="50" spans="1:7" ht="14.25" customHeight="1" x14ac:dyDescent="0.35">
      <c r="A50" s="138" t="s">
        <v>156</v>
      </c>
      <c r="B50" s="139" t="s">
        <v>55</v>
      </c>
      <c r="C50" s="139">
        <v>34009</v>
      </c>
      <c r="D50" s="139">
        <v>1</v>
      </c>
      <c r="E50" s="139">
        <v>0</v>
      </c>
      <c r="F50" s="139">
        <v>1</v>
      </c>
      <c r="G50" s="139">
        <v>0</v>
      </c>
    </row>
    <row r="51" spans="1:7" ht="14.25" customHeight="1" x14ac:dyDescent="0.35">
      <c r="A51" s="138" t="s">
        <v>62</v>
      </c>
      <c r="B51" s="139" t="s">
        <v>50</v>
      </c>
      <c r="C51" s="139">
        <v>44083</v>
      </c>
      <c r="D51" s="139">
        <v>4</v>
      </c>
      <c r="E51" s="139">
        <v>1</v>
      </c>
      <c r="F51" s="139">
        <v>4</v>
      </c>
      <c r="G51" s="139">
        <v>1</v>
      </c>
    </row>
    <row r="52" spans="1:7" ht="14.25" customHeight="1" x14ac:dyDescent="0.35">
      <c r="A52" s="138" t="s">
        <v>182</v>
      </c>
      <c r="B52" s="139" t="s">
        <v>50</v>
      </c>
      <c r="C52" s="139">
        <v>41011</v>
      </c>
      <c r="D52" s="139">
        <v>0</v>
      </c>
      <c r="E52" s="139">
        <v>0</v>
      </c>
      <c r="F52" s="139">
        <v>0</v>
      </c>
      <c r="G52" s="139">
        <v>0</v>
      </c>
    </row>
    <row r="53" spans="1:7" ht="14.25" customHeight="1" x14ac:dyDescent="0.35">
      <c r="A53" s="138" t="s">
        <v>80</v>
      </c>
      <c r="B53" s="139" t="s">
        <v>50</v>
      </c>
      <c r="C53" s="139">
        <v>42006</v>
      </c>
      <c r="D53" s="139">
        <v>4</v>
      </c>
      <c r="E53" s="139">
        <v>0</v>
      </c>
      <c r="F53" s="139">
        <v>4</v>
      </c>
      <c r="G53" s="139">
        <v>0</v>
      </c>
    </row>
    <row r="54" spans="1:7" ht="14.25" customHeight="1" x14ac:dyDescent="0.35">
      <c r="A54" s="138" t="s">
        <v>168</v>
      </c>
      <c r="B54" s="139" t="s">
        <v>55</v>
      </c>
      <c r="C54" s="139">
        <v>37002</v>
      </c>
      <c r="D54" s="139">
        <v>1</v>
      </c>
      <c r="E54" s="139">
        <v>0</v>
      </c>
      <c r="F54" s="139">
        <v>1</v>
      </c>
      <c r="G54" s="139">
        <v>0</v>
      </c>
    </row>
    <row r="55" spans="1:7" ht="14.25" customHeight="1" x14ac:dyDescent="0.35">
      <c r="A55" s="138" t="s">
        <v>301</v>
      </c>
      <c r="B55" s="139" t="s">
        <v>48</v>
      </c>
      <c r="C55" s="139">
        <v>13006</v>
      </c>
      <c r="D55" s="139">
        <v>1</v>
      </c>
      <c r="E55" s="139">
        <v>0</v>
      </c>
      <c r="F55" s="139">
        <v>1</v>
      </c>
      <c r="G55" s="139">
        <v>0</v>
      </c>
    </row>
    <row r="56" spans="1:7" ht="14.25" customHeight="1" x14ac:dyDescent="0.35">
      <c r="A56" s="138" t="s">
        <v>71</v>
      </c>
      <c r="B56" s="139" t="s">
        <v>50</v>
      </c>
      <c r="C56" s="139">
        <v>44013</v>
      </c>
      <c r="D56" s="139">
        <v>0</v>
      </c>
      <c r="E56" s="139">
        <v>0</v>
      </c>
      <c r="F56" s="139">
        <v>0</v>
      </c>
      <c r="G56" s="139">
        <v>0</v>
      </c>
    </row>
    <row r="57" spans="1:7" ht="14.25" customHeight="1" x14ac:dyDescent="0.35">
      <c r="A57" s="138" t="s">
        <v>309</v>
      </c>
      <c r="B57" s="139" t="s">
        <v>59</v>
      </c>
      <c r="C57" s="139">
        <v>71011</v>
      </c>
      <c r="D57" s="139">
        <v>0</v>
      </c>
      <c r="E57" s="139">
        <v>0</v>
      </c>
      <c r="F57" s="139">
        <v>0</v>
      </c>
      <c r="G57" s="139">
        <v>0</v>
      </c>
    </row>
    <row r="58" spans="1:7" ht="14.25" customHeight="1" x14ac:dyDescent="0.35">
      <c r="A58" s="138" t="s">
        <v>88</v>
      </c>
      <c r="B58" s="139" t="s">
        <v>52</v>
      </c>
      <c r="C58" s="139">
        <v>24020</v>
      </c>
      <c r="D58" s="139">
        <v>1</v>
      </c>
      <c r="E58" s="139">
        <v>0</v>
      </c>
      <c r="F58" s="139">
        <v>1</v>
      </c>
      <c r="G58" s="139">
        <v>0</v>
      </c>
    </row>
    <row r="59" spans="1:7" ht="14.25" customHeight="1" x14ac:dyDescent="0.35">
      <c r="A59" s="138" t="s">
        <v>280</v>
      </c>
      <c r="B59" s="139" t="s">
        <v>55</v>
      </c>
      <c r="C59" s="139">
        <v>32003</v>
      </c>
      <c r="D59" s="139">
        <v>0</v>
      </c>
      <c r="E59" s="139">
        <v>0</v>
      </c>
      <c r="F59" s="139">
        <v>0</v>
      </c>
      <c r="G59" s="139">
        <v>0</v>
      </c>
    </row>
    <row r="60" spans="1:7" ht="14.25" customHeight="1" x14ac:dyDescent="0.35">
      <c r="A60" s="138" t="s">
        <v>85</v>
      </c>
      <c r="B60" s="139" t="s">
        <v>52</v>
      </c>
      <c r="C60" s="139">
        <v>23016</v>
      </c>
      <c r="D60" s="139">
        <v>2</v>
      </c>
      <c r="E60" s="139">
        <v>1</v>
      </c>
      <c r="F60" s="139">
        <v>1</v>
      </c>
      <c r="G60" s="139">
        <v>1</v>
      </c>
    </row>
    <row r="61" spans="1:7" ht="14.25" customHeight="1" x14ac:dyDescent="0.35">
      <c r="A61" s="138" t="s">
        <v>333</v>
      </c>
      <c r="B61" s="139" t="s">
        <v>59</v>
      </c>
      <c r="C61" s="139">
        <v>72041</v>
      </c>
      <c r="D61" s="139">
        <v>0</v>
      </c>
      <c r="E61" s="139">
        <v>0</v>
      </c>
      <c r="F61" s="139">
        <v>0</v>
      </c>
      <c r="G61" s="139">
        <v>0</v>
      </c>
    </row>
    <row r="62" spans="1:7" ht="14.25" customHeight="1" x14ac:dyDescent="0.35">
      <c r="A62" s="138" t="s">
        <v>298</v>
      </c>
      <c r="B62" s="139" t="s">
        <v>52</v>
      </c>
      <c r="C62" s="139">
        <v>23098</v>
      </c>
      <c r="D62" s="139">
        <v>2</v>
      </c>
      <c r="E62" s="139">
        <v>1</v>
      </c>
      <c r="F62" s="139">
        <v>1</v>
      </c>
      <c r="G62" s="139">
        <v>0</v>
      </c>
    </row>
    <row r="63" spans="1:7" ht="14.25" customHeight="1" x14ac:dyDescent="0.35">
      <c r="A63" s="138" t="s">
        <v>140</v>
      </c>
      <c r="B63" s="139" t="s">
        <v>48</v>
      </c>
      <c r="C63" s="139">
        <v>12009</v>
      </c>
      <c r="D63" s="139">
        <v>1</v>
      </c>
      <c r="E63" s="139">
        <v>0</v>
      </c>
      <c r="F63" s="139">
        <v>1</v>
      </c>
      <c r="G63" s="139">
        <v>0</v>
      </c>
    </row>
    <row r="64" spans="1:7" ht="14.25" customHeight="1" x14ac:dyDescent="0.35">
      <c r="A64" s="138" t="s">
        <v>123</v>
      </c>
      <c r="B64" s="139" t="s">
        <v>48</v>
      </c>
      <c r="C64" s="139">
        <v>11013</v>
      </c>
      <c r="D64" s="139">
        <v>6</v>
      </c>
      <c r="E64" s="139">
        <v>0</v>
      </c>
      <c r="F64" s="139">
        <v>6</v>
      </c>
      <c r="G64" s="139">
        <v>0</v>
      </c>
    </row>
    <row r="65" spans="1:7" ht="14.25" customHeight="1" x14ac:dyDescent="0.35">
      <c r="A65" s="138" t="s">
        <v>118</v>
      </c>
      <c r="B65" s="139" t="s">
        <v>50</v>
      </c>
      <c r="C65" s="139">
        <v>43005</v>
      </c>
      <c r="D65" s="139">
        <v>3</v>
      </c>
      <c r="E65" s="139">
        <v>0</v>
      </c>
      <c r="F65" s="139">
        <v>3</v>
      </c>
      <c r="G65" s="139">
        <v>0</v>
      </c>
    </row>
    <row r="66" spans="1:7" ht="14.25" customHeight="1" x14ac:dyDescent="0.35">
      <c r="A66" s="138" t="s">
        <v>116</v>
      </c>
      <c r="B66" s="139" t="s">
        <v>50</v>
      </c>
      <c r="C66" s="139">
        <v>41082</v>
      </c>
      <c r="D66" s="139">
        <v>1</v>
      </c>
      <c r="E66" s="139">
        <v>0</v>
      </c>
      <c r="F66" s="139">
        <v>1</v>
      </c>
      <c r="G66" s="139">
        <v>0</v>
      </c>
    </row>
    <row r="67" spans="1:7" ht="14.25" customHeight="1" x14ac:dyDescent="0.35">
      <c r="A67" s="138" t="s">
        <v>180</v>
      </c>
      <c r="B67" s="139" t="s">
        <v>48</v>
      </c>
      <c r="C67" s="139">
        <v>11016</v>
      </c>
      <c r="D67" s="139">
        <v>2</v>
      </c>
      <c r="E67" s="139">
        <v>0</v>
      </c>
      <c r="F67" s="139">
        <v>2</v>
      </c>
      <c r="G67" s="139">
        <v>0</v>
      </c>
    </row>
    <row r="68" spans="1:7" ht="14.25" customHeight="1" x14ac:dyDescent="0.35">
      <c r="A68" s="138" t="s">
        <v>90</v>
      </c>
      <c r="B68" s="139" t="s">
        <v>50</v>
      </c>
      <c r="C68" s="139">
        <v>44019</v>
      </c>
      <c r="D68" s="139">
        <v>1</v>
      </c>
      <c r="E68" s="139">
        <v>0</v>
      </c>
      <c r="F68" s="139">
        <v>1</v>
      </c>
      <c r="G68" s="139">
        <v>0</v>
      </c>
    </row>
    <row r="69" spans="1:7" ht="14.25" customHeight="1" x14ac:dyDescent="0.35">
      <c r="A69" s="138" t="s">
        <v>209</v>
      </c>
      <c r="B69" s="139" t="s">
        <v>50</v>
      </c>
      <c r="C69" s="139">
        <v>44020</v>
      </c>
      <c r="D69" s="139">
        <v>0</v>
      </c>
      <c r="E69" s="139">
        <v>0</v>
      </c>
      <c r="F69" s="139">
        <v>0</v>
      </c>
      <c r="G69" s="139">
        <v>0</v>
      </c>
    </row>
    <row r="70" spans="1:7" ht="14.25" customHeight="1" x14ac:dyDescent="0.35">
      <c r="A70" s="138" t="s">
        <v>91</v>
      </c>
      <c r="B70" s="139" t="s">
        <v>48</v>
      </c>
      <c r="C70" s="139">
        <v>13008</v>
      </c>
      <c r="D70" s="139">
        <v>2</v>
      </c>
      <c r="E70" s="139">
        <v>1</v>
      </c>
      <c r="F70" s="139">
        <v>2</v>
      </c>
      <c r="G70" s="139">
        <v>1</v>
      </c>
    </row>
    <row r="71" spans="1:7" ht="14.25" customHeight="1" x14ac:dyDescent="0.35">
      <c r="A71" s="138" t="s">
        <v>245</v>
      </c>
      <c r="B71" s="139" t="s">
        <v>52</v>
      </c>
      <c r="C71" s="139">
        <v>24028</v>
      </c>
      <c r="D71" s="139">
        <v>0</v>
      </c>
      <c r="E71" s="139">
        <v>0</v>
      </c>
      <c r="F71" s="139">
        <v>0</v>
      </c>
      <c r="G71" s="139">
        <v>0</v>
      </c>
    </row>
    <row r="72" spans="1:7" ht="14.25" customHeight="1" x14ac:dyDescent="0.35">
      <c r="A72" s="138" t="s">
        <v>95</v>
      </c>
      <c r="B72" s="139" t="s">
        <v>59</v>
      </c>
      <c r="C72" s="139">
        <v>71016</v>
      </c>
      <c r="D72" s="139">
        <v>1</v>
      </c>
      <c r="E72" s="139">
        <v>0</v>
      </c>
      <c r="F72" s="139">
        <v>1</v>
      </c>
      <c r="G72" s="139">
        <v>0</v>
      </c>
    </row>
    <row r="73" spans="1:7" ht="14.25" customHeight="1" x14ac:dyDescent="0.35">
      <c r="A73" s="138" t="s">
        <v>49</v>
      </c>
      <c r="B73" s="139" t="s">
        <v>50</v>
      </c>
      <c r="C73" s="139">
        <v>44021</v>
      </c>
      <c r="D73" s="139">
        <v>129</v>
      </c>
      <c r="E73" s="139">
        <v>13</v>
      </c>
      <c r="F73" s="139">
        <v>130</v>
      </c>
      <c r="G73" s="139">
        <v>15</v>
      </c>
    </row>
    <row r="74" spans="1:7" ht="14.25" customHeight="1" x14ac:dyDescent="0.35">
      <c r="A74" s="138" t="s">
        <v>144</v>
      </c>
      <c r="B74" s="139" t="s">
        <v>50</v>
      </c>
      <c r="C74" s="139">
        <v>41018</v>
      </c>
      <c r="D74" s="139">
        <v>0</v>
      </c>
      <c r="E74" s="139">
        <v>0</v>
      </c>
      <c r="F74" s="139">
        <v>0</v>
      </c>
      <c r="G74" s="139">
        <v>0</v>
      </c>
    </row>
    <row r="75" spans="1:7" ht="14.25" customHeight="1" x14ac:dyDescent="0.35">
      <c r="A75" s="138" t="s">
        <v>323</v>
      </c>
      <c r="B75" s="139" t="s">
        <v>59</v>
      </c>
      <c r="C75" s="139">
        <v>71017</v>
      </c>
      <c r="D75" s="139">
        <v>0</v>
      </c>
      <c r="E75" s="139">
        <v>0</v>
      </c>
      <c r="F75" s="139">
        <v>0</v>
      </c>
      <c r="G75" s="139">
        <v>0</v>
      </c>
    </row>
    <row r="76" spans="1:7" ht="14.25" customHeight="1" x14ac:dyDescent="0.35">
      <c r="A76" s="138" t="s">
        <v>206</v>
      </c>
      <c r="B76" s="139" t="s">
        <v>55</v>
      </c>
      <c r="C76" s="139">
        <v>35005</v>
      </c>
      <c r="D76" s="139">
        <v>1</v>
      </c>
      <c r="E76" s="139">
        <v>0</v>
      </c>
      <c r="F76" s="139">
        <v>1</v>
      </c>
      <c r="G76" s="139">
        <v>0</v>
      </c>
    </row>
    <row r="77" spans="1:7" ht="14.25" customHeight="1" x14ac:dyDescent="0.35">
      <c r="A77" s="138" t="s">
        <v>243</v>
      </c>
      <c r="B77" s="139" t="s">
        <v>52</v>
      </c>
      <c r="C77" s="139">
        <v>24137</v>
      </c>
      <c r="D77" s="139">
        <v>0</v>
      </c>
      <c r="E77" s="139">
        <v>0</v>
      </c>
      <c r="F77" s="139">
        <v>0</v>
      </c>
      <c r="G77" s="139">
        <v>0</v>
      </c>
    </row>
    <row r="78" spans="1:7" ht="14.25" customHeight="1" x14ac:dyDescent="0.35">
      <c r="A78" s="138" t="s">
        <v>107</v>
      </c>
      <c r="B78" s="139" t="s">
        <v>52</v>
      </c>
      <c r="C78" s="139">
        <v>23025</v>
      </c>
      <c r="D78" s="139">
        <v>4</v>
      </c>
      <c r="E78" s="139">
        <v>0</v>
      </c>
      <c r="F78" s="139">
        <v>4</v>
      </c>
      <c r="G78" s="139">
        <v>0</v>
      </c>
    </row>
    <row r="79" spans="1:7" ht="14.25" customHeight="1" x14ac:dyDescent="0.35">
      <c r="A79" s="138" t="s">
        <v>303</v>
      </c>
      <c r="B79" s="139" t="s">
        <v>48</v>
      </c>
      <c r="C79" s="139">
        <v>13010</v>
      </c>
      <c r="D79" s="139">
        <v>1</v>
      </c>
      <c r="E79" s="139">
        <v>0</v>
      </c>
      <c r="F79" s="139">
        <v>1</v>
      </c>
      <c r="G79" s="139">
        <v>0</v>
      </c>
    </row>
    <row r="80" spans="1:7" ht="14.25" customHeight="1" x14ac:dyDescent="0.35">
      <c r="A80" s="138" t="s">
        <v>92</v>
      </c>
      <c r="B80" s="139" t="s">
        <v>52</v>
      </c>
      <c r="C80" s="139">
        <v>24033</v>
      </c>
      <c r="D80" s="139">
        <v>3</v>
      </c>
      <c r="E80" s="139">
        <v>0</v>
      </c>
      <c r="F80" s="139">
        <v>3</v>
      </c>
      <c r="G80" s="139">
        <v>0</v>
      </c>
    </row>
    <row r="81" spans="1:7" ht="14.25" customHeight="1" x14ac:dyDescent="0.35">
      <c r="A81" s="138" t="s">
        <v>223</v>
      </c>
      <c r="B81" s="139" t="s">
        <v>50</v>
      </c>
      <c r="C81" s="139">
        <v>41024</v>
      </c>
      <c r="D81" s="139">
        <v>0</v>
      </c>
      <c r="E81" s="139">
        <v>0</v>
      </c>
      <c r="F81" s="139">
        <v>0</v>
      </c>
      <c r="G81" s="139">
        <v>0</v>
      </c>
    </row>
    <row r="82" spans="1:7" ht="14.25" customHeight="1" x14ac:dyDescent="0.35">
      <c r="A82" s="138" t="s">
        <v>324</v>
      </c>
      <c r="B82" s="139" t="s">
        <v>59</v>
      </c>
      <c r="C82" s="139">
        <v>71020</v>
      </c>
      <c r="D82" s="139">
        <v>0</v>
      </c>
      <c r="E82" s="139">
        <v>0</v>
      </c>
      <c r="F82" s="139">
        <v>0</v>
      </c>
      <c r="G82" s="139">
        <v>0</v>
      </c>
    </row>
    <row r="83" spans="1:7" ht="14.25" customHeight="1" x14ac:dyDescent="0.35">
      <c r="A83" s="138" t="s">
        <v>70</v>
      </c>
      <c r="B83" s="139" t="s">
        <v>52</v>
      </c>
      <c r="C83" s="139">
        <v>23027</v>
      </c>
      <c r="D83" s="139">
        <v>0</v>
      </c>
      <c r="E83" s="139">
        <v>0</v>
      </c>
      <c r="F83" s="139">
        <v>1</v>
      </c>
      <c r="G83" s="139">
        <v>0</v>
      </c>
    </row>
    <row r="84" spans="1:7" ht="14.25" customHeight="1" x14ac:dyDescent="0.35">
      <c r="A84" s="138" t="s">
        <v>127</v>
      </c>
      <c r="B84" s="139" t="s">
        <v>50</v>
      </c>
      <c r="C84" s="139">
        <v>42008</v>
      </c>
      <c r="D84" s="139">
        <v>1</v>
      </c>
      <c r="E84" s="139">
        <v>0</v>
      </c>
      <c r="F84" s="139">
        <v>1</v>
      </c>
      <c r="G84" s="139">
        <v>0</v>
      </c>
    </row>
    <row r="85" spans="1:7" ht="14.25" customHeight="1" x14ac:dyDescent="0.35">
      <c r="A85" s="138" t="s">
        <v>331</v>
      </c>
      <c r="B85" s="139" t="s">
        <v>59</v>
      </c>
      <c r="C85" s="139">
        <v>72037</v>
      </c>
      <c r="D85" s="139">
        <v>0</v>
      </c>
      <c r="E85" s="139">
        <v>0</v>
      </c>
      <c r="F85" s="139">
        <v>0</v>
      </c>
      <c r="G85" s="139">
        <v>0</v>
      </c>
    </row>
    <row r="86" spans="1:7" ht="14.25" customHeight="1" x14ac:dyDescent="0.35">
      <c r="A86" s="138" t="s">
        <v>73</v>
      </c>
      <c r="B86" s="139" t="s">
        <v>55</v>
      </c>
      <c r="C86" s="139">
        <v>34013</v>
      </c>
      <c r="D86" s="139">
        <v>4</v>
      </c>
      <c r="E86" s="139">
        <v>0</v>
      </c>
      <c r="F86" s="139">
        <v>4</v>
      </c>
      <c r="G86" s="139">
        <v>0</v>
      </c>
    </row>
    <row r="87" spans="1:7" ht="14.25" customHeight="1" x14ac:dyDescent="0.35">
      <c r="A87" s="138" t="s">
        <v>58</v>
      </c>
      <c r="B87" s="139" t="s">
        <v>59</v>
      </c>
      <c r="C87" s="139">
        <v>71022</v>
      </c>
      <c r="D87" s="139">
        <v>8</v>
      </c>
      <c r="E87" s="139">
        <v>2</v>
      </c>
      <c r="F87" s="139">
        <v>8</v>
      </c>
      <c r="G87" s="139">
        <v>2</v>
      </c>
    </row>
    <row r="88" spans="1:7" ht="14.25" customHeight="1" x14ac:dyDescent="0.35">
      <c r="A88" s="138" t="s">
        <v>265</v>
      </c>
      <c r="B88" s="139" t="s">
        <v>59</v>
      </c>
      <c r="C88" s="139">
        <v>72038</v>
      </c>
      <c r="D88" s="139">
        <v>0</v>
      </c>
      <c r="E88" s="139">
        <v>0</v>
      </c>
      <c r="F88" s="139">
        <v>0</v>
      </c>
      <c r="G88" s="139">
        <v>0</v>
      </c>
    </row>
    <row r="89" spans="1:7" ht="14.25" customHeight="1" x14ac:dyDescent="0.35">
      <c r="A89" s="138" t="s">
        <v>300</v>
      </c>
      <c r="B89" s="139" t="s">
        <v>59</v>
      </c>
      <c r="C89" s="139">
        <v>73022</v>
      </c>
      <c r="D89" s="139">
        <v>1</v>
      </c>
      <c r="E89" s="139">
        <v>0</v>
      </c>
      <c r="F89" s="139">
        <v>1</v>
      </c>
      <c r="G89" s="139">
        <v>0</v>
      </c>
    </row>
    <row r="90" spans="1:7" ht="14.25" customHeight="1" x14ac:dyDescent="0.35">
      <c r="A90" s="138" t="s">
        <v>108</v>
      </c>
      <c r="B90" s="139" t="s">
        <v>48</v>
      </c>
      <c r="C90" s="139">
        <v>12014</v>
      </c>
      <c r="D90" s="139">
        <v>1</v>
      </c>
      <c r="E90" s="139">
        <v>0</v>
      </c>
      <c r="F90" s="139">
        <v>1</v>
      </c>
      <c r="G90" s="139">
        <v>0</v>
      </c>
    </row>
    <row r="91" spans="1:7" ht="14.25" customHeight="1" x14ac:dyDescent="0.35">
      <c r="A91" s="138" t="s">
        <v>266</v>
      </c>
      <c r="B91" s="139" t="s">
        <v>48</v>
      </c>
      <c r="C91" s="139">
        <v>11018</v>
      </c>
      <c r="D91" s="139">
        <v>1</v>
      </c>
      <c r="E91" s="139">
        <v>0</v>
      </c>
      <c r="F91" s="139">
        <v>0</v>
      </c>
      <c r="G91" s="139">
        <v>0</v>
      </c>
    </row>
    <row r="92" spans="1:7" ht="14.25" customHeight="1" x14ac:dyDescent="0.35">
      <c r="A92" s="138" t="s">
        <v>69</v>
      </c>
      <c r="B92" s="139" t="s">
        <v>52</v>
      </c>
      <c r="C92" s="139">
        <v>24038</v>
      </c>
      <c r="D92" s="139">
        <v>13</v>
      </c>
      <c r="E92" s="139">
        <v>1</v>
      </c>
      <c r="F92" s="139">
        <v>11</v>
      </c>
      <c r="G92" s="139">
        <v>1</v>
      </c>
    </row>
    <row r="93" spans="1:7" ht="14.25" customHeight="1" x14ac:dyDescent="0.35">
      <c r="A93" s="138" t="s">
        <v>83</v>
      </c>
      <c r="B93" s="139" t="s">
        <v>48</v>
      </c>
      <c r="C93" s="139">
        <v>13011</v>
      </c>
      <c r="D93" s="139">
        <v>4</v>
      </c>
      <c r="E93" s="139">
        <v>0</v>
      </c>
      <c r="F93" s="139">
        <v>5</v>
      </c>
      <c r="G93" s="139">
        <v>0</v>
      </c>
    </row>
    <row r="94" spans="1:7" ht="14.25" customHeight="1" x14ac:dyDescent="0.35">
      <c r="A94" s="138" t="s">
        <v>326</v>
      </c>
      <c r="B94" s="139" t="s">
        <v>48</v>
      </c>
      <c r="C94" s="139">
        <v>13012</v>
      </c>
      <c r="D94" s="139">
        <v>0</v>
      </c>
      <c r="E94" s="139">
        <v>0</v>
      </c>
      <c r="F94" s="139">
        <v>0</v>
      </c>
      <c r="G94" s="139">
        <v>0</v>
      </c>
    </row>
    <row r="95" spans="1:7" ht="14.25" customHeight="1" x14ac:dyDescent="0.35">
      <c r="A95" s="138" t="s">
        <v>187</v>
      </c>
      <c r="B95" s="139" t="s">
        <v>59</v>
      </c>
      <c r="C95" s="139">
        <v>71024</v>
      </c>
      <c r="D95" s="139">
        <v>0</v>
      </c>
      <c r="E95" s="139">
        <v>0</v>
      </c>
      <c r="F95" s="139">
        <v>2</v>
      </c>
      <c r="G95" s="139">
        <v>0</v>
      </c>
    </row>
    <row r="96" spans="1:7" ht="14.25" customHeight="1" x14ac:dyDescent="0.35">
      <c r="A96" s="138" t="s">
        <v>272</v>
      </c>
      <c r="B96" s="139" t="s">
        <v>48</v>
      </c>
      <c r="C96" s="139">
        <v>13013</v>
      </c>
      <c r="D96" s="139">
        <v>0</v>
      </c>
      <c r="E96" s="139">
        <v>0</v>
      </c>
      <c r="F96" s="139">
        <v>0</v>
      </c>
      <c r="G96" s="139">
        <v>0</v>
      </c>
    </row>
    <row r="97" spans="1:7" ht="14.25" customHeight="1" x14ac:dyDescent="0.35">
      <c r="A97" s="138" t="s">
        <v>313</v>
      </c>
      <c r="B97" s="139" t="s">
        <v>59</v>
      </c>
      <c r="C97" s="139">
        <v>73028</v>
      </c>
      <c r="D97" s="139">
        <v>0</v>
      </c>
      <c r="E97" s="139">
        <v>0</v>
      </c>
      <c r="F97" s="139">
        <v>0</v>
      </c>
      <c r="G97" s="139">
        <v>0</v>
      </c>
    </row>
    <row r="98" spans="1:7" ht="14.25" customHeight="1" x14ac:dyDescent="0.35">
      <c r="A98" s="138" t="s">
        <v>113</v>
      </c>
      <c r="B98" s="139" t="s">
        <v>50</v>
      </c>
      <c r="C98" s="139">
        <v>41027</v>
      </c>
      <c r="D98" s="139">
        <v>1</v>
      </c>
      <c r="E98" s="139">
        <v>0</v>
      </c>
      <c r="F98" s="139">
        <v>1</v>
      </c>
      <c r="G98" s="139">
        <v>0</v>
      </c>
    </row>
    <row r="99" spans="1:7" ht="14.25" customHeight="1" x14ac:dyDescent="0.35">
      <c r="A99" s="138" t="s">
        <v>190</v>
      </c>
      <c r="B99" s="139" t="s">
        <v>59</v>
      </c>
      <c r="C99" s="139">
        <v>71070</v>
      </c>
      <c r="D99" s="139">
        <v>2</v>
      </c>
      <c r="E99" s="139">
        <v>0</v>
      </c>
      <c r="F99" s="139">
        <v>2</v>
      </c>
      <c r="G99" s="139">
        <v>0</v>
      </c>
    </row>
    <row r="100" spans="1:7" ht="14.25" customHeight="1" x14ac:dyDescent="0.35">
      <c r="A100" s="138" t="s">
        <v>167</v>
      </c>
      <c r="B100" s="139" t="s">
        <v>55</v>
      </c>
      <c r="C100" s="139">
        <v>33039</v>
      </c>
      <c r="D100" s="139">
        <v>0</v>
      </c>
      <c r="E100" s="139">
        <v>0</v>
      </c>
      <c r="F100" s="139">
        <v>0</v>
      </c>
      <c r="G100" s="139">
        <v>0</v>
      </c>
    </row>
    <row r="101" spans="1:7" ht="14.25" customHeight="1" x14ac:dyDescent="0.35">
      <c r="A101" s="138" t="s">
        <v>192</v>
      </c>
      <c r="B101" s="139" t="s">
        <v>52</v>
      </c>
      <c r="C101" s="139">
        <v>24041</v>
      </c>
      <c r="D101" s="139">
        <v>1</v>
      </c>
      <c r="E101" s="139">
        <v>0</v>
      </c>
      <c r="F101" s="139">
        <v>1</v>
      </c>
      <c r="G101" s="139">
        <v>0</v>
      </c>
    </row>
    <row r="102" spans="1:7" ht="14.25" customHeight="1" x14ac:dyDescent="0.35">
      <c r="A102" s="138" t="s">
        <v>153</v>
      </c>
      <c r="B102" s="139" t="s">
        <v>52</v>
      </c>
      <c r="C102" s="139">
        <v>23033</v>
      </c>
      <c r="D102" s="139">
        <v>1</v>
      </c>
      <c r="E102" s="139">
        <v>1</v>
      </c>
      <c r="F102" s="139">
        <v>1</v>
      </c>
      <c r="G102" s="139">
        <v>1</v>
      </c>
    </row>
    <row r="103" spans="1:7" ht="14.25" customHeight="1" x14ac:dyDescent="0.35">
      <c r="A103" s="138" t="s">
        <v>86</v>
      </c>
      <c r="B103" s="139" t="s">
        <v>52</v>
      </c>
      <c r="C103" s="139">
        <v>24043</v>
      </c>
      <c r="D103" s="139">
        <v>7</v>
      </c>
      <c r="E103" s="139">
        <v>1</v>
      </c>
      <c r="F103" s="139">
        <v>7</v>
      </c>
      <c r="G103" s="139">
        <v>1</v>
      </c>
    </row>
    <row r="104" spans="1:7" ht="14.25" customHeight="1" x14ac:dyDescent="0.35">
      <c r="A104" s="138" t="s">
        <v>150</v>
      </c>
      <c r="B104" s="139" t="s">
        <v>55</v>
      </c>
      <c r="C104" s="139">
        <v>36006</v>
      </c>
      <c r="D104" s="139">
        <v>0</v>
      </c>
      <c r="E104" s="139">
        <v>0</v>
      </c>
      <c r="F104" s="139">
        <v>0</v>
      </c>
      <c r="G104" s="139">
        <v>0</v>
      </c>
    </row>
    <row r="105" spans="1:7" ht="14.25" customHeight="1" x14ac:dyDescent="0.35">
      <c r="A105" s="138" t="s">
        <v>185</v>
      </c>
      <c r="B105" s="139" t="s">
        <v>48</v>
      </c>
      <c r="C105" s="139">
        <v>13014</v>
      </c>
      <c r="D105" s="139">
        <v>0</v>
      </c>
      <c r="E105" s="139">
        <v>0</v>
      </c>
      <c r="F105" s="139">
        <v>0</v>
      </c>
      <c r="G105" s="139">
        <v>0</v>
      </c>
    </row>
    <row r="106" spans="1:7" ht="14.25" customHeight="1" x14ac:dyDescent="0.35">
      <c r="A106" s="138" t="s">
        <v>297</v>
      </c>
      <c r="B106" s="139" t="s">
        <v>50</v>
      </c>
      <c r="C106" s="139">
        <v>45062</v>
      </c>
      <c r="D106" s="139">
        <v>0</v>
      </c>
      <c r="E106" s="139">
        <v>0</v>
      </c>
      <c r="F106" s="139">
        <v>0</v>
      </c>
      <c r="G106" s="139">
        <v>0</v>
      </c>
    </row>
    <row r="107" spans="1:7" ht="14.25" customHeight="1" x14ac:dyDescent="0.35">
      <c r="A107" s="138" t="s">
        <v>296</v>
      </c>
      <c r="B107" s="139" t="s">
        <v>59</v>
      </c>
      <c r="C107" s="139">
        <v>72039</v>
      </c>
      <c r="D107" s="139">
        <v>0</v>
      </c>
      <c r="E107" s="139">
        <v>0</v>
      </c>
      <c r="F107" s="139">
        <v>0</v>
      </c>
      <c r="G107" s="139">
        <v>0</v>
      </c>
    </row>
    <row r="108" spans="1:7" ht="14.25" customHeight="1" x14ac:dyDescent="0.35">
      <c r="A108" s="138" t="s">
        <v>261</v>
      </c>
      <c r="B108" s="139" t="s">
        <v>55</v>
      </c>
      <c r="C108" s="139">
        <v>32006</v>
      </c>
      <c r="D108" s="139">
        <v>0</v>
      </c>
      <c r="E108" s="139">
        <v>0</v>
      </c>
      <c r="F108" s="139">
        <v>0</v>
      </c>
      <c r="G108" s="139">
        <v>0</v>
      </c>
    </row>
    <row r="109" spans="1:7" ht="14.25" customHeight="1" x14ac:dyDescent="0.35">
      <c r="A109" s="138" t="s">
        <v>196</v>
      </c>
      <c r="B109" s="139" t="s">
        <v>48</v>
      </c>
      <c r="C109" s="139">
        <v>11021</v>
      </c>
      <c r="D109" s="139">
        <v>0</v>
      </c>
      <c r="E109" s="139">
        <v>0</v>
      </c>
      <c r="F109" s="139">
        <v>0</v>
      </c>
      <c r="G109" s="139">
        <v>0</v>
      </c>
    </row>
    <row r="110" spans="1:7" ht="14.25" customHeight="1" x14ac:dyDescent="0.35">
      <c r="A110" s="138" t="s">
        <v>134</v>
      </c>
      <c r="B110" s="139" t="s">
        <v>52</v>
      </c>
      <c r="C110" s="139">
        <v>24045</v>
      </c>
      <c r="D110" s="139">
        <v>0</v>
      </c>
      <c r="E110" s="139">
        <v>0</v>
      </c>
      <c r="F110" s="139">
        <v>0</v>
      </c>
      <c r="G110" s="139">
        <v>0</v>
      </c>
    </row>
    <row r="111" spans="1:7" ht="14.25" customHeight="1" x14ac:dyDescent="0.35">
      <c r="A111" s="138" t="s">
        <v>173</v>
      </c>
      <c r="B111" s="139" t="s">
        <v>48</v>
      </c>
      <c r="C111" s="139">
        <v>13016</v>
      </c>
      <c r="D111" s="139">
        <v>0</v>
      </c>
      <c r="E111" s="139">
        <v>0</v>
      </c>
      <c r="F111" s="139">
        <v>0</v>
      </c>
      <c r="G111" s="139">
        <v>0</v>
      </c>
    </row>
    <row r="112" spans="1:7" ht="14.25" customHeight="1" x14ac:dyDescent="0.35">
      <c r="A112" s="138" t="s">
        <v>212</v>
      </c>
      <c r="B112" s="139" t="s">
        <v>55</v>
      </c>
      <c r="C112" s="139">
        <v>35006</v>
      </c>
      <c r="D112" s="139">
        <v>0</v>
      </c>
      <c r="E112" s="139">
        <v>0</v>
      </c>
      <c r="F112" s="139">
        <v>0</v>
      </c>
      <c r="G112" s="139">
        <v>0</v>
      </c>
    </row>
    <row r="113" spans="1:7" ht="14.25" customHeight="1" x14ac:dyDescent="0.35">
      <c r="A113" s="138" t="s">
        <v>76</v>
      </c>
      <c r="B113" s="139" t="s">
        <v>55</v>
      </c>
      <c r="C113" s="139">
        <v>33011</v>
      </c>
      <c r="D113" s="139">
        <v>3</v>
      </c>
      <c r="E113" s="139">
        <v>0</v>
      </c>
      <c r="F113" s="139">
        <v>3</v>
      </c>
      <c r="G113" s="139">
        <v>0</v>
      </c>
    </row>
    <row r="114" spans="1:7" ht="14.25" customHeight="1" x14ac:dyDescent="0.35">
      <c r="A114" s="138" t="s">
        <v>263</v>
      </c>
      <c r="B114" s="139" t="s">
        <v>55</v>
      </c>
      <c r="C114" s="139">
        <v>36007</v>
      </c>
      <c r="D114" s="139">
        <v>0</v>
      </c>
      <c r="E114" s="139">
        <v>0</v>
      </c>
      <c r="F114" s="139">
        <v>0</v>
      </c>
      <c r="G114" s="139">
        <v>0</v>
      </c>
    </row>
    <row r="115" spans="1:7" ht="14.25" customHeight="1" x14ac:dyDescent="0.35">
      <c r="A115" s="138" t="s">
        <v>129</v>
      </c>
      <c r="B115" s="139" t="s">
        <v>55</v>
      </c>
      <c r="C115" s="139">
        <v>36008</v>
      </c>
      <c r="D115" s="139">
        <v>0</v>
      </c>
      <c r="E115" s="139">
        <v>0</v>
      </c>
      <c r="F115" s="139">
        <v>0</v>
      </c>
      <c r="G115" s="139">
        <v>0</v>
      </c>
    </row>
    <row r="116" spans="1:7" ht="14.25" customHeight="1" x14ac:dyDescent="0.35">
      <c r="A116" s="138" t="s">
        <v>273</v>
      </c>
      <c r="B116" s="139" t="s">
        <v>55</v>
      </c>
      <c r="C116" s="139">
        <v>31012</v>
      </c>
      <c r="D116" s="139">
        <v>0</v>
      </c>
      <c r="E116" s="139">
        <v>0</v>
      </c>
      <c r="F116" s="139">
        <v>0</v>
      </c>
      <c r="G116" s="139">
        <v>0</v>
      </c>
    </row>
    <row r="117" spans="1:7" ht="14.25" customHeight="1" x14ac:dyDescent="0.35">
      <c r="A117" s="138" t="s">
        <v>163</v>
      </c>
      <c r="B117" s="139" t="s">
        <v>48</v>
      </c>
      <c r="C117" s="139">
        <v>11022</v>
      </c>
      <c r="D117" s="139">
        <v>2</v>
      </c>
      <c r="E117" s="139">
        <v>0</v>
      </c>
      <c r="F117" s="139">
        <v>1</v>
      </c>
      <c r="G117" s="139">
        <v>0</v>
      </c>
    </row>
    <row r="118" spans="1:7" ht="14.25" customHeight="1" x14ac:dyDescent="0.35">
      <c r="A118" s="138" t="s">
        <v>207</v>
      </c>
      <c r="B118" s="139" t="s">
        <v>52</v>
      </c>
      <c r="C118" s="139">
        <v>23038</v>
      </c>
      <c r="D118" s="139">
        <v>1</v>
      </c>
      <c r="E118" s="139">
        <v>0</v>
      </c>
      <c r="F118" s="139">
        <v>1</v>
      </c>
      <c r="G118" s="139">
        <v>0</v>
      </c>
    </row>
    <row r="119" spans="1:7" ht="14.25" customHeight="1" x14ac:dyDescent="0.35">
      <c r="A119" s="138" t="s">
        <v>258</v>
      </c>
      <c r="B119" s="139" t="s">
        <v>52</v>
      </c>
      <c r="C119" s="139">
        <v>23039</v>
      </c>
      <c r="D119" s="139">
        <v>0</v>
      </c>
      <c r="E119" s="139">
        <v>0</v>
      </c>
      <c r="F119" s="139">
        <v>0</v>
      </c>
      <c r="G119" s="139">
        <v>0</v>
      </c>
    </row>
    <row r="120" spans="1:7" ht="14.25" customHeight="1" x14ac:dyDescent="0.35">
      <c r="A120" s="138" t="s">
        <v>312</v>
      </c>
      <c r="B120" s="139" t="s">
        <v>48</v>
      </c>
      <c r="C120" s="139">
        <v>11023</v>
      </c>
      <c r="D120" s="139">
        <v>1</v>
      </c>
      <c r="E120" s="139">
        <v>0</v>
      </c>
      <c r="F120" s="139">
        <v>1</v>
      </c>
      <c r="G120" s="139">
        <v>0</v>
      </c>
    </row>
    <row r="121" spans="1:7" ht="14.25" customHeight="1" x14ac:dyDescent="0.35">
      <c r="A121" s="138" t="s">
        <v>247</v>
      </c>
      <c r="B121" s="139" t="s">
        <v>50</v>
      </c>
      <c r="C121" s="139">
        <v>43007</v>
      </c>
      <c r="D121" s="139">
        <v>1</v>
      </c>
      <c r="E121" s="139">
        <v>0</v>
      </c>
      <c r="F121" s="139">
        <v>1</v>
      </c>
      <c r="G121" s="139">
        <v>0</v>
      </c>
    </row>
    <row r="122" spans="1:7" ht="14.25" customHeight="1" x14ac:dyDescent="0.35">
      <c r="A122" s="138" t="s">
        <v>181</v>
      </c>
      <c r="B122" s="139" t="s">
        <v>48</v>
      </c>
      <c r="C122" s="139">
        <v>13017</v>
      </c>
      <c r="D122" s="139">
        <v>1</v>
      </c>
      <c r="E122" s="139">
        <v>0</v>
      </c>
      <c r="F122" s="139">
        <v>2</v>
      </c>
      <c r="G122" s="139">
        <v>1</v>
      </c>
    </row>
    <row r="123" spans="1:7" ht="14.25" customHeight="1" x14ac:dyDescent="0.35">
      <c r="A123" s="138" t="s">
        <v>176</v>
      </c>
      <c r="B123" s="139" t="s">
        <v>52</v>
      </c>
      <c r="C123" s="139">
        <v>24048</v>
      </c>
      <c r="D123" s="139">
        <v>0</v>
      </c>
      <c r="E123" s="139">
        <v>0</v>
      </c>
      <c r="F123" s="139">
        <v>0</v>
      </c>
      <c r="G123" s="139">
        <v>0</v>
      </c>
    </row>
    <row r="124" spans="1:7" ht="14.25" customHeight="1" x14ac:dyDescent="0.35">
      <c r="A124" s="138" t="s">
        <v>325</v>
      </c>
      <c r="B124" s="139" t="s">
        <v>59</v>
      </c>
      <c r="C124" s="139">
        <v>72018</v>
      </c>
      <c r="D124" s="139">
        <v>0</v>
      </c>
      <c r="E124" s="139">
        <v>0</v>
      </c>
      <c r="F124" s="139">
        <v>0</v>
      </c>
      <c r="G124" s="139">
        <v>0</v>
      </c>
    </row>
    <row r="125" spans="1:7" ht="14.25" customHeight="1" x14ac:dyDescent="0.35">
      <c r="A125" s="138" t="s">
        <v>191</v>
      </c>
      <c r="B125" s="139" t="s">
        <v>50</v>
      </c>
      <c r="C125" s="139">
        <v>45060</v>
      </c>
      <c r="D125" s="139">
        <v>0</v>
      </c>
      <c r="E125" s="139">
        <v>0</v>
      </c>
      <c r="F125" s="139">
        <v>0</v>
      </c>
      <c r="G125" s="139">
        <v>0</v>
      </c>
    </row>
    <row r="126" spans="1:7" ht="14.25" customHeight="1" x14ac:dyDescent="0.35">
      <c r="A126" s="138" t="s">
        <v>103</v>
      </c>
      <c r="B126" s="139" t="s">
        <v>55</v>
      </c>
      <c r="C126" s="139">
        <v>31043</v>
      </c>
      <c r="D126" s="139">
        <v>1</v>
      </c>
      <c r="E126" s="139">
        <v>0</v>
      </c>
      <c r="F126" s="139">
        <v>1</v>
      </c>
      <c r="G126" s="139">
        <v>0</v>
      </c>
    </row>
    <row r="127" spans="1:7" ht="14.25" customHeight="1" x14ac:dyDescent="0.35">
      <c r="A127" s="138" t="s">
        <v>256</v>
      </c>
      <c r="B127" s="139" t="s">
        <v>55</v>
      </c>
      <c r="C127" s="139">
        <v>32010</v>
      </c>
      <c r="D127" s="139">
        <v>0</v>
      </c>
      <c r="E127" s="139">
        <v>0</v>
      </c>
      <c r="F127" s="139">
        <v>0</v>
      </c>
      <c r="G127" s="139">
        <v>0</v>
      </c>
    </row>
    <row r="128" spans="1:7" ht="14.25" customHeight="1" x14ac:dyDescent="0.35">
      <c r="A128" s="138" t="s">
        <v>100</v>
      </c>
      <c r="B128" s="139" t="s">
        <v>55</v>
      </c>
      <c r="C128" s="139">
        <v>38014</v>
      </c>
      <c r="D128" s="139">
        <v>0</v>
      </c>
      <c r="E128" s="139">
        <v>0</v>
      </c>
      <c r="F128" s="139">
        <v>0</v>
      </c>
      <c r="G128" s="139">
        <v>0</v>
      </c>
    </row>
    <row r="129" spans="1:7" ht="14.25" customHeight="1" x14ac:dyDescent="0.35">
      <c r="A129" s="138" t="s">
        <v>288</v>
      </c>
      <c r="B129" s="139" t="s">
        <v>48</v>
      </c>
      <c r="C129" s="139">
        <v>11024</v>
      </c>
      <c r="D129" s="139">
        <v>2</v>
      </c>
      <c r="E129" s="139">
        <v>0</v>
      </c>
      <c r="F129" s="139">
        <v>2</v>
      </c>
      <c r="G129" s="139">
        <v>0</v>
      </c>
    </row>
    <row r="130" spans="1:7" ht="14.25" customHeight="1" x14ac:dyDescent="0.35">
      <c r="A130" s="138" t="s">
        <v>138</v>
      </c>
      <c r="B130" s="139" t="s">
        <v>55</v>
      </c>
      <c r="C130" s="139">
        <v>32011</v>
      </c>
      <c r="D130" s="139">
        <v>2</v>
      </c>
      <c r="E130" s="139">
        <v>0</v>
      </c>
      <c r="F130" s="139">
        <v>2</v>
      </c>
      <c r="G130" s="139">
        <v>0</v>
      </c>
    </row>
    <row r="131" spans="1:7" ht="14.25" customHeight="1" x14ac:dyDescent="0.35">
      <c r="A131" s="138" t="s">
        <v>252</v>
      </c>
      <c r="B131" s="139" t="s">
        <v>52</v>
      </c>
      <c r="C131" s="139">
        <v>24054</v>
      </c>
      <c r="D131" s="139">
        <v>0</v>
      </c>
      <c r="E131" s="139">
        <v>0</v>
      </c>
      <c r="F131" s="139">
        <v>0</v>
      </c>
      <c r="G131" s="139">
        <v>0</v>
      </c>
    </row>
    <row r="132" spans="1:7" ht="14.25" customHeight="1" x14ac:dyDescent="0.35">
      <c r="A132" s="138" t="s">
        <v>117</v>
      </c>
      <c r="B132" s="139" t="s">
        <v>52</v>
      </c>
      <c r="C132" s="139">
        <v>24055</v>
      </c>
      <c r="D132" s="139">
        <v>5</v>
      </c>
      <c r="E132" s="139">
        <v>1</v>
      </c>
      <c r="F132" s="139">
        <v>6</v>
      </c>
      <c r="G132" s="139">
        <v>1</v>
      </c>
    </row>
    <row r="133" spans="1:7" ht="14.25" customHeight="1" x14ac:dyDescent="0.35">
      <c r="A133" s="138" t="s">
        <v>56</v>
      </c>
      <c r="B133" s="139" t="s">
        <v>55</v>
      </c>
      <c r="C133" s="139">
        <v>34022</v>
      </c>
      <c r="D133" s="139">
        <v>16</v>
      </c>
      <c r="E133" s="139">
        <v>1</v>
      </c>
      <c r="F133" s="139">
        <v>16</v>
      </c>
      <c r="G133" s="139">
        <v>2</v>
      </c>
    </row>
    <row r="134" spans="1:7" ht="14.25" customHeight="1" x14ac:dyDescent="0.35">
      <c r="A134" s="138" t="s">
        <v>270</v>
      </c>
      <c r="B134" s="139" t="s">
        <v>52</v>
      </c>
      <c r="C134" s="139">
        <v>23099</v>
      </c>
      <c r="D134" s="139">
        <v>0</v>
      </c>
      <c r="E134" s="139">
        <v>0</v>
      </c>
      <c r="F134" s="139">
        <v>0</v>
      </c>
      <c r="G134" s="139">
        <v>0</v>
      </c>
    </row>
    <row r="135" spans="1:7" ht="14.25" customHeight="1" x14ac:dyDescent="0.35">
      <c r="A135" s="138" t="s">
        <v>122</v>
      </c>
      <c r="B135" s="139" t="s">
        <v>50</v>
      </c>
      <c r="C135" s="139">
        <v>45068</v>
      </c>
      <c r="D135" s="139">
        <v>0</v>
      </c>
      <c r="E135" s="139">
        <v>0</v>
      </c>
      <c r="F135" s="139">
        <v>0</v>
      </c>
      <c r="G135" s="139">
        <v>0</v>
      </c>
    </row>
    <row r="136" spans="1:7" ht="14.25" customHeight="1" x14ac:dyDescent="0.35">
      <c r="A136" s="138" t="s">
        <v>158</v>
      </c>
      <c r="B136" s="139" t="s">
        <v>55</v>
      </c>
      <c r="C136" s="139">
        <v>34023</v>
      </c>
      <c r="D136" s="139">
        <v>4</v>
      </c>
      <c r="E136" s="139">
        <v>0</v>
      </c>
      <c r="F136" s="139">
        <v>2</v>
      </c>
      <c r="G136" s="139">
        <v>0</v>
      </c>
    </row>
    <row r="137" spans="1:7" ht="14.25" customHeight="1" x14ac:dyDescent="0.35">
      <c r="A137" s="138" t="s">
        <v>218</v>
      </c>
      <c r="B137" s="139" t="s">
        <v>48</v>
      </c>
      <c r="C137" s="139">
        <v>13053</v>
      </c>
      <c r="D137" s="139">
        <v>0</v>
      </c>
      <c r="E137" s="139">
        <v>0</v>
      </c>
      <c r="F137" s="139">
        <v>0</v>
      </c>
      <c r="G137" s="139">
        <v>0</v>
      </c>
    </row>
    <row r="138" spans="1:7" ht="14.25" customHeight="1" x14ac:dyDescent="0.35">
      <c r="A138" s="138" t="s">
        <v>155</v>
      </c>
      <c r="B138" s="139" t="s">
        <v>50</v>
      </c>
      <c r="C138" s="139">
        <v>42010</v>
      </c>
      <c r="D138" s="139">
        <v>0</v>
      </c>
      <c r="E138" s="139">
        <v>0</v>
      </c>
      <c r="F138" s="139">
        <v>0</v>
      </c>
      <c r="G138" s="139">
        <v>0</v>
      </c>
    </row>
    <row r="139" spans="1:7" ht="14.25" customHeight="1" x14ac:dyDescent="0.35">
      <c r="A139" s="138" t="s">
        <v>295</v>
      </c>
      <c r="B139" s="139" t="s">
        <v>59</v>
      </c>
      <c r="C139" s="139">
        <v>73042</v>
      </c>
      <c r="D139" s="139">
        <v>2</v>
      </c>
      <c r="E139" s="139">
        <v>0</v>
      </c>
      <c r="F139" s="139">
        <v>1</v>
      </c>
      <c r="G139" s="139">
        <v>0</v>
      </c>
    </row>
    <row r="140" spans="1:7" ht="14.25" customHeight="1" x14ac:dyDescent="0.35">
      <c r="A140" s="138" t="s">
        <v>81</v>
      </c>
      <c r="B140" s="139" t="s">
        <v>52</v>
      </c>
      <c r="C140" s="139">
        <v>24059</v>
      </c>
      <c r="D140" s="139">
        <v>4</v>
      </c>
      <c r="E140" s="139">
        <v>0</v>
      </c>
      <c r="F140" s="139">
        <v>4</v>
      </c>
      <c r="G140" s="139">
        <v>0</v>
      </c>
    </row>
    <row r="141" spans="1:7" ht="14.25" customHeight="1" x14ac:dyDescent="0.35">
      <c r="A141" s="138" t="s">
        <v>253</v>
      </c>
      <c r="B141" s="139" t="s">
        <v>55</v>
      </c>
      <c r="C141" s="139">
        <v>33040</v>
      </c>
      <c r="D141" s="139">
        <v>0</v>
      </c>
      <c r="E141" s="139">
        <v>0</v>
      </c>
      <c r="F141" s="139">
        <v>0</v>
      </c>
      <c r="G141" s="139">
        <v>0</v>
      </c>
    </row>
    <row r="142" spans="1:7" ht="14.25" customHeight="1" x14ac:dyDescent="0.35">
      <c r="A142" s="138" t="s">
        <v>114</v>
      </c>
      <c r="B142" s="139" t="s">
        <v>50</v>
      </c>
      <c r="C142" s="139">
        <v>42011</v>
      </c>
      <c r="D142" s="139">
        <v>1</v>
      </c>
      <c r="E142" s="139">
        <v>0</v>
      </c>
      <c r="F142" s="139">
        <v>1</v>
      </c>
      <c r="G142" s="139">
        <v>0</v>
      </c>
    </row>
    <row r="143" spans="1:7" ht="14.25" customHeight="1" x14ac:dyDescent="0.35">
      <c r="A143" s="138" t="s">
        <v>179</v>
      </c>
      <c r="B143" s="139" t="s">
        <v>50</v>
      </c>
      <c r="C143" s="139">
        <v>41034</v>
      </c>
      <c r="D143" s="139">
        <v>0</v>
      </c>
      <c r="E143" s="139">
        <v>0</v>
      </c>
      <c r="F143" s="139">
        <v>0</v>
      </c>
      <c r="G143" s="139">
        <v>0</v>
      </c>
    </row>
    <row r="144" spans="1:7" ht="14.25" customHeight="1" x14ac:dyDescent="0.35">
      <c r="A144" s="138" t="s">
        <v>171</v>
      </c>
      <c r="B144" s="139" t="s">
        <v>55</v>
      </c>
      <c r="C144" s="139">
        <v>36010</v>
      </c>
      <c r="D144" s="139">
        <v>0</v>
      </c>
      <c r="E144" s="139">
        <v>0</v>
      </c>
      <c r="F144" s="139">
        <v>0</v>
      </c>
      <c r="G144" s="139">
        <v>0</v>
      </c>
    </row>
    <row r="145" spans="1:7" ht="14.25" customHeight="1" x14ac:dyDescent="0.35">
      <c r="A145" s="138" t="s">
        <v>320</v>
      </c>
      <c r="B145" s="139" t="s">
        <v>55</v>
      </c>
      <c r="C145" s="139">
        <v>34025</v>
      </c>
      <c r="D145" s="139">
        <v>0</v>
      </c>
      <c r="E145" s="139">
        <v>0</v>
      </c>
      <c r="F145" s="139">
        <v>0</v>
      </c>
      <c r="G145" s="139">
        <v>0</v>
      </c>
    </row>
    <row r="146" spans="1:7" ht="14.25" customHeight="1" x14ac:dyDescent="0.35">
      <c r="A146" s="138" t="s">
        <v>257</v>
      </c>
      <c r="B146" s="139" t="s">
        <v>52</v>
      </c>
      <c r="C146" s="139">
        <v>23104</v>
      </c>
      <c r="D146" s="139">
        <v>1</v>
      </c>
      <c r="E146" s="139">
        <v>0</v>
      </c>
      <c r="F146" s="139">
        <v>2</v>
      </c>
      <c r="G146" s="139">
        <v>0</v>
      </c>
    </row>
    <row r="147" spans="1:7" ht="14.25" customHeight="1" x14ac:dyDescent="0.35">
      <c r="A147" s="138" t="s">
        <v>308</v>
      </c>
      <c r="B147" s="139" t="s">
        <v>59</v>
      </c>
      <c r="C147" s="139">
        <v>71034</v>
      </c>
      <c r="D147" s="139">
        <v>0</v>
      </c>
      <c r="E147" s="139">
        <v>0</v>
      </c>
      <c r="F147" s="139">
        <v>0</v>
      </c>
      <c r="G147" s="139">
        <v>0</v>
      </c>
    </row>
    <row r="148" spans="1:7" ht="14.25" customHeight="1" x14ac:dyDescent="0.35">
      <c r="A148" s="138" t="s">
        <v>51</v>
      </c>
      <c r="B148" s="139" t="s">
        <v>52</v>
      </c>
      <c r="C148" s="139">
        <v>24062</v>
      </c>
      <c r="D148" s="139">
        <v>57</v>
      </c>
      <c r="E148" s="139">
        <v>1</v>
      </c>
      <c r="F148" s="139">
        <v>57</v>
      </c>
      <c r="G148" s="139">
        <v>1</v>
      </c>
    </row>
    <row r="149" spans="1:7" ht="14.25" customHeight="1" x14ac:dyDescent="0.35">
      <c r="A149" s="138" t="s">
        <v>198</v>
      </c>
      <c r="B149" s="139" t="s">
        <v>55</v>
      </c>
      <c r="C149" s="139">
        <v>36011</v>
      </c>
      <c r="D149" s="139">
        <v>0</v>
      </c>
      <c r="E149" s="139">
        <v>0</v>
      </c>
      <c r="F149" s="139">
        <v>0</v>
      </c>
      <c r="G149" s="139">
        <v>0</v>
      </c>
    </row>
    <row r="150" spans="1:7" ht="14.25" customHeight="1" x14ac:dyDescent="0.35">
      <c r="A150" s="138" t="s">
        <v>334</v>
      </c>
      <c r="B150" s="139" t="s">
        <v>52</v>
      </c>
      <c r="C150" s="139">
        <v>23044</v>
      </c>
      <c r="D150" s="139">
        <v>0</v>
      </c>
      <c r="E150" s="139">
        <v>0</v>
      </c>
      <c r="F150" s="139">
        <v>0</v>
      </c>
      <c r="G150" s="139">
        <v>0</v>
      </c>
    </row>
    <row r="151" spans="1:7" ht="14.25" customHeight="1" x14ac:dyDescent="0.35">
      <c r="A151" s="138" t="s">
        <v>68</v>
      </c>
      <c r="B151" s="139" t="s">
        <v>48</v>
      </c>
      <c r="C151" s="139">
        <v>12021</v>
      </c>
      <c r="D151" s="139">
        <v>7</v>
      </c>
      <c r="E151" s="139">
        <v>0</v>
      </c>
      <c r="F151" s="139">
        <v>7</v>
      </c>
      <c r="G151" s="139">
        <v>0</v>
      </c>
    </row>
    <row r="152" spans="1:7" ht="14.25" customHeight="1" x14ac:dyDescent="0.35">
      <c r="A152" s="138" t="s">
        <v>248</v>
      </c>
      <c r="B152" s="139" t="s">
        <v>50</v>
      </c>
      <c r="C152" s="139">
        <v>45063</v>
      </c>
      <c r="D152" s="139">
        <v>0</v>
      </c>
      <c r="E152" s="139">
        <v>0</v>
      </c>
      <c r="F152" s="139">
        <v>0</v>
      </c>
      <c r="G152" s="139">
        <v>0</v>
      </c>
    </row>
    <row r="153" spans="1:7" ht="14.25" customHeight="1" x14ac:dyDescent="0.35">
      <c r="A153" s="138" t="s">
        <v>82</v>
      </c>
      <c r="B153" s="139" t="s">
        <v>50</v>
      </c>
      <c r="C153" s="139">
        <v>44085</v>
      </c>
      <c r="D153" s="139">
        <v>1</v>
      </c>
      <c r="E153" s="139">
        <v>0</v>
      </c>
      <c r="F153" s="139">
        <v>1</v>
      </c>
      <c r="G153" s="139">
        <v>0</v>
      </c>
    </row>
    <row r="154" spans="1:7" ht="14.25" customHeight="1" x14ac:dyDescent="0.35">
      <c r="A154" s="138" t="s">
        <v>161</v>
      </c>
      <c r="B154" s="139" t="s">
        <v>48</v>
      </c>
      <c r="C154" s="139">
        <v>13019</v>
      </c>
      <c r="D154" s="139">
        <v>3</v>
      </c>
      <c r="E154" s="139">
        <v>0</v>
      </c>
      <c r="F154" s="139">
        <v>3</v>
      </c>
      <c r="G154" s="139">
        <v>0</v>
      </c>
    </row>
    <row r="155" spans="1:7" ht="14.25" customHeight="1" x14ac:dyDescent="0.35">
      <c r="A155" s="138" t="s">
        <v>319</v>
      </c>
      <c r="B155" s="139" t="s">
        <v>52</v>
      </c>
      <c r="C155" s="139">
        <v>23100</v>
      </c>
      <c r="D155" s="139">
        <v>0</v>
      </c>
      <c r="E155" s="139">
        <v>0</v>
      </c>
      <c r="F155" s="139">
        <v>0</v>
      </c>
      <c r="G155" s="139">
        <v>0</v>
      </c>
    </row>
    <row r="156" spans="1:7" ht="14.25" customHeight="1" x14ac:dyDescent="0.35">
      <c r="A156" s="138" t="s">
        <v>254</v>
      </c>
      <c r="B156" s="139" t="s">
        <v>48</v>
      </c>
      <c r="C156" s="139">
        <v>11025</v>
      </c>
      <c r="D156" s="139">
        <v>0</v>
      </c>
      <c r="E156" s="139">
        <v>0</v>
      </c>
      <c r="F156" s="139">
        <v>0</v>
      </c>
      <c r="G156" s="139">
        <v>0</v>
      </c>
    </row>
    <row r="157" spans="1:7" ht="14.25" customHeight="1" x14ac:dyDescent="0.35">
      <c r="A157" s="138" t="s">
        <v>193</v>
      </c>
      <c r="B157" s="139" t="s">
        <v>52</v>
      </c>
      <c r="C157" s="139">
        <v>24133</v>
      </c>
      <c r="D157" s="139">
        <v>1</v>
      </c>
      <c r="E157" s="139">
        <v>0</v>
      </c>
      <c r="F157" s="139">
        <v>1</v>
      </c>
      <c r="G157" s="139">
        <v>0</v>
      </c>
    </row>
    <row r="158" spans="1:7" ht="14.25" customHeight="1" x14ac:dyDescent="0.35">
      <c r="A158" s="138" t="s">
        <v>239</v>
      </c>
      <c r="B158" s="139" t="s">
        <v>55</v>
      </c>
      <c r="C158" s="139">
        <v>32030</v>
      </c>
      <c r="D158" s="139">
        <v>0</v>
      </c>
      <c r="E158" s="139">
        <v>0</v>
      </c>
      <c r="F158" s="139">
        <v>0</v>
      </c>
      <c r="G158" s="139">
        <v>0</v>
      </c>
    </row>
    <row r="159" spans="1:7" ht="14.25" customHeight="1" x14ac:dyDescent="0.35">
      <c r="A159" s="138" t="s">
        <v>233</v>
      </c>
      <c r="B159" s="139" t="s">
        <v>50</v>
      </c>
      <c r="C159" s="139">
        <v>44034</v>
      </c>
      <c r="D159" s="139">
        <v>0</v>
      </c>
      <c r="E159" s="139">
        <v>0</v>
      </c>
      <c r="F159" s="139">
        <v>0</v>
      </c>
      <c r="G159" s="139">
        <v>0</v>
      </c>
    </row>
    <row r="160" spans="1:7" ht="14.25" customHeight="1" x14ac:dyDescent="0.35">
      <c r="A160" s="138" t="s">
        <v>72</v>
      </c>
      <c r="B160" s="139" t="s">
        <v>50</v>
      </c>
      <c r="C160" s="139">
        <v>46014</v>
      </c>
      <c r="D160" s="139">
        <v>4</v>
      </c>
      <c r="E160" s="139">
        <v>1</v>
      </c>
      <c r="F160" s="139">
        <v>4</v>
      </c>
      <c r="G160" s="139">
        <v>1</v>
      </c>
    </row>
    <row r="161" spans="1:7" ht="14.25" customHeight="1" x14ac:dyDescent="0.35">
      <c r="A161" s="138" t="s">
        <v>126</v>
      </c>
      <c r="B161" s="139" t="s">
        <v>59</v>
      </c>
      <c r="C161" s="139">
        <v>72020</v>
      </c>
      <c r="D161" s="139">
        <v>0</v>
      </c>
      <c r="E161" s="139">
        <v>0</v>
      </c>
      <c r="F161" s="139">
        <v>0</v>
      </c>
      <c r="G161" s="139">
        <v>0</v>
      </c>
    </row>
    <row r="162" spans="1:7" ht="14.25" customHeight="1" x14ac:dyDescent="0.35">
      <c r="A162" s="138" t="s">
        <v>283</v>
      </c>
      <c r="B162" s="139" t="s">
        <v>52</v>
      </c>
      <c r="C162" s="139">
        <v>23045</v>
      </c>
      <c r="D162" s="139">
        <v>2</v>
      </c>
      <c r="E162" s="139">
        <v>0</v>
      </c>
      <c r="F162" s="139">
        <v>2</v>
      </c>
      <c r="G162" s="139">
        <v>0</v>
      </c>
    </row>
    <row r="163" spans="1:7" ht="14.25" customHeight="1" x14ac:dyDescent="0.35">
      <c r="A163" s="138" t="s">
        <v>139</v>
      </c>
      <c r="B163" s="139" t="s">
        <v>52</v>
      </c>
      <c r="C163" s="139">
        <v>24066</v>
      </c>
      <c r="D163" s="139">
        <v>1</v>
      </c>
      <c r="E163" s="139">
        <v>0</v>
      </c>
      <c r="F163" s="139">
        <v>1</v>
      </c>
      <c r="G163" s="139">
        <v>0</v>
      </c>
    </row>
    <row r="164" spans="1:7" ht="14.25" customHeight="1" x14ac:dyDescent="0.35">
      <c r="A164" s="138" t="s">
        <v>286</v>
      </c>
      <c r="B164" s="139" t="s">
        <v>59</v>
      </c>
      <c r="C164" s="139">
        <v>71037</v>
      </c>
      <c r="D164" s="139">
        <v>0</v>
      </c>
      <c r="E164" s="139">
        <v>0</v>
      </c>
      <c r="F164" s="139">
        <v>0</v>
      </c>
      <c r="G164" s="139">
        <v>0</v>
      </c>
    </row>
    <row r="165" spans="1:7" ht="14.25" customHeight="1" x14ac:dyDescent="0.35">
      <c r="A165" s="138" t="s">
        <v>244</v>
      </c>
      <c r="B165" s="139" t="s">
        <v>50</v>
      </c>
      <c r="C165" s="139">
        <v>45064</v>
      </c>
      <c r="D165" s="139">
        <v>0</v>
      </c>
      <c r="E165" s="139">
        <v>0</v>
      </c>
      <c r="F165" s="139">
        <v>0</v>
      </c>
      <c r="G165" s="139">
        <v>0</v>
      </c>
    </row>
    <row r="166" spans="1:7" ht="14.25" customHeight="1" x14ac:dyDescent="0.35">
      <c r="A166" s="138" t="s">
        <v>211</v>
      </c>
      <c r="B166" s="139" t="s">
        <v>59</v>
      </c>
      <c r="C166" s="139">
        <v>72021</v>
      </c>
      <c r="D166" s="139">
        <v>0</v>
      </c>
      <c r="E166" s="139">
        <v>0</v>
      </c>
      <c r="F166" s="139">
        <v>0</v>
      </c>
      <c r="G166" s="139">
        <v>0</v>
      </c>
    </row>
    <row r="167" spans="1:7" ht="14.25" customHeight="1" x14ac:dyDescent="0.35">
      <c r="A167" s="138" t="s">
        <v>229</v>
      </c>
      <c r="B167" s="139" t="s">
        <v>59</v>
      </c>
      <c r="C167" s="139">
        <v>73107</v>
      </c>
      <c r="D167" s="139">
        <v>0</v>
      </c>
      <c r="E167" s="139">
        <v>0</v>
      </c>
      <c r="F167" s="139">
        <v>1</v>
      </c>
      <c r="G167" s="139">
        <v>0</v>
      </c>
    </row>
    <row r="168" spans="1:7" ht="14.25" customHeight="1" x14ac:dyDescent="0.35">
      <c r="A168" s="138" t="s">
        <v>278</v>
      </c>
      <c r="B168" s="139" t="s">
        <v>52</v>
      </c>
      <c r="C168" s="139">
        <v>23047</v>
      </c>
      <c r="D168" s="139">
        <v>0</v>
      </c>
      <c r="E168" s="139">
        <v>0</v>
      </c>
      <c r="F168" s="139">
        <v>0</v>
      </c>
      <c r="G168" s="139">
        <v>0</v>
      </c>
    </row>
    <row r="169" spans="1:7" ht="14.25" customHeight="1" x14ac:dyDescent="0.35">
      <c r="A169" s="138" t="s">
        <v>165</v>
      </c>
      <c r="B169" s="139" t="s">
        <v>50</v>
      </c>
      <c r="C169" s="139">
        <v>43010</v>
      </c>
      <c r="D169" s="139">
        <v>0</v>
      </c>
      <c r="E169" s="139">
        <v>0</v>
      </c>
      <c r="F169" s="139">
        <v>0</v>
      </c>
      <c r="G169" s="139">
        <v>0</v>
      </c>
    </row>
    <row r="170" spans="1:7" ht="14.25" customHeight="1" x14ac:dyDescent="0.35">
      <c r="A170" s="138" t="s">
        <v>178</v>
      </c>
      <c r="B170" s="139" t="s">
        <v>48</v>
      </c>
      <c r="C170" s="139">
        <v>11057</v>
      </c>
      <c r="D170" s="139">
        <v>0</v>
      </c>
      <c r="E170" s="139">
        <v>0</v>
      </c>
      <c r="F170" s="139">
        <v>0</v>
      </c>
      <c r="G170" s="139">
        <v>0</v>
      </c>
    </row>
    <row r="171" spans="1:7" ht="14.25" customHeight="1" x14ac:dyDescent="0.35">
      <c r="A171" s="138" t="s">
        <v>53</v>
      </c>
      <c r="B171" s="139" t="s">
        <v>48</v>
      </c>
      <c r="C171" s="139">
        <v>12025</v>
      </c>
      <c r="D171" s="139">
        <v>22</v>
      </c>
      <c r="E171" s="139">
        <v>1</v>
      </c>
      <c r="F171" s="139">
        <v>21</v>
      </c>
      <c r="G171" s="139">
        <v>0</v>
      </c>
    </row>
    <row r="172" spans="1:7" ht="14.25" customHeight="1" x14ac:dyDescent="0.35">
      <c r="A172" s="138" t="s">
        <v>172</v>
      </c>
      <c r="B172" s="139" t="s">
        <v>48</v>
      </c>
      <c r="C172" s="139">
        <v>13021</v>
      </c>
      <c r="D172" s="139">
        <v>1</v>
      </c>
      <c r="E172" s="139">
        <v>0</v>
      </c>
      <c r="F172" s="139">
        <v>1</v>
      </c>
      <c r="G172" s="139">
        <v>0</v>
      </c>
    </row>
    <row r="173" spans="1:7" ht="14.25" customHeight="1" x14ac:dyDescent="0.35">
      <c r="A173" s="138" t="s">
        <v>287</v>
      </c>
      <c r="B173" s="139" t="s">
        <v>52</v>
      </c>
      <c r="C173" s="139">
        <v>23050</v>
      </c>
      <c r="D173" s="139">
        <v>0</v>
      </c>
      <c r="E173" s="139">
        <v>0</v>
      </c>
      <c r="F173" s="139">
        <v>0</v>
      </c>
      <c r="G173" s="139">
        <v>0</v>
      </c>
    </row>
    <row r="174" spans="1:7" ht="14.25" customHeight="1" x14ac:dyDescent="0.35">
      <c r="A174" s="138" t="s">
        <v>130</v>
      </c>
      <c r="B174" s="139" t="s">
        <v>55</v>
      </c>
      <c r="C174" s="139">
        <v>34027</v>
      </c>
      <c r="D174" s="139">
        <v>3</v>
      </c>
      <c r="E174" s="139">
        <v>0</v>
      </c>
      <c r="F174" s="139">
        <v>3</v>
      </c>
      <c r="G174" s="139">
        <v>0</v>
      </c>
    </row>
    <row r="175" spans="1:7" ht="14.25" customHeight="1" x14ac:dyDescent="0.35">
      <c r="A175" s="138" t="s">
        <v>281</v>
      </c>
      <c r="B175" s="139" t="s">
        <v>52</v>
      </c>
      <c r="C175" s="139">
        <v>23052</v>
      </c>
      <c r="D175" s="139">
        <v>0</v>
      </c>
      <c r="E175" s="139">
        <v>0</v>
      </c>
      <c r="F175" s="139">
        <v>0</v>
      </c>
      <c r="G175" s="139">
        <v>0</v>
      </c>
    </row>
    <row r="176" spans="1:7" ht="14.25" customHeight="1" x14ac:dyDescent="0.35">
      <c r="A176" s="138" t="s">
        <v>60</v>
      </c>
      <c r="B176" s="139" t="s">
        <v>50</v>
      </c>
      <c r="C176" s="139">
        <v>44043</v>
      </c>
      <c r="D176" s="139">
        <v>9</v>
      </c>
      <c r="E176" s="139">
        <v>2</v>
      </c>
      <c r="F176" s="139">
        <v>9</v>
      </c>
      <c r="G176" s="139">
        <v>2</v>
      </c>
    </row>
    <row r="177" spans="1:7" ht="14.25" customHeight="1" x14ac:dyDescent="0.35">
      <c r="A177" s="138" t="s">
        <v>197</v>
      </c>
      <c r="B177" s="139" t="s">
        <v>48</v>
      </c>
      <c r="C177" s="139">
        <v>13023</v>
      </c>
      <c r="D177" s="139">
        <v>1</v>
      </c>
      <c r="E177" s="139">
        <v>1</v>
      </c>
      <c r="F177" s="139">
        <v>1</v>
      </c>
      <c r="G177" s="139">
        <v>0</v>
      </c>
    </row>
    <row r="178" spans="1:7" ht="14.25" customHeight="1" x14ac:dyDescent="0.35">
      <c r="A178" s="138" t="s">
        <v>238</v>
      </c>
      <c r="B178" s="139" t="s">
        <v>55</v>
      </c>
      <c r="C178" s="139">
        <v>33016</v>
      </c>
      <c r="D178" s="139">
        <v>0</v>
      </c>
      <c r="E178" s="139">
        <v>0</v>
      </c>
      <c r="F178" s="139">
        <v>0</v>
      </c>
      <c r="G178" s="139">
        <v>0</v>
      </c>
    </row>
    <row r="179" spans="1:7" ht="14.25" customHeight="1" x14ac:dyDescent="0.35">
      <c r="A179" s="138" t="s">
        <v>225</v>
      </c>
      <c r="B179" s="139" t="s">
        <v>55</v>
      </c>
      <c r="C179" s="139">
        <v>35011</v>
      </c>
      <c r="D179" s="139">
        <v>0</v>
      </c>
      <c r="E179" s="139">
        <v>0</v>
      </c>
      <c r="F179" s="139">
        <v>0</v>
      </c>
      <c r="G179" s="139">
        <v>0</v>
      </c>
    </row>
    <row r="180" spans="1:7" ht="14.25" customHeight="1" x14ac:dyDescent="0.35">
      <c r="A180" s="138" t="s">
        <v>145</v>
      </c>
      <c r="B180" s="139" t="s">
        <v>48</v>
      </c>
      <c r="C180" s="139">
        <v>13025</v>
      </c>
      <c r="D180" s="139">
        <v>3</v>
      </c>
      <c r="E180" s="139">
        <v>1</v>
      </c>
      <c r="F180" s="139">
        <v>3</v>
      </c>
      <c r="G180" s="139">
        <v>1</v>
      </c>
    </row>
    <row r="181" spans="1:7" ht="14.25" customHeight="1" x14ac:dyDescent="0.35">
      <c r="A181" s="138" t="s">
        <v>174</v>
      </c>
      <c r="B181" s="139" t="s">
        <v>55</v>
      </c>
      <c r="C181" s="139">
        <v>36012</v>
      </c>
      <c r="D181" s="139">
        <v>0</v>
      </c>
      <c r="E181" s="139">
        <v>0</v>
      </c>
      <c r="F181" s="139">
        <v>0</v>
      </c>
      <c r="G181" s="139">
        <v>0</v>
      </c>
    </row>
    <row r="182" spans="1:7" ht="14.25" customHeight="1" x14ac:dyDescent="0.35">
      <c r="A182" s="138" t="s">
        <v>66</v>
      </c>
      <c r="B182" s="139" t="s">
        <v>48</v>
      </c>
      <c r="C182" s="139">
        <v>11029</v>
      </c>
      <c r="D182" s="139">
        <v>5</v>
      </c>
      <c r="E182" s="139">
        <v>0</v>
      </c>
      <c r="F182" s="139">
        <v>5</v>
      </c>
      <c r="G182" s="139">
        <v>0</v>
      </c>
    </row>
    <row r="183" spans="1:7" ht="14.25" customHeight="1" x14ac:dyDescent="0.35">
      <c r="A183" s="138" t="s">
        <v>75</v>
      </c>
      <c r="B183" s="139" t="s">
        <v>50</v>
      </c>
      <c r="C183" s="139">
        <v>44048</v>
      </c>
      <c r="D183" s="139">
        <v>5</v>
      </c>
      <c r="E183" s="139">
        <v>3</v>
      </c>
      <c r="F183" s="139">
        <v>5</v>
      </c>
      <c r="G183" s="139">
        <v>3</v>
      </c>
    </row>
    <row r="184" spans="1:7" ht="14.25" customHeight="1" x14ac:dyDescent="0.35">
      <c r="A184" s="138" t="s">
        <v>203</v>
      </c>
      <c r="B184" s="139" t="s">
        <v>48</v>
      </c>
      <c r="C184" s="139">
        <v>11030</v>
      </c>
      <c r="D184" s="139">
        <v>1</v>
      </c>
      <c r="E184" s="139">
        <v>0</v>
      </c>
      <c r="F184" s="139">
        <v>1</v>
      </c>
      <c r="G184" s="139">
        <v>0</v>
      </c>
    </row>
    <row r="185" spans="1:7" ht="14.25" customHeight="1" x14ac:dyDescent="0.35">
      <c r="A185" s="138" t="s">
        <v>299</v>
      </c>
      <c r="B185" s="139" t="s">
        <v>59</v>
      </c>
      <c r="C185" s="139">
        <v>71045</v>
      </c>
      <c r="D185" s="139">
        <v>0</v>
      </c>
      <c r="E185" s="139">
        <v>0</v>
      </c>
      <c r="F185" s="139">
        <v>0</v>
      </c>
      <c r="G185" s="139">
        <v>0</v>
      </c>
    </row>
    <row r="186" spans="1:7" ht="14.25" customHeight="1" x14ac:dyDescent="0.35">
      <c r="A186" s="138" t="s">
        <v>152</v>
      </c>
      <c r="B186" s="139" t="s">
        <v>55</v>
      </c>
      <c r="C186" s="139">
        <v>38016</v>
      </c>
      <c r="D186" s="139">
        <v>0</v>
      </c>
      <c r="E186" s="139">
        <v>0</v>
      </c>
      <c r="F186" s="139">
        <v>2</v>
      </c>
      <c r="G186" s="139">
        <v>1</v>
      </c>
    </row>
    <row r="187" spans="1:7" ht="14.25" customHeight="1" x14ac:dyDescent="0.35">
      <c r="A187" s="138" t="s">
        <v>124</v>
      </c>
      <c r="B187" s="139" t="s">
        <v>48</v>
      </c>
      <c r="C187" s="139">
        <v>12026</v>
      </c>
      <c r="D187" s="139">
        <v>3</v>
      </c>
      <c r="E187" s="139">
        <v>0</v>
      </c>
      <c r="F187" s="139">
        <v>3</v>
      </c>
      <c r="G187" s="139">
        <v>0</v>
      </c>
    </row>
    <row r="188" spans="1:7" ht="14.25" customHeight="1" x14ac:dyDescent="0.35">
      <c r="A188" s="138" t="s">
        <v>236</v>
      </c>
      <c r="B188" s="139" t="s">
        <v>50</v>
      </c>
      <c r="C188" s="139">
        <v>41048</v>
      </c>
      <c r="D188" s="139">
        <v>0</v>
      </c>
      <c r="E188" s="139">
        <v>0</v>
      </c>
      <c r="F188" s="139">
        <v>0</v>
      </c>
      <c r="G188" s="139">
        <v>0</v>
      </c>
    </row>
    <row r="189" spans="1:7" ht="14.25" customHeight="1" x14ac:dyDescent="0.35">
      <c r="A189" s="138" t="s">
        <v>330</v>
      </c>
      <c r="B189" s="139" t="s">
        <v>48</v>
      </c>
      <c r="C189" s="139">
        <v>13029</v>
      </c>
      <c r="D189" s="139">
        <v>0</v>
      </c>
      <c r="E189" s="139">
        <v>0</v>
      </c>
      <c r="F189" s="139">
        <v>0</v>
      </c>
      <c r="G189" s="139">
        <v>0</v>
      </c>
    </row>
    <row r="190" spans="1:7" ht="14.25" customHeight="1" x14ac:dyDescent="0.35">
      <c r="A190" s="138" t="s">
        <v>64</v>
      </c>
      <c r="B190" s="139" t="s">
        <v>55</v>
      </c>
      <c r="C190" s="139">
        <v>35013</v>
      </c>
      <c r="D190" s="139">
        <v>2</v>
      </c>
      <c r="E190" s="139">
        <v>0</v>
      </c>
      <c r="F190" s="139">
        <v>2</v>
      </c>
      <c r="G190" s="139">
        <v>0</v>
      </c>
    </row>
    <row r="191" spans="1:7" ht="14.25" customHeight="1" x14ac:dyDescent="0.35">
      <c r="A191" s="138" t="s">
        <v>121</v>
      </c>
      <c r="B191" s="139" t="s">
        <v>50</v>
      </c>
      <c r="C191" s="139">
        <v>44052</v>
      </c>
      <c r="D191" s="139">
        <v>3</v>
      </c>
      <c r="E191" s="139">
        <v>0</v>
      </c>
      <c r="F191" s="139">
        <v>3</v>
      </c>
      <c r="G191" s="139">
        <v>0</v>
      </c>
    </row>
    <row r="192" spans="1:7" ht="14.25" customHeight="1" x14ac:dyDescent="0.35">
      <c r="A192" s="138" t="s">
        <v>79</v>
      </c>
      <c r="B192" s="139" t="s">
        <v>55</v>
      </c>
      <c r="C192" s="139">
        <v>31022</v>
      </c>
      <c r="D192" s="139">
        <v>4</v>
      </c>
      <c r="E192" s="139">
        <v>1</v>
      </c>
      <c r="F192" s="139">
        <v>4</v>
      </c>
      <c r="G192" s="139">
        <v>1</v>
      </c>
    </row>
    <row r="193" spans="1:7" ht="14.25" customHeight="1" x14ac:dyDescent="0.35">
      <c r="A193" s="138" t="s">
        <v>194</v>
      </c>
      <c r="B193" s="139" t="s">
        <v>55</v>
      </c>
      <c r="C193" s="139">
        <v>37010</v>
      </c>
      <c r="D193" s="139">
        <v>0</v>
      </c>
      <c r="E193" s="139">
        <v>0</v>
      </c>
      <c r="F193" s="139">
        <v>0</v>
      </c>
      <c r="G193" s="139">
        <v>0</v>
      </c>
    </row>
    <row r="194" spans="1:7" ht="14.25" customHeight="1" x14ac:dyDescent="0.35">
      <c r="A194" s="138" t="s">
        <v>214</v>
      </c>
      <c r="B194" s="139" t="s">
        <v>52</v>
      </c>
      <c r="C194" s="139">
        <v>23060</v>
      </c>
      <c r="D194" s="139">
        <v>1</v>
      </c>
      <c r="E194" s="139">
        <v>0</v>
      </c>
      <c r="F194" s="139">
        <v>1</v>
      </c>
      <c r="G194" s="139">
        <v>0</v>
      </c>
    </row>
    <row r="195" spans="1:7" ht="14.25" customHeight="1" x14ac:dyDescent="0.35">
      <c r="A195" s="138" t="s">
        <v>110</v>
      </c>
      <c r="B195" s="139" t="s">
        <v>52</v>
      </c>
      <c r="C195" s="139">
        <v>24086</v>
      </c>
      <c r="D195" s="139">
        <v>1</v>
      </c>
      <c r="E195" s="139">
        <v>0</v>
      </c>
      <c r="F195" s="139">
        <v>1</v>
      </c>
      <c r="G195" s="139">
        <v>0</v>
      </c>
    </row>
    <row r="196" spans="1:7" ht="14.25" customHeight="1" x14ac:dyDescent="0.35">
      <c r="A196" s="138" t="s">
        <v>159</v>
      </c>
      <c r="B196" s="139" t="s">
        <v>48</v>
      </c>
      <c r="C196" s="139">
        <v>13031</v>
      </c>
      <c r="D196" s="139">
        <v>1</v>
      </c>
      <c r="E196" s="139">
        <v>0</v>
      </c>
      <c r="F196" s="139">
        <v>1</v>
      </c>
      <c r="G196" s="139">
        <v>0</v>
      </c>
    </row>
    <row r="197" spans="1:7" ht="14.25" customHeight="1" x14ac:dyDescent="0.35">
      <c r="A197" s="138" t="s">
        <v>77</v>
      </c>
      <c r="B197" s="139" t="s">
        <v>50</v>
      </c>
      <c r="C197" s="139">
        <v>45035</v>
      </c>
      <c r="D197" s="139">
        <v>0</v>
      </c>
      <c r="E197" s="139">
        <v>0</v>
      </c>
      <c r="F197" s="139">
        <v>3</v>
      </c>
      <c r="G197" s="139">
        <v>0</v>
      </c>
    </row>
    <row r="198" spans="1:7" ht="14.25" customHeight="1" x14ac:dyDescent="0.35">
      <c r="A198" s="138" t="s">
        <v>200</v>
      </c>
      <c r="B198" s="139" t="s">
        <v>55</v>
      </c>
      <c r="C198" s="139">
        <v>35014</v>
      </c>
      <c r="D198" s="139">
        <v>0</v>
      </c>
      <c r="E198" s="139">
        <v>0</v>
      </c>
      <c r="F198" s="139">
        <v>1</v>
      </c>
      <c r="G198" s="139">
        <v>0</v>
      </c>
    </row>
    <row r="199" spans="1:7" ht="14.25" customHeight="1" x14ac:dyDescent="0.35">
      <c r="A199" s="138" t="s">
        <v>234</v>
      </c>
      <c r="B199" s="139" t="s">
        <v>59</v>
      </c>
      <c r="C199" s="139">
        <v>72042</v>
      </c>
      <c r="D199" s="139">
        <v>0</v>
      </c>
      <c r="E199" s="139">
        <v>0</v>
      </c>
      <c r="F199" s="139">
        <v>0</v>
      </c>
      <c r="G199" s="139">
        <v>0</v>
      </c>
    </row>
    <row r="200" spans="1:7" ht="14.25" customHeight="1" x14ac:dyDescent="0.35">
      <c r="A200" s="138" t="s">
        <v>230</v>
      </c>
      <c r="B200" s="139" t="s">
        <v>52</v>
      </c>
      <c r="C200" s="139">
        <v>23062</v>
      </c>
      <c r="D200" s="139">
        <v>1</v>
      </c>
      <c r="E200" s="139">
        <v>0</v>
      </c>
      <c r="F200" s="139">
        <v>1</v>
      </c>
      <c r="G200" s="139">
        <v>0</v>
      </c>
    </row>
    <row r="201" spans="1:7" ht="14.25" customHeight="1" x14ac:dyDescent="0.35">
      <c r="A201" s="138" t="s">
        <v>293</v>
      </c>
      <c r="B201" s="139" t="s">
        <v>52</v>
      </c>
      <c r="C201" s="139"/>
      <c r="D201" s="139">
        <v>0</v>
      </c>
      <c r="E201" s="139">
        <v>0</v>
      </c>
      <c r="F201" s="139">
        <v>0</v>
      </c>
      <c r="G201" s="139">
        <v>0</v>
      </c>
    </row>
    <row r="202" spans="1:7" ht="14.25" customHeight="1" x14ac:dyDescent="0.35">
      <c r="A202" s="138" t="s">
        <v>232</v>
      </c>
      <c r="B202" s="139" t="s">
        <v>59</v>
      </c>
      <c r="C202" s="139">
        <v>72030</v>
      </c>
      <c r="D202" s="139">
        <v>0</v>
      </c>
      <c r="E202" s="139">
        <v>0</v>
      </c>
      <c r="F202" s="139">
        <v>0</v>
      </c>
      <c r="G202" s="139">
        <v>0</v>
      </c>
    </row>
    <row r="203" spans="1:7" ht="14.25" customHeight="1" x14ac:dyDescent="0.35">
      <c r="A203" s="138" t="s">
        <v>310</v>
      </c>
      <c r="B203" s="139" t="s">
        <v>59</v>
      </c>
      <c r="C203" s="139">
        <v>72043</v>
      </c>
      <c r="D203" s="139">
        <v>0</v>
      </c>
      <c r="E203" s="139">
        <v>0</v>
      </c>
      <c r="F203" s="139">
        <v>0</v>
      </c>
      <c r="G203" s="139">
        <v>0</v>
      </c>
    </row>
    <row r="204" spans="1:7" ht="14.25" customHeight="1" x14ac:dyDescent="0.35">
      <c r="A204" s="138" t="s">
        <v>241</v>
      </c>
      <c r="B204" s="139" t="s">
        <v>52</v>
      </c>
      <c r="C204" s="139">
        <v>23064</v>
      </c>
      <c r="D204" s="139">
        <v>0</v>
      </c>
      <c r="E204" s="139">
        <v>0</v>
      </c>
      <c r="F204" s="139">
        <v>0</v>
      </c>
      <c r="G204" s="139">
        <v>0</v>
      </c>
    </row>
    <row r="205" spans="1:7" ht="14.25" customHeight="1" x14ac:dyDescent="0.35">
      <c r="A205" s="138" t="s">
        <v>251</v>
      </c>
      <c r="B205" s="139" t="s">
        <v>55</v>
      </c>
      <c r="C205" s="139">
        <v>37011</v>
      </c>
      <c r="D205" s="139">
        <v>0</v>
      </c>
      <c r="E205" s="139">
        <v>0</v>
      </c>
      <c r="F205" s="139">
        <v>0</v>
      </c>
      <c r="G205" s="139">
        <v>0</v>
      </c>
    </row>
    <row r="206" spans="1:7" ht="14.25" customHeight="1" x14ac:dyDescent="0.35">
      <c r="A206" s="138" t="s">
        <v>98</v>
      </c>
      <c r="B206" s="139" t="s">
        <v>55</v>
      </c>
      <c r="C206" s="139">
        <v>33021</v>
      </c>
      <c r="D206" s="139">
        <v>0</v>
      </c>
      <c r="E206" s="139">
        <v>0</v>
      </c>
      <c r="F206" s="139">
        <v>0</v>
      </c>
      <c r="G206" s="139">
        <v>0</v>
      </c>
    </row>
    <row r="207" spans="1:7" ht="14.25" customHeight="1" x14ac:dyDescent="0.35">
      <c r="A207" s="138" t="s">
        <v>282</v>
      </c>
      <c r="B207" s="139" t="s">
        <v>48</v>
      </c>
      <c r="C207" s="139">
        <v>12029</v>
      </c>
      <c r="D207" s="139">
        <v>0</v>
      </c>
      <c r="E207" s="139">
        <v>0</v>
      </c>
      <c r="F207" s="139">
        <v>0</v>
      </c>
      <c r="G207" s="139">
        <v>0</v>
      </c>
    </row>
    <row r="208" spans="1:7" ht="14.25" customHeight="1" x14ac:dyDescent="0.35">
      <c r="A208" s="138" t="s">
        <v>94</v>
      </c>
      <c r="B208" s="139" t="s">
        <v>48</v>
      </c>
      <c r="C208" s="139">
        <v>12041</v>
      </c>
      <c r="D208" s="139">
        <v>2</v>
      </c>
      <c r="E208" s="139">
        <v>0</v>
      </c>
      <c r="F208" s="139">
        <v>2</v>
      </c>
      <c r="G208" s="139">
        <v>0</v>
      </c>
    </row>
    <row r="209" spans="1:7" ht="14.25" customHeight="1" x14ac:dyDescent="0.35">
      <c r="A209" s="138" t="s">
        <v>284</v>
      </c>
      <c r="B209" s="139" t="s">
        <v>48</v>
      </c>
      <c r="C209" s="139">
        <v>11035</v>
      </c>
      <c r="D209" s="139">
        <v>2</v>
      </c>
      <c r="E209" s="139">
        <v>0</v>
      </c>
      <c r="F209" s="139">
        <v>2</v>
      </c>
      <c r="G209" s="139">
        <v>0</v>
      </c>
    </row>
    <row r="210" spans="1:7" ht="14.25" customHeight="1" x14ac:dyDescent="0.35">
      <c r="A210" s="138" t="s">
        <v>277</v>
      </c>
      <c r="B210" s="139" t="s">
        <v>48</v>
      </c>
      <c r="C210" s="139">
        <v>13035</v>
      </c>
      <c r="D210" s="139">
        <v>0</v>
      </c>
      <c r="E210" s="139">
        <v>0</v>
      </c>
      <c r="F210" s="139">
        <v>0</v>
      </c>
      <c r="G210" s="139">
        <v>0</v>
      </c>
    </row>
    <row r="211" spans="1:7" ht="14.25" customHeight="1" x14ac:dyDescent="0.35">
      <c r="A211" s="138" t="s">
        <v>204</v>
      </c>
      <c r="B211" s="139" t="s">
        <v>48</v>
      </c>
      <c r="C211" s="139">
        <v>13036</v>
      </c>
      <c r="D211" s="139">
        <v>1</v>
      </c>
      <c r="E211" s="139">
        <v>0</v>
      </c>
      <c r="F211" s="139">
        <v>1</v>
      </c>
      <c r="G211" s="139">
        <v>0</v>
      </c>
    </row>
    <row r="212" spans="1:7" ht="14.25" customHeight="1" x14ac:dyDescent="0.35">
      <c r="A212" s="138" t="s">
        <v>332</v>
      </c>
      <c r="B212" s="139" t="s">
        <v>59</v>
      </c>
      <c r="C212" s="139">
        <v>73066</v>
      </c>
      <c r="D212" s="139">
        <v>0</v>
      </c>
      <c r="E212" s="139">
        <v>0</v>
      </c>
      <c r="F212" s="139">
        <v>0</v>
      </c>
      <c r="G212" s="139">
        <v>0</v>
      </c>
    </row>
    <row r="213" spans="1:7" ht="14.25" customHeight="1" x14ac:dyDescent="0.35">
      <c r="A213" s="138" t="s">
        <v>267</v>
      </c>
      <c r="B213" s="139" t="s">
        <v>48</v>
      </c>
      <c r="C213" s="139">
        <v>13037</v>
      </c>
      <c r="D213" s="139">
        <v>0</v>
      </c>
      <c r="E213" s="139">
        <v>0</v>
      </c>
      <c r="F213" s="139">
        <v>0</v>
      </c>
      <c r="G213" s="139">
        <v>0</v>
      </c>
    </row>
    <row r="214" spans="1:7" ht="14.25" customHeight="1" x14ac:dyDescent="0.35">
      <c r="A214" s="138" t="s">
        <v>63</v>
      </c>
      <c r="B214" s="139" t="s">
        <v>55</v>
      </c>
      <c r="C214" s="139">
        <v>36015</v>
      </c>
      <c r="D214" s="139">
        <v>3</v>
      </c>
      <c r="E214" s="139">
        <v>0</v>
      </c>
      <c r="F214" s="139">
        <v>4</v>
      </c>
      <c r="G214" s="139">
        <v>0</v>
      </c>
    </row>
    <row r="215" spans="1:7" ht="14.25" customHeight="1" x14ac:dyDescent="0.35">
      <c r="A215" s="138" t="s">
        <v>141</v>
      </c>
      <c r="B215" s="139" t="s">
        <v>50</v>
      </c>
      <c r="C215" s="139">
        <v>45041</v>
      </c>
      <c r="D215" s="139">
        <v>0</v>
      </c>
      <c r="E215" s="139">
        <v>0</v>
      </c>
      <c r="F215" s="139">
        <v>1</v>
      </c>
      <c r="G215" s="139">
        <v>0</v>
      </c>
    </row>
    <row r="216" spans="1:7" ht="14.25" customHeight="1" x14ac:dyDescent="0.35">
      <c r="A216" s="138" t="s">
        <v>328</v>
      </c>
      <c r="B216" s="139" t="s">
        <v>52</v>
      </c>
      <c r="C216" s="139">
        <v>23097</v>
      </c>
      <c r="D216" s="139">
        <v>0</v>
      </c>
      <c r="E216" s="139">
        <v>0</v>
      </c>
      <c r="F216" s="139">
        <v>0</v>
      </c>
      <c r="G216" s="139">
        <v>0</v>
      </c>
    </row>
    <row r="217" spans="1:7" ht="14.25" customHeight="1" x14ac:dyDescent="0.35">
      <c r="A217" s="138" t="s">
        <v>78</v>
      </c>
      <c r="B217" s="139" t="s">
        <v>52</v>
      </c>
      <c r="C217" s="139">
        <v>24094</v>
      </c>
      <c r="D217" s="139">
        <v>0</v>
      </c>
      <c r="E217" s="139">
        <v>0</v>
      </c>
      <c r="F217" s="139">
        <v>0</v>
      </c>
      <c r="G217" s="139">
        <v>0</v>
      </c>
    </row>
    <row r="218" spans="1:7" ht="14.25" customHeight="1" x14ac:dyDescent="0.35">
      <c r="A218" s="138" t="s">
        <v>160</v>
      </c>
      <c r="B218" s="139" t="s">
        <v>48</v>
      </c>
      <c r="C218" s="139">
        <v>11037</v>
      </c>
      <c r="D218" s="139">
        <v>0</v>
      </c>
      <c r="E218" s="139">
        <v>0</v>
      </c>
      <c r="F218" s="139">
        <v>0</v>
      </c>
      <c r="G218" s="139">
        <v>0</v>
      </c>
    </row>
    <row r="219" spans="1:7" ht="14.25" customHeight="1" x14ac:dyDescent="0.35">
      <c r="A219" s="138" t="s">
        <v>169</v>
      </c>
      <c r="B219" s="139" t="s">
        <v>48</v>
      </c>
      <c r="C219" s="139">
        <v>11038</v>
      </c>
      <c r="D219" s="139">
        <v>2</v>
      </c>
      <c r="E219" s="139">
        <v>1</v>
      </c>
      <c r="F219" s="139">
        <v>2</v>
      </c>
      <c r="G219" s="139">
        <v>1</v>
      </c>
    </row>
    <row r="220" spans="1:7" ht="14.25" customHeight="1" x14ac:dyDescent="0.35">
      <c r="A220" s="138" t="s">
        <v>292</v>
      </c>
      <c r="B220" s="139" t="s">
        <v>52</v>
      </c>
      <c r="C220" s="139">
        <v>24134</v>
      </c>
      <c r="D220" s="139">
        <v>0</v>
      </c>
      <c r="E220" s="139">
        <v>0</v>
      </c>
      <c r="F220" s="139">
        <v>0</v>
      </c>
      <c r="G220" s="139">
        <v>0</v>
      </c>
    </row>
    <row r="221" spans="1:7" ht="14.25" customHeight="1" x14ac:dyDescent="0.35">
      <c r="A221" s="138" t="s">
        <v>311</v>
      </c>
      <c r="B221" s="139" t="s">
        <v>48</v>
      </c>
      <c r="C221" s="139">
        <v>11039</v>
      </c>
      <c r="D221" s="139">
        <v>0</v>
      </c>
      <c r="E221" s="139">
        <v>0</v>
      </c>
      <c r="F221" s="139">
        <v>0</v>
      </c>
      <c r="G221" s="139">
        <v>0</v>
      </c>
    </row>
    <row r="222" spans="1:7" ht="14.25" customHeight="1" x14ac:dyDescent="0.35">
      <c r="A222" s="138" t="s">
        <v>188</v>
      </c>
      <c r="B222" s="139" t="s">
        <v>48</v>
      </c>
      <c r="C222" s="139">
        <v>11040</v>
      </c>
      <c r="D222" s="139">
        <v>4</v>
      </c>
      <c r="E222" s="139">
        <v>0</v>
      </c>
      <c r="F222" s="139">
        <v>3</v>
      </c>
      <c r="G222" s="139">
        <v>0</v>
      </c>
    </row>
    <row r="223" spans="1:7" ht="14.25" customHeight="1" x14ac:dyDescent="0.35">
      <c r="A223" s="138" t="s">
        <v>220</v>
      </c>
      <c r="B223" s="139" t="s">
        <v>52</v>
      </c>
      <c r="C223" s="139">
        <v>23101</v>
      </c>
      <c r="D223" s="139">
        <v>0</v>
      </c>
      <c r="E223" s="139">
        <v>0</v>
      </c>
      <c r="F223" s="139">
        <v>1</v>
      </c>
      <c r="G223" s="139">
        <v>0</v>
      </c>
    </row>
    <row r="224" spans="1:7" ht="14.25" customHeight="1" x14ac:dyDescent="0.35">
      <c r="A224" s="138" t="s">
        <v>226</v>
      </c>
      <c r="B224" s="139" t="s">
        <v>50</v>
      </c>
      <c r="C224" s="139">
        <v>46020</v>
      </c>
      <c r="D224" s="139">
        <v>1</v>
      </c>
      <c r="E224" s="139">
        <v>0</v>
      </c>
      <c r="F224" s="139">
        <v>1</v>
      </c>
      <c r="G224" s="139">
        <v>0</v>
      </c>
    </row>
    <row r="225" spans="1:7" ht="14.25" customHeight="1" x14ac:dyDescent="0.35">
      <c r="A225" s="138" t="s">
        <v>183</v>
      </c>
      <c r="B225" s="139" t="s">
        <v>48</v>
      </c>
      <c r="C225" s="139">
        <v>12035</v>
      </c>
      <c r="D225" s="139">
        <v>2</v>
      </c>
      <c r="E225" s="139">
        <v>0</v>
      </c>
      <c r="F225" s="139">
        <v>2</v>
      </c>
      <c r="G225" s="139">
        <v>0</v>
      </c>
    </row>
    <row r="226" spans="1:7" ht="14.25" customHeight="1" x14ac:dyDescent="0.35">
      <c r="A226" s="138" t="s">
        <v>250</v>
      </c>
      <c r="B226" s="139" t="s">
        <v>50</v>
      </c>
      <c r="C226" s="139">
        <v>43014</v>
      </c>
      <c r="D226" s="139">
        <v>0</v>
      </c>
      <c r="E226" s="139">
        <v>0</v>
      </c>
      <c r="F226" s="139">
        <v>0</v>
      </c>
      <c r="G226" s="139">
        <v>0</v>
      </c>
    </row>
    <row r="227" spans="1:7" ht="14.25" customHeight="1" x14ac:dyDescent="0.35">
      <c r="A227" s="138" t="s">
        <v>202</v>
      </c>
      <c r="B227" s="139" t="s">
        <v>50</v>
      </c>
      <c r="C227" s="139">
        <v>41063</v>
      </c>
      <c r="D227" s="139">
        <v>0</v>
      </c>
      <c r="E227" s="139">
        <v>0</v>
      </c>
      <c r="F227" s="139">
        <v>0</v>
      </c>
      <c r="G227" s="139">
        <v>0</v>
      </c>
    </row>
    <row r="228" spans="1:7" ht="14.25" customHeight="1" x14ac:dyDescent="0.35">
      <c r="A228" s="138" t="s">
        <v>148</v>
      </c>
      <c r="B228" s="139" t="s">
        <v>50</v>
      </c>
      <c r="C228" s="139">
        <v>44064</v>
      </c>
      <c r="D228" s="139">
        <v>0</v>
      </c>
      <c r="E228" s="139">
        <v>0</v>
      </c>
      <c r="F228" s="139">
        <v>0</v>
      </c>
      <c r="G228" s="139">
        <v>0</v>
      </c>
    </row>
    <row r="229" spans="1:7" ht="14.25" customHeight="1" x14ac:dyDescent="0.35">
      <c r="A229" s="138" t="s">
        <v>57</v>
      </c>
      <c r="B229" s="139" t="s">
        <v>50</v>
      </c>
      <c r="C229" s="139">
        <v>46021</v>
      </c>
      <c r="D229" s="139">
        <v>1</v>
      </c>
      <c r="E229" s="139">
        <v>0</v>
      </c>
      <c r="F229" s="139">
        <v>9</v>
      </c>
      <c r="G229" s="139">
        <v>1</v>
      </c>
    </row>
    <row r="230" spans="1:7" ht="14.25" customHeight="1" x14ac:dyDescent="0.35">
      <c r="A230" s="138" t="s">
        <v>132</v>
      </c>
      <c r="B230" s="139" t="s">
        <v>52</v>
      </c>
      <c r="C230" s="139">
        <v>23077</v>
      </c>
      <c r="D230" s="139">
        <v>0</v>
      </c>
      <c r="E230" s="139">
        <v>0</v>
      </c>
      <c r="F230" s="139">
        <v>0</v>
      </c>
      <c r="G230" s="139">
        <v>0</v>
      </c>
    </row>
    <row r="231" spans="1:7" ht="14.25" customHeight="1" x14ac:dyDescent="0.35">
      <c r="A231" s="138" t="s">
        <v>189</v>
      </c>
      <c r="B231" s="139" t="s">
        <v>59</v>
      </c>
      <c r="C231" s="139">
        <v>71053</v>
      </c>
      <c r="D231" s="139">
        <v>0</v>
      </c>
      <c r="E231" s="139">
        <v>0</v>
      </c>
      <c r="F231" s="139">
        <v>1</v>
      </c>
      <c r="G231" s="139">
        <v>0</v>
      </c>
    </row>
    <row r="232" spans="1:7" ht="14.25" customHeight="1" x14ac:dyDescent="0.35">
      <c r="A232" s="138" t="s">
        <v>314</v>
      </c>
      <c r="B232" s="139" t="s">
        <v>55</v>
      </c>
      <c r="C232" s="139">
        <v>34043</v>
      </c>
      <c r="D232" s="139">
        <v>0</v>
      </c>
      <c r="E232" s="139">
        <v>0</v>
      </c>
      <c r="F232" s="139">
        <v>0</v>
      </c>
      <c r="G232" s="139">
        <v>0</v>
      </c>
    </row>
    <row r="233" spans="1:7" ht="14.25" customHeight="1" x14ac:dyDescent="0.35">
      <c r="A233" s="138" t="s">
        <v>336</v>
      </c>
      <c r="B233" s="139" t="s">
        <v>48</v>
      </c>
      <c r="C233" s="139">
        <v>11044</v>
      </c>
      <c r="D233" s="139">
        <v>0</v>
      </c>
      <c r="E233" s="139">
        <v>0</v>
      </c>
      <c r="F233" s="139">
        <v>0</v>
      </c>
      <c r="G233" s="139">
        <v>0</v>
      </c>
    </row>
    <row r="234" spans="1:7" ht="14.25" customHeight="1" x14ac:dyDescent="0.35">
      <c r="A234" s="138" t="s">
        <v>154</v>
      </c>
      <c r="B234" s="139" t="s">
        <v>55</v>
      </c>
      <c r="C234" s="139">
        <v>36019</v>
      </c>
      <c r="D234" s="139">
        <v>0</v>
      </c>
      <c r="E234" s="139">
        <v>0</v>
      </c>
      <c r="F234" s="139">
        <v>0</v>
      </c>
      <c r="G234" s="139">
        <v>0</v>
      </c>
    </row>
    <row r="235" spans="1:7" ht="14.25" customHeight="1" x14ac:dyDescent="0.35">
      <c r="A235" s="138" t="s">
        <v>208</v>
      </c>
      <c r="B235" s="139" t="s">
        <v>52</v>
      </c>
      <c r="C235" s="139">
        <v>23081</v>
      </c>
      <c r="D235" s="139">
        <v>1</v>
      </c>
      <c r="E235" s="139">
        <v>0</v>
      </c>
      <c r="F235" s="139">
        <v>1</v>
      </c>
      <c r="G235" s="139">
        <v>0</v>
      </c>
    </row>
    <row r="236" spans="1:7" ht="14.25" customHeight="1" x14ac:dyDescent="0.35">
      <c r="A236" s="138" t="s">
        <v>285</v>
      </c>
      <c r="B236" s="139" t="s">
        <v>50</v>
      </c>
      <c r="C236" s="139">
        <v>46024</v>
      </c>
      <c r="D236" s="139">
        <v>0</v>
      </c>
      <c r="E236" s="139">
        <v>0</v>
      </c>
      <c r="F236" s="139">
        <v>0</v>
      </c>
      <c r="G236" s="139">
        <v>0</v>
      </c>
    </row>
    <row r="237" spans="1:7" ht="14.25" customHeight="1" x14ac:dyDescent="0.35">
      <c r="A237" s="138" t="s">
        <v>166</v>
      </c>
      <c r="B237" s="139" t="s">
        <v>50</v>
      </c>
      <c r="C237" s="139">
        <v>46025</v>
      </c>
      <c r="D237" s="139">
        <v>0</v>
      </c>
      <c r="E237" s="139">
        <v>0</v>
      </c>
      <c r="F237" s="139">
        <v>0</v>
      </c>
      <c r="G237" s="139">
        <v>0</v>
      </c>
    </row>
    <row r="238" spans="1:7" ht="14.25" customHeight="1" x14ac:dyDescent="0.35">
      <c r="A238" s="138" t="s">
        <v>217</v>
      </c>
      <c r="B238" s="139" t="s">
        <v>52</v>
      </c>
      <c r="C238" s="139">
        <v>23086</v>
      </c>
      <c r="D238" s="139">
        <v>1</v>
      </c>
      <c r="E238" s="139">
        <v>0</v>
      </c>
      <c r="F238" s="139">
        <v>1</v>
      </c>
      <c r="G238" s="139">
        <v>0</v>
      </c>
    </row>
    <row r="239" spans="1:7" ht="14.25" customHeight="1" x14ac:dyDescent="0.35">
      <c r="A239" s="138" t="s">
        <v>87</v>
      </c>
      <c r="B239" s="139" t="s">
        <v>52</v>
      </c>
      <c r="C239" s="139">
        <v>24104</v>
      </c>
      <c r="D239" s="139">
        <v>4</v>
      </c>
      <c r="E239" s="139">
        <v>1</v>
      </c>
      <c r="F239" s="139">
        <v>4</v>
      </c>
      <c r="G239" s="139">
        <v>1</v>
      </c>
    </row>
    <row r="240" spans="1:7" ht="14.25" customHeight="1" x14ac:dyDescent="0.35">
      <c r="A240" s="138" t="s">
        <v>147</v>
      </c>
      <c r="B240" s="139" t="s">
        <v>59</v>
      </c>
      <c r="C240" s="139">
        <v>71057</v>
      </c>
      <c r="D240" s="139">
        <v>0</v>
      </c>
      <c r="E240" s="139">
        <v>0</v>
      </c>
      <c r="F240" s="139">
        <v>0</v>
      </c>
      <c r="G240" s="139">
        <v>0</v>
      </c>
    </row>
    <row r="241" spans="1:7" ht="14.25" customHeight="1" x14ac:dyDescent="0.35">
      <c r="A241" s="138" t="s">
        <v>102</v>
      </c>
      <c r="B241" s="139" t="s">
        <v>55</v>
      </c>
      <c r="C241" s="139">
        <v>37015</v>
      </c>
      <c r="D241" s="139">
        <v>0</v>
      </c>
      <c r="E241" s="139">
        <v>0</v>
      </c>
      <c r="F241" s="139">
        <v>1</v>
      </c>
      <c r="G241" s="139">
        <v>1</v>
      </c>
    </row>
    <row r="242" spans="1:7" ht="14.25" customHeight="1" x14ac:dyDescent="0.35">
      <c r="A242" s="138" t="s">
        <v>302</v>
      </c>
      <c r="B242" s="139" t="s">
        <v>52</v>
      </c>
      <c r="C242" s="139">
        <v>24135</v>
      </c>
      <c r="D242" s="139">
        <v>0</v>
      </c>
      <c r="E242" s="139">
        <v>0</v>
      </c>
      <c r="F242" s="139">
        <v>0</v>
      </c>
      <c r="G242" s="139">
        <v>0</v>
      </c>
    </row>
    <row r="243" spans="1:7" ht="14.25" customHeight="1" x14ac:dyDescent="0.35">
      <c r="A243" s="138" t="s">
        <v>104</v>
      </c>
      <c r="B243" s="139" t="s">
        <v>52</v>
      </c>
      <c r="C243" s="139">
        <v>24107</v>
      </c>
      <c r="D243" s="139">
        <v>1</v>
      </c>
      <c r="E243" s="139">
        <v>0</v>
      </c>
      <c r="F243" s="139">
        <v>1</v>
      </c>
      <c r="G243" s="139">
        <v>0</v>
      </c>
    </row>
    <row r="244" spans="1:7" ht="14.25" customHeight="1" x14ac:dyDescent="0.35">
      <c r="A244" s="138" t="s">
        <v>133</v>
      </c>
      <c r="B244" s="139" t="s">
        <v>59</v>
      </c>
      <c r="C244" s="139">
        <v>73083</v>
      </c>
      <c r="D244" s="139">
        <v>3</v>
      </c>
      <c r="E244" s="139">
        <v>1</v>
      </c>
      <c r="F244" s="139">
        <v>3</v>
      </c>
      <c r="G244" s="139">
        <v>1</v>
      </c>
    </row>
    <row r="245" spans="1:7" ht="14.25" customHeight="1" x14ac:dyDescent="0.35">
      <c r="A245" s="138" t="s">
        <v>93</v>
      </c>
      <c r="B245" s="139" t="s">
        <v>55</v>
      </c>
      <c r="C245" s="139">
        <v>31033</v>
      </c>
      <c r="D245" s="139">
        <v>1</v>
      </c>
      <c r="E245" s="139">
        <v>0</v>
      </c>
      <c r="F245" s="139">
        <v>1</v>
      </c>
      <c r="G245" s="139">
        <v>0</v>
      </c>
    </row>
    <row r="246" spans="1:7" ht="14.25" customHeight="1" x14ac:dyDescent="0.35">
      <c r="A246" s="138" t="s">
        <v>215</v>
      </c>
      <c r="B246" s="139" t="s">
        <v>52</v>
      </c>
      <c r="C246" s="139">
        <v>24109</v>
      </c>
      <c r="D246" s="139">
        <v>1</v>
      </c>
      <c r="E246" s="139">
        <v>0</v>
      </c>
      <c r="F246" s="139">
        <v>1</v>
      </c>
      <c r="G246" s="139">
        <v>0</v>
      </c>
    </row>
    <row r="247" spans="1:7" ht="14.25" customHeight="1" x14ac:dyDescent="0.35">
      <c r="A247" s="138" t="s">
        <v>61</v>
      </c>
      <c r="B247" s="139" t="s">
        <v>48</v>
      </c>
      <c r="C247" s="139">
        <v>13040</v>
      </c>
      <c r="D247" s="139">
        <v>19</v>
      </c>
      <c r="E247" s="139">
        <v>3</v>
      </c>
      <c r="F247" s="139">
        <v>20</v>
      </c>
      <c r="G247" s="139">
        <v>3</v>
      </c>
    </row>
    <row r="248" spans="1:7" ht="14.25" customHeight="1" x14ac:dyDescent="0.35">
      <c r="A248" s="138" t="s">
        <v>175</v>
      </c>
      <c r="B248" s="139" t="s">
        <v>55</v>
      </c>
      <c r="C248" s="139">
        <v>38025</v>
      </c>
      <c r="D248" s="139">
        <v>0</v>
      </c>
      <c r="E248" s="139">
        <v>0</v>
      </c>
      <c r="F248" s="139">
        <v>0</v>
      </c>
      <c r="G248" s="139">
        <v>0</v>
      </c>
    </row>
    <row r="249" spans="1:7" ht="14.25" customHeight="1" x14ac:dyDescent="0.35">
      <c r="A249" s="138" t="s">
        <v>74</v>
      </c>
      <c r="B249" s="139" t="s">
        <v>52</v>
      </c>
      <c r="C249" s="139">
        <v>23088</v>
      </c>
      <c r="D249" s="139">
        <v>2</v>
      </c>
      <c r="E249" s="139">
        <v>0</v>
      </c>
      <c r="F249" s="139">
        <v>2</v>
      </c>
      <c r="G249" s="139">
        <v>0</v>
      </c>
    </row>
    <row r="250" spans="1:7" ht="14.25" customHeight="1" x14ac:dyDescent="0.35">
      <c r="A250" s="138" t="s">
        <v>240</v>
      </c>
      <c r="B250" s="139" t="s">
        <v>55</v>
      </c>
      <c r="C250" s="139">
        <v>33041</v>
      </c>
      <c r="D250" s="139">
        <v>0</v>
      </c>
      <c r="E250" s="139">
        <v>0</v>
      </c>
      <c r="F250" s="139">
        <v>0</v>
      </c>
      <c r="G250" s="139">
        <v>0</v>
      </c>
    </row>
    <row r="251" spans="1:7" ht="14.25" customHeight="1" x14ac:dyDescent="0.35">
      <c r="A251" s="138" t="s">
        <v>318</v>
      </c>
      <c r="B251" s="139" t="s">
        <v>59</v>
      </c>
      <c r="C251" s="139">
        <v>73109</v>
      </c>
      <c r="D251" s="139">
        <v>0</v>
      </c>
      <c r="E251" s="139">
        <v>0</v>
      </c>
      <c r="F251" s="139">
        <v>0</v>
      </c>
      <c r="G251" s="139">
        <v>0</v>
      </c>
    </row>
    <row r="252" spans="1:7" ht="14.25" customHeight="1" x14ac:dyDescent="0.35">
      <c r="A252" s="138" t="s">
        <v>195</v>
      </c>
      <c r="B252" s="139" t="s">
        <v>48</v>
      </c>
      <c r="C252" s="139">
        <v>13044</v>
      </c>
      <c r="D252" s="139">
        <v>1</v>
      </c>
      <c r="E252" s="139">
        <v>0</v>
      </c>
      <c r="F252" s="139">
        <v>1</v>
      </c>
      <c r="G252" s="139">
        <v>0</v>
      </c>
    </row>
    <row r="253" spans="1:7" ht="14.25" customHeight="1" x14ac:dyDescent="0.35">
      <c r="A253" s="138" t="s">
        <v>264</v>
      </c>
      <c r="B253" s="139" t="s">
        <v>48</v>
      </c>
      <c r="C253" s="139">
        <v>13046</v>
      </c>
      <c r="D253" s="139">
        <v>0</v>
      </c>
      <c r="E253" s="139">
        <v>0</v>
      </c>
      <c r="F253" s="139">
        <v>0</v>
      </c>
      <c r="G253" s="139">
        <v>0</v>
      </c>
    </row>
    <row r="254" spans="1:7" ht="14.25" customHeight="1" x14ac:dyDescent="0.35">
      <c r="A254" s="138" t="s">
        <v>262</v>
      </c>
      <c r="B254" s="139" t="s">
        <v>50</v>
      </c>
      <c r="C254" s="139">
        <v>42023</v>
      </c>
      <c r="D254" s="139">
        <v>0</v>
      </c>
      <c r="E254" s="139">
        <v>0</v>
      </c>
      <c r="F254" s="139">
        <v>0</v>
      </c>
      <c r="G254" s="139">
        <v>0</v>
      </c>
    </row>
    <row r="255" spans="1:7" ht="14.25" customHeight="1" x14ac:dyDescent="0.35">
      <c r="A255" s="138" t="s">
        <v>146</v>
      </c>
      <c r="B255" s="139" t="s">
        <v>55</v>
      </c>
      <c r="C255" s="139">
        <v>34040</v>
      </c>
      <c r="D255" s="139">
        <v>1</v>
      </c>
      <c r="E255" s="139">
        <v>0</v>
      </c>
      <c r="F255" s="139">
        <v>1</v>
      </c>
      <c r="G255" s="139">
        <v>0</v>
      </c>
    </row>
    <row r="256" spans="1:7" ht="14.25" customHeight="1" x14ac:dyDescent="0.35">
      <c r="A256" s="138" t="s">
        <v>322</v>
      </c>
      <c r="B256" s="139" t="s">
        <v>59</v>
      </c>
      <c r="C256" s="139">
        <v>73098</v>
      </c>
      <c r="D256" s="139">
        <v>0</v>
      </c>
      <c r="E256" s="139">
        <v>0</v>
      </c>
      <c r="F256" s="139">
        <v>0</v>
      </c>
      <c r="G256" s="139">
        <v>0</v>
      </c>
    </row>
    <row r="257" spans="1:7" ht="14.25" customHeight="1" x14ac:dyDescent="0.35">
      <c r="A257" s="138" t="s">
        <v>162</v>
      </c>
      <c r="B257" s="139" t="s">
        <v>52</v>
      </c>
      <c r="C257" s="139">
        <v>23102</v>
      </c>
      <c r="D257" s="139">
        <v>1</v>
      </c>
      <c r="E257" s="139">
        <v>0</v>
      </c>
      <c r="F257" s="139">
        <v>1</v>
      </c>
      <c r="G257" s="139">
        <v>0</v>
      </c>
    </row>
    <row r="258" spans="1:7" ht="14.25" customHeight="1" x14ac:dyDescent="0.35">
      <c r="A258" s="138" t="s">
        <v>222</v>
      </c>
      <c r="B258" s="139" t="s">
        <v>55</v>
      </c>
      <c r="C258" s="139">
        <v>33029</v>
      </c>
      <c r="D258" s="139">
        <v>0</v>
      </c>
      <c r="E258" s="139">
        <v>0</v>
      </c>
      <c r="F258" s="139">
        <v>0</v>
      </c>
      <c r="G258" s="139">
        <v>0</v>
      </c>
    </row>
    <row r="259" spans="1:7" ht="14.25" customHeight="1" x14ac:dyDescent="0.35">
      <c r="A259" s="138" t="s">
        <v>101</v>
      </c>
      <c r="B259" s="139" t="s">
        <v>48</v>
      </c>
      <c r="C259" s="139">
        <v>13049</v>
      </c>
      <c r="D259" s="139">
        <v>4</v>
      </c>
      <c r="E259" s="139">
        <v>0</v>
      </c>
      <c r="F259" s="139">
        <v>5</v>
      </c>
      <c r="G259" s="139">
        <v>0</v>
      </c>
    </row>
    <row r="260" spans="1:7" ht="14.25" customHeight="1" x14ac:dyDescent="0.35">
      <c r="A260" s="138" t="s">
        <v>89</v>
      </c>
      <c r="B260" s="139" t="s">
        <v>50</v>
      </c>
      <c r="C260" s="139">
        <v>42025</v>
      </c>
      <c r="D260" s="139">
        <v>2</v>
      </c>
      <c r="E260" s="139">
        <v>1</v>
      </c>
      <c r="F260" s="139">
        <v>2</v>
      </c>
      <c r="G260" s="139">
        <v>1</v>
      </c>
    </row>
    <row r="261" spans="1:7" ht="14.25" customHeight="1" x14ac:dyDescent="0.35">
      <c r="A261" s="138" t="s">
        <v>143</v>
      </c>
      <c r="B261" s="139" t="s">
        <v>55</v>
      </c>
      <c r="C261" s="139">
        <v>34041</v>
      </c>
      <c r="D261" s="139">
        <v>0</v>
      </c>
      <c r="E261" s="139">
        <v>0</v>
      </c>
      <c r="F261" s="139">
        <v>0</v>
      </c>
      <c r="G261" s="139">
        <v>0</v>
      </c>
    </row>
    <row r="262" spans="1:7" ht="14.25" customHeight="1" x14ac:dyDescent="0.35">
      <c r="A262" s="138" t="s">
        <v>213</v>
      </c>
      <c r="B262" s="139" t="s">
        <v>52</v>
      </c>
      <c r="C262" s="139">
        <v>23103</v>
      </c>
      <c r="D262" s="139">
        <v>4</v>
      </c>
      <c r="E262" s="139">
        <v>0</v>
      </c>
      <c r="F262" s="139">
        <v>3</v>
      </c>
      <c r="G262" s="139">
        <v>0</v>
      </c>
    </row>
    <row r="263" spans="1:7" ht="14.25" customHeight="1" x14ac:dyDescent="0.35">
      <c r="A263" s="138" t="s">
        <v>205</v>
      </c>
      <c r="B263" s="139" t="s">
        <v>50</v>
      </c>
      <c r="C263" s="139">
        <v>42026</v>
      </c>
      <c r="D263" s="139">
        <v>0</v>
      </c>
      <c r="E263" s="139">
        <v>0</v>
      </c>
      <c r="F263" s="139">
        <v>0</v>
      </c>
      <c r="G263" s="139">
        <v>0</v>
      </c>
    </row>
    <row r="264" spans="1:7" ht="14.25" customHeight="1" x14ac:dyDescent="0.35">
      <c r="A264" s="138" t="s">
        <v>201</v>
      </c>
      <c r="B264" s="139" t="s">
        <v>55</v>
      </c>
      <c r="C264" s="139">
        <v>37017</v>
      </c>
      <c r="D264" s="139">
        <v>0</v>
      </c>
      <c r="E264" s="139">
        <v>0</v>
      </c>
      <c r="F264" s="139">
        <v>0</v>
      </c>
      <c r="G264" s="139">
        <v>0</v>
      </c>
    </row>
    <row r="265" spans="1:7" ht="14.25" customHeight="1" x14ac:dyDescent="0.35">
      <c r="A265" s="138" t="s">
        <v>151</v>
      </c>
      <c r="B265" s="139" t="s">
        <v>48</v>
      </c>
      <c r="C265" s="139">
        <v>11050</v>
      </c>
      <c r="D265" s="139">
        <v>6</v>
      </c>
      <c r="E265" s="139">
        <v>2</v>
      </c>
      <c r="F265" s="139">
        <v>4</v>
      </c>
      <c r="G265" s="139">
        <v>1</v>
      </c>
    </row>
    <row r="266" spans="1:7" ht="14.25" customHeight="1" x14ac:dyDescent="0.35">
      <c r="A266" s="138" t="s">
        <v>142</v>
      </c>
      <c r="B266" s="139" t="s">
        <v>48</v>
      </c>
      <c r="C266" s="139">
        <v>12040</v>
      </c>
      <c r="D266" s="139">
        <v>1</v>
      </c>
      <c r="E266" s="139">
        <v>0</v>
      </c>
      <c r="F266" s="139">
        <v>1</v>
      </c>
      <c r="G266" s="139">
        <v>0</v>
      </c>
    </row>
    <row r="267" spans="1:7" ht="14.25" customHeight="1" x14ac:dyDescent="0.35">
      <c r="A267" s="138" t="s">
        <v>115</v>
      </c>
      <c r="B267" s="139" t="s">
        <v>55</v>
      </c>
      <c r="C267" s="139">
        <v>37018</v>
      </c>
      <c r="D267" s="139">
        <v>0</v>
      </c>
      <c r="E267" s="139">
        <v>0</v>
      </c>
      <c r="F267" s="139">
        <v>0</v>
      </c>
      <c r="G267" s="139">
        <v>0</v>
      </c>
    </row>
    <row r="268" spans="1:7" ht="14.25" customHeight="1" x14ac:dyDescent="0.35">
      <c r="A268" s="138" t="s">
        <v>210</v>
      </c>
      <c r="B268" s="139" t="s">
        <v>48</v>
      </c>
      <c r="C268" s="139">
        <v>11052</v>
      </c>
      <c r="D268" s="139">
        <v>1</v>
      </c>
      <c r="E268" s="139">
        <v>0</v>
      </c>
      <c r="F268" s="139">
        <v>3</v>
      </c>
      <c r="G268" s="139">
        <v>1</v>
      </c>
    </row>
    <row r="269" spans="1:7" ht="14.25" customHeight="1" x14ac:dyDescent="0.35">
      <c r="A269" s="138" t="s">
        <v>246</v>
      </c>
      <c r="B269" s="139" t="s">
        <v>50</v>
      </c>
      <c r="C269" s="139">
        <v>45061</v>
      </c>
      <c r="D269" s="139">
        <v>0</v>
      </c>
      <c r="E269" s="139">
        <v>0</v>
      </c>
      <c r="F269" s="139">
        <v>0</v>
      </c>
      <c r="G269" s="139">
        <v>0</v>
      </c>
    </row>
    <row r="270" spans="1:7" ht="14.25" customHeight="1" x14ac:dyDescent="0.35">
      <c r="A270" s="138" t="s">
        <v>290</v>
      </c>
      <c r="B270" s="139" t="s">
        <v>48</v>
      </c>
      <c r="C270" s="139">
        <v>11053</v>
      </c>
      <c r="D270" s="139">
        <v>0</v>
      </c>
      <c r="E270" s="139">
        <v>0</v>
      </c>
      <c r="F270" s="139">
        <v>0</v>
      </c>
      <c r="G270" s="139">
        <v>0</v>
      </c>
    </row>
    <row r="271" spans="1:7" ht="14.25" customHeight="1" x14ac:dyDescent="0.35">
      <c r="A271" s="138" t="s">
        <v>305</v>
      </c>
      <c r="B271" s="139" t="s">
        <v>48</v>
      </c>
      <c r="C271" s="139">
        <v>11054</v>
      </c>
      <c r="D271" s="139">
        <v>1</v>
      </c>
      <c r="E271" s="139">
        <v>0</v>
      </c>
      <c r="F271" s="139">
        <v>1</v>
      </c>
      <c r="G271" s="139">
        <v>0</v>
      </c>
    </row>
    <row r="272" spans="1:7" ht="14.25" customHeight="1" x14ac:dyDescent="0.35">
      <c r="A272" s="138" t="s">
        <v>105</v>
      </c>
      <c r="B272" s="139" t="s">
        <v>52</v>
      </c>
      <c r="C272" s="139">
        <v>23094</v>
      </c>
      <c r="D272" s="139">
        <v>4</v>
      </c>
      <c r="E272" s="139">
        <v>2</v>
      </c>
      <c r="F272" s="139">
        <v>4</v>
      </c>
      <c r="G272" s="139">
        <v>2</v>
      </c>
    </row>
    <row r="273" spans="1:7" ht="14.25" customHeight="1" x14ac:dyDescent="0.35">
      <c r="A273" s="138" t="s">
        <v>164</v>
      </c>
      <c r="B273" s="139" t="s">
        <v>55</v>
      </c>
      <c r="C273" s="139">
        <v>31040</v>
      </c>
      <c r="D273" s="139">
        <v>1</v>
      </c>
      <c r="E273" s="139">
        <v>0</v>
      </c>
      <c r="F273" s="139">
        <v>1</v>
      </c>
      <c r="G273" s="139">
        <v>0</v>
      </c>
    </row>
    <row r="274" spans="1:7" ht="14.25" customHeight="1" x14ac:dyDescent="0.35">
      <c r="A274" s="138" t="s">
        <v>228</v>
      </c>
      <c r="B274" s="139" t="s">
        <v>50</v>
      </c>
      <c r="C274" s="139">
        <v>42028</v>
      </c>
      <c r="D274" s="139">
        <v>1</v>
      </c>
      <c r="E274" s="139">
        <v>1</v>
      </c>
      <c r="F274" s="139">
        <v>1</v>
      </c>
      <c r="G274" s="139">
        <v>1</v>
      </c>
    </row>
    <row r="275" spans="1:7" ht="14.25" customHeight="1" x14ac:dyDescent="0.35">
      <c r="A275" s="138" t="s">
        <v>269</v>
      </c>
      <c r="B275" s="139" t="s">
        <v>50</v>
      </c>
      <c r="C275" s="139">
        <v>43018</v>
      </c>
      <c r="D275" s="139">
        <v>0</v>
      </c>
      <c r="E275" s="139">
        <v>0</v>
      </c>
      <c r="F275" s="139">
        <v>0</v>
      </c>
      <c r="G275" s="139">
        <v>0</v>
      </c>
    </row>
    <row r="276" spans="1:7" ht="14.25" customHeight="1" x14ac:dyDescent="0.35">
      <c r="A276" s="138" t="s">
        <v>119</v>
      </c>
      <c r="B276" s="139" t="s">
        <v>52</v>
      </c>
      <c r="C276" s="139">
        <v>23096</v>
      </c>
      <c r="D276" s="139">
        <v>4</v>
      </c>
      <c r="E276" s="139">
        <v>0</v>
      </c>
      <c r="F276" s="139">
        <v>4</v>
      </c>
      <c r="G276" s="139">
        <v>0</v>
      </c>
    </row>
    <row r="277" spans="1:7" ht="14.25" customHeight="1" x14ac:dyDescent="0.35">
      <c r="A277" s="138" t="s">
        <v>291</v>
      </c>
      <c r="B277" s="139" t="s">
        <v>48</v>
      </c>
      <c r="C277" s="139">
        <v>11055</v>
      </c>
      <c r="D277" s="139">
        <v>0</v>
      </c>
      <c r="E277" s="139">
        <v>0</v>
      </c>
      <c r="F277" s="139">
        <v>0</v>
      </c>
      <c r="G277" s="139">
        <v>0</v>
      </c>
    </row>
    <row r="278" spans="1:7" ht="14.25" customHeight="1" x14ac:dyDescent="0.35">
      <c r="A278" s="138" t="s">
        <v>289</v>
      </c>
      <c r="B278" s="139" t="s">
        <v>59</v>
      </c>
      <c r="C278" s="139">
        <v>71066</v>
      </c>
      <c r="D278" s="139">
        <v>1</v>
      </c>
      <c r="E278" s="139">
        <v>0</v>
      </c>
      <c r="F278" s="139">
        <v>1</v>
      </c>
      <c r="G278" s="139">
        <v>0</v>
      </c>
    </row>
    <row r="279" spans="1:7" ht="14.25" customHeight="1" x14ac:dyDescent="0.35">
      <c r="A279" s="138" t="s">
        <v>137</v>
      </c>
      <c r="B279" s="139" t="s">
        <v>55</v>
      </c>
      <c r="C279" s="139">
        <v>33037</v>
      </c>
      <c r="D279" s="139">
        <v>0</v>
      </c>
      <c r="E279" s="139">
        <v>0</v>
      </c>
      <c r="F279" s="139">
        <v>0</v>
      </c>
      <c r="G279" s="139">
        <v>0</v>
      </c>
    </row>
    <row r="280" spans="1:7" ht="14.25" customHeight="1" x14ac:dyDescent="0.35">
      <c r="A280" s="138" t="s">
        <v>120</v>
      </c>
      <c r="B280" s="139" t="s">
        <v>50</v>
      </c>
      <c r="C280" s="139">
        <v>41081</v>
      </c>
      <c r="D280" s="139">
        <v>1</v>
      </c>
      <c r="E280" s="139">
        <v>0</v>
      </c>
      <c r="F280" s="139">
        <v>1</v>
      </c>
      <c r="G280" s="139">
        <v>0</v>
      </c>
    </row>
    <row r="281" spans="1:7" ht="14.25" customHeight="1" x14ac:dyDescent="0.35">
      <c r="A281" s="138" t="s">
        <v>255</v>
      </c>
      <c r="B281" s="139" t="s">
        <v>52</v>
      </c>
      <c r="C281" s="139">
        <v>24130</v>
      </c>
      <c r="D281" s="139">
        <v>0</v>
      </c>
      <c r="E281" s="139">
        <v>0</v>
      </c>
      <c r="F281" s="139">
        <v>0</v>
      </c>
      <c r="G281" s="139">
        <v>0</v>
      </c>
    </row>
    <row r="282" spans="1:7" ht="14.25" customHeight="1" x14ac:dyDescent="0.35">
      <c r="A282" s="138" t="s">
        <v>316</v>
      </c>
      <c r="B282" s="139" t="s">
        <v>55</v>
      </c>
      <c r="C282" s="139">
        <v>31042</v>
      </c>
      <c r="D282" s="139">
        <v>0</v>
      </c>
      <c r="E282" s="139">
        <v>0</v>
      </c>
      <c r="F282" s="139">
        <v>0</v>
      </c>
      <c r="G282" s="139">
        <v>0</v>
      </c>
    </row>
    <row r="283" spans="1:7" ht="14.25" customHeight="1" x14ac:dyDescent="0.35">
      <c r="A283" s="138" t="s">
        <v>111</v>
      </c>
      <c r="B283" s="139" t="s">
        <v>50</v>
      </c>
      <c r="C283" s="139">
        <v>44081</v>
      </c>
      <c r="D283" s="139">
        <v>0</v>
      </c>
      <c r="E283" s="139">
        <v>0</v>
      </c>
      <c r="F283" s="139">
        <v>0</v>
      </c>
      <c r="G283" s="139">
        <v>0</v>
      </c>
    </row>
    <row r="284" spans="1:7" ht="14.25" customHeight="1" x14ac:dyDescent="0.35">
      <c r="A284" s="138" t="s">
        <v>321</v>
      </c>
      <c r="B284" s="139" t="s">
        <v>59</v>
      </c>
      <c r="C284" s="139">
        <v>71067</v>
      </c>
      <c r="D284" s="139">
        <v>0</v>
      </c>
      <c r="E284" s="139">
        <v>0</v>
      </c>
      <c r="F284" s="139">
        <v>0</v>
      </c>
      <c r="G284" s="139">
        <v>0</v>
      </c>
    </row>
    <row r="285" spans="1:7" ht="14.25" customHeight="1" x14ac:dyDescent="0.35">
      <c r="A285" s="138" t="s">
        <v>149</v>
      </c>
      <c r="B285" s="139" t="s">
        <v>50</v>
      </c>
      <c r="C285" s="139">
        <v>45065</v>
      </c>
      <c r="D285" s="139">
        <v>2</v>
      </c>
      <c r="E285" s="139">
        <v>0</v>
      </c>
      <c r="F285" s="139">
        <v>2</v>
      </c>
      <c r="G285" s="139">
        <v>0</v>
      </c>
    </row>
    <row r="286" spans="1:7" ht="14.25" customHeight="1" x14ac:dyDescent="0.35">
      <c r="A286" s="138" t="s">
        <v>186</v>
      </c>
      <c r="B286" s="139" t="s">
        <v>55</v>
      </c>
      <c r="C286" s="139">
        <v>34042</v>
      </c>
      <c r="D286" s="139">
        <v>1</v>
      </c>
      <c r="E286" s="139">
        <v>0</v>
      </c>
      <c r="F286" s="139">
        <v>1</v>
      </c>
      <c r="G286" s="139">
        <v>0</v>
      </c>
    </row>
    <row r="287" spans="1:7" ht="14.25" customHeight="1" x14ac:dyDescent="0.35">
      <c r="A287" s="138"/>
      <c r="B287" s="139"/>
      <c r="C287" s="139"/>
      <c r="D287" s="139">
        <f t="shared" ref="D287:G287" si="0">SUM(D2:D286)</f>
        <v>680</v>
      </c>
      <c r="E287" s="139">
        <f t="shared" si="0"/>
        <v>55</v>
      </c>
      <c r="F287" s="139">
        <f t="shared" si="0"/>
        <v>686</v>
      </c>
      <c r="G287" s="139">
        <f t="shared" si="0"/>
        <v>60</v>
      </c>
    </row>
    <row r="288" spans="1:7"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2">
    <dataValidation type="custom" allowBlank="1" showDropDown="1" sqref="C2:C286" xr:uid="{00000000-0002-0000-0800-000000000000}">
      <formula1>AND(ISNUMBER(C2),(NOT(OR(NOT(ISERROR(DATEVALUE(C2))), AND(ISNUMBER(C2), LEFT(CELL("format", C2))="D")))))</formula1>
    </dataValidation>
    <dataValidation type="list" allowBlank="1" showDropDown="1" showErrorMessage="1" sqref="B2:B286" xr:uid="{00000000-0002-0000-0800-000001000000}">
      <formula1>"Oost-Vlaanderen,Vlaams-Brabant,Antwerpen,Limburg,West-Vlaanderen"</formula1>
    </dataValidation>
  </dataValidations>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22.7265625" customWidth="1"/>
    <col min="2" max="2" width="15.81640625" customWidth="1"/>
    <col min="3" max="4" width="11.453125" customWidth="1"/>
    <col min="5" max="8" width="8.7265625" customWidth="1"/>
  </cols>
  <sheetData>
    <row r="1" spans="1:7" ht="44.25" customHeight="1" x14ac:dyDescent="0.35">
      <c r="A1" s="128" t="s">
        <v>0</v>
      </c>
      <c r="B1" s="129" t="s">
        <v>1</v>
      </c>
      <c r="C1" s="128" t="s">
        <v>2</v>
      </c>
      <c r="D1" s="128" t="s">
        <v>35</v>
      </c>
      <c r="E1" s="128" t="s">
        <v>36</v>
      </c>
      <c r="F1" s="128" t="s">
        <v>41</v>
      </c>
      <c r="G1" s="128" t="s">
        <v>42</v>
      </c>
    </row>
    <row r="2" spans="1:7" ht="14.25" customHeight="1" x14ac:dyDescent="0.35">
      <c r="A2" s="130" t="s">
        <v>65</v>
      </c>
      <c r="B2" s="131" t="s">
        <v>50</v>
      </c>
      <c r="C2" s="131">
        <v>41002</v>
      </c>
      <c r="D2" s="131"/>
      <c r="E2" s="131"/>
      <c r="F2" s="131"/>
      <c r="G2" s="131"/>
    </row>
    <row r="3" spans="1:7" ht="14.25" customHeight="1" x14ac:dyDescent="0.35">
      <c r="A3" s="132" t="s">
        <v>231</v>
      </c>
      <c r="B3" s="133" t="s">
        <v>50</v>
      </c>
      <c r="C3" s="133">
        <v>44084</v>
      </c>
      <c r="D3" s="133"/>
      <c r="E3" s="133"/>
      <c r="F3" s="133"/>
      <c r="G3" s="133"/>
    </row>
    <row r="4" spans="1:7" ht="14.25" customHeight="1" x14ac:dyDescent="0.35">
      <c r="A4" s="130" t="s">
        <v>84</v>
      </c>
      <c r="B4" s="131" t="s">
        <v>52</v>
      </c>
      <c r="C4" s="131">
        <v>24001</v>
      </c>
      <c r="D4" s="131"/>
      <c r="E4" s="131"/>
      <c r="F4" s="131"/>
      <c r="G4" s="131"/>
    </row>
    <row r="5" spans="1:7" ht="14.25" customHeight="1" x14ac:dyDescent="0.35">
      <c r="A5" s="132" t="s">
        <v>335</v>
      </c>
      <c r="B5" s="133" t="s">
        <v>48</v>
      </c>
      <c r="C5" s="133">
        <v>11001</v>
      </c>
      <c r="D5" s="133"/>
      <c r="E5" s="133"/>
      <c r="F5" s="133"/>
      <c r="G5" s="133"/>
    </row>
    <row r="6" spans="1:7" ht="14.25" customHeight="1" x14ac:dyDescent="0.35">
      <c r="A6" s="130" t="s">
        <v>306</v>
      </c>
      <c r="B6" s="131" t="s">
        <v>52</v>
      </c>
      <c r="C6" s="131">
        <v>23105</v>
      </c>
      <c r="D6" s="131"/>
      <c r="E6" s="131"/>
      <c r="F6" s="131"/>
      <c r="G6" s="131"/>
    </row>
    <row r="7" spans="1:7" ht="14.25" customHeight="1" x14ac:dyDescent="0.35">
      <c r="A7" s="132" t="s">
        <v>279</v>
      </c>
      <c r="B7" s="133" t="s">
        <v>59</v>
      </c>
      <c r="C7" s="133">
        <v>73001</v>
      </c>
      <c r="D7" s="133"/>
      <c r="E7" s="133"/>
      <c r="F7" s="133"/>
      <c r="G7" s="133"/>
    </row>
    <row r="8" spans="1:7" ht="14.25" customHeight="1" x14ac:dyDescent="0.35">
      <c r="A8" s="130" t="s">
        <v>242</v>
      </c>
      <c r="B8" s="131" t="s">
        <v>55</v>
      </c>
      <c r="C8" s="131">
        <v>38002</v>
      </c>
      <c r="D8" s="131"/>
      <c r="E8" s="131"/>
      <c r="F8" s="131"/>
      <c r="G8" s="131"/>
    </row>
    <row r="9" spans="1:7" ht="14.25" customHeight="1" x14ac:dyDescent="0.35">
      <c r="A9" s="132" t="s">
        <v>48</v>
      </c>
      <c r="B9" s="133" t="s">
        <v>48</v>
      </c>
      <c r="C9" s="133">
        <v>11002</v>
      </c>
      <c r="D9" s="133">
        <v>23</v>
      </c>
      <c r="E9" s="133">
        <v>1</v>
      </c>
      <c r="F9" s="133">
        <v>26</v>
      </c>
      <c r="G9" s="133">
        <v>1</v>
      </c>
    </row>
    <row r="10" spans="1:7" ht="14.25" customHeight="1" x14ac:dyDescent="0.35">
      <c r="A10" s="130" t="s">
        <v>276</v>
      </c>
      <c r="B10" s="131" t="s">
        <v>55</v>
      </c>
      <c r="C10" s="131">
        <v>34002</v>
      </c>
      <c r="D10" s="131"/>
      <c r="E10" s="131"/>
      <c r="F10" s="131"/>
      <c r="G10" s="131"/>
    </row>
    <row r="11" spans="1:7" ht="14.25" customHeight="1" x14ac:dyDescent="0.35">
      <c r="A11" s="132" t="s">
        <v>199</v>
      </c>
      <c r="B11" s="133" t="s">
        <v>55</v>
      </c>
      <c r="C11" s="133">
        <v>37020</v>
      </c>
      <c r="D11" s="133"/>
      <c r="E11" s="133"/>
      <c r="F11" s="133"/>
      <c r="G11" s="133"/>
    </row>
    <row r="12" spans="1:7" ht="14.25" customHeight="1" x14ac:dyDescent="0.35">
      <c r="A12" s="130" t="s">
        <v>304</v>
      </c>
      <c r="B12" s="131" t="s">
        <v>48</v>
      </c>
      <c r="C12" s="131">
        <v>13001</v>
      </c>
      <c r="D12" s="131"/>
      <c r="E12" s="131"/>
      <c r="F12" s="131"/>
      <c r="G12" s="131"/>
    </row>
    <row r="13" spans="1:7" ht="14.25" customHeight="1" x14ac:dyDescent="0.35">
      <c r="A13" s="132" t="s">
        <v>307</v>
      </c>
      <c r="B13" s="133" t="s">
        <v>59</v>
      </c>
      <c r="C13" s="133">
        <v>71002</v>
      </c>
      <c r="D13" s="133"/>
      <c r="E13" s="133"/>
      <c r="F13" s="133"/>
      <c r="G13" s="133"/>
    </row>
    <row r="14" spans="1:7" ht="14.25" customHeight="1" x14ac:dyDescent="0.35">
      <c r="A14" s="130" t="s">
        <v>131</v>
      </c>
      <c r="B14" s="131" t="s">
        <v>52</v>
      </c>
      <c r="C14" s="131">
        <v>23002</v>
      </c>
      <c r="D14" s="131"/>
      <c r="E14" s="131"/>
      <c r="F14" s="131"/>
      <c r="G14" s="131"/>
    </row>
    <row r="15" spans="1:7" ht="14.25" customHeight="1" x14ac:dyDescent="0.35">
      <c r="A15" s="132" t="s">
        <v>177</v>
      </c>
      <c r="B15" s="133" t="s">
        <v>50</v>
      </c>
      <c r="C15" s="133">
        <v>43002</v>
      </c>
      <c r="D15" s="133"/>
      <c r="E15" s="133"/>
      <c r="F15" s="133"/>
      <c r="G15" s="133"/>
    </row>
    <row r="16" spans="1:7" ht="14.25" customHeight="1" x14ac:dyDescent="0.35">
      <c r="A16" s="130" t="s">
        <v>260</v>
      </c>
      <c r="B16" s="131" t="s">
        <v>55</v>
      </c>
      <c r="C16" s="131">
        <v>34003</v>
      </c>
      <c r="D16" s="131"/>
      <c r="E16" s="131"/>
      <c r="F16" s="131"/>
      <c r="G16" s="131"/>
    </row>
    <row r="17" spans="1:7" ht="14.25" customHeight="1" x14ac:dyDescent="0.35">
      <c r="A17" s="132" t="s">
        <v>317</v>
      </c>
      <c r="B17" s="133" t="s">
        <v>48</v>
      </c>
      <c r="C17" s="133">
        <v>13002</v>
      </c>
      <c r="D17" s="133"/>
      <c r="E17" s="133"/>
      <c r="F17" s="133"/>
      <c r="G17" s="133"/>
    </row>
    <row r="18" spans="1:7" ht="14.25" customHeight="1" x14ac:dyDescent="0.35">
      <c r="A18" s="130" t="s">
        <v>125</v>
      </c>
      <c r="B18" s="131" t="s">
        <v>48</v>
      </c>
      <c r="C18" s="131">
        <v>13003</v>
      </c>
      <c r="D18" s="131"/>
      <c r="E18" s="131"/>
      <c r="F18" s="131"/>
      <c r="G18" s="131"/>
    </row>
    <row r="19" spans="1:7" ht="14.25" customHeight="1" x14ac:dyDescent="0.35">
      <c r="A19" s="132" t="s">
        <v>112</v>
      </c>
      <c r="B19" s="133" t="s">
        <v>55</v>
      </c>
      <c r="C19" s="133">
        <v>31003</v>
      </c>
      <c r="D19" s="133"/>
      <c r="E19" s="133"/>
      <c r="F19" s="133"/>
      <c r="G19" s="133"/>
    </row>
    <row r="20" spans="1:7" ht="14.25" customHeight="1" x14ac:dyDescent="0.35">
      <c r="A20" s="130" t="s">
        <v>221</v>
      </c>
      <c r="B20" s="131" t="s">
        <v>48</v>
      </c>
      <c r="C20" s="131">
        <v>13004</v>
      </c>
      <c r="D20" s="131"/>
      <c r="E20" s="131"/>
      <c r="F20" s="131"/>
      <c r="G20" s="131"/>
    </row>
    <row r="21" spans="1:7" ht="14.25" customHeight="1" x14ac:dyDescent="0.35">
      <c r="A21" s="132" t="s">
        <v>128</v>
      </c>
      <c r="B21" s="133" t="s">
        <v>52</v>
      </c>
      <c r="C21" s="133">
        <v>23003</v>
      </c>
      <c r="D21" s="133"/>
      <c r="E21" s="133"/>
      <c r="F21" s="133"/>
      <c r="G21" s="133"/>
    </row>
    <row r="22" spans="1:7" ht="14.25" customHeight="1" x14ac:dyDescent="0.35">
      <c r="A22" s="130" t="s">
        <v>327</v>
      </c>
      <c r="B22" s="131" t="s">
        <v>52</v>
      </c>
      <c r="C22" s="131">
        <v>24007</v>
      </c>
      <c r="D22" s="131"/>
      <c r="E22" s="131"/>
      <c r="F22" s="131"/>
      <c r="G22" s="131"/>
    </row>
    <row r="23" spans="1:7" ht="14.25" customHeight="1" x14ac:dyDescent="0.35">
      <c r="A23" s="132" t="s">
        <v>249</v>
      </c>
      <c r="B23" s="133" t="s">
        <v>52</v>
      </c>
      <c r="C23" s="133">
        <v>24008</v>
      </c>
      <c r="D23" s="133"/>
      <c r="E23" s="133"/>
      <c r="F23" s="133"/>
      <c r="G23" s="133"/>
    </row>
    <row r="24" spans="1:7" ht="14.25" customHeight="1" x14ac:dyDescent="0.35">
      <c r="A24" s="130" t="s">
        <v>235</v>
      </c>
      <c r="B24" s="131" t="s">
        <v>59</v>
      </c>
      <c r="C24" s="131">
        <v>71004</v>
      </c>
      <c r="D24" s="131"/>
      <c r="E24" s="131"/>
      <c r="F24" s="131"/>
      <c r="G24" s="131"/>
    </row>
    <row r="25" spans="1:7" ht="14.25" customHeight="1" x14ac:dyDescent="0.35">
      <c r="A25" s="132" t="s">
        <v>136</v>
      </c>
      <c r="B25" s="133" t="s">
        <v>48</v>
      </c>
      <c r="C25" s="133">
        <v>12002</v>
      </c>
      <c r="D25" s="133"/>
      <c r="E25" s="133"/>
      <c r="F25" s="133"/>
      <c r="G25" s="133"/>
    </row>
    <row r="26" spans="1:7" ht="14.25" customHeight="1" x14ac:dyDescent="0.35">
      <c r="A26" s="130" t="s">
        <v>216</v>
      </c>
      <c r="B26" s="131" t="s">
        <v>50</v>
      </c>
      <c r="C26" s="131">
        <v>42003</v>
      </c>
      <c r="D26" s="131"/>
      <c r="E26" s="131"/>
      <c r="F26" s="131"/>
      <c r="G26" s="131"/>
    </row>
    <row r="27" spans="1:7" ht="14.25" customHeight="1" x14ac:dyDescent="0.35">
      <c r="A27" s="132" t="s">
        <v>259</v>
      </c>
      <c r="B27" s="133" t="s">
        <v>52</v>
      </c>
      <c r="C27" s="133">
        <v>24009</v>
      </c>
      <c r="D27" s="133"/>
      <c r="E27" s="133"/>
      <c r="F27" s="133"/>
      <c r="G27" s="133"/>
    </row>
    <row r="28" spans="1:7" ht="14.25" customHeight="1" x14ac:dyDescent="0.35">
      <c r="A28" s="130" t="s">
        <v>315</v>
      </c>
      <c r="B28" s="131" t="s">
        <v>52</v>
      </c>
      <c r="C28" s="131">
        <v>23009</v>
      </c>
      <c r="D28" s="131"/>
      <c r="E28" s="131"/>
      <c r="F28" s="131"/>
      <c r="G28" s="131"/>
    </row>
    <row r="29" spans="1:7" ht="14.25" customHeight="1" x14ac:dyDescent="0.35">
      <c r="A29" s="132" t="s">
        <v>67</v>
      </c>
      <c r="B29" s="133" t="s">
        <v>50</v>
      </c>
      <c r="C29" s="133">
        <v>46003</v>
      </c>
      <c r="D29" s="133">
        <v>2</v>
      </c>
      <c r="E29" s="133">
        <v>1</v>
      </c>
      <c r="F29" s="133">
        <v>3</v>
      </c>
      <c r="G29" s="133">
        <v>1</v>
      </c>
    </row>
    <row r="30" spans="1:7" ht="14.25" customHeight="1" x14ac:dyDescent="0.35">
      <c r="A30" s="130" t="s">
        <v>109</v>
      </c>
      <c r="B30" s="131" t="s">
        <v>52</v>
      </c>
      <c r="C30" s="131">
        <v>24011</v>
      </c>
      <c r="D30" s="131"/>
      <c r="E30" s="131"/>
      <c r="F30" s="131"/>
      <c r="G30" s="131"/>
    </row>
    <row r="31" spans="1:7" ht="14.25" customHeight="1" x14ac:dyDescent="0.35">
      <c r="A31" s="132" t="s">
        <v>237</v>
      </c>
      <c r="B31" s="133" t="s">
        <v>59</v>
      </c>
      <c r="C31" s="133">
        <v>73006</v>
      </c>
      <c r="D31" s="133"/>
      <c r="E31" s="133"/>
      <c r="F31" s="133"/>
      <c r="G31" s="133"/>
    </row>
    <row r="32" spans="1:7" ht="14.25" customHeight="1" x14ac:dyDescent="0.35">
      <c r="A32" s="130" t="s">
        <v>99</v>
      </c>
      <c r="B32" s="131" t="s">
        <v>55</v>
      </c>
      <c r="C32" s="131">
        <v>31004</v>
      </c>
      <c r="D32" s="131"/>
      <c r="E32" s="131"/>
      <c r="F32" s="131"/>
      <c r="G32" s="131"/>
    </row>
    <row r="33" spans="1:7" ht="14.25" customHeight="1" x14ac:dyDescent="0.35">
      <c r="A33" s="132" t="s">
        <v>329</v>
      </c>
      <c r="B33" s="133" t="s">
        <v>59</v>
      </c>
      <c r="C33" s="133">
        <v>72003</v>
      </c>
      <c r="D33" s="133"/>
      <c r="E33" s="133"/>
      <c r="F33" s="133"/>
      <c r="G33" s="133"/>
    </row>
    <row r="34" spans="1:7" ht="14.25" customHeight="1" x14ac:dyDescent="0.35">
      <c r="A34" s="130" t="s">
        <v>271</v>
      </c>
      <c r="B34" s="131" t="s">
        <v>48</v>
      </c>
      <c r="C34" s="131">
        <v>11004</v>
      </c>
      <c r="D34" s="131"/>
      <c r="E34" s="131"/>
      <c r="F34" s="131"/>
      <c r="G34" s="131"/>
    </row>
    <row r="35" spans="1:7" ht="14.25" customHeight="1" x14ac:dyDescent="0.35">
      <c r="A35" s="132" t="s">
        <v>97</v>
      </c>
      <c r="B35" s="133" t="s">
        <v>48</v>
      </c>
      <c r="C35" s="133">
        <v>12005</v>
      </c>
      <c r="D35" s="133">
        <v>3</v>
      </c>
      <c r="E35" s="133"/>
      <c r="F35" s="133">
        <v>1</v>
      </c>
      <c r="G35" s="133"/>
    </row>
    <row r="36" spans="1:7" ht="14.25" customHeight="1" x14ac:dyDescent="0.35">
      <c r="A36" s="130" t="s">
        <v>224</v>
      </c>
      <c r="B36" s="131" t="s">
        <v>48</v>
      </c>
      <c r="C36" s="131">
        <v>11005</v>
      </c>
      <c r="D36" s="131"/>
      <c r="E36" s="131"/>
      <c r="F36" s="131"/>
      <c r="G36" s="131"/>
    </row>
    <row r="37" spans="1:7" ht="14.25" customHeight="1" x14ac:dyDescent="0.35">
      <c r="A37" s="132" t="s">
        <v>157</v>
      </c>
      <c r="B37" s="133" t="s">
        <v>52</v>
      </c>
      <c r="C37" s="133">
        <v>24014</v>
      </c>
      <c r="D37" s="133"/>
      <c r="E37" s="133"/>
      <c r="F37" s="133"/>
      <c r="G37" s="133"/>
    </row>
    <row r="38" spans="1:7" ht="14.25" customHeight="1" x14ac:dyDescent="0.35">
      <c r="A38" s="130" t="s">
        <v>184</v>
      </c>
      <c r="B38" s="131" t="s">
        <v>48</v>
      </c>
      <c r="C38" s="131">
        <v>12007</v>
      </c>
      <c r="D38" s="131"/>
      <c r="E38" s="131"/>
      <c r="F38" s="131"/>
      <c r="G38" s="131"/>
    </row>
    <row r="39" spans="1:7" ht="14.25" customHeight="1" x14ac:dyDescent="0.35">
      <c r="A39" s="132" t="s">
        <v>170</v>
      </c>
      <c r="B39" s="133" t="s">
        <v>52</v>
      </c>
      <c r="C39" s="133">
        <v>24016</v>
      </c>
      <c r="D39" s="133"/>
      <c r="E39" s="133"/>
      <c r="F39" s="133"/>
      <c r="G39" s="133"/>
    </row>
    <row r="40" spans="1:7" ht="14.25" customHeight="1" x14ac:dyDescent="0.35">
      <c r="A40" s="130" t="s">
        <v>275</v>
      </c>
      <c r="B40" s="131" t="s">
        <v>50</v>
      </c>
      <c r="C40" s="131">
        <v>45059</v>
      </c>
      <c r="D40" s="131"/>
      <c r="E40" s="131"/>
      <c r="F40" s="131"/>
      <c r="G40" s="131"/>
    </row>
    <row r="41" spans="1:7" ht="14.25" customHeight="1" x14ac:dyDescent="0.35">
      <c r="A41" s="132" t="s">
        <v>106</v>
      </c>
      <c r="B41" s="133" t="s">
        <v>48</v>
      </c>
      <c r="C41" s="133">
        <v>11008</v>
      </c>
      <c r="D41" s="133"/>
      <c r="E41" s="133"/>
      <c r="F41" s="133"/>
      <c r="G41" s="133"/>
    </row>
    <row r="42" spans="1:7" ht="14.25" customHeight="1" x14ac:dyDescent="0.35">
      <c r="A42" s="130" t="s">
        <v>294</v>
      </c>
      <c r="B42" s="131" t="s">
        <v>48</v>
      </c>
      <c r="C42" s="131">
        <v>11009</v>
      </c>
      <c r="D42" s="131"/>
      <c r="E42" s="131"/>
      <c r="F42" s="131"/>
      <c r="G42" s="131"/>
    </row>
    <row r="43" spans="1:7" ht="14.25" customHeight="1" x14ac:dyDescent="0.35">
      <c r="A43" s="132" t="s">
        <v>219</v>
      </c>
      <c r="B43" s="133" t="s">
        <v>55</v>
      </c>
      <c r="C43" s="133">
        <v>35002</v>
      </c>
      <c r="D43" s="133"/>
      <c r="E43" s="133"/>
      <c r="F43" s="133"/>
      <c r="G43" s="133"/>
    </row>
    <row r="44" spans="1:7" ht="14.25" customHeight="1" x14ac:dyDescent="0.35">
      <c r="A44" s="130" t="s">
        <v>227</v>
      </c>
      <c r="B44" s="131" t="s">
        <v>59</v>
      </c>
      <c r="C44" s="131">
        <v>72004</v>
      </c>
      <c r="D44" s="131"/>
      <c r="E44" s="131"/>
      <c r="F44" s="131"/>
      <c r="G44" s="131"/>
    </row>
    <row r="45" spans="1:7" ht="14.25" customHeight="1" x14ac:dyDescent="0.35">
      <c r="A45" s="132" t="s">
        <v>54</v>
      </c>
      <c r="B45" s="133" t="s">
        <v>55</v>
      </c>
      <c r="C45" s="133">
        <v>31005</v>
      </c>
      <c r="D45" s="133">
        <v>24</v>
      </c>
      <c r="E45" s="133">
        <v>4</v>
      </c>
      <c r="F45" s="133">
        <v>28</v>
      </c>
      <c r="G45" s="133">
        <v>6</v>
      </c>
    </row>
    <row r="46" spans="1:7" ht="14.25" customHeight="1" x14ac:dyDescent="0.35">
      <c r="A46" s="130" t="s">
        <v>274</v>
      </c>
      <c r="B46" s="131" t="s">
        <v>50</v>
      </c>
      <c r="C46" s="131">
        <v>42004</v>
      </c>
      <c r="D46" s="131"/>
      <c r="E46" s="131"/>
      <c r="F46" s="131"/>
      <c r="G46" s="131"/>
    </row>
    <row r="47" spans="1:7" ht="14.25" customHeight="1" x14ac:dyDescent="0.35">
      <c r="A47" s="132" t="s">
        <v>96</v>
      </c>
      <c r="B47" s="133" t="s">
        <v>55</v>
      </c>
      <c r="C47" s="133">
        <v>31006</v>
      </c>
      <c r="D47" s="133"/>
      <c r="E47" s="133"/>
      <c r="F47" s="133"/>
      <c r="G47" s="133"/>
    </row>
    <row r="48" spans="1:7" ht="14.25" customHeight="1" x14ac:dyDescent="0.35">
      <c r="A48" s="130" t="s">
        <v>268</v>
      </c>
      <c r="B48" s="131" t="s">
        <v>55</v>
      </c>
      <c r="C48" s="131">
        <v>35029</v>
      </c>
      <c r="D48" s="131"/>
      <c r="E48" s="131"/>
      <c r="F48" s="131"/>
      <c r="G48" s="131"/>
    </row>
    <row r="49" spans="1:7" ht="14.25" customHeight="1" x14ac:dyDescent="0.35">
      <c r="A49" s="132" t="s">
        <v>135</v>
      </c>
      <c r="B49" s="133" t="s">
        <v>55</v>
      </c>
      <c r="C49" s="133">
        <v>38008</v>
      </c>
      <c r="D49" s="133"/>
      <c r="E49" s="133"/>
      <c r="F49" s="133"/>
      <c r="G49" s="133"/>
    </row>
    <row r="50" spans="1:7" ht="14.25" customHeight="1" x14ac:dyDescent="0.35">
      <c r="A50" s="130" t="s">
        <v>156</v>
      </c>
      <c r="B50" s="131" t="s">
        <v>55</v>
      </c>
      <c r="C50" s="131">
        <v>34009</v>
      </c>
      <c r="D50" s="131">
        <v>3</v>
      </c>
      <c r="E50" s="131"/>
      <c r="F50" s="131">
        <v>3</v>
      </c>
      <c r="G50" s="131"/>
    </row>
    <row r="51" spans="1:7" ht="14.25" customHeight="1" x14ac:dyDescent="0.35">
      <c r="A51" s="132" t="s">
        <v>62</v>
      </c>
      <c r="B51" s="133" t="s">
        <v>50</v>
      </c>
      <c r="C51" s="133">
        <v>44083</v>
      </c>
      <c r="D51" s="133">
        <v>9</v>
      </c>
      <c r="E51" s="133"/>
      <c r="F51" s="133">
        <v>12</v>
      </c>
      <c r="G51" s="133"/>
    </row>
    <row r="52" spans="1:7" ht="14.25" customHeight="1" x14ac:dyDescent="0.35">
      <c r="A52" s="130" t="s">
        <v>182</v>
      </c>
      <c r="B52" s="131" t="s">
        <v>50</v>
      </c>
      <c r="C52" s="131">
        <v>41011</v>
      </c>
      <c r="D52" s="131"/>
      <c r="E52" s="131"/>
      <c r="F52" s="131"/>
      <c r="G52" s="131"/>
    </row>
    <row r="53" spans="1:7" ht="14.25" customHeight="1" x14ac:dyDescent="0.35">
      <c r="A53" s="132" t="s">
        <v>80</v>
      </c>
      <c r="B53" s="133" t="s">
        <v>50</v>
      </c>
      <c r="C53" s="133">
        <v>42006</v>
      </c>
      <c r="D53" s="133"/>
      <c r="E53" s="133"/>
      <c r="F53" s="133"/>
      <c r="G53" s="133"/>
    </row>
    <row r="54" spans="1:7" ht="14.25" customHeight="1" x14ac:dyDescent="0.35">
      <c r="A54" s="130" t="s">
        <v>168</v>
      </c>
      <c r="B54" s="131" t="s">
        <v>55</v>
      </c>
      <c r="C54" s="131">
        <v>37002</v>
      </c>
      <c r="D54" s="131"/>
      <c r="E54" s="131"/>
      <c r="F54" s="131"/>
      <c r="G54" s="131"/>
    </row>
    <row r="55" spans="1:7" ht="14.25" customHeight="1" x14ac:dyDescent="0.35">
      <c r="A55" s="132" t="s">
        <v>301</v>
      </c>
      <c r="B55" s="133" t="s">
        <v>48</v>
      </c>
      <c r="C55" s="133">
        <v>13006</v>
      </c>
      <c r="D55" s="133"/>
      <c r="E55" s="133"/>
      <c r="F55" s="133"/>
      <c r="G55" s="133"/>
    </row>
    <row r="56" spans="1:7" ht="14.25" customHeight="1" x14ac:dyDescent="0.35">
      <c r="A56" s="130" t="s">
        <v>71</v>
      </c>
      <c r="B56" s="131" t="s">
        <v>50</v>
      </c>
      <c r="C56" s="131">
        <v>44013</v>
      </c>
      <c r="D56" s="131">
        <v>14</v>
      </c>
      <c r="E56" s="131">
        <v>1</v>
      </c>
      <c r="F56" s="131">
        <v>15</v>
      </c>
      <c r="G56" s="131">
        <v>1</v>
      </c>
    </row>
    <row r="57" spans="1:7" ht="14.25" customHeight="1" x14ac:dyDescent="0.35">
      <c r="A57" s="132" t="s">
        <v>309</v>
      </c>
      <c r="B57" s="133" t="s">
        <v>59</v>
      </c>
      <c r="C57" s="133">
        <v>71011</v>
      </c>
      <c r="D57" s="133"/>
      <c r="E57" s="133"/>
      <c r="F57" s="133"/>
      <c r="G57" s="133"/>
    </row>
    <row r="58" spans="1:7" ht="14.25" customHeight="1" x14ac:dyDescent="0.35">
      <c r="A58" s="130" t="s">
        <v>88</v>
      </c>
      <c r="B58" s="131" t="s">
        <v>52</v>
      </c>
      <c r="C58" s="131">
        <v>24020</v>
      </c>
      <c r="D58" s="131"/>
      <c r="E58" s="131"/>
      <c r="F58" s="131"/>
      <c r="G58" s="131"/>
    </row>
    <row r="59" spans="1:7" ht="14.25" customHeight="1" x14ac:dyDescent="0.35">
      <c r="A59" s="132" t="s">
        <v>280</v>
      </c>
      <c r="B59" s="133" t="s">
        <v>55</v>
      </c>
      <c r="C59" s="133">
        <v>32003</v>
      </c>
      <c r="D59" s="133"/>
      <c r="E59" s="133"/>
      <c r="F59" s="133"/>
      <c r="G59" s="133"/>
    </row>
    <row r="60" spans="1:7" ht="14.25" customHeight="1" x14ac:dyDescent="0.35">
      <c r="A60" s="130" t="s">
        <v>85</v>
      </c>
      <c r="B60" s="131" t="s">
        <v>52</v>
      </c>
      <c r="C60" s="131">
        <v>23016</v>
      </c>
      <c r="D60" s="131"/>
      <c r="E60" s="131"/>
      <c r="F60" s="131"/>
      <c r="G60" s="131"/>
    </row>
    <row r="61" spans="1:7" ht="14.25" customHeight="1" x14ac:dyDescent="0.35">
      <c r="A61" s="132" t="s">
        <v>333</v>
      </c>
      <c r="B61" s="133" t="s">
        <v>59</v>
      </c>
      <c r="C61" s="133">
        <v>72041</v>
      </c>
      <c r="D61" s="133"/>
      <c r="E61" s="133"/>
      <c r="F61" s="133"/>
      <c r="G61" s="133"/>
    </row>
    <row r="62" spans="1:7" ht="14.25" customHeight="1" x14ac:dyDescent="0.35">
      <c r="A62" s="130" t="s">
        <v>298</v>
      </c>
      <c r="B62" s="131" t="s">
        <v>52</v>
      </c>
      <c r="C62" s="131">
        <v>23098</v>
      </c>
      <c r="D62" s="131"/>
      <c r="E62" s="131"/>
      <c r="F62" s="131"/>
      <c r="G62" s="131"/>
    </row>
    <row r="63" spans="1:7" ht="14.25" customHeight="1" x14ac:dyDescent="0.35">
      <c r="A63" s="132" t="s">
        <v>140</v>
      </c>
      <c r="B63" s="133" t="s">
        <v>48</v>
      </c>
      <c r="C63" s="133">
        <v>12009</v>
      </c>
      <c r="D63" s="133"/>
      <c r="E63" s="133"/>
      <c r="F63" s="133"/>
      <c r="G63" s="133"/>
    </row>
    <row r="64" spans="1:7" ht="14.25" customHeight="1" x14ac:dyDescent="0.35">
      <c r="A64" s="130" t="s">
        <v>123</v>
      </c>
      <c r="B64" s="131" t="s">
        <v>48</v>
      </c>
      <c r="C64" s="131">
        <v>11013</v>
      </c>
      <c r="D64" s="131"/>
      <c r="E64" s="131"/>
      <c r="F64" s="131"/>
      <c r="G64" s="131"/>
    </row>
    <row r="65" spans="1:7" ht="14.25" customHeight="1" x14ac:dyDescent="0.35">
      <c r="A65" s="132" t="s">
        <v>118</v>
      </c>
      <c r="B65" s="133" t="s">
        <v>50</v>
      </c>
      <c r="C65" s="133">
        <v>43005</v>
      </c>
      <c r="D65" s="133"/>
      <c r="E65" s="133"/>
      <c r="F65" s="133"/>
      <c r="G65" s="133"/>
    </row>
    <row r="66" spans="1:7" ht="14.25" customHeight="1" x14ac:dyDescent="0.35">
      <c r="A66" s="130" t="s">
        <v>116</v>
      </c>
      <c r="B66" s="131" t="s">
        <v>50</v>
      </c>
      <c r="C66" s="131">
        <v>41082</v>
      </c>
      <c r="D66" s="131">
        <v>1</v>
      </c>
      <c r="E66" s="131"/>
      <c r="F66" s="131">
        <v>1</v>
      </c>
      <c r="G66" s="131"/>
    </row>
    <row r="67" spans="1:7" ht="14.25" customHeight="1" x14ac:dyDescent="0.35">
      <c r="A67" s="132" t="s">
        <v>180</v>
      </c>
      <c r="B67" s="133" t="s">
        <v>48</v>
      </c>
      <c r="C67" s="133">
        <v>11016</v>
      </c>
      <c r="D67" s="133"/>
      <c r="E67" s="133"/>
      <c r="F67" s="133"/>
      <c r="G67" s="133"/>
    </row>
    <row r="68" spans="1:7" ht="14.25" customHeight="1" x14ac:dyDescent="0.35">
      <c r="A68" s="130" t="s">
        <v>90</v>
      </c>
      <c r="B68" s="131" t="s">
        <v>50</v>
      </c>
      <c r="C68" s="131">
        <v>44019</v>
      </c>
      <c r="D68" s="131">
        <v>2</v>
      </c>
      <c r="E68" s="131">
        <v>1</v>
      </c>
      <c r="F68" s="131">
        <v>2</v>
      </c>
      <c r="G68" s="131">
        <v>1</v>
      </c>
    </row>
    <row r="69" spans="1:7" ht="14.25" customHeight="1" x14ac:dyDescent="0.35">
      <c r="A69" s="132" t="s">
        <v>209</v>
      </c>
      <c r="B69" s="133" t="s">
        <v>50</v>
      </c>
      <c r="C69" s="133">
        <v>44020</v>
      </c>
      <c r="D69" s="133"/>
      <c r="E69" s="133"/>
      <c r="F69" s="133">
        <v>1</v>
      </c>
      <c r="G69" s="133"/>
    </row>
    <row r="70" spans="1:7" ht="14.25" customHeight="1" x14ac:dyDescent="0.35">
      <c r="A70" s="130" t="s">
        <v>91</v>
      </c>
      <c r="B70" s="131" t="s">
        <v>48</v>
      </c>
      <c r="C70" s="131">
        <v>13008</v>
      </c>
      <c r="D70" s="131"/>
      <c r="E70" s="131"/>
      <c r="F70" s="131"/>
      <c r="G70" s="131"/>
    </row>
    <row r="71" spans="1:7" ht="14.25" customHeight="1" x14ac:dyDescent="0.35">
      <c r="A71" s="132" t="s">
        <v>245</v>
      </c>
      <c r="B71" s="133" t="s">
        <v>52</v>
      </c>
      <c r="C71" s="133">
        <v>24028</v>
      </c>
      <c r="D71" s="133"/>
      <c r="E71" s="133"/>
      <c r="F71" s="133"/>
      <c r="G71" s="133"/>
    </row>
    <row r="72" spans="1:7" ht="14.25" customHeight="1" x14ac:dyDescent="0.35">
      <c r="A72" s="130" t="s">
        <v>95</v>
      </c>
      <c r="B72" s="131" t="s">
        <v>59</v>
      </c>
      <c r="C72" s="131">
        <v>71016</v>
      </c>
      <c r="D72" s="131"/>
      <c r="E72" s="131"/>
      <c r="F72" s="131"/>
      <c r="G72" s="131"/>
    </row>
    <row r="73" spans="1:7" ht="14.25" customHeight="1" x14ac:dyDescent="0.35">
      <c r="A73" s="132" t="s">
        <v>49</v>
      </c>
      <c r="B73" s="133" t="s">
        <v>50</v>
      </c>
      <c r="C73" s="133">
        <v>44021</v>
      </c>
      <c r="D73" s="133">
        <v>331</v>
      </c>
      <c r="E73" s="133">
        <v>37</v>
      </c>
      <c r="F73" s="133">
        <v>351</v>
      </c>
      <c r="G73" s="133">
        <v>37</v>
      </c>
    </row>
    <row r="74" spans="1:7" ht="14.25" customHeight="1" x14ac:dyDescent="0.35">
      <c r="A74" s="130" t="s">
        <v>144</v>
      </c>
      <c r="B74" s="131" t="s">
        <v>50</v>
      </c>
      <c r="C74" s="131">
        <v>41018</v>
      </c>
      <c r="D74" s="131"/>
      <c r="E74" s="131"/>
      <c r="F74" s="131"/>
      <c r="G74" s="131"/>
    </row>
    <row r="75" spans="1:7" ht="14.25" customHeight="1" x14ac:dyDescent="0.35">
      <c r="A75" s="132" t="s">
        <v>323</v>
      </c>
      <c r="B75" s="133" t="s">
        <v>59</v>
      </c>
      <c r="C75" s="133">
        <v>71017</v>
      </c>
      <c r="D75" s="133"/>
      <c r="E75" s="133"/>
      <c r="F75" s="133"/>
      <c r="G75" s="133"/>
    </row>
    <row r="76" spans="1:7" ht="14.25" customHeight="1" x14ac:dyDescent="0.35">
      <c r="A76" s="130" t="s">
        <v>206</v>
      </c>
      <c r="B76" s="131" t="s">
        <v>55</v>
      </c>
      <c r="C76" s="131">
        <v>35005</v>
      </c>
      <c r="D76" s="131"/>
      <c r="E76" s="131"/>
      <c r="F76" s="131"/>
      <c r="G76" s="131"/>
    </row>
    <row r="77" spans="1:7" ht="14.25" customHeight="1" x14ac:dyDescent="0.35">
      <c r="A77" s="132" t="s">
        <v>243</v>
      </c>
      <c r="B77" s="133" t="s">
        <v>52</v>
      </c>
      <c r="C77" s="133">
        <v>24137</v>
      </c>
      <c r="D77" s="133"/>
      <c r="E77" s="133"/>
      <c r="F77" s="133"/>
      <c r="G77" s="133"/>
    </row>
    <row r="78" spans="1:7" ht="14.25" customHeight="1" x14ac:dyDescent="0.35">
      <c r="A78" s="130" t="s">
        <v>107</v>
      </c>
      <c r="B78" s="131" t="s">
        <v>52</v>
      </c>
      <c r="C78" s="131">
        <v>23025</v>
      </c>
      <c r="D78" s="131"/>
      <c r="E78" s="131"/>
      <c r="F78" s="131"/>
      <c r="G78" s="131"/>
    </row>
    <row r="79" spans="1:7" ht="14.25" customHeight="1" x14ac:dyDescent="0.35">
      <c r="A79" s="132" t="s">
        <v>303</v>
      </c>
      <c r="B79" s="133" t="s">
        <v>48</v>
      </c>
      <c r="C79" s="133">
        <v>13010</v>
      </c>
      <c r="D79" s="133"/>
      <c r="E79" s="133"/>
      <c r="F79" s="133"/>
      <c r="G79" s="133"/>
    </row>
    <row r="80" spans="1:7" ht="14.25" customHeight="1" x14ac:dyDescent="0.35">
      <c r="A80" s="130" t="s">
        <v>92</v>
      </c>
      <c r="B80" s="131" t="s">
        <v>52</v>
      </c>
      <c r="C80" s="131">
        <v>24033</v>
      </c>
      <c r="D80" s="131"/>
      <c r="E80" s="131"/>
      <c r="F80" s="131"/>
      <c r="G80" s="131"/>
    </row>
    <row r="81" spans="1:7" ht="14.25" customHeight="1" x14ac:dyDescent="0.35">
      <c r="A81" s="132" t="s">
        <v>223</v>
      </c>
      <c r="B81" s="133" t="s">
        <v>50</v>
      </c>
      <c r="C81" s="133">
        <v>41024</v>
      </c>
      <c r="D81" s="133"/>
      <c r="E81" s="133"/>
      <c r="F81" s="133"/>
      <c r="G81" s="133"/>
    </row>
    <row r="82" spans="1:7" ht="14.25" customHeight="1" x14ac:dyDescent="0.35">
      <c r="A82" s="130" t="s">
        <v>324</v>
      </c>
      <c r="B82" s="131" t="s">
        <v>59</v>
      </c>
      <c r="C82" s="131">
        <v>71020</v>
      </c>
      <c r="D82" s="131"/>
      <c r="E82" s="131"/>
      <c r="F82" s="131"/>
      <c r="G82" s="131"/>
    </row>
    <row r="83" spans="1:7" ht="14.25" customHeight="1" x14ac:dyDescent="0.35">
      <c r="A83" s="132" t="s">
        <v>70</v>
      </c>
      <c r="B83" s="133" t="s">
        <v>52</v>
      </c>
      <c r="C83" s="133">
        <v>23027</v>
      </c>
      <c r="D83" s="133">
        <v>9</v>
      </c>
      <c r="E83" s="133"/>
      <c r="F83" s="133">
        <v>8</v>
      </c>
      <c r="G83" s="133"/>
    </row>
    <row r="84" spans="1:7" ht="14.25" customHeight="1" x14ac:dyDescent="0.35">
      <c r="A84" s="130" t="s">
        <v>127</v>
      </c>
      <c r="B84" s="131" t="s">
        <v>50</v>
      </c>
      <c r="C84" s="131">
        <v>42008</v>
      </c>
      <c r="D84" s="131"/>
      <c r="E84" s="131"/>
      <c r="F84" s="131"/>
      <c r="G84" s="131"/>
    </row>
    <row r="85" spans="1:7" ht="14.25" customHeight="1" x14ac:dyDescent="0.35">
      <c r="A85" s="132" t="s">
        <v>331</v>
      </c>
      <c r="B85" s="133" t="s">
        <v>59</v>
      </c>
      <c r="C85" s="133">
        <v>72037</v>
      </c>
      <c r="D85" s="133"/>
      <c r="E85" s="133"/>
      <c r="F85" s="133"/>
      <c r="G85" s="133"/>
    </row>
    <row r="86" spans="1:7" ht="14.25" customHeight="1" x14ac:dyDescent="0.35">
      <c r="A86" s="130" t="s">
        <v>73</v>
      </c>
      <c r="B86" s="131" t="s">
        <v>55</v>
      </c>
      <c r="C86" s="131">
        <v>34013</v>
      </c>
      <c r="D86" s="131"/>
      <c r="E86" s="131"/>
      <c r="F86" s="131"/>
      <c r="G86" s="131"/>
    </row>
    <row r="87" spans="1:7" ht="14.25" customHeight="1" x14ac:dyDescent="0.35">
      <c r="A87" s="132" t="s">
        <v>58</v>
      </c>
      <c r="B87" s="133" t="s">
        <v>59</v>
      </c>
      <c r="C87" s="133">
        <v>71022</v>
      </c>
      <c r="D87" s="133">
        <v>1</v>
      </c>
      <c r="E87" s="133"/>
      <c r="F87" s="133"/>
      <c r="G87" s="133"/>
    </row>
    <row r="88" spans="1:7" ht="14.25" customHeight="1" x14ac:dyDescent="0.35">
      <c r="A88" s="130" t="s">
        <v>265</v>
      </c>
      <c r="B88" s="131" t="s">
        <v>59</v>
      </c>
      <c r="C88" s="131">
        <v>72038</v>
      </c>
      <c r="D88" s="131"/>
      <c r="E88" s="131"/>
      <c r="F88" s="131"/>
      <c r="G88" s="131"/>
    </row>
    <row r="89" spans="1:7" ht="14.25" customHeight="1" x14ac:dyDescent="0.35">
      <c r="A89" s="132" t="s">
        <v>300</v>
      </c>
      <c r="B89" s="133" t="s">
        <v>59</v>
      </c>
      <c r="C89" s="133">
        <v>73022</v>
      </c>
      <c r="D89" s="133"/>
      <c r="E89" s="133"/>
      <c r="F89" s="133"/>
      <c r="G89" s="133"/>
    </row>
    <row r="90" spans="1:7" ht="14.25" customHeight="1" x14ac:dyDescent="0.35">
      <c r="A90" s="130" t="s">
        <v>108</v>
      </c>
      <c r="B90" s="131" t="s">
        <v>48</v>
      </c>
      <c r="C90" s="131">
        <v>12014</v>
      </c>
      <c r="D90" s="131"/>
      <c r="E90" s="131"/>
      <c r="F90" s="131"/>
      <c r="G90" s="131"/>
    </row>
    <row r="91" spans="1:7" ht="14.25" customHeight="1" x14ac:dyDescent="0.35">
      <c r="A91" s="132" t="s">
        <v>266</v>
      </c>
      <c r="B91" s="133" t="s">
        <v>48</v>
      </c>
      <c r="C91" s="133">
        <v>11018</v>
      </c>
      <c r="D91" s="133"/>
      <c r="E91" s="133"/>
      <c r="F91" s="133"/>
      <c r="G91" s="133"/>
    </row>
    <row r="92" spans="1:7" ht="14.25" customHeight="1" x14ac:dyDescent="0.35">
      <c r="A92" s="130" t="s">
        <v>69</v>
      </c>
      <c r="B92" s="131" t="s">
        <v>52</v>
      </c>
      <c r="C92" s="131">
        <v>24038</v>
      </c>
      <c r="D92" s="131">
        <v>3</v>
      </c>
      <c r="E92" s="131">
        <v>2</v>
      </c>
      <c r="F92" s="131">
        <v>3</v>
      </c>
      <c r="G92" s="131">
        <v>2</v>
      </c>
    </row>
    <row r="93" spans="1:7" ht="14.25" customHeight="1" x14ac:dyDescent="0.35">
      <c r="A93" s="132" t="s">
        <v>83</v>
      </c>
      <c r="B93" s="133" t="s">
        <v>48</v>
      </c>
      <c r="C93" s="133">
        <v>13011</v>
      </c>
      <c r="D93" s="133"/>
      <c r="E93" s="133"/>
      <c r="F93" s="133"/>
      <c r="G93" s="133"/>
    </row>
    <row r="94" spans="1:7" ht="14.25" customHeight="1" x14ac:dyDescent="0.35">
      <c r="A94" s="130" t="s">
        <v>326</v>
      </c>
      <c r="B94" s="131" t="s">
        <v>48</v>
      </c>
      <c r="C94" s="131">
        <v>13012</v>
      </c>
      <c r="D94" s="131"/>
      <c r="E94" s="131"/>
      <c r="F94" s="131"/>
      <c r="G94" s="131"/>
    </row>
    <row r="95" spans="1:7" ht="14.25" customHeight="1" x14ac:dyDescent="0.35">
      <c r="A95" s="132" t="s">
        <v>187</v>
      </c>
      <c r="B95" s="133" t="s">
        <v>59</v>
      </c>
      <c r="C95" s="133">
        <v>71024</v>
      </c>
      <c r="D95" s="133"/>
      <c r="E95" s="133"/>
      <c r="F95" s="133"/>
      <c r="G95" s="133"/>
    </row>
    <row r="96" spans="1:7" ht="14.25" customHeight="1" x14ac:dyDescent="0.35">
      <c r="A96" s="130" t="s">
        <v>272</v>
      </c>
      <c r="B96" s="131" t="s">
        <v>48</v>
      </c>
      <c r="C96" s="131">
        <v>13013</v>
      </c>
      <c r="D96" s="131"/>
      <c r="E96" s="131"/>
      <c r="F96" s="131"/>
      <c r="G96" s="131"/>
    </row>
    <row r="97" spans="1:7" ht="14.25" customHeight="1" x14ac:dyDescent="0.35">
      <c r="A97" s="132" t="s">
        <v>313</v>
      </c>
      <c r="B97" s="133" t="s">
        <v>59</v>
      </c>
      <c r="C97" s="133">
        <v>73028</v>
      </c>
      <c r="D97" s="133"/>
      <c r="E97" s="133"/>
      <c r="F97" s="133"/>
      <c r="G97" s="133"/>
    </row>
    <row r="98" spans="1:7" ht="14.25" customHeight="1" x14ac:dyDescent="0.35">
      <c r="A98" s="130" t="s">
        <v>113</v>
      </c>
      <c r="B98" s="131" t="s">
        <v>50</v>
      </c>
      <c r="C98" s="131">
        <v>41027</v>
      </c>
      <c r="D98" s="131"/>
      <c r="E98" s="131"/>
      <c r="F98" s="131"/>
      <c r="G98" s="131"/>
    </row>
    <row r="99" spans="1:7" ht="14.25" customHeight="1" x14ac:dyDescent="0.35">
      <c r="A99" s="132" t="s">
        <v>190</v>
      </c>
      <c r="B99" s="133" t="s">
        <v>59</v>
      </c>
      <c r="C99" s="133">
        <v>71070</v>
      </c>
      <c r="D99" s="133"/>
      <c r="E99" s="133"/>
      <c r="F99" s="133"/>
      <c r="G99" s="133"/>
    </row>
    <row r="100" spans="1:7" ht="14.25" customHeight="1" x14ac:dyDescent="0.35">
      <c r="A100" s="130" t="s">
        <v>167</v>
      </c>
      <c r="B100" s="131" t="s">
        <v>55</v>
      </c>
      <c r="C100" s="131">
        <v>33039</v>
      </c>
      <c r="D100" s="131"/>
      <c r="E100" s="131"/>
      <c r="F100" s="131"/>
      <c r="G100" s="131"/>
    </row>
    <row r="101" spans="1:7" ht="14.25" customHeight="1" x14ac:dyDescent="0.35">
      <c r="A101" s="132" t="s">
        <v>192</v>
      </c>
      <c r="B101" s="133" t="s">
        <v>52</v>
      </c>
      <c r="C101" s="133">
        <v>24041</v>
      </c>
      <c r="D101" s="133"/>
      <c r="E101" s="133"/>
      <c r="F101" s="133"/>
      <c r="G101" s="133"/>
    </row>
    <row r="102" spans="1:7" ht="14.25" customHeight="1" x14ac:dyDescent="0.35">
      <c r="A102" s="130" t="s">
        <v>153</v>
      </c>
      <c r="B102" s="131" t="s">
        <v>52</v>
      </c>
      <c r="C102" s="131">
        <v>23033</v>
      </c>
      <c r="D102" s="131"/>
      <c r="E102" s="131"/>
      <c r="F102" s="131"/>
      <c r="G102" s="131"/>
    </row>
    <row r="103" spans="1:7" ht="14.25" customHeight="1" x14ac:dyDescent="0.35">
      <c r="A103" s="132" t="s">
        <v>86</v>
      </c>
      <c r="B103" s="133" t="s">
        <v>52</v>
      </c>
      <c r="C103" s="133">
        <v>24043</v>
      </c>
      <c r="D103" s="133"/>
      <c r="E103" s="133"/>
      <c r="F103" s="133"/>
      <c r="G103" s="133"/>
    </row>
    <row r="104" spans="1:7" ht="14.25" customHeight="1" x14ac:dyDescent="0.35">
      <c r="A104" s="130" t="s">
        <v>150</v>
      </c>
      <c r="B104" s="131" t="s">
        <v>55</v>
      </c>
      <c r="C104" s="131">
        <v>36006</v>
      </c>
      <c r="D104" s="131"/>
      <c r="E104" s="131"/>
      <c r="F104" s="131"/>
      <c r="G104" s="131"/>
    </row>
    <row r="105" spans="1:7" ht="14.25" customHeight="1" x14ac:dyDescent="0.35">
      <c r="A105" s="132" t="s">
        <v>185</v>
      </c>
      <c r="B105" s="133" t="s">
        <v>48</v>
      </c>
      <c r="C105" s="133">
        <v>13014</v>
      </c>
      <c r="D105" s="133"/>
      <c r="E105" s="133"/>
      <c r="F105" s="133"/>
      <c r="G105" s="133"/>
    </row>
    <row r="106" spans="1:7" ht="14.25" customHeight="1" x14ac:dyDescent="0.35">
      <c r="A106" s="130" t="s">
        <v>297</v>
      </c>
      <c r="B106" s="131" t="s">
        <v>50</v>
      </c>
      <c r="C106" s="131">
        <v>45062</v>
      </c>
      <c r="D106" s="131"/>
      <c r="E106" s="131"/>
      <c r="F106" s="131"/>
      <c r="G106" s="131"/>
    </row>
    <row r="107" spans="1:7" ht="14.25" customHeight="1" x14ac:dyDescent="0.35">
      <c r="A107" s="132" t="s">
        <v>296</v>
      </c>
      <c r="B107" s="133" t="s">
        <v>59</v>
      </c>
      <c r="C107" s="133">
        <v>72039</v>
      </c>
      <c r="D107" s="133"/>
      <c r="E107" s="133"/>
      <c r="F107" s="133"/>
      <c r="G107" s="133"/>
    </row>
    <row r="108" spans="1:7" ht="14.25" customHeight="1" x14ac:dyDescent="0.35">
      <c r="A108" s="130" t="s">
        <v>261</v>
      </c>
      <c r="B108" s="131" t="s">
        <v>55</v>
      </c>
      <c r="C108" s="131">
        <v>32006</v>
      </c>
      <c r="D108" s="131"/>
      <c r="E108" s="131"/>
      <c r="F108" s="131"/>
      <c r="G108" s="131"/>
    </row>
    <row r="109" spans="1:7" ht="14.25" customHeight="1" x14ac:dyDescent="0.35">
      <c r="A109" s="132" t="s">
        <v>196</v>
      </c>
      <c r="B109" s="133" t="s">
        <v>48</v>
      </c>
      <c r="C109" s="133">
        <v>11021</v>
      </c>
      <c r="D109" s="133">
        <v>1</v>
      </c>
      <c r="E109" s="133"/>
      <c r="F109" s="133">
        <v>1</v>
      </c>
      <c r="G109" s="133"/>
    </row>
    <row r="110" spans="1:7" ht="14.25" customHeight="1" x14ac:dyDescent="0.35">
      <c r="A110" s="130" t="s">
        <v>134</v>
      </c>
      <c r="B110" s="131" t="s">
        <v>52</v>
      </c>
      <c r="C110" s="131">
        <v>24045</v>
      </c>
      <c r="D110" s="131"/>
      <c r="E110" s="131"/>
      <c r="F110" s="131"/>
      <c r="G110" s="131"/>
    </row>
    <row r="111" spans="1:7" ht="14.25" customHeight="1" x14ac:dyDescent="0.35">
      <c r="A111" s="132" t="s">
        <v>173</v>
      </c>
      <c r="B111" s="133" t="s">
        <v>48</v>
      </c>
      <c r="C111" s="133">
        <v>13016</v>
      </c>
      <c r="D111" s="133"/>
      <c r="E111" s="133"/>
      <c r="F111" s="133"/>
      <c r="G111" s="133"/>
    </row>
    <row r="112" spans="1:7" ht="14.25" customHeight="1" x14ac:dyDescent="0.35">
      <c r="A112" s="130" t="s">
        <v>212</v>
      </c>
      <c r="B112" s="131" t="s">
        <v>55</v>
      </c>
      <c r="C112" s="131">
        <v>35006</v>
      </c>
      <c r="D112" s="131"/>
      <c r="E112" s="131"/>
      <c r="F112" s="131"/>
      <c r="G112" s="131"/>
    </row>
    <row r="113" spans="1:7" ht="14.25" customHeight="1" x14ac:dyDescent="0.35">
      <c r="A113" s="132" t="s">
        <v>76</v>
      </c>
      <c r="B113" s="133" t="s">
        <v>55</v>
      </c>
      <c r="C113" s="133">
        <v>33011</v>
      </c>
      <c r="D113" s="133">
        <v>1</v>
      </c>
      <c r="E113" s="133"/>
      <c r="F113" s="133"/>
      <c r="G113" s="133"/>
    </row>
    <row r="114" spans="1:7" ht="14.25" customHeight="1" x14ac:dyDescent="0.35">
      <c r="A114" s="130" t="s">
        <v>263</v>
      </c>
      <c r="B114" s="131" t="s">
        <v>55</v>
      </c>
      <c r="C114" s="131">
        <v>36007</v>
      </c>
      <c r="D114" s="131"/>
      <c r="E114" s="131"/>
      <c r="F114" s="131"/>
      <c r="G114" s="131"/>
    </row>
    <row r="115" spans="1:7" ht="14.25" customHeight="1" x14ac:dyDescent="0.35">
      <c r="A115" s="132" t="s">
        <v>129</v>
      </c>
      <c r="B115" s="133" t="s">
        <v>55</v>
      </c>
      <c r="C115" s="133">
        <v>36008</v>
      </c>
      <c r="D115" s="133"/>
      <c r="E115" s="133"/>
      <c r="F115" s="133"/>
      <c r="G115" s="133"/>
    </row>
    <row r="116" spans="1:7" ht="14.25" customHeight="1" x14ac:dyDescent="0.35">
      <c r="A116" s="130" t="s">
        <v>273</v>
      </c>
      <c r="B116" s="131" t="s">
        <v>55</v>
      </c>
      <c r="C116" s="131">
        <v>31012</v>
      </c>
      <c r="D116" s="131"/>
      <c r="E116" s="131"/>
      <c r="F116" s="131"/>
      <c r="G116" s="131"/>
    </row>
    <row r="117" spans="1:7" ht="14.25" customHeight="1" x14ac:dyDescent="0.35">
      <c r="A117" s="132" t="s">
        <v>163</v>
      </c>
      <c r="B117" s="133" t="s">
        <v>48</v>
      </c>
      <c r="C117" s="133">
        <v>11022</v>
      </c>
      <c r="D117" s="133"/>
      <c r="E117" s="133"/>
      <c r="F117" s="133"/>
      <c r="G117" s="133"/>
    </row>
    <row r="118" spans="1:7" ht="14.25" customHeight="1" x14ac:dyDescent="0.35">
      <c r="A118" s="130" t="s">
        <v>207</v>
      </c>
      <c r="B118" s="131" t="s">
        <v>52</v>
      </c>
      <c r="C118" s="131">
        <v>23038</v>
      </c>
      <c r="D118" s="131"/>
      <c r="E118" s="131"/>
      <c r="F118" s="131"/>
      <c r="G118" s="131"/>
    </row>
    <row r="119" spans="1:7" ht="14.25" customHeight="1" x14ac:dyDescent="0.35">
      <c r="A119" s="132" t="s">
        <v>258</v>
      </c>
      <c r="B119" s="133" t="s">
        <v>52</v>
      </c>
      <c r="C119" s="133">
        <v>23039</v>
      </c>
      <c r="D119" s="133"/>
      <c r="E119" s="133"/>
      <c r="F119" s="133"/>
      <c r="G119" s="133"/>
    </row>
    <row r="120" spans="1:7" ht="14.25" customHeight="1" x14ac:dyDescent="0.35">
      <c r="A120" s="130" t="s">
        <v>312</v>
      </c>
      <c r="B120" s="131" t="s">
        <v>48</v>
      </c>
      <c r="C120" s="131">
        <v>11023</v>
      </c>
      <c r="D120" s="131"/>
      <c r="E120" s="131"/>
      <c r="F120" s="131"/>
      <c r="G120" s="131"/>
    </row>
    <row r="121" spans="1:7" ht="14.25" customHeight="1" x14ac:dyDescent="0.35">
      <c r="A121" s="132" t="s">
        <v>247</v>
      </c>
      <c r="B121" s="133" t="s">
        <v>50</v>
      </c>
      <c r="C121" s="133">
        <v>43007</v>
      </c>
      <c r="D121" s="133">
        <v>1</v>
      </c>
      <c r="E121" s="133"/>
      <c r="F121" s="133">
        <v>1</v>
      </c>
      <c r="G121" s="133"/>
    </row>
    <row r="122" spans="1:7" ht="14.25" customHeight="1" x14ac:dyDescent="0.35">
      <c r="A122" s="130" t="s">
        <v>181</v>
      </c>
      <c r="B122" s="131" t="s">
        <v>48</v>
      </c>
      <c r="C122" s="131">
        <v>13017</v>
      </c>
      <c r="D122" s="131"/>
      <c r="E122" s="131"/>
      <c r="F122" s="131"/>
      <c r="G122" s="131"/>
    </row>
    <row r="123" spans="1:7" ht="14.25" customHeight="1" x14ac:dyDescent="0.35">
      <c r="A123" s="132" t="s">
        <v>176</v>
      </c>
      <c r="B123" s="133" t="s">
        <v>52</v>
      </c>
      <c r="C123" s="133">
        <v>24048</v>
      </c>
      <c r="D123" s="133"/>
      <c r="E123" s="133"/>
      <c r="F123" s="133"/>
      <c r="G123" s="133"/>
    </row>
    <row r="124" spans="1:7" ht="14.25" customHeight="1" x14ac:dyDescent="0.35">
      <c r="A124" s="130" t="s">
        <v>325</v>
      </c>
      <c r="B124" s="131" t="s">
        <v>59</v>
      </c>
      <c r="C124" s="131">
        <v>72018</v>
      </c>
      <c r="D124" s="131"/>
      <c r="E124" s="131"/>
      <c r="F124" s="131"/>
      <c r="G124" s="131"/>
    </row>
    <row r="125" spans="1:7" ht="14.25" customHeight="1" x14ac:dyDescent="0.35">
      <c r="A125" s="132" t="s">
        <v>191</v>
      </c>
      <c r="B125" s="133" t="s">
        <v>50</v>
      </c>
      <c r="C125" s="133">
        <v>45060</v>
      </c>
      <c r="D125" s="133"/>
      <c r="E125" s="133"/>
      <c r="F125" s="133"/>
      <c r="G125" s="133"/>
    </row>
    <row r="126" spans="1:7" ht="14.25" customHeight="1" x14ac:dyDescent="0.35">
      <c r="A126" s="130" t="s">
        <v>103</v>
      </c>
      <c r="B126" s="131" t="s">
        <v>55</v>
      </c>
      <c r="C126" s="131">
        <v>31043</v>
      </c>
      <c r="D126" s="131"/>
      <c r="E126" s="131"/>
      <c r="F126" s="131"/>
      <c r="G126" s="131"/>
    </row>
    <row r="127" spans="1:7" ht="14.25" customHeight="1" x14ac:dyDescent="0.35">
      <c r="A127" s="132" t="s">
        <v>256</v>
      </c>
      <c r="B127" s="133" t="s">
        <v>55</v>
      </c>
      <c r="C127" s="133">
        <v>32010</v>
      </c>
      <c r="D127" s="133"/>
      <c r="E127" s="133"/>
      <c r="F127" s="133"/>
      <c r="G127" s="133"/>
    </row>
    <row r="128" spans="1:7" ht="14.25" customHeight="1" x14ac:dyDescent="0.35">
      <c r="A128" s="130" t="s">
        <v>100</v>
      </c>
      <c r="B128" s="131" t="s">
        <v>55</v>
      </c>
      <c r="C128" s="131">
        <v>38014</v>
      </c>
      <c r="D128" s="131"/>
      <c r="E128" s="131"/>
      <c r="F128" s="131"/>
      <c r="G128" s="131"/>
    </row>
    <row r="129" spans="1:7" ht="14.25" customHeight="1" x14ac:dyDescent="0.35">
      <c r="A129" s="132" t="s">
        <v>288</v>
      </c>
      <c r="B129" s="133" t="s">
        <v>48</v>
      </c>
      <c r="C129" s="133">
        <v>11024</v>
      </c>
      <c r="D129" s="133"/>
      <c r="E129" s="133"/>
      <c r="F129" s="133"/>
      <c r="G129" s="133"/>
    </row>
    <row r="130" spans="1:7" ht="14.25" customHeight="1" x14ac:dyDescent="0.35">
      <c r="A130" s="130" t="s">
        <v>138</v>
      </c>
      <c r="B130" s="131" t="s">
        <v>55</v>
      </c>
      <c r="C130" s="131">
        <v>32011</v>
      </c>
      <c r="D130" s="131"/>
      <c r="E130" s="131"/>
      <c r="F130" s="131"/>
      <c r="G130" s="131"/>
    </row>
    <row r="131" spans="1:7" ht="14.25" customHeight="1" x14ac:dyDescent="0.35">
      <c r="A131" s="132" t="s">
        <v>252</v>
      </c>
      <c r="B131" s="133" t="s">
        <v>52</v>
      </c>
      <c r="C131" s="133">
        <v>24054</v>
      </c>
      <c r="D131" s="133"/>
      <c r="E131" s="133"/>
      <c r="F131" s="133"/>
      <c r="G131" s="133"/>
    </row>
    <row r="132" spans="1:7" ht="14.25" customHeight="1" x14ac:dyDescent="0.35">
      <c r="A132" s="130" t="s">
        <v>117</v>
      </c>
      <c r="B132" s="131" t="s">
        <v>52</v>
      </c>
      <c r="C132" s="131">
        <v>24055</v>
      </c>
      <c r="D132" s="131"/>
      <c r="E132" s="131"/>
      <c r="F132" s="131"/>
      <c r="G132" s="131"/>
    </row>
    <row r="133" spans="1:7" ht="14.25" customHeight="1" x14ac:dyDescent="0.35">
      <c r="A133" s="132" t="s">
        <v>56</v>
      </c>
      <c r="B133" s="133" t="s">
        <v>55</v>
      </c>
      <c r="C133" s="133">
        <v>34022</v>
      </c>
      <c r="D133" s="133">
        <v>13</v>
      </c>
      <c r="E133" s="133"/>
      <c r="F133" s="133">
        <v>14</v>
      </c>
      <c r="G133" s="133"/>
    </row>
    <row r="134" spans="1:7" ht="14.25" customHeight="1" x14ac:dyDescent="0.35">
      <c r="A134" s="130" t="s">
        <v>270</v>
      </c>
      <c r="B134" s="131" t="s">
        <v>52</v>
      </c>
      <c r="C134" s="131">
        <v>23099</v>
      </c>
      <c r="D134" s="131"/>
      <c r="E134" s="131"/>
      <c r="F134" s="131"/>
      <c r="G134" s="131"/>
    </row>
    <row r="135" spans="1:7" ht="14.25" customHeight="1" x14ac:dyDescent="0.35">
      <c r="A135" s="132" t="s">
        <v>122</v>
      </c>
      <c r="B135" s="133" t="s">
        <v>50</v>
      </c>
      <c r="C135" s="133">
        <v>45068</v>
      </c>
      <c r="D135" s="133"/>
      <c r="E135" s="133"/>
      <c r="F135" s="133"/>
      <c r="G135" s="133"/>
    </row>
    <row r="136" spans="1:7" ht="14.25" customHeight="1" x14ac:dyDescent="0.35">
      <c r="A136" s="130" t="s">
        <v>158</v>
      </c>
      <c r="B136" s="131" t="s">
        <v>55</v>
      </c>
      <c r="C136" s="131">
        <v>34023</v>
      </c>
      <c r="D136" s="131"/>
      <c r="E136" s="131"/>
      <c r="F136" s="131"/>
      <c r="G136" s="131"/>
    </row>
    <row r="137" spans="1:7" ht="14.25" customHeight="1" x14ac:dyDescent="0.35">
      <c r="A137" s="132" t="s">
        <v>218</v>
      </c>
      <c r="B137" s="133" t="s">
        <v>48</v>
      </c>
      <c r="C137" s="133">
        <v>13053</v>
      </c>
      <c r="D137" s="133"/>
      <c r="E137" s="133"/>
      <c r="F137" s="133"/>
      <c r="G137" s="133"/>
    </row>
    <row r="138" spans="1:7" ht="14.25" customHeight="1" x14ac:dyDescent="0.35">
      <c r="A138" s="130" t="s">
        <v>155</v>
      </c>
      <c r="B138" s="131" t="s">
        <v>50</v>
      </c>
      <c r="C138" s="131">
        <v>42010</v>
      </c>
      <c r="D138" s="131"/>
      <c r="E138" s="131"/>
      <c r="F138" s="131"/>
      <c r="G138" s="131"/>
    </row>
    <row r="139" spans="1:7" ht="14.25" customHeight="1" x14ac:dyDescent="0.35">
      <c r="A139" s="132" t="s">
        <v>295</v>
      </c>
      <c r="B139" s="133" t="s">
        <v>59</v>
      </c>
      <c r="C139" s="133">
        <v>73042</v>
      </c>
      <c r="D139" s="133"/>
      <c r="E139" s="133"/>
      <c r="F139" s="133"/>
      <c r="G139" s="133"/>
    </row>
    <row r="140" spans="1:7" ht="14.25" customHeight="1" x14ac:dyDescent="0.35">
      <c r="A140" s="130" t="s">
        <v>81</v>
      </c>
      <c r="B140" s="131" t="s">
        <v>52</v>
      </c>
      <c r="C140" s="131">
        <v>24059</v>
      </c>
      <c r="D140" s="131"/>
      <c r="E140" s="131"/>
      <c r="F140" s="131"/>
      <c r="G140" s="131"/>
    </row>
    <row r="141" spans="1:7" ht="14.25" customHeight="1" x14ac:dyDescent="0.35">
      <c r="A141" s="132" t="s">
        <v>253</v>
      </c>
      <c r="B141" s="133" t="s">
        <v>55</v>
      </c>
      <c r="C141" s="133">
        <v>33040</v>
      </c>
      <c r="D141" s="133"/>
      <c r="E141" s="133"/>
      <c r="F141" s="133"/>
      <c r="G141" s="133"/>
    </row>
    <row r="142" spans="1:7" ht="14.25" customHeight="1" x14ac:dyDescent="0.35">
      <c r="A142" s="130" t="s">
        <v>114</v>
      </c>
      <c r="B142" s="131" t="s">
        <v>50</v>
      </c>
      <c r="C142" s="131">
        <v>42011</v>
      </c>
      <c r="D142" s="131"/>
      <c r="E142" s="131"/>
      <c r="F142" s="131"/>
      <c r="G142" s="131"/>
    </row>
    <row r="143" spans="1:7" ht="14.25" customHeight="1" x14ac:dyDescent="0.35">
      <c r="A143" s="132" t="s">
        <v>179</v>
      </c>
      <c r="B143" s="133" t="s">
        <v>50</v>
      </c>
      <c r="C143" s="133">
        <v>41034</v>
      </c>
      <c r="D143" s="133"/>
      <c r="E143" s="133"/>
      <c r="F143" s="133"/>
      <c r="G143" s="133"/>
    </row>
    <row r="144" spans="1:7" ht="14.25" customHeight="1" x14ac:dyDescent="0.35">
      <c r="A144" s="130" t="s">
        <v>171</v>
      </c>
      <c r="B144" s="131" t="s">
        <v>55</v>
      </c>
      <c r="C144" s="131">
        <v>36010</v>
      </c>
      <c r="D144" s="131"/>
      <c r="E144" s="131"/>
      <c r="F144" s="131"/>
      <c r="G144" s="131"/>
    </row>
    <row r="145" spans="1:7" ht="14.25" customHeight="1" x14ac:dyDescent="0.35">
      <c r="A145" s="132" t="s">
        <v>320</v>
      </c>
      <c r="B145" s="133" t="s">
        <v>55</v>
      </c>
      <c r="C145" s="133">
        <v>34025</v>
      </c>
      <c r="D145" s="133"/>
      <c r="E145" s="133"/>
      <c r="F145" s="133"/>
      <c r="G145" s="133"/>
    </row>
    <row r="146" spans="1:7" ht="14.25" customHeight="1" x14ac:dyDescent="0.35">
      <c r="A146" s="130" t="s">
        <v>257</v>
      </c>
      <c r="B146" s="131" t="s">
        <v>52</v>
      </c>
      <c r="C146" s="131">
        <v>23104</v>
      </c>
      <c r="D146" s="131"/>
      <c r="E146" s="131"/>
      <c r="F146" s="131"/>
      <c r="G146" s="131"/>
    </row>
    <row r="147" spans="1:7" ht="14.25" customHeight="1" x14ac:dyDescent="0.35">
      <c r="A147" s="132" t="s">
        <v>308</v>
      </c>
      <c r="B147" s="133" t="s">
        <v>59</v>
      </c>
      <c r="C147" s="133">
        <v>71034</v>
      </c>
      <c r="D147" s="133"/>
      <c r="E147" s="133"/>
      <c r="F147" s="133"/>
      <c r="G147" s="133"/>
    </row>
    <row r="148" spans="1:7" ht="14.25" customHeight="1" x14ac:dyDescent="0.35">
      <c r="A148" s="130" t="s">
        <v>51</v>
      </c>
      <c r="B148" s="131" t="s">
        <v>52</v>
      </c>
      <c r="C148" s="131">
        <v>24062</v>
      </c>
      <c r="D148" s="131">
        <v>4</v>
      </c>
      <c r="E148" s="131"/>
      <c r="F148" s="131">
        <v>5</v>
      </c>
      <c r="G148" s="131"/>
    </row>
    <row r="149" spans="1:7" ht="14.25" customHeight="1" x14ac:dyDescent="0.35">
      <c r="A149" s="132" t="s">
        <v>198</v>
      </c>
      <c r="B149" s="133" t="s">
        <v>55</v>
      </c>
      <c r="C149" s="133">
        <v>36011</v>
      </c>
      <c r="D149" s="133"/>
      <c r="E149" s="133"/>
      <c r="F149" s="133"/>
      <c r="G149" s="133"/>
    </row>
    <row r="150" spans="1:7" ht="14.25" customHeight="1" x14ac:dyDescent="0.35">
      <c r="A150" s="130" t="s">
        <v>334</v>
      </c>
      <c r="B150" s="131" t="s">
        <v>52</v>
      </c>
      <c r="C150" s="131">
        <v>23044</v>
      </c>
      <c r="D150" s="131"/>
      <c r="E150" s="131"/>
      <c r="F150" s="131"/>
      <c r="G150" s="131"/>
    </row>
    <row r="151" spans="1:7" ht="14.25" customHeight="1" x14ac:dyDescent="0.35">
      <c r="A151" s="132" t="s">
        <v>68</v>
      </c>
      <c r="B151" s="133" t="s">
        <v>48</v>
      </c>
      <c r="C151" s="133">
        <v>12021</v>
      </c>
      <c r="D151" s="133"/>
      <c r="E151" s="133"/>
      <c r="F151" s="133"/>
      <c r="G151" s="133"/>
    </row>
    <row r="152" spans="1:7" ht="14.25" customHeight="1" x14ac:dyDescent="0.35">
      <c r="A152" s="130" t="s">
        <v>248</v>
      </c>
      <c r="B152" s="131" t="s">
        <v>50</v>
      </c>
      <c r="C152" s="131">
        <v>45063</v>
      </c>
      <c r="D152" s="131"/>
      <c r="E152" s="131"/>
      <c r="F152" s="131"/>
      <c r="G152" s="131"/>
    </row>
    <row r="153" spans="1:7" ht="14.25" customHeight="1" x14ac:dyDescent="0.35">
      <c r="A153" s="132" t="s">
        <v>82</v>
      </c>
      <c r="B153" s="133" t="s">
        <v>50</v>
      </c>
      <c r="C153" s="133">
        <v>44085</v>
      </c>
      <c r="D153" s="133">
        <v>8</v>
      </c>
      <c r="E153" s="133">
        <v>3</v>
      </c>
      <c r="F153" s="133">
        <v>7</v>
      </c>
      <c r="G153" s="133">
        <v>3</v>
      </c>
    </row>
    <row r="154" spans="1:7" ht="14.25" customHeight="1" x14ac:dyDescent="0.35">
      <c r="A154" s="130" t="s">
        <v>161</v>
      </c>
      <c r="B154" s="131" t="s">
        <v>48</v>
      </c>
      <c r="C154" s="131">
        <v>13019</v>
      </c>
      <c r="D154" s="131"/>
      <c r="E154" s="131"/>
      <c r="F154" s="131"/>
      <c r="G154" s="131"/>
    </row>
    <row r="155" spans="1:7" ht="14.25" customHeight="1" x14ac:dyDescent="0.35">
      <c r="A155" s="132" t="s">
        <v>319</v>
      </c>
      <c r="B155" s="133" t="s">
        <v>52</v>
      </c>
      <c r="C155" s="133">
        <v>23100</v>
      </c>
      <c r="D155" s="133"/>
      <c r="E155" s="133"/>
      <c r="F155" s="133"/>
      <c r="G155" s="133"/>
    </row>
    <row r="156" spans="1:7" ht="14.25" customHeight="1" x14ac:dyDescent="0.35">
      <c r="A156" s="130" t="s">
        <v>254</v>
      </c>
      <c r="B156" s="131" t="s">
        <v>48</v>
      </c>
      <c r="C156" s="131">
        <v>11025</v>
      </c>
      <c r="D156" s="131"/>
      <c r="E156" s="131"/>
      <c r="F156" s="131"/>
      <c r="G156" s="131"/>
    </row>
    <row r="157" spans="1:7" ht="14.25" customHeight="1" x14ac:dyDescent="0.35">
      <c r="A157" s="132" t="s">
        <v>193</v>
      </c>
      <c r="B157" s="133" t="s">
        <v>52</v>
      </c>
      <c r="C157" s="133">
        <v>24133</v>
      </c>
      <c r="D157" s="133"/>
      <c r="E157" s="133"/>
      <c r="F157" s="133"/>
      <c r="G157" s="133"/>
    </row>
    <row r="158" spans="1:7" ht="14.25" customHeight="1" x14ac:dyDescent="0.35">
      <c r="A158" s="130" t="s">
        <v>239</v>
      </c>
      <c r="B158" s="131" t="s">
        <v>55</v>
      </c>
      <c r="C158" s="131">
        <v>32030</v>
      </c>
      <c r="D158" s="131"/>
      <c r="E158" s="131"/>
      <c r="F158" s="131"/>
      <c r="G158" s="131"/>
    </row>
    <row r="159" spans="1:7" ht="14.25" customHeight="1" x14ac:dyDescent="0.35">
      <c r="A159" s="132" t="s">
        <v>233</v>
      </c>
      <c r="B159" s="133" t="s">
        <v>50</v>
      </c>
      <c r="C159" s="133">
        <v>44034</v>
      </c>
      <c r="D159" s="133"/>
      <c r="E159" s="133"/>
      <c r="F159" s="133"/>
      <c r="G159" s="133"/>
    </row>
    <row r="160" spans="1:7" ht="14.25" customHeight="1" x14ac:dyDescent="0.35">
      <c r="A160" s="130" t="s">
        <v>72</v>
      </c>
      <c r="B160" s="131" t="s">
        <v>50</v>
      </c>
      <c r="C160" s="131">
        <v>46014</v>
      </c>
      <c r="D160" s="131">
        <v>5</v>
      </c>
      <c r="E160" s="131">
        <v>1</v>
      </c>
      <c r="F160" s="131">
        <v>7</v>
      </c>
      <c r="G160" s="131">
        <v>2</v>
      </c>
    </row>
    <row r="161" spans="1:7" ht="14.25" customHeight="1" x14ac:dyDescent="0.35">
      <c r="A161" s="132" t="s">
        <v>126</v>
      </c>
      <c r="B161" s="133" t="s">
        <v>59</v>
      </c>
      <c r="C161" s="133">
        <v>72020</v>
      </c>
      <c r="D161" s="133"/>
      <c r="E161" s="133"/>
      <c r="F161" s="133"/>
      <c r="G161" s="133"/>
    </row>
    <row r="162" spans="1:7" ht="14.25" customHeight="1" x14ac:dyDescent="0.35">
      <c r="A162" s="130" t="s">
        <v>283</v>
      </c>
      <c r="B162" s="131" t="s">
        <v>52</v>
      </c>
      <c r="C162" s="131">
        <v>23045</v>
      </c>
      <c r="D162" s="131"/>
      <c r="E162" s="131"/>
      <c r="F162" s="131"/>
      <c r="G162" s="131"/>
    </row>
    <row r="163" spans="1:7" ht="14.25" customHeight="1" x14ac:dyDescent="0.35">
      <c r="A163" s="132" t="s">
        <v>139</v>
      </c>
      <c r="B163" s="133" t="s">
        <v>52</v>
      </c>
      <c r="C163" s="133">
        <v>24066</v>
      </c>
      <c r="D163" s="133"/>
      <c r="E163" s="133"/>
      <c r="F163" s="133"/>
      <c r="G163" s="133"/>
    </row>
    <row r="164" spans="1:7" ht="14.25" customHeight="1" x14ac:dyDescent="0.35">
      <c r="A164" s="130" t="s">
        <v>286</v>
      </c>
      <c r="B164" s="131" t="s">
        <v>59</v>
      </c>
      <c r="C164" s="131">
        <v>71037</v>
      </c>
      <c r="D164" s="131"/>
      <c r="E164" s="131"/>
      <c r="F164" s="131"/>
      <c r="G164" s="131"/>
    </row>
    <row r="165" spans="1:7" ht="14.25" customHeight="1" x14ac:dyDescent="0.35">
      <c r="A165" s="132" t="s">
        <v>244</v>
      </c>
      <c r="B165" s="133" t="s">
        <v>50</v>
      </c>
      <c r="C165" s="133">
        <v>45064</v>
      </c>
      <c r="D165" s="133"/>
      <c r="E165" s="133"/>
      <c r="F165" s="133"/>
      <c r="G165" s="133"/>
    </row>
    <row r="166" spans="1:7" ht="14.25" customHeight="1" x14ac:dyDescent="0.35">
      <c r="A166" s="130" t="s">
        <v>211</v>
      </c>
      <c r="B166" s="131" t="s">
        <v>59</v>
      </c>
      <c r="C166" s="131">
        <v>72021</v>
      </c>
      <c r="D166" s="131"/>
      <c r="E166" s="131"/>
      <c r="F166" s="131"/>
      <c r="G166" s="131"/>
    </row>
    <row r="167" spans="1:7" ht="14.25" customHeight="1" x14ac:dyDescent="0.35">
      <c r="A167" s="132" t="s">
        <v>229</v>
      </c>
      <c r="B167" s="133" t="s">
        <v>59</v>
      </c>
      <c r="C167" s="133">
        <v>73107</v>
      </c>
      <c r="D167" s="133"/>
      <c r="E167" s="133"/>
      <c r="F167" s="133"/>
      <c r="G167" s="133"/>
    </row>
    <row r="168" spans="1:7" ht="14.25" customHeight="1" x14ac:dyDescent="0.35">
      <c r="A168" s="130" t="s">
        <v>278</v>
      </c>
      <c r="B168" s="131" t="s">
        <v>52</v>
      </c>
      <c r="C168" s="131">
        <v>23047</v>
      </c>
      <c r="D168" s="131"/>
      <c r="E168" s="131"/>
      <c r="F168" s="131"/>
      <c r="G168" s="131"/>
    </row>
    <row r="169" spans="1:7" ht="14.25" customHeight="1" x14ac:dyDescent="0.35">
      <c r="A169" s="132" t="s">
        <v>165</v>
      </c>
      <c r="B169" s="133" t="s">
        <v>50</v>
      </c>
      <c r="C169" s="133">
        <v>43010</v>
      </c>
      <c r="D169" s="133"/>
      <c r="E169" s="133"/>
      <c r="F169" s="133"/>
      <c r="G169" s="133"/>
    </row>
    <row r="170" spans="1:7" ht="14.25" customHeight="1" x14ac:dyDescent="0.35">
      <c r="A170" s="130" t="s">
        <v>178</v>
      </c>
      <c r="B170" s="131" t="s">
        <v>48</v>
      </c>
      <c r="C170" s="131">
        <v>11057</v>
      </c>
      <c r="D170" s="131"/>
      <c r="E170" s="131"/>
      <c r="F170" s="131"/>
      <c r="G170" s="131"/>
    </row>
    <row r="171" spans="1:7" ht="14.25" customHeight="1" x14ac:dyDescent="0.35">
      <c r="A171" s="132" t="s">
        <v>53</v>
      </c>
      <c r="B171" s="133" t="s">
        <v>48</v>
      </c>
      <c r="C171" s="133">
        <v>12025</v>
      </c>
      <c r="D171" s="133">
        <v>5</v>
      </c>
      <c r="E171" s="133"/>
      <c r="F171" s="133">
        <v>4</v>
      </c>
      <c r="G171" s="133"/>
    </row>
    <row r="172" spans="1:7" ht="14.25" customHeight="1" x14ac:dyDescent="0.35">
      <c r="A172" s="130" t="s">
        <v>172</v>
      </c>
      <c r="B172" s="131" t="s">
        <v>48</v>
      </c>
      <c r="C172" s="131">
        <v>13021</v>
      </c>
      <c r="D172" s="131"/>
      <c r="E172" s="131"/>
      <c r="F172" s="131"/>
      <c r="G172" s="131"/>
    </row>
    <row r="173" spans="1:7" ht="14.25" customHeight="1" x14ac:dyDescent="0.35">
      <c r="A173" s="132" t="s">
        <v>287</v>
      </c>
      <c r="B173" s="133" t="s">
        <v>52</v>
      </c>
      <c r="C173" s="133">
        <v>23050</v>
      </c>
      <c r="D173" s="133"/>
      <c r="E173" s="133"/>
      <c r="F173" s="133"/>
      <c r="G173" s="133"/>
    </row>
    <row r="174" spans="1:7" ht="14.25" customHeight="1" x14ac:dyDescent="0.35">
      <c r="A174" s="130" t="s">
        <v>130</v>
      </c>
      <c r="B174" s="131" t="s">
        <v>55</v>
      </c>
      <c r="C174" s="131">
        <v>34027</v>
      </c>
      <c r="D174" s="131"/>
      <c r="E174" s="131"/>
      <c r="F174" s="131"/>
      <c r="G174" s="131"/>
    </row>
    <row r="175" spans="1:7" ht="14.25" customHeight="1" x14ac:dyDescent="0.35">
      <c r="A175" s="132" t="s">
        <v>281</v>
      </c>
      <c r="B175" s="133" t="s">
        <v>52</v>
      </c>
      <c r="C175" s="133">
        <v>23052</v>
      </c>
      <c r="D175" s="133"/>
      <c r="E175" s="133"/>
      <c r="F175" s="133"/>
      <c r="G175" s="133"/>
    </row>
    <row r="176" spans="1:7" ht="14.25" customHeight="1" x14ac:dyDescent="0.35">
      <c r="A176" s="130" t="s">
        <v>60</v>
      </c>
      <c r="B176" s="131" t="s">
        <v>50</v>
      </c>
      <c r="C176" s="131">
        <v>44043</v>
      </c>
      <c r="D176" s="131">
        <v>28</v>
      </c>
      <c r="E176" s="131">
        <v>5</v>
      </c>
      <c r="F176" s="131">
        <v>28</v>
      </c>
      <c r="G176" s="131">
        <v>6</v>
      </c>
    </row>
    <row r="177" spans="1:7" ht="14.25" customHeight="1" x14ac:dyDescent="0.35">
      <c r="A177" s="132" t="s">
        <v>197</v>
      </c>
      <c r="B177" s="133" t="s">
        <v>48</v>
      </c>
      <c r="C177" s="133">
        <v>13023</v>
      </c>
      <c r="D177" s="133"/>
      <c r="E177" s="133"/>
      <c r="F177" s="133"/>
      <c r="G177" s="133"/>
    </row>
    <row r="178" spans="1:7" ht="14.25" customHeight="1" x14ac:dyDescent="0.35">
      <c r="A178" s="130" t="s">
        <v>238</v>
      </c>
      <c r="B178" s="131" t="s">
        <v>55</v>
      </c>
      <c r="C178" s="131">
        <v>33016</v>
      </c>
      <c r="D178" s="131"/>
      <c r="E178" s="131"/>
      <c r="F178" s="131"/>
      <c r="G178" s="131"/>
    </row>
    <row r="179" spans="1:7" ht="14.25" customHeight="1" x14ac:dyDescent="0.35">
      <c r="A179" s="132" t="s">
        <v>225</v>
      </c>
      <c r="B179" s="133" t="s">
        <v>55</v>
      </c>
      <c r="C179" s="133">
        <v>35011</v>
      </c>
      <c r="D179" s="133"/>
      <c r="E179" s="133"/>
      <c r="F179" s="133"/>
      <c r="G179" s="133"/>
    </row>
    <row r="180" spans="1:7" ht="14.25" customHeight="1" x14ac:dyDescent="0.35">
      <c r="A180" s="130" t="s">
        <v>145</v>
      </c>
      <c r="B180" s="131" t="s">
        <v>48</v>
      </c>
      <c r="C180" s="131">
        <v>13025</v>
      </c>
      <c r="D180" s="131"/>
      <c r="E180" s="131"/>
      <c r="F180" s="131"/>
      <c r="G180" s="131"/>
    </row>
    <row r="181" spans="1:7" ht="14.25" customHeight="1" x14ac:dyDescent="0.35">
      <c r="A181" s="132" t="s">
        <v>174</v>
      </c>
      <c r="B181" s="133" t="s">
        <v>55</v>
      </c>
      <c r="C181" s="133">
        <v>36012</v>
      </c>
      <c r="D181" s="133"/>
      <c r="E181" s="133"/>
      <c r="F181" s="133"/>
      <c r="G181" s="133"/>
    </row>
    <row r="182" spans="1:7" ht="14.25" customHeight="1" x14ac:dyDescent="0.35">
      <c r="A182" s="130" t="s">
        <v>66</v>
      </c>
      <c r="B182" s="131" t="s">
        <v>48</v>
      </c>
      <c r="C182" s="131">
        <v>11029</v>
      </c>
      <c r="D182" s="131"/>
      <c r="E182" s="131"/>
      <c r="F182" s="131"/>
      <c r="G182" s="131"/>
    </row>
    <row r="183" spans="1:7" ht="14.25" customHeight="1" x14ac:dyDescent="0.35">
      <c r="A183" s="132" t="s">
        <v>75</v>
      </c>
      <c r="B183" s="133" t="s">
        <v>50</v>
      </c>
      <c r="C183" s="133">
        <v>44048</v>
      </c>
      <c r="D183" s="133">
        <v>3</v>
      </c>
      <c r="E183" s="133"/>
      <c r="F183" s="133">
        <v>4</v>
      </c>
      <c r="G183" s="133"/>
    </row>
    <row r="184" spans="1:7" ht="14.25" customHeight="1" x14ac:dyDescent="0.35">
      <c r="A184" s="130" t="s">
        <v>203</v>
      </c>
      <c r="B184" s="131" t="s">
        <v>48</v>
      </c>
      <c r="C184" s="131">
        <v>11030</v>
      </c>
      <c r="D184" s="131"/>
      <c r="E184" s="131"/>
      <c r="F184" s="131"/>
      <c r="G184" s="131"/>
    </row>
    <row r="185" spans="1:7" ht="14.25" customHeight="1" x14ac:dyDescent="0.35">
      <c r="A185" s="132" t="s">
        <v>299</v>
      </c>
      <c r="B185" s="133" t="s">
        <v>59</v>
      </c>
      <c r="C185" s="133">
        <v>71045</v>
      </c>
      <c r="D185" s="133"/>
      <c r="E185" s="133"/>
      <c r="F185" s="133"/>
      <c r="G185" s="133"/>
    </row>
    <row r="186" spans="1:7" ht="14.25" customHeight="1" x14ac:dyDescent="0.35">
      <c r="A186" s="130" t="s">
        <v>152</v>
      </c>
      <c r="B186" s="131" t="s">
        <v>55</v>
      </c>
      <c r="C186" s="131">
        <v>38016</v>
      </c>
      <c r="D186" s="131"/>
      <c r="E186" s="131"/>
      <c r="F186" s="131"/>
      <c r="G186" s="131"/>
    </row>
    <row r="187" spans="1:7" ht="14.25" customHeight="1" x14ac:dyDescent="0.35">
      <c r="A187" s="132" t="s">
        <v>124</v>
      </c>
      <c r="B187" s="133" t="s">
        <v>48</v>
      </c>
      <c r="C187" s="133">
        <v>12026</v>
      </c>
      <c r="D187" s="133"/>
      <c r="E187" s="133"/>
      <c r="F187" s="133"/>
      <c r="G187" s="133"/>
    </row>
    <row r="188" spans="1:7" ht="14.25" customHeight="1" x14ac:dyDescent="0.35">
      <c r="A188" s="130" t="s">
        <v>236</v>
      </c>
      <c r="B188" s="131" t="s">
        <v>50</v>
      </c>
      <c r="C188" s="131">
        <v>41048</v>
      </c>
      <c r="D188" s="131"/>
      <c r="E188" s="131"/>
      <c r="F188" s="131"/>
      <c r="G188" s="131"/>
    </row>
    <row r="189" spans="1:7" ht="14.25" customHeight="1" x14ac:dyDescent="0.35">
      <c r="A189" s="132" t="s">
        <v>330</v>
      </c>
      <c r="B189" s="133" t="s">
        <v>48</v>
      </c>
      <c r="C189" s="133">
        <v>13029</v>
      </c>
      <c r="D189" s="133"/>
      <c r="E189" s="133"/>
      <c r="F189" s="133"/>
      <c r="G189" s="133"/>
    </row>
    <row r="190" spans="1:7" ht="14.25" customHeight="1" x14ac:dyDescent="0.35">
      <c r="A190" s="130" t="s">
        <v>64</v>
      </c>
      <c r="B190" s="131" t="s">
        <v>55</v>
      </c>
      <c r="C190" s="131">
        <v>35013</v>
      </c>
      <c r="D190" s="131">
        <v>7</v>
      </c>
      <c r="E190" s="131"/>
      <c r="F190" s="131">
        <v>3</v>
      </c>
      <c r="G190" s="131"/>
    </row>
    <row r="191" spans="1:7" ht="14.25" customHeight="1" x14ac:dyDescent="0.35">
      <c r="A191" s="132" t="s">
        <v>121</v>
      </c>
      <c r="B191" s="133" t="s">
        <v>50</v>
      </c>
      <c r="C191" s="133">
        <v>44052</v>
      </c>
      <c r="D191" s="133">
        <v>1</v>
      </c>
      <c r="E191" s="133"/>
      <c r="F191" s="133">
        <v>1</v>
      </c>
      <c r="G191" s="133"/>
    </row>
    <row r="192" spans="1:7" ht="14.25" customHeight="1" x14ac:dyDescent="0.35">
      <c r="A192" s="130" t="s">
        <v>79</v>
      </c>
      <c r="B192" s="131" t="s">
        <v>55</v>
      </c>
      <c r="C192" s="131">
        <v>31022</v>
      </c>
      <c r="D192" s="131">
        <v>4</v>
      </c>
      <c r="E192" s="131"/>
      <c r="F192" s="131">
        <v>4</v>
      </c>
      <c r="G192" s="131"/>
    </row>
    <row r="193" spans="1:7" ht="14.25" customHeight="1" x14ac:dyDescent="0.35">
      <c r="A193" s="132" t="s">
        <v>194</v>
      </c>
      <c r="B193" s="133" t="s">
        <v>55</v>
      </c>
      <c r="C193" s="133">
        <v>37010</v>
      </c>
      <c r="D193" s="133"/>
      <c r="E193" s="133"/>
      <c r="F193" s="133"/>
      <c r="G193" s="133"/>
    </row>
    <row r="194" spans="1:7" ht="14.25" customHeight="1" x14ac:dyDescent="0.35">
      <c r="A194" s="130" t="s">
        <v>214</v>
      </c>
      <c r="B194" s="131" t="s">
        <v>52</v>
      </c>
      <c r="C194" s="131">
        <v>23060</v>
      </c>
      <c r="D194" s="131"/>
      <c r="E194" s="131"/>
      <c r="F194" s="131"/>
      <c r="G194" s="131"/>
    </row>
    <row r="195" spans="1:7" ht="14.25" customHeight="1" x14ac:dyDescent="0.35">
      <c r="A195" s="132" t="s">
        <v>110</v>
      </c>
      <c r="B195" s="133" t="s">
        <v>52</v>
      </c>
      <c r="C195" s="133">
        <v>24086</v>
      </c>
      <c r="D195" s="133"/>
      <c r="E195" s="133"/>
      <c r="F195" s="133"/>
      <c r="G195" s="133"/>
    </row>
    <row r="196" spans="1:7" ht="14.25" customHeight="1" x14ac:dyDescent="0.35">
      <c r="A196" s="130" t="s">
        <v>159</v>
      </c>
      <c r="B196" s="131" t="s">
        <v>48</v>
      </c>
      <c r="C196" s="131">
        <v>13031</v>
      </c>
      <c r="D196" s="131"/>
      <c r="E196" s="131"/>
      <c r="F196" s="131"/>
      <c r="G196" s="131"/>
    </row>
    <row r="197" spans="1:7" ht="14.25" customHeight="1" x14ac:dyDescent="0.35">
      <c r="A197" s="132" t="s">
        <v>77</v>
      </c>
      <c r="B197" s="133" t="s">
        <v>50</v>
      </c>
      <c r="C197" s="133">
        <v>45035</v>
      </c>
      <c r="D197" s="133">
        <v>2</v>
      </c>
      <c r="E197" s="133">
        <v>1</v>
      </c>
      <c r="F197" s="133">
        <v>2</v>
      </c>
      <c r="G197" s="133">
        <v>1</v>
      </c>
    </row>
    <row r="198" spans="1:7" ht="14.25" customHeight="1" x14ac:dyDescent="0.35">
      <c r="A198" s="130" t="s">
        <v>200</v>
      </c>
      <c r="B198" s="131" t="s">
        <v>55</v>
      </c>
      <c r="C198" s="131">
        <v>35014</v>
      </c>
      <c r="D198" s="131"/>
      <c r="E198" s="131"/>
      <c r="F198" s="131"/>
      <c r="G198" s="131"/>
    </row>
    <row r="199" spans="1:7" ht="14.25" customHeight="1" x14ac:dyDescent="0.35">
      <c r="A199" s="132" t="s">
        <v>234</v>
      </c>
      <c r="B199" s="133" t="s">
        <v>59</v>
      </c>
      <c r="C199" s="133">
        <v>72042</v>
      </c>
      <c r="D199" s="133"/>
      <c r="E199" s="133"/>
      <c r="F199" s="133"/>
      <c r="G199" s="133"/>
    </row>
    <row r="200" spans="1:7" ht="14.25" customHeight="1" x14ac:dyDescent="0.35">
      <c r="A200" s="130" t="s">
        <v>230</v>
      </c>
      <c r="B200" s="131" t="s">
        <v>52</v>
      </c>
      <c r="C200" s="131">
        <v>23062</v>
      </c>
      <c r="D200" s="131"/>
      <c r="E200" s="131"/>
      <c r="F200" s="131"/>
      <c r="G200" s="131"/>
    </row>
    <row r="201" spans="1:7" ht="14.25" customHeight="1" x14ac:dyDescent="0.35">
      <c r="A201" s="132" t="s">
        <v>293</v>
      </c>
      <c r="B201" s="133" t="s">
        <v>52</v>
      </c>
      <c r="C201" s="133"/>
      <c r="D201" s="133"/>
      <c r="E201" s="133"/>
      <c r="F201" s="133"/>
      <c r="G201" s="133"/>
    </row>
    <row r="202" spans="1:7" ht="14.25" customHeight="1" x14ac:dyDescent="0.35">
      <c r="A202" s="130" t="s">
        <v>232</v>
      </c>
      <c r="B202" s="131" t="s">
        <v>59</v>
      </c>
      <c r="C202" s="131">
        <v>72030</v>
      </c>
      <c r="D202" s="131"/>
      <c r="E202" s="131"/>
      <c r="F202" s="131"/>
      <c r="G202" s="131"/>
    </row>
    <row r="203" spans="1:7" ht="14.25" customHeight="1" x14ac:dyDescent="0.35">
      <c r="A203" s="132" t="s">
        <v>310</v>
      </c>
      <c r="B203" s="133" t="s">
        <v>59</v>
      </c>
      <c r="C203" s="133">
        <v>72043</v>
      </c>
      <c r="D203" s="133"/>
      <c r="E203" s="133"/>
      <c r="F203" s="133"/>
      <c r="G203" s="133"/>
    </row>
    <row r="204" spans="1:7" ht="14.25" customHeight="1" x14ac:dyDescent="0.35">
      <c r="A204" s="130" t="s">
        <v>241</v>
      </c>
      <c r="B204" s="131" t="s">
        <v>52</v>
      </c>
      <c r="C204" s="131">
        <v>23064</v>
      </c>
      <c r="D204" s="131"/>
      <c r="E204" s="131"/>
      <c r="F204" s="131"/>
      <c r="G204" s="131"/>
    </row>
    <row r="205" spans="1:7" ht="14.25" customHeight="1" x14ac:dyDescent="0.35">
      <c r="A205" s="132" t="s">
        <v>251</v>
      </c>
      <c r="B205" s="133" t="s">
        <v>55</v>
      </c>
      <c r="C205" s="133">
        <v>37011</v>
      </c>
      <c r="D205" s="133"/>
      <c r="E205" s="133"/>
      <c r="F205" s="133"/>
      <c r="G205" s="133"/>
    </row>
    <row r="206" spans="1:7" ht="14.25" customHeight="1" x14ac:dyDescent="0.35">
      <c r="A206" s="130" t="s">
        <v>98</v>
      </c>
      <c r="B206" s="131" t="s">
        <v>55</v>
      </c>
      <c r="C206" s="131">
        <v>33021</v>
      </c>
      <c r="D206" s="131">
        <v>2</v>
      </c>
      <c r="E206" s="131"/>
      <c r="F206" s="131">
        <v>2</v>
      </c>
      <c r="G206" s="131"/>
    </row>
    <row r="207" spans="1:7" ht="14.25" customHeight="1" x14ac:dyDescent="0.35">
      <c r="A207" s="132" t="s">
        <v>282</v>
      </c>
      <c r="B207" s="133" t="s">
        <v>48</v>
      </c>
      <c r="C207" s="133">
        <v>12029</v>
      </c>
      <c r="D207" s="133"/>
      <c r="E207" s="133"/>
      <c r="F207" s="133"/>
      <c r="G207" s="133"/>
    </row>
    <row r="208" spans="1:7" ht="14.25" customHeight="1" x14ac:dyDescent="0.35">
      <c r="A208" s="130" t="s">
        <v>94</v>
      </c>
      <c r="B208" s="131" t="s">
        <v>48</v>
      </c>
      <c r="C208" s="131">
        <v>12041</v>
      </c>
      <c r="D208" s="131"/>
      <c r="E208" s="131"/>
      <c r="F208" s="131"/>
      <c r="G208" s="131"/>
    </row>
    <row r="209" spans="1:7" ht="14.25" customHeight="1" x14ac:dyDescent="0.35">
      <c r="A209" s="132" t="s">
        <v>284</v>
      </c>
      <c r="B209" s="133" t="s">
        <v>48</v>
      </c>
      <c r="C209" s="133">
        <v>11035</v>
      </c>
      <c r="D209" s="133"/>
      <c r="E209" s="133"/>
      <c r="F209" s="133"/>
      <c r="G209" s="133"/>
    </row>
    <row r="210" spans="1:7" ht="14.25" customHeight="1" x14ac:dyDescent="0.35">
      <c r="A210" s="130" t="s">
        <v>277</v>
      </c>
      <c r="B210" s="131" t="s">
        <v>48</v>
      </c>
      <c r="C210" s="131">
        <v>13035</v>
      </c>
      <c r="D210" s="131"/>
      <c r="E210" s="131"/>
      <c r="F210" s="131"/>
      <c r="G210" s="131"/>
    </row>
    <row r="211" spans="1:7" ht="14.25" customHeight="1" x14ac:dyDescent="0.35">
      <c r="A211" s="132" t="s">
        <v>204</v>
      </c>
      <c r="B211" s="133" t="s">
        <v>48</v>
      </c>
      <c r="C211" s="133">
        <v>13036</v>
      </c>
      <c r="D211" s="133"/>
      <c r="E211" s="133"/>
      <c r="F211" s="133"/>
      <c r="G211" s="133"/>
    </row>
    <row r="212" spans="1:7" ht="14.25" customHeight="1" x14ac:dyDescent="0.35">
      <c r="A212" s="130" t="s">
        <v>332</v>
      </c>
      <c r="B212" s="131" t="s">
        <v>59</v>
      </c>
      <c r="C212" s="131">
        <v>73066</v>
      </c>
      <c r="D212" s="131"/>
      <c r="E212" s="131"/>
      <c r="F212" s="131"/>
      <c r="G212" s="131"/>
    </row>
    <row r="213" spans="1:7" ht="14.25" customHeight="1" x14ac:dyDescent="0.35">
      <c r="A213" s="132" t="s">
        <v>267</v>
      </c>
      <c r="B213" s="133" t="s">
        <v>48</v>
      </c>
      <c r="C213" s="133">
        <v>13037</v>
      </c>
      <c r="D213" s="133"/>
      <c r="E213" s="133"/>
      <c r="F213" s="133"/>
      <c r="G213" s="133"/>
    </row>
    <row r="214" spans="1:7" ht="14.25" customHeight="1" x14ac:dyDescent="0.35">
      <c r="A214" s="130" t="s">
        <v>63</v>
      </c>
      <c r="B214" s="131" t="s">
        <v>55</v>
      </c>
      <c r="C214" s="131">
        <v>36015</v>
      </c>
      <c r="D214" s="131">
        <v>7</v>
      </c>
      <c r="E214" s="131"/>
      <c r="F214" s="131">
        <v>7</v>
      </c>
      <c r="G214" s="131"/>
    </row>
    <row r="215" spans="1:7" ht="14.25" customHeight="1" x14ac:dyDescent="0.35">
      <c r="A215" s="132" t="s">
        <v>141</v>
      </c>
      <c r="B215" s="133" t="s">
        <v>50</v>
      </c>
      <c r="C215" s="133">
        <v>45041</v>
      </c>
      <c r="D215" s="133"/>
      <c r="E215" s="133"/>
      <c r="F215" s="133"/>
      <c r="G215" s="133"/>
    </row>
    <row r="216" spans="1:7" ht="14.25" customHeight="1" x14ac:dyDescent="0.35">
      <c r="A216" s="130" t="s">
        <v>328</v>
      </c>
      <c r="B216" s="131" t="s">
        <v>52</v>
      </c>
      <c r="C216" s="131">
        <v>23097</v>
      </c>
      <c r="D216" s="131"/>
      <c r="E216" s="131"/>
      <c r="F216" s="131"/>
      <c r="G216" s="131"/>
    </row>
    <row r="217" spans="1:7" ht="14.25" customHeight="1" x14ac:dyDescent="0.35">
      <c r="A217" s="132" t="s">
        <v>78</v>
      </c>
      <c r="B217" s="133" t="s">
        <v>52</v>
      </c>
      <c r="C217" s="133">
        <v>24094</v>
      </c>
      <c r="D217" s="133"/>
      <c r="E217" s="133"/>
      <c r="F217" s="133"/>
      <c r="G217" s="133"/>
    </row>
    <row r="218" spans="1:7" ht="14.25" customHeight="1" x14ac:dyDescent="0.35">
      <c r="A218" s="130" t="s">
        <v>160</v>
      </c>
      <c r="B218" s="131" t="s">
        <v>48</v>
      </c>
      <c r="C218" s="131">
        <v>11037</v>
      </c>
      <c r="D218" s="131"/>
      <c r="E218" s="131"/>
      <c r="F218" s="131"/>
      <c r="G218" s="131"/>
    </row>
    <row r="219" spans="1:7" ht="14.25" customHeight="1" x14ac:dyDescent="0.35">
      <c r="A219" s="132" t="s">
        <v>169</v>
      </c>
      <c r="B219" s="133" t="s">
        <v>48</v>
      </c>
      <c r="C219" s="133">
        <v>11038</v>
      </c>
      <c r="D219" s="133"/>
      <c r="E219" s="133"/>
      <c r="F219" s="133"/>
      <c r="G219" s="133"/>
    </row>
    <row r="220" spans="1:7" ht="14.25" customHeight="1" x14ac:dyDescent="0.35">
      <c r="A220" s="130" t="s">
        <v>292</v>
      </c>
      <c r="B220" s="131" t="s">
        <v>52</v>
      </c>
      <c r="C220" s="131">
        <v>24134</v>
      </c>
      <c r="D220" s="131"/>
      <c r="E220" s="131"/>
      <c r="F220" s="131"/>
      <c r="G220" s="131"/>
    </row>
    <row r="221" spans="1:7" ht="14.25" customHeight="1" x14ac:dyDescent="0.35">
      <c r="A221" s="132" t="s">
        <v>311</v>
      </c>
      <c r="B221" s="133" t="s">
        <v>48</v>
      </c>
      <c r="C221" s="133">
        <v>11039</v>
      </c>
      <c r="D221" s="133"/>
      <c r="E221" s="133"/>
      <c r="F221" s="133"/>
      <c r="G221" s="133"/>
    </row>
    <row r="222" spans="1:7" ht="14.25" customHeight="1" x14ac:dyDescent="0.35">
      <c r="A222" s="130" t="s">
        <v>188</v>
      </c>
      <c r="B222" s="131" t="s">
        <v>48</v>
      </c>
      <c r="C222" s="131">
        <v>11040</v>
      </c>
      <c r="D222" s="131">
        <v>1</v>
      </c>
      <c r="E222" s="131"/>
      <c r="F222" s="131">
        <v>1</v>
      </c>
      <c r="G222" s="131"/>
    </row>
    <row r="223" spans="1:7" ht="14.25" customHeight="1" x14ac:dyDescent="0.35">
      <c r="A223" s="132" t="s">
        <v>220</v>
      </c>
      <c r="B223" s="133" t="s">
        <v>52</v>
      </c>
      <c r="C223" s="133">
        <v>23101</v>
      </c>
      <c r="D223" s="133"/>
      <c r="E223" s="133"/>
      <c r="F223" s="133"/>
      <c r="G223" s="133"/>
    </row>
    <row r="224" spans="1:7" ht="14.25" customHeight="1" x14ac:dyDescent="0.35">
      <c r="A224" s="130" t="s">
        <v>226</v>
      </c>
      <c r="B224" s="131" t="s">
        <v>50</v>
      </c>
      <c r="C224" s="131">
        <v>46020</v>
      </c>
      <c r="D224" s="131"/>
      <c r="E224" s="131"/>
      <c r="F224" s="131"/>
      <c r="G224" s="131"/>
    </row>
    <row r="225" spans="1:7" ht="14.25" customHeight="1" x14ac:dyDescent="0.35">
      <c r="A225" s="132" t="s">
        <v>183</v>
      </c>
      <c r="B225" s="133" t="s">
        <v>48</v>
      </c>
      <c r="C225" s="133">
        <v>12035</v>
      </c>
      <c r="D225" s="133"/>
      <c r="E225" s="133"/>
      <c r="F225" s="133"/>
      <c r="G225" s="133"/>
    </row>
    <row r="226" spans="1:7" ht="14.25" customHeight="1" x14ac:dyDescent="0.35">
      <c r="A226" s="130" t="s">
        <v>250</v>
      </c>
      <c r="B226" s="131" t="s">
        <v>50</v>
      </c>
      <c r="C226" s="131">
        <v>43014</v>
      </c>
      <c r="D226" s="131"/>
      <c r="E226" s="131"/>
      <c r="F226" s="131"/>
      <c r="G226" s="131"/>
    </row>
    <row r="227" spans="1:7" ht="14.25" customHeight="1" x14ac:dyDescent="0.35">
      <c r="A227" s="132" t="s">
        <v>202</v>
      </c>
      <c r="B227" s="133" t="s">
        <v>50</v>
      </c>
      <c r="C227" s="133">
        <v>41063</v>
      </c>
      <c r="D227" s="133"/>
      <c r="E227" s="133"/>
      <c r="F227" s="133"/>
      <c r="G227" s="133"/>
    </row>
    <row r="228" spans="1:7" ht="14.25" customHeight="1" x14ac:dyDescent="0.35">
      <c r="A228" s="130" t="s">
        <v>148</v>
      </c>
      <c r="B228" s="131" t="s">
        <v>50</v>
      </c>
      <c r="C228" s="131">
        <v>44064</v>
      </c>
      <c r="D228" s="131"/>
      <c r="E228" s="131"/>
      <c r="F228" s="131"/>
      <c r="G228" s="131"/>
    </row>
    <row r="229" spans="1:7" ht="14.25" customHeight="1" x14ac:dyDescent="0.35">
      <c r="A229" s="132" t="s">
        <v>57</v>
      </c>
      <c r="B229" s="133" t="s">
        <v>50</v>
      </c>
      <c r="C229" s="133">
        <v>46021</v>
      </c>
      <c r="D229" s="133">
        <v>8</v>
      </c>
      <c r="E229" s="133">
        <v>1</v>
      </c>
      <c r="F229" s="133">
        <v>11</v>
      </c>
      <c r="G229" s="133">
        <v>1</v>
      </c>
    </row>
    <row r="230" spans="1:7" ht="14.25" customHeight="1" x14ac:dyDescent="0.35">
      <c r="A230" s="130" t="s">
        <v>132</v>
      </c>
      <c r="B230" s="131" t="s">
        <v>52</v>
      </c>
      <c r="C230" s="131">
        <v>23077</v>
      </c>
      <c r="D230" s="131"/>
      <c r="E230" s="131"/>
      <c r="F230" s="131">
        <v>1</v>
      </c>
      <c r="G230" s="131"/>
    </row>
    <row r="231" spans="1:7" ht="14.25" customHeight="1" x14ac:dyDescent="0.35">
      <c r="A231" s="132" t="s">
        <v>189</v>
      </c>
      <c r="B231" s="133" t="s">
        <v>59</v>
      </c>
      <c r="C231" s="133">
        <v>71053</v>
      </c>
      <c r="D231" s="133"/>
      <c r="E231" s="133"/>
      <c r="F231" s="133"/>
      <c r="G231" s="133"/>
    </row>
    <row r="232" spans="1:7" ht="14.25" customHeight="1" x14ac:dyDescent="0.35">
      <c r="A232" s="130" t="s">
        <v>314</v>
      </c>
      <c r="B232" s="131" t="s">
        <v>55</v>
      </c>
      <c r="C232" s="131">
        <v>34043</v>
      </c>
      <c r="D232" s="131"/>
      <c r="E232" s="131"/>
      <c r="F232" s="131"/>
      <c r="G232" s="131"/>
    </row>
    <row r="233" spans="1:7" ht="14.25" customHeight="1" x14ac:dyDescent="0.35">
      <c r="A233" s="132" t="s">
        <v>336</v>
      </c>
      <c r="B233" s="133" t="s">
        <v>48</v>
      </c>
      <c r="C233" s="133">
        <v>11044</v>
      </c>
      <c r="D233" s="133"/>
      <c r="E233" s="133"/>
      <c r="F233" s="133"/>
      <c r="G233" s="133"/>
    </row>
    <row r="234" spans="1:7" ht="14.25" customHeight="1" x14ac:dyDescent="0.35">
      <c r="A234" s="130" t="s">
        <v>154</v>
      </c>
      <c r="B234" s="131" t="s">
        <v>55</v>
      </c>
      <c r="C234" s="131">
        <v>36019</v>
      </c>
      <c r="D234" s="131"/>
      <c r="E234" s="131"/>
      <c r="F234" s="131"/>
      <c r="G234" s="131"/>
    </row>
    <row r="235" spans="1:7" ht="14.25" customHeight="1" x14ac:dyDescent="0.35">
      <c r="A235" s="132" t="s">
        <v>208</v>
      </c>
      <c r="B235" s="133" t="s">
        <v>52</v>
      </c>
      <c r="C235" s="133">
        <v>23081</v>
      </c>
      <c r="D235" s="133"/>
      <c r="E235" s="133"/>
      <c r="F235" s="133"/>
      <c r="G235" s="133"/>
    </row>
    <row r="236" spans="1:7" ht="14.25" customHeight="1" x14ac:dyDescent="0.35">
      <c r="A236" s="130" t="s">
        <v>285</v>
      </c>
      <c r="B236" s="131" t="s">
        <v>50</v>
      </c>
      <c r="C236" s="131">
        <v>46024</v>
      </c>
      <c r="D236" s="131"/>
      <c r="E236" s="131"/>
      <c r="F236" s="131"/>
      <c r="G236" s="131"/>
    </row>
    <row r="237" spans="1:7" ht="14.25" customHeight="1" x14ac:dyDescent="0.35">
      <c r="A237" s="132" t="s">
        <v>166</v>
      </c>
      <c r="B237" s="133" t="s">
        <v>50</v>
      </c>
      <c r="C237" s="133">
        <v>46025</v>
      </c>
      <c r="D237" s="133">
        <v>2</v>
      </c>
      <c r="E237" s="133"/>
      <c r="F237" s="133">
        <v>2</v>
      </c>
      <c r="G237" s="133"/>
    </row>
    <row r="238" spans="1:7" ht="14.25" customHeight="1" x14ac:dyDescent="0.35">
      <c r="A238" s="130" t="s">
        <v>217</v>
      </c>
      <c r="B238" s="131" t="s">
        <v>52</v>
      </c>
      <c r="C238" s="131">
        <v>23086</v>
      </c>
      <c r="D238" s="131"/>
      <c r="E238" s="131"/>
      <c r="F238" s="131"/>
      <c r="G238" s="131"/>
    </row>
    <row r="239" spans="1:7" ht="14.25" customHeight="1" x14ac:dyDescent="0.35">
      <c r="A239" s="132" t="s">
        <v>87</v>
      </c>
      <c r="B239" s="133" t="s">
        <v>52</v>
      </c>
      <c r="C239" s="133">
        <v>24104</v>
      </c>
      <c r="D239" s="133"/>
      <c r="E239" s="133"/>
      <c r="F239" s="133"/>
      <c r="G239" s="133"/>
    </row>
    <row r="240" spans="1:7" ht="14.25" customHeight="1" x14ac:dyDescent="0.35">
      <c r="A240" s="130" t="s">
        <v>147</v>
      </c>
      <c r="B240" s="131" t="s">
        <v>59</v>
      </c>
      <c r="C240" s="131">
        <v>71057</v>
      </c>
      <c r="D240" s="131"/>
      <c r="E240" s="131"/>
      <c r="F240" s="131"/>
      <c r="G240" s="131"/>
    </row>
    <row r="241" spans="1:7" ht="14.25" customHeight="1" x14ac:dyDescent="0.35">
      <c r="A241" s="132" t="s">
        <v>102</v>
      </c>
      <c r="B241" s="133" t="s">
        <v>55</v>
      </c>
      <c r="C241" s="133">
        <v>37015</v>
      </c>
      <c r="D241" s="133"/>
      <c r="E241" s="133"/>
      <c r="F241" s="133"/>
      <c r="G241" s="133"/>
    </row>
    <row r="242" spans="1:7" ht="14.25" customHeight="1" x14ac:dyDescent="0.35">
      <c r="A242" s="130" t="s">
        <v>302</v>
      </c>
      <c r="B242" s="131" t="s">
        <v>52</v>
      </c>
      <c r="C242" s="131">
        <v>24135</v>
      </c>
      <c r="D242" s="131"/>
      <c r="E242" s="131"/>
      <c r="F242" s="131"/>
      <c r="G242" s="131"/>
    </row>
    <row r="243" spans="1:7" ht="14.25" customHeight="1" x14ac:dyDescent="0.35">
      <c r="A243" s="132" t="s">
        <v>104</v>
      </c>
      <c r="B243" s="133" t="s">
        <v>52</v>
      </c>
      <c r="C243" s="133">
        <v>24107</v>
      </c>
      <c r="D243" s="133"/>
      <c r="E243" s="133"/>
      <c r="F243" s="133"/>
      <c r="G243" s="133"/>
    </row>
    <row r="244" spans="1:7" ht="14.25" customHeight="1" x14ac:dyDescent="0.35">
      <c r="A244" s="130" t="s">
        <v>133</v>
      </c>
      <c r="B244" s="131" t="s">
        <v>59</v>
      </c>
      <c r="C244" s="131">
        <v>73083</v>
      </c>
      <c r="D244" s="131"/>
      <c r="E244" s="131"/>
      <c r="F244" s="131"/>
      <c r="G244" s="131"/>
    </row>
    <row r="245" spans="1:7" ht="14.25" customHeight="1" x14ac:dyDescent="0.35">
      <c r="A245" s="132" t="s">
        <v>93</v>
      </c>
      <c r="B245" s="133" t="s">
        <v>55</v>
      </c>
      <c r="C245" s="133">
        <v>31033</v>
      </c>
      <c r="D245" s="133"/>
      <c r="E245" s="133"/>
      <c r="F245" s="133"/>
      <c r="G245" s="133"/>
    </row>
    <row r="246" spans="1:7" ht="14.25" customHeight="1" x14ac:dyDescent="0.35">
      <c r="A246" s="130" t="s">
        <v>215</v>
      </c>
      <c r="B246" s="131" t="s">
        <v>52</v>
      </c>
      <c r="C246" s="131">
        <v>24109</v>
      </c>
      <c r="D246" s="131"/>
      <c r="E246" s="131"/>
      <c r="F246" s="131"/>
      <c r="G246" s="131"/>
    </row>
    <row r="247" spans="1:7" ht="14.25" customHeight="1" x14ac:dyDescent="0.35">
      <c r="A247" s="132" t="s">
        <v>61</v>
      </c>
      <c r="B247" s="133" t="s">
        <v>48</v>
      </c>
      <c r="C247" s="133">
        <v>13040</v>
      </c>
      <c r="D247" s="133"/>
      <c r="E247" s="133"/>
      <c r="F247" s="133"/>
      <c r="G247" s="133"/>
    </row>
    <row r="248" spans="1:7" ht="14.25" customHeight="1" x14ac:dyDescent="0.35">
      <c r="A248" s="130" t="s">
        <v>175</v>
      </c>
      <c r="B248" s="131" t="s">
        <v>55</v>
      </c>
      <c r="C248" s="131">
        <v>38025</v>
      </c>
      <c r="D248" s="131"/>
      <c r="E248" s="131"/>
      <c r="F248" s="131"/>
      <c r="G248" s="131"/>
    </row>
    <row r="249" spans="1:7" ht="14.25" customHeight="1" x14ac:dyDescent="0.35">
      <c r="A249" s="132" t="s">
        <v>74</v>
      </c>
      <c r="B249" s="133" t="s">
        <v>52</v>
      </c>
      <c r="C249" s="133">
        <v>23088</v>
      </c>
      <c r="D249" s="133"/>
      <c r="E249" s="133"/>
      <c r="F249" s="133"/>
      <c r="G249" s="133"/>
    </row>
    <row r="250" spans="1:7" ht="14.25" customHeight="1" x14ac:dyDescent="0.35">
      <c r="A250" s="130" t="s">
        <v>240</v>
      </c>
      <c r="B250" s="131" t="s">
        <v>55</v>
      </c>
      <c r="C250" s="131">
        <v>33041</v>
      </c>
      <c r="D250" s="131"/>
      <c r="E250" s="131"/>
      <c r="F250" s="131"/>
      <c r="G250" s="131"/>
    </row>
    <row r="251" spans="1:7" ht="14.25" customHeight="1" x14ac:dyDescent="0.35">
      <c r="A251" s="132" t="s">
        <v>318</v>
      </c>
      <c r="B251" s="133" t="s">
        <v>59</v>
      </c>
      <c r="C251" s="133">
        <v>73109</v>
      </c>
      <c r="D251" s="133"/>
      <c r="E251" s="133"/>
      <c r="F251" s="133"/>
      <c r="G251" s="133"/>
    </row>
    <row r="252" spans="1:7" ht="14.25" customHeight="1" x14ac:dyDescent="0.35">
      <c r="A252" s="130" t="s">
        <v>195</v>
      </c>
      <c r="B252" s="131" t="s">
        <v>48</v>
      </c>
      <c r="C252" s="131">
        <v>13044</v>
      </c>
      <c r="D252" s="131"/>
      <c r="E252" s="131"/>
      <c r="F252" s="131"/>
      <c r="G252" s="131"/>
    </row>
    <row r="253" spans="1:7" ht="14.25" customHeight="1" x14ac:dyDescent="0.35">
      <c r="A253" s="132" t="s">
        <v>264</v>
      </c>
      <c r="B253" s="133" t="s">
        <v>48</v>
      </c>
      <c r="C253" s="133">
        <v>13046</v>
      </c>
      <c r="D253" s="133"/>
      <c r="E253" s="133"/>
      <c r="F253" s="133"/>
      <c r="G253" s="133"/>
    </row>
    <row r="254" spans="1:7" ht="14.25" customHeight="1" x14ac:dyDescent="0.35">
      <c r="A254" s="130" t="s">
        <v>262</v>
      </c>
      <c r="B254" s="131" t="s">
        <v>50</v>
      </c>
      <c r="C254" s="131">
        <v>42023</v>
      </c>
      <c r="D254" s="131"/>
      <c r="E254" s="131"/>
      <c r="F254" s="131"/>
      <c r="G254" s="131"/>
    </row>
    <row r="255" spans="1:7" ht="14.25" customHeight="1" x14ac:dyDescent="0.35">
      <c r="A255" s="132" t="s">
        <v>146</v>
      </c>
      <c r="B255" s="133" t="s">
        <v>55</v>
      </c>
      <c r="C255" s="133">
        <v>34040</v>
      </c>
      <c r="D255" s="133">
        <v>2</v>
      </c>
      <c r="E255" s="133"/>
      <c r="F255" s="133">
        <v>2</v>
      </c>
      <c r="G255" s="133"/>
    </row>
    <row r="256" spans="1:7" ht="14.25" customHeight="1" x14ac:dyDescent="0.35">
      <c r="A256" s="130" t="s">
        <v>322</v>
      </c>
      <c r="B256" s="131" t="s">
        <v>59</v>
      </c>
      <c r="C256" s="131">
        <v>73098</v>
      </c>
      <c r="D256" s="131"/>
      <c r="E256" s="131"/>
      <c r="F256" s="131"/>
      <c r="G256" s="131"/>
    </row>
    <row r="257" spans="1:7" ht="14.25" customHeight="1" x14ac:dyDescent="0.35">
      <c r="A257" s="132" t="s">
        <v>162</v>
      </c>
      <c r="B257" s="133" t="s">
        <v>52</v>
      </c>
      <c r="C257" s="133">
        <v>23102</v>
      </c>
      <c r="D257" s="133"/>
      <c r="E257" s="133"/>
      <c r="F257" s="133"/>
      <c r="G257" s="133"/>
    </row>
    <row r="258" spans="1:7" ht="14.25" customHeight="1" x14ac:dyDescent="0.35">
      <c r="A258" s="130" t="s">
        <v>222</v>
      </c>
      <c r="B258" s="131" t="s">
        <v>55</v>
      </c>
      <c r="C258" s="131">
        <v>33029</v>
      </c>
      <c r="D258" s="131"/>
      <c r="E258" s="131"/>
      <c r="F258" s="131"/>
      <c r="G258" s="131"/>
    </row>
    <row r="259" spans="1:7" ht="14.25" customHeight="1" x14ac:dyDescent="0.35">
      <c r="A259" s="132" t="s">
        <v>101</v>
      </c>
      <c r="B259" s="133" t="s">
        <v>48</v>
      </c>
      <c r="C259" s="133">
        <v>13049</v>
      </c>
      <c r="D259" s="133"/>
      <c r="E259" s="133"/>
      <c r="F259" s="133"/>
      <c r="G259" s="133"/>
    </row>
    <row r="260" spans="1:7" ht="14.25" customHeight="1" x14ac:dyDescent="0.35">
      <c r="A260" s="130" t="s">
        <v>89</v>
      </c>
      <c r="B260" s="131" t="s">
        <v>50</v>
      </c>
      <c r="C260" s="131">
        <v>42025</v>
      </c>
      <c r="D260" s="131">
        <v>3</v>
      </c>
      <c r="E260" s="131"/>
      <c r="F260" s="131">
        <v>4</v>
      </c>
      <c r="G260" s="131"/>
    </row>
    <row r="261" spans="1:7" ht="14.25" customHeight="1" x14ac:dyDescent="0.35">
      <c r="A261" s="132" t="s">
        <v>143</v>
      </c>
      <c r="B261" s="133" t="s">
        <v>55</v>
      </c>
      <c r="C261" s="133">
        <v>34041</v>
      </c>
      <c r="D261" s="133"/>
      <c r="E261" s="133"/>
      <c r="F261" s="133"/>
      <c r="G261" s="133"/>
    </row>
    <row r="262" spans="1:7" ht="14.25" customHeight="1" x14ac:dyDescent="0.35">
      <c r="A262" s="130" t="s">
        <v>213</v>
      </c>
      <c r="B262" s="131" t="s">
        <v>52</v>
      </c>
      <c r="C262" s="131">
        <v>23103</v>
      </c>
      <c r="D262" s="131"/>
      <c r="E262" s="131"/>
      <c r="F262" s="131"/>
      <c r="G262" s="131"/>
    </row>
    <row r="263" spans="1:7" ht="14.25" customHeight="1" x14ac:dyDescent="0.35">
      <c r="A263" s="132" t="s">
        <v>205</v>
      </c>
      <c r="B263" s="133" t="s">
        <v>50</v>
      </c>
      <c r="C263" s="133">
        <v>42026</v>
      </c>
      <c r="D263" s="133"/>
      <c r="E263" s="133"/>
      <c r="F263" s="133"/>
      <c r="G263" s="133"/>
    </row>
    <row r="264" spans="1:7" ht="14.25" customHeight="1" x14ac:dyDescent="0.35">
      <c r="A264" s="130" t="s">
        <v>201</v>
      </c>
      <c r="B264" s="131" t="s">
        <v>55</v>
      </c>
      <c r="C264" s="131">
        <v>37017</v>
      </c>
      <c r="D264" s="131"/>
      <c r="E264" s="131"/>
      <c r="F264" s="131"/>
      <c r="G264" s="131"/>
    </row>
    <row r="265" spans="1:7" ht="14.25" customHeight="1" x14ac:dyDescent="0.35">
      <c r="A265" s="132" t="s">
        <v>151</v>
      </c>
      <c r="B265" s="133" t="s">
        <v>48</v>
      </c>
      <c r="C265" s="133">
        <v>11050</v>
      </c>
      <c r="D265" s="133">
        <v>1</v>
      </c>
      <c r="E265" s="133">
        <v>1</v>
      </c>
      <c r="F265" s="133">
        <v>1</v>
      </c>
      <c r="G265" s="133">
        <v>1</v>
      </c>
    </row>
    <row r="266" spans="1:7" ht="14.25" customHeight="1" x14ac:dyDescent="0.35">
      <c r="A266" s="130" t="s">
        <v>142</v>
      </c>
      <c r="B266" s="131" t="s">
        <v>48</v>
      </c>
      <c r="C266" s="131">
        <v>12040</v>
      </c>
      <c r="D266" s="131"/>
      <c r="E266" s="131"/>
      <c r="F266" s="131"/>
      <c r="G266" s="131"/>
    </row>
    <row r="267" spans="1:7" ht="14.25" customHeight="1" x14ac:dyDescent="0.35">
      <c r="A267" s="132" t="s">
        <v>115</v>
      </c>
      <c r="B267" s="133" t="s">
        <v>55</v>
      </c>
      <c r="C267" s="133">
        <v>37018</v>
      </c>
      <c r="D267" s="133"/>
      <c r="E267" s="133"/>
      <c r="F267" s="133"/>
      <c r="G267" s="133"/>
    </row>
    <row r="268" spans="1:7" ht="14.25" customHeight="1" x14ac:dyDescent="0.35">
      <c r="A268" s="130" t="s">
        <v>210</v>
      </c>
      <c r="B268" s="131" t="s">
        <v>48</v>
      </c>
      <c r="C268" s="131">
        <v>11052</v>
      </c>
      <c r="D268" s="131"/>
      <c r="E268" s="131"/>
      <c r="F268" s="131"/>
      <c r="G268" s="131"/>
    </row>
    <row r="269" spans="1:7" ht="14.25" customHeight="1" x14ac:dyDescent="0.35">
      <c r="A269" s="132" t="s">
        <v>246</v>
      </c>
      <c r="B269" s="133" t="s">
        <v>50</v>
      </c>
      <c r="C269" s="133">
        <v>45061</v>
      </c>
      <c r="D269" s="133"/>
      <c r="E269" s="133"/>
      <c r="F269" s="133"/>
      <c r="G269" s="133"/>
    </row>
    <row r="270" spans="1:7" ht="14.25" customHeight="1" x14ac:dyDescent="0.35">
      <c r="A270" s="130" t="s">
        <v>290</v>
      </c>
      <c r="B270" s="131" t="s">
        <v>48</v>
      </c>
      <c r="C270" s="131">
        <v>11053</v>
      </c>
      <c r="D270" s="131"/>
      <c r="E270" s="131"/>
      <c r="F270" s="131"/>
      <c r="G270" s="131"/>
    </row>
    <row r="271" spans="1:7" ht="14.25" customHeight="1" x14ac:dyDescent="0.35">
      <c r="A271" s="132" t="s">
        <v>305</v>
      </c>
      <c r="B271" s="133" t="s">
        <v>48</v>
      </c>
      <c r="C271" s="133">
        <v>11054</v>
      </c>
      <c r="D271" s="133"/>
      <c r="E271" s="133"/>
      <c r="F271" s="133"/>
      <c r="G271" s="133"/>
    </row>
    <row r="272" spans="1:7" ht="14.25" customHeight="1" x14ac:dyDescent="0.35">
      <c r="A272" s="130" t="s">
        <v>105</v>
      </c>
      <c r="B272" s="131" t="s">
        <v>52</v>
      </c>
      <c r="C272" s="131">
        <v>23094</v>
      </c>
      <c r="D272" s="131"/>
      <c r="E272" s="131"/>
      <c r="F272" s="131"/>
      <c r="G272" s="131"/>
    </row>
    <row r="273" spans="1:7" ht="14.25" customHeight="1" x14ac:dyDescent="0.35">
      <c r="A273" s="132" t="s">
        <v>164</v>
      </c>
      <c r="B273" s="133" t="s">
        <v>55</v>
      </c>
      <c r="C273" s="133">
        <v>31040</v>
      </c>
      <c r="D273" s="133"/>
      <c r="E273" s="133"/>
      <c r="F273" s="133"/>
      <c r="G273" s="133"/>
    </row>
    <row r="274" spans="1:7" ht="14.25" customHeight="1" x14ac:dyDescent="0.35">
      <c r="A274" s="130" t="s">
        <v>228</v>
      </c>
      <c r="B274" s="131" t="s">
        <v>50</v>
      </c>
      <c r="C274" s="131">
        <v>42028</v>
      </c>
      <c r="D274" s="131"/>
      <c r="E274" s="131"/>
      <c r="F274" s="131"/>
      <c r="G274" s="131"/>
    </row>
    <row r="275" spans="1:7" ht="14.25" customHeight="1" x14ac:dyDescent="0.35">
      <c r="A275" s="132" t="s">
        <v>269</v>
      </c>
      <c r="B275" s="133" t="s">
        <v>50</v>
      </c>
      <c r="C275" s="133">
        <v>43018</v>
      </c>
      <c r="D275" s="133"/>
      <c r="E275" s="133"/>
      <c r="F275" s="133"/>
      <c r="G275" s="133"/>
    </row>
    <row r="276" spans="1:7" ht="14.25" customHeight="1" x14ac:dyDescent="0.35">
      <c r="A276" s="130" t="s">
        <v>119</v>
      </c>
      <c r="B276" s="131" t="s">
        <v>52</v>
      </c>
      <c r="C276" s="131">
        <v>23096</v>
      </c>
      <c r="D276" s="131"/>
      <c r="E276" s="131"/>
      <c r="F276" s="131"/>
      <c r="G276" s="131"/>
    </row>
    <row r="277" spans="1:7" ht="14.25" customHeight="1" x14ac:dyDescent="0.35">
      <c r="A277" s="132" t="s">
        <v>291</v>
      </c>
      <c r="B277" s="133" t="s">
        <v>48</v>
      </c>
      <c r="C277" s="133">
        <v>11055</v>
      </c>
      <c r="D277" s="133"/>
      <c r="E277" s="133"/>
      <c r="F277" s="133"/>
      <c r="G277" s="133"/>
    </row>
    <row r="278" spans="1:7" ht="14.25" customHeight="1" x14ac:dyDescent="0.35">
      <c r="A278" s="130" t="s">
        <v>289</v>
      </c>
      <c r="B278" s="131" t="s">
        <v>59</v>
      </c>
      <c r="C278" s="131">
        <v>71066</v>
      </c>
      <c r="D278" s="131"/>
      <c r="E278" s="131"/>
      <c r="F278" s="131"/>
      <c r="G278" s="131"/>
    </row>
    <row r="279" spans="1:7" ht="14.25" customHeight="1" x14ac:dyDescent="0.35">
      <c r="A279" s="132" t="s">
        <v>137</v>
      </c>
      <c r="B279" s="133" t="s">
        <v>55</v>
      </c>
      <c r="C279" s="133">
        <v>33037</v>
      </c>
      <c r="D279" s="133"/>
      <c r="E279" s="133"/>
      <c r="F279" s="133"/>
      <c r="G279" s="133"/>
    </row>
    <row r="280" spans="1:7" ht="14.25" customHeight="1" x14ac:dyDescent="0.35">
      <c r="A280" s="130" t="s">
        <v>120</v>
      </c>
      <c r="B280" s="131" t="s">
        <v>50</v>
      </c>
      <c r="C280" s="131">
        <v>41081</v>
      </c>
      <c r="D280" s="131">
        <v>3</v>
      </c>
      <c r="E280" s="131"/>
      <c r="F280" s="131">
        <v>2</v>
      </c>
      <c r="G280" s="131"/>
    </row>
    <row r="281" spans="1:7" ht="14.25" customHeight="1" x14ac:dyDescent="0.35">
      <c r="A281" s="132" t="s">
        <v>255</v>
      </c>
      <c r="B281" s="133" t="s">
        <v>52</v>
      </c>
      <c r="C281" s="133">
        <v>24130</v>
      </c>
      <c r="D281" s="133"/>
      <c r="E281" s="133"/>
      <c r="F281" s="133"/>
      <c r="G281" s="133"/>
    </row>
    <row r="282" spans="1:7" ht="14.25" customHeight="1" x14ac:dyDescent="0.35">
      <c r="A282" s="130" t="s">
        <v>316</v>
      </c>
      <c r="B282" s="131" t="s">
        <v>55</v>
      </c>
      <c r="C282" s="131">
        <v>31042</v>
      </c>
      <c r="D282" s="131"/>
      <c r="E282" s="131"/>
      <c r="F282" s="131"/>
      <c r="G282" s="131"/>
    </row>
    <row r="283" spans="1:7" ht="14.25" customHeight="1" x14ac:dyDescent="0.35">
      <c r="A283" s="132" t="s">
        <v>111</v>
      </c>
      <c r="B283" s="133" t="s">
        <v>50</v>
      </c>
      <c r="C283" s="133">
        <v>44081</v>
      </c>
      <c r="D283" s="133"/>
      <c r="E283" s="133"/>
      <c r="F283" s="133"/>
      <c r="G283" s="133"/>
    </row>
    <row r="284" spans="1:7" ht="14.25" customHeight="1" x14ac:dyDescent="0.35">
      <c r="A284" s="130" t="s">
        <v>321</v>
      </c>
      <c r="B284" s="131" t="s">
        <v>59</v>
      </c>
      <c r="C284" s="131">
        <v>71067</v>
      </c>
      <c r="D284" s="131"/>
      <c r="E284" s="131"/>
      <c r="F284" s="131"/>
      <c r="G284" s="131"/>
    </row>
    <row r="285" spans="1:7" ht="14.25" customHeight="1" x14ac:dyDescent="0.35">
      <c r="A285" s="132" t="s">
        <v>149</v>
      </c>
      <c r="B285" s="133" t="s">
        <v>50</v>
      </c>
      <c r="C285" s="133">
        <v>45065</v>
      </c>
      <c r="D285" s="133">
        <v>1</v>
      </c>
      <c r="E285" s="133"/>
      <c r="F285" s="133">
        <v>1</v>
      </c>
      <c r="G285" s="133"/>
    </row>
    <row r="286" spans="1:7" ht="14.25" customHeight="1" x14ac:dyDescent="0.35">
      <c r="A286" s="130" t="s">
        <v>186</v>
      </c>
      <c r="B286" s="131" t="s">
        <v>55</v>
      </c>
      <c r="C286" s="131">
        <v>34042</v>
      </c>
      <c r="D286" s="131"/>
      <c r="E286" s="131"/>
      <c r="F286" s="131"/>
      <c r="G286" s="131"/>
    </row>
    <row r="287" spans="1:7" ht="14.25" customHeight="1" x14ac:dyDescent="0.35">
      <c r="A287" s="132"/>
      <c r="B287" s="133"/>
      <c r="C287" s="133"/>
      <c r="D287" s="133">
        <f t="shared" ref="D287:G287" si="0">SUM(D2:D286)</f>
        <v>538</v>
      </c>
      <c r="E287" s="133">
        <f t="shared" si="0"/>
        <v>59</v>
      </c>
      <c r="F287" s="133">
        <f t="shared" si="0"/>
        <v>569</v>
      </c>
      <c r="G287" s="133">
        <f t="shared" si="0"/>
        <v>63</v>
      </c>
    </row>
    <row r="288" spans="1:7"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G287" xr:uid="{00000000-0009-0000-0000-000009000000}"/>
  <dataValidations count="2">
    <dataValidation type="custom" allowBlank="1" showDropDown="1" sqref="C2:C286" xr:uid="{00000000-0002-0000-0900-000000000000}">
      <formula1>AND(ISNUMBER(C2),(NOT(OR(NOT(ISERROR(DATEVALUE(C2))), AND(ISNUMBER(C2), LEFT(CELL("format", C2))="D")))))</formula1>
    </dataValidation>
    <dataValidation type="list" allowBlank="1" showDropDown="1" showErrorMessage="1" sqref="B2:B286" xr:uid="{00000000-0002-0000-0900-000001000000}">
      <formula1>"Oost-Vlaanderen,Vlaams-Brabant,Antwerpen,Limburg,West-Vlaanderen"</formula1>
    </dataValidation>
  </dataValidation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20" customWidth="1"/>
    <col min="2" max="2" width="15.81640625" customWidth="1"/>
    <col min="3" max="3" width="13.08984375" customWidth="1"/>
    <col min="4" max="11" width="8.7265625" customWidth="1"/>
  </cols>
  <sheetData>
    <row r="1" spans="1:7" ht="45.75" customHeight="1" x14ac:dyDescent="0.35">
      <c r="A1" s="136" t="s">
        <v>0</v>
      </c>
      <c r="B1" s="137" t="s">
        <v>1</v>
      </c>
      <c r="C1" s="136" t="s">
        <v>2</v>
      </c>
      <c r="D1" s="136" t="s">
        <v>35</v>
      </c>
      <c r="E1" s="136" t="s">
        <v>36</v>
      </c>
      <c r="F1" s="136" t="s">
        <v>41</v>
      </c>
      <c r="G1" s="136" t="s">
        <v>42</v>
      </c>
    </row>
    <row r="2" spans="1:7" ht="14.25" customHeight="1" x14ac:dyDescent="0.35">
      <c r="A2" s="138" t="s">
        <v>65</v>
      </c>
      <c r="B2" s="139" t="s">
        <v>50</v>
      </c>
      <c r="C2" s="139">
        <v>41002</v>
      </c>
      <c r="D2" s="139"/>
      <c r="E2" s="139"/>
      <c r="F2" s="139"/>
      <c r="G2" s="139"/>
    </row>
    <row r="3" spans="1:7" ht="14.25" customHeight="1" x14ac:dyDescent="0.35">
      <c r="A3" s="138" t="s">
        <v>231</v>
      </c>
      <c r="B3" s="139" t="s">
        <v>50</v>
      </c>
      <c r="C3" s="139">
        <v>44084</v>
      </c>
      <c r="D3" s="139"/>
      <c r="E3" s="139"/>
      <c r="F3" s="139"/>
      <c r="G3" s="139"/>
    </row>
    <row r="4" spans="1:7" ht="14.25" customHeight="1" x14ac:dyDescent="0.35">
      <c r="A4" s="138" t="s">
        <v>84</v>
      </c>
      <c r="B4" s="139" t="s">
        <v>52</v>
      </c>
      <c r="C4" s="139">
        <v>24001</v>
      </c>
      <c r="D4" s="139"/>
      <c r="E4" s="139"/>
      <c r="F4" s="139"/>
      <c r="G4" s="139"/>
    </row>
    <row r="5" spans="1:7" ht="14.25" customHeight="1" x14ac:dyDescent="0.35">
      <c r="A5" s="138" t="s">
        <v>335</v>
      </c>
      <c r="B5" s="139" t="s">
        <v>48</v>
      </c>
      <c r="C5" s="139">
        <v>11001</v>
      </c>
      <c r="D5" s="139"/>
      <c r="E5" s="139"/>
      <c r="F5" s="139"/>
      <c r="G5" s="139"/>
    </row>
    <row r="6" spans="1:7" ht="14.25" customHeight="1" x14ac:dyDescent="0.35">
      <c r="A6" s="138" t="s">
        <v>306</v>
      </c>
      <c r="B6" s="139" t="s">
        <v>52</v>
      </c>
      <c r="C6" s="139">
        <v>23105</v>
      </c>
      <c r="D6" s="139"/>
      <c r="E6" s="139"/>
      <c r="F6" s="139"/>
      <c r="G6" s="139"/>
    </row>
    <row r="7" spans="1:7" ht="14.25" customHeight="1" x14ac:dyDescent="0.35">
      <c r="A7" s="138" t="s">
        <v>279</v>
      </c>
      <c r="B7" s="139" t="s">
        <v>59</v>
      </c>
      <c r="C7" s="139">
        <v>73001</v>
      </c>
      <c r="D7" s="139"/>
      <c r="E7" s="139"/>
      <c r="F7" s="139"/>
      <c r="G7" s="139"/>
    </row>
    <row r="8" spans="1:7" ht="14.25" customHeight="1" x14ac:dyDescent="0.35">
      <c r="A8" s="138" t="s">
        <v>242</v>
      </c>
      <c r="B8" s="139" t="s">
        <v>55</v>
      </c>
      <c r="C8" s="139">
        <v>38002</v>
      </c>
      <c r="D8" s="139"/>
      <c r="E8" s="139"/>
      <c r="F8" s="139"/>
      <c r="G8" s="139"/>
    </row>
    <row r="9" spans="1:7" ht="14.25" customHeight="1" x14ac:dyDescent="0.35">
      <c r="A9" s="138" t="s">
        <v>48</v>
      </c>
      <c r="B9" s="139" t="s">
        <v>48</v>
      </c>
      <c r="C9" s="139">
        <v>11002</v>
      </c>
      <c r="D9" s="139"/>
      <c r="E9" s="139"/>
      <c r="F9" s="139"/>
      <c r="G9" s="139"/>
    </row>
    <row r="10" spans="1:7" ht="14.25" customHeight="1" x14ac:dyDescent="0.35">
      <c r="A10" s="138" t="s">
        <v>276</v>
      </c>
      <c r="B10" s="139" t="s">
        <v>55</v>
      </c>
      <c r="C10" s="139">
        <v>34002</v>
      </c>
      <c r="D10" s="139"/>
      <c r="E10" s="139"/>
      <c r="F10" s="139"/>
      <c r="G10" s="139"/>
    </row>
    <row r="11" spans="1:7" ht="14.25" customHeight="1" x14ac:dyDescent="0.35">
      <c r="A11" s="138" t="s">
        <v>199</v>
      </c>
      <c r="B11" s="139" t="s">
        <v>55</v>
      </c>
      <c r="C11" s="139">
        <v>37020</v>
      </c>
      <c r="D11" s="139"/>
      <c r="E11" s="139"/>
      <c r="F11" s="139"/>
      <c r="G11" s="139"/>
    </row>
    <row r="12" spans="1:7" ht="14.25" customHeight="1" x14ac:dyDescent="0.35">
      <c r="A12" s="138" t="s">
        <v>304</v>
      </c>
      <c r="B12" s="139" t="s">
        <v>48</v>
      </c>
      <c r="C12" s="139">
        <v>13001</v>
      </c>
      <c r="D12" s="139"/>
      <c r="E12" s="139"/>
      <c r="F12" s="139"/>
      <c r="G12" s="139"/>
    </row>
    <row r="13" spans="1:7" ht="14.25" customHeight="1" x14ac:dyDescent="0.35">
      <c r="A13" s="138" t="s">
        <v>307</v>
      </c>
      <c r="B13" s="139" t="s">
        <v>59</v>
      </c>
      <c r="C13" s="139">
        <v>71002</v>
      </c>
      <c r="D13" s="139"/>
      <c r="E13" s="139"/>
      <c r="F13" s="139"/>
      <c r="G13" s="139"/>
    </row>
    <row r="14" spans="1:7" ht="14.25" customHeight="1" x14ac:dyDescent="0.35">
      <c r="A14" s="138" t="s">
        <v>131</v>
      </c>
      <c r="B14" s="139" t="s">
        <v>52</v>
      </c>
      <c r="C14" s="139">
        <v>23002</v>
      </c>
      <c r="D14" s="139"/>
      <c r="E14" s="139"/>
      <c r="F14" s="139"/>
      <c r="G14" s="139"/>
    </row>
    <row r="15" spans="1:7" ht="14.25" customHeight="1" x14ac:dyDescent="0.35">
      <c r="A15" s="138" t="s">
        <v>177</v>
      </c>
      <c r="B15" s="139" t="s">
        <v>50</v>
      </c>
      <c r="C15" s="139">
        <v>43002</v>
      </c>
      <c r="D15" s="139"/>
      <c r="E15" s="139"/>
      <c r="F15" s="139"/>
      <c r="G15" s="139"/>
    </row>
    <row r="16" spans="1:7" ht="14.25" customHeight="1" x14ac:dyDescent="0.35">
      <c r="A16" s="138" t="s">
        <v>260</v>
      </c>
      <c r="B16" s="139" t="s">
        <v>55</v>
      </c>
      <c r="C16" s="139">
        <v>34003</v>
      </c>
      <c r="D16" s="139"/>
      <c r="E16" s="139"/>
      <c r="F16" s="139"/>
      <c r="G16" s="139"/>
    </row>
    <row r="17" spans="1:7" ht="14.25" customHeight="1" x14ac:dyDescent="0.35">
      <c r="A17" s="138" t="s">
        <v>317</v>
      </c>
      <c r="B17" s="139" t="s">
        <v>48</v>
      </c>
      <c r="C17" s="139">
        <v>13002</v>
      </c>
      <c r="D17" s="139"/>
      <c r="E17" s="139"/>
      <c r="F17" s="139"/>
      <c r="G17" s="139"/>
    </row>
    <row r="18" spans="1:7" ht="14.25" customHeight="1" x14ac:dyDescent="0.35">
      <c r="A18" s="138" t="s">
        <v>125</v>
      </c>
      <c r="B18" s="139" t="s">
        <v>48</v>
      </c>
      <c r="C18" s="139">
        <v>13003</v>
      </c>
      <c r="D18" s="139"/>
      <c r="E18" s="139"/>
      <c r="F18" s="139"/>
      <c r="G18" s="139"/>
    </row>
    <row r="19" spans="1:7" ht="14.25" customHeight="1" x14ac:dyDescent="0.35">
      <c r="A19" s="138" t="s">
        <v>112</v>
      </c>
      <c r="B19" s="139" t="s">
        <v>55</v>
      </c>
      <c r="C19" s="139">
        <v>31003</v>
      </c>
      <c r="D19" s="139"/>
      <c r="E19" s="139"/>
      <c r="F19" s="139"/>
      <c r="G19" s="139"/>
    </row>
    <row r="20" spans="1:7" ht="14.25" customHeight="1" x14ac:dyDescent="0.35">
      <c r="A20" s="138" t="s">
        <v>221</v>
      </c>
      <c r="B20" s="139" t="s">
        <v>48</v>
      </c>
      <c r="C20" s="139">
        <v>13004</v>
      </c>
      <c r="D20" s="139"/>
      <c r="E20" s="139"/>
      <c r="F20" s="139"/>
      <c r="G20" s="139"/>
    </row>
    <row r="21" spans="1:7" ht="14.25" customHeight="1" x14ac:dyDescent="0.35">
      <c r="A21" s="138" t="s">
        <v>128</v>
      </c>
      <c r="B21" s="139" t="s">
        <v>52</v>
      </c>
      <c r="C21" s="139">
        <v>23003</v>
      </c>
      <c r="D21" s="139"/>
      <c r="E21" s="139"/>
      <c r="F21" s="139"/>
      <c r="G21" s="139"/>
    </row>
    <row r="22" spans="1:7" ht="14.25" customHeight="1" x14ac:dyDescent="0.35">
      <c r="A22" s="138" t="s">
        <v>327</v>
      </c>
      <c r="B22" s="139" t="s">
        <v>52</v>
      </c>
      <c r="C22" s="139">
        <v>24007</v>
      </c>
      <c r="D22" s="139"/>
      <c r="E22" s="139"/>
      <c r="F22" s="139"/>
      <c r="G22" s="139"/>
    </row>
    <row r="23" spans="1:7" ht="14.25" customHeight="1" x14ac:dyDescent="0.35">
      <c r="A23" s="138" t="s">
        <v>249</v>
      </c>
      <c r="B23" s="139" t="s">
        <v>52</v>
      </c>
      <c r="C23" s="139">
        <v>24008</v>
      </c>
      <c r="D23" s="139"/>
      <c r="E23" s="139"/>
      <c r="F23" s="139"/>
      <c r="G23" s="139"/>
    </row>
    <row r="24" spans="1:7" ht="14.25" customHeight="1" x14ac:dyDescent="0.35">
      <c r="A24" s="138" t="s">
        <v>235</v>
      </c>
      <c r="B24" s="139" t="s">
        <v>59</v>
      </c>
      <c r="C24" s="139">
        <v>71004</v>
      </c>
      <c r="D24" s="139"/>
      <c r="E24" s="139"/>
      <c r="F24" s="139"/>
      <c r="G24" s="139"/>
    </row>
    <row r="25" spans="1:7" ht="14.25" customHeight="1" x14ac:dyDescent="0.35">
      <c r="A25" s="138" t="s">
        <v>136</v>
      </c>
      <c r="B25" s="139" t="s">
        <v>48</v>
      </c>
      <c r="C25" s="139">
        <v>12002</v>
      </c>
      <c r="D25" s="139"/>
      <c r="E25" s="139"/>
      <c r="F25" s="139"/>
      <c r="G25" s="139"/>
    </row>
    <row r="26" spans="1:7" ht="14.25" customHeight="1" x14ac:dyDescent="0.35">
      <c r="A26" s="138" t="s">
        <v>216</v>
      </c>
      <c r="B26" s="139" t="s">
        <v>50</v>
      </c>
      <c r="C26" s="139">
        <v>42003</v>
      </c>
      <c r="D26" s="139"/>
      <c r="E26" s="139"/>
      <c r="F26" s="139"/>
      <c r="G26" s="139"/>
    </row>
    <row r="27" spans="1:7" ht="14.25" customHeight="1" x14ac:dyDescent="0.35">
      <c r="A27" s="138" t="s">
        <v>259</v>
      </c>
      <c r="B27" s="139" t="s">
        <v>52</v>
      </c>
      <c r="C27" s="139">
        <v>24009</v>
      </c>
      <c r="D27" s="139"/>
      <c r="E27" s="139"/>
      <c r="F27" s="139"/>
      <c r="G27" s="139"/>
    </row>
    <row r="28" spans="1:7" ht="14.25" customHeight="1" x14ac:dyDescent="0.35">
      <c r="A28" s="138" t="s">
        <v>315</v>
      </c>
      <c r="B28" s="139" t="s">
        <v>52</v>
      </c>
      <c r="C28" s="139">
        <v>23009</v>
      </c>
      <c r="D28" s="139"/>
      <c r="E28" s="139"/>
      <c r="F28" s="139"/>
      <c r="G28" s="139"/>
    </row>
    <row r="29" spans="1:7" ht="14.25" customHeight="1" x14ac:dyDescent="0.35">
      <c r="A29" s="138" t="s">
        <v>67</v>
      </c>
      <c r="B29" s="139" t="s">
        <v>50</v>
      </c>
      <c r="C29" s="139">
        <v>46003</v>
      </c>
      <c r="D29" s="139"/>
      <c r="E29" s="139"/>
      <c r="F29" s="139"/>
      <c r="G29" s="139"/>
    </row>
    <row r="30" spans="1:7" ht="14.25" customHeight="1" x14ac:dyDescent="0.35">
      <c r="A30" s="138" t="s">
        <v>109</v>
      </c>
      <c r="B30" s="139" t="s">
        <v>52</v>
      </c>
      <c r="C30" s="139">
        <v>24011</v>
      </c>
      <c r="D30" s="139"/>
      <c r="E30" s="139"/>
      <c r="F30" s="139"/>
      <c r="G30" s="139"/>
    </row>
    <row r="31" spans="1:7" ht="14.25" customHeight="1" x14ac:dyDescent="0.35">
      <c r="A31" s="138" t="s">
        <v>237</v>
      </c>
      <c r="B31" s="139" t="s">
        <v>59</v>
      </c>
      <c r="C31" s="139">
        <v>73006</v>
      </c>
      <c r="D31" s="139"/>
      <c r="E31" s="139"/>
      <c r="F31" s="139"/>
      <c r="G31" s="139"/>
    </row>
    <row r="32" spans="1:7" ht="14.25" customHeight="1" x14ac:dyDescent="0.35">
      <c r="A32" s="138" t="s">
        <v>99</v>
      </c>
      <c r="B32" s="139" t="s">
        <v>55</v>
      </c>
      <c r="C32" s="139">
        <v>31004</v>
      </c>
      <c r="D32" s="139"/>
      <c r="E32" s="139"/>
      <c r="F32" s="139"/>
      <c r="G32" s="139"/>
    </row>
    <row r="33" spans="1:7" ht="14.25" customHeight="1" x14ac:dyDescent="0.35">
      <c r="A33" s="138" t="s">
        <v>329</v>
      </c>
      <c r="B33" s="139" t="s">
        <v>59</v>
      </c>
      <c r="C33" s="139">
        <v>72003</v>
      </c>
      <c r="D33" s="139"/>
      <c r="E33" s="139"/>
      <c r="F33" s="139"/>
      <c r="G33" s="139"/>
    </row>
    <row r="34" spans="1:7" ht="14.25" customHeight="1" x14ac:dyDescent="0.35">
      <c r="A34" s="138" t="s">
        <v>271</v>
      </c>
      <c r="B34" s="139" t="s">
        <v>48</v>
      </c>
      <c r="C34" s="139">
        <v>11004</v>
      </c>
      <c r="D34" s="139"/>
      <c r="E34" s="139"/>
      <c r="F34" s="139"/>
      <c r="G34" s="139"/>
    </row>
    <row r="35" spans="1:7" ht="14.25" customHeight="1" x14ac:dyDescent="0.35">
      <c r="A35" s="138" t="s">
        <v>97</v>
      </c>
      <c r="B35" s="139" t="s">
        <v>48</v>
      </c>
      <c r="C35" s="139">
        <v>12005</v>
      </c>
      <c r="D35" s="139"/>
      <c r="E35" s="139"/>
      <c r="F35" s="139"/>
      <c r="G35" s="139"/>
    </row>
    <row r="36" spans="1:7" ht="14.25" customHeight="1" x14ac:dyDescent="0.35">
      <c r="A36" s="138" t="s">
        <v>224</v>
      </c>
      <c r="B36" s="139" t="s">
        <v>48</v>
      </c>
      <c r="C36" s="139">
        <v>11005</v>
      </c>
      <c r="D36" s="139"/>
      <c r="E36" s="139"/>
      <c r="F36" s="139"/>
      <c r="G36" s="139"/>
    </row>
    <row r="37" spans="1:7" ht="14.25" customHeight="1" x14ac:dyDescent="0.35">
      <c r="A37" s="138" t="s">
        <v>157</v>
      </c>
      <c r="B37" s="139" t="s">
        <v>52</v>
      </c>
      <c r="C37" s="139">
        <v>24014</v>
      </c>
      <c r="D37" s="139"/>
      <c r="E37" s="139"/>
      <c r="F37" s="139"/>
      <c r="G37" s="139"/>
    </row>
    <row r="38" spans="1:7" ht="14.25" customHeight="1" x14ac:dyDescent="0.35">
      <c r="A38" s="138" t="s">
        <v>184</v>
      </c>
      <c r="B38" s="139" t="s">
        <v>48</v>
      </c>
      <c r="C38" s="139">
        <v>12007</v>
      </c>
      <c r="D38" s="139"/>
      <c r="E38" s="139"/>
      <c r="F38" s="139"/>
      <c r="G38" s="139"/>
    </row>
    <row r="39" spans="1:7" ht="14.25" customHeight="1" x14ac:dyDescent="0.35">
      <c r="A39" s="138" t="s">
        <v>170</v>
      </c>
      <c r="B39" s="139" t="s">
        <v>52</v>
      </c>
      <c r="C39" s="139">
        <v>24016</v>
      </c>
      <c r="D39" s="139"/>
      <c r="E39" s="139"/>
      <c r="F39" s="139"/>
      <c r="G39" s="139"/>
    </row>
    <row r="40" spans="1:7" ht="14.25" customHeight="1" x14ac:dyDescent="0.35">
      <c r="A40" s="138" t="s">
        <v>275</v>
      </c>
      <c r="B40" s="139" t="s">
        <v>50</v>
      </c>
      <c r="C40" s="139">
        <v>45059</v>
      </c>
      <c r="D40" s="139"/>
      <c r="E40" s="139"/>
      <c r="F40" s="139"/>
      <c r="G40" s="139"/>
    </row>
    <row r="41" spans="1:7" ht="14.25" customHeight="1" x14ac:dyDescent="0.35">
      <c r="A41" s="138" t="s">
        <v>106</v>
      </c>
      <c r="B41" s="139" t="s">
        <v>48</v>
      </c>
      <c r="C41" s="139">
        <v>11008</v>
      </c>
      <c r="D41" s="139"/>
      <c r="E41" s="139"/>
      <c r="F41" s="139"/>
      <c r="G41" s="139"/>
    </row>
    <row r="42" spans="1:7" ht="14.25" customHeight="1" x14ac:dyDescent="0.35">
      <c r="A42" s="138" t="s">
        <v>294</v>
      </c>
      <c r="B42" s="139" t="s">
        <v>48</v>
      </c>
      <c r="C42" s="139">
        <v>11009</v>
      </c>
      <c r="D42" s="139"/>
      <c r="E42" s="139"/>
      <c r="F42" s="139"/>
      <c r="G42" s="139"/>
    </row>
    <row r="43" spans="1:7" ht="14.25" customHeight="1" x14ac:dyDescent="0.35">
      <c r="A43" s="138" t="s">
        <v>219</v>
      </c>
      <c r="B43" s="139" t="s">
        <v>55</v>
      </c>
      <c r="C43" s="139">
        <v>35002</v>
      </c>
      <c r="D43" s="139"/>
      <c r="E43" s="139"/>
      <c r="F43" s="139"/>
      <c r="G43" s="139"/>
    </row>
    <row r="44" spans="1:7" ht="14.25" customHeight="1" x14ac:dyDescent="0.35">
      <c r="A44" s="138" t="s">
        <v>227</v>
      </c>
      <c r="B44" s="139" t="s">
        <v>59</v>
      </c>
      <c r="C44" s="139">
        <v>72004</v>
      </c>
      <c r="D44" s="139"/>
      <c r="E44" s="139"/>
      <c r="F44" s="139"/>
      <c r="G44" s="139"/>
    </row>
    <row r="45" spans="1:7" ht="14.25" customHeight="1" x14ac:dyDescent="0.35">
      <c r="A45" s="138" t="s">
        <v>54</v>
      </c>
      <c r="B45" s="139" t="s">
        <v>55</v>
      </c>
      <c r="C45" s="139">
        <v>31005</v>
      </c>
      <c r="D45" s="139"/>
      <c r="E45" s="139"/>
      <c r="F45" s="139"/>
      <c r="G45" s="139"/>
    </row>
    <row r="46" spans="1:7" ht="14.25" customHeight="1" x14ac:dyDescent="0.35">
      <c r="A46" s="138" t="s">
        <v>274</v>
      </c>
      <c r="B46" s="139" t="s">
        <v>50</v>
      </c>
      <c r="C46" s="139">
        <v>42004</v>
      </c>
      <c r="D46" s="139"/>
      <c r="E46" s="139"/>
      <c r="F46" s="139"/>
      <c r="G46" s="139"/>
    </row>
    <row r="47" spans="1:7" ht="14.25" customHeight="1" x14ac:dyDescent="0.35">
      <c r="A47" s="138" t="s">
        <v>96</v>
      </c>
      <c r="B47" s="139" t="s">
        <v>55</v>
      </c>
      <c r="C47" s="139">
        <v>31006</v>
      </c>
      <c r="D47" s="139"/>
      <c r="E47" s="139"/>
      <c r="F47" s="139"/>
      <c r="G47" s="139"/>
    </row>
    <row r="48" spans="1:7" ht="14.25" customHeight="1" x14ac:dyDescent="0.35">
      <c r="A48" s="138" t="s">
        <v>268</v>
      </c>
      <c r="B48" s="139" t="s">
        <v>55</v>
      </c>
      <c r="C48" s="139">
        <v>35029</v>
      </c>
      <c r="D48" s="139"/>
      <c r="E48" s="139"/>
      <c r="F48" s="139"/>
      <c r="G48" s="139"/>
    </row>
    <row r="49" spans="1:7" ht="14.25" customHeight="1" x14ac:dyDescent="0.35">
      <c r="A49" s="138" t="s">
        <v>135</v>
      </c>
      <c r="B49" s="139" t="s">
        <v>55</v>
      </c>
      <c r="C49" s="139">
        <v>38008</v>
      </c>
      <c r="D49" s="139"/>
      <c r="E49" s="139"/>
      <c r="F49" s="139"/>
      <c r="G49" s="139"/>
    </row>
    <row r="50" spans="1:7" ht="14.25" customHeight="1" x14ac:dyDescent="0.35">
      <c r="A50" s="138" t="s">
        <v>156</v>
      </c>
      <c r="B50" s="139" t="s">
        <v>55</v>
      </c>
      <c r="C50" s="139">
        <v>34009</v>
      </c>
      <c r="D50" s="139"/>
      <c r="E50" s="139"/>
      <c r="F50" s="139"/>
      <c r="G50" s="139"/>
    </row>
    <row r="51" spans="1:7" ht="14.25" customHeight="1" x14ac:dyDescent="0.35">
      <c r="A51" s="138" t="s">
        <v>62</v>
      </c>
      <c r="B51" s="139" t="s">
        <v>50</v>
      </c>
      <c r="C51" s="139">
        <v>44083</v>
      </c>
      <c r="D51" s="139"/>
      <c r="E51" s="139"/>
      <c r="F51" s="139"/>
      <c r="G51" s="139"/>
    </row>
    <row r="52" spans="1:7" ht="14.25" customHeight="1" x14ac:dyDescent="0.35">
      <c r="A52" s="138" t="s">
        <v>182</v>
      </c>
      <c r="B52" s="139" t="s">
        <v>50</v>
      </c>
      <c r="C52" s="139">
        <v>41011</v>
      </c>
      <c r="D52" s="139"/>
      <c r="E52" s="139"/>
      <c r="F52" s="139"/>
      <c r="G52" s="139"/>
    </row>
    <row r="53" spans="1:7" ht="14.25" customHeight="1" x14ac:dyDescent="0.35">
      <c r="A53" s="138" t="s">
        <v>80</v>
      </c>
      <c r="B53" s="139" t="s">
        <v>50</v>
      </c>
      <c r="C53" s="139">
        <v>42006</v>
      </c>
      <c r="D53" s="139"/>
      <c r="E53" s="139"/>
      <c r="F53" s="139"/>
      <c r="G53" s="139"/>
    </row>
    <row r="54" spans="1:7" ht="14.25" customHeight="1" x14ac:dyDescent="0.35">
      <c r="A54" s="138" t="s">
        <v>168</v>
      </c>
      <c r="B54" s="139" t="s">
        <v>55</v>
      </c>
      <c r="C54" s="139">
        <v>37002</v>
      </c>
      <c r="D54" s="139"/>
      <c r="E54" s="139"/>
      <c r="F54" s="139"/>
      <c r="G54" s="139"/>
    </row>
    <row r="55" spans="1:7" ht="14.25" customHeight="1" x14ac:dyDescent="0.35">
      <c r="A55" s="138" t="s">
        <v>301</v>
      </c>
      <c r="B55" s="139" t="s">
        <v>48</v>
      </c>
      <c r="C55" s="139">
        <v>13006</v>
      </c>
      <c r="D55" s="139"/>
      <c r="E55" s="139"/>
      <c r="F55" s="139"/>
      <c r="G55" s="139"/>
    </row>
    <row r="56" spans="1:7" ht="14.25" customHeight="1" x14ac:dyDescent="0.35">
      <c r="A56" s="138" t="s">
        <v>71</v>
      </c>
      <c r="B56" s="139" t="s">
        <v>50</v>
      </c>
      <c r="C56" s="139">
        <v>44013</v>
      </c>
      <c r="D56" s="139"/>
      <c r="E56" s="139"/>
      <c r="F56" s="139"/>
      <c r="G56" s="139"/>
    </row>
    <row r="57" spans="1:7" ht="14.25" customHeight="1" x14ac:dyDescent="0.35">
      <c r="A57" s="138" t="s">
        <v>309</v>
      </c>
      <c r="B57" s="139" t="s">
        <v>59</v>
      </c>
      <c r="C57" s="139">
        <v>71011</v>
      </c>
      <c r="D57" s="139"/>
      <c r="E57" s="139"/>
      <c r="F57" s="139"/>
      <c r="G57" s="139"/>
    </row>
    <row r="58" spans="1:7" ht="14.25" customHeight="1" x14ac:dyDescent="0.35">
      <c r="A58" s="138" t="s">
        <v>88</v>
      </c>
      <c r="B58" s="139" t="s">
        <v>52</v>
      </c>
      <c r="C58" s="139">
        <v>24020</v>
      </c>
      <c r="D58" s="139"/>
      <c r="E58" s="139"/>
      <c r="F58" s="139"/>
      <c r="G58" s="139"/>
    </row>
    <row r="59" spans="1:7" ht="14.25" customHeight="1" x14ac:dyDescent="0.35">
      <c r="A59" s="138" t="s">
        <v>280</v>
      </c>
      <c r="B59" s="139" t="s">
        <v>55</v>
      </c>
      <c r="C59" s="139">
        <v>32003</v>
      </c>
      <c r="D59" s="139"/>
      <c r="E59" s="139"/>
      <c r="F59" s="139"/>
      <c r="G59" s="139"/>
    </row>
    <row r="60" spans="1:7" ht="14.25" customHeight="1" x14ac:dyDescent="0.35">
      <c r="A60" s="138" t="s">
        <v>85</v>
      </c>
      <c r="B60" s="139" t="s">
        <v>52</v>
      </c>
      <c r="C60" s="139">
        <v>23016</v>
      </c>
      <c r="D60" s="139"/>
      <c r="E60" s="139"/>
      <c r="F60" s="139"/>
      <c r="G60" s="139"/>
    </row>
    <row r="61" spans="1:7" ht="14.25" customHeight="1" x14ac:dyDescent="0.35">
      <c r="A61" s="138" t="s">
        <v>333</v>
      </c>
      <c r="B61" s="139" t="s">
        <v>59</v>
      </c>
      <c r="C61" s="139">
        <v>72041</v>
      </c>
      <c r="D61" s="139"/>
      <c r="E61" s="139"/>
      <c r="F61" s="139"/>
      <c r="G61" s="139"/>
    </row>
    <row r="62" spans="1:7" ht="14.25" customHeight="1" x14ac:dyDescent="0.35">
      <c r="A62" s="138" t="s">
        <v>298</v>
      </c>
      <c r="B62" s="139" t="s">
        <v>52</v>
      </c>
      <c r="C62" s="139">
        <v>23098</v>
      </c>
      <c r="D62" s="139"/>
      <c r="E62" s="139"/>
      <c r="F62" s="139"/>
      <c r="G62" s="139"/>
    </row>
    <row r="63" spans="1:7" ht="14.25" customHeight="1" x14ac:dyDescent="0.35">
      <c r="A63" s="138" t="s">
        <v>140</v>
      </c>
      <c r="B63" s="139" t="s">
        <v>48</v>
      </c>
      <c r="C63" s="139">
        <v>12009</v>
      </c>
      <c r="D63" s="139"/>
      <c r="E63" s="139"/>
      <c r="F63" s="139"/>
      <c r="G63" s="139"/>
    </row>
    <row r="64" spans="1:7" ht="14.25" customHeight="1" x14ac:dyDescent="0.35">
      <c r="A64" s="138" t="s">
        <v>123</v>
      </c>
      <c r="B64" s="139" t="s">
        <v>48</v>
      </c>
      <c r="C64" s="139">
        <v>11013</v>
      </c>
      <c r="D64" s="139"/>
      <c r="E64" s="139"/>
      <c r="F64" s="139"/>
      <c r="G64" s="139"/>
    </row>
    <row r="65" spans="1:7" ht="14.25" customHeight="1" x14ac:dyDescent="0.35">
      <c r="A65" s="138" t="s">
        <v>118</v>
      </c>
      <c r="B65" s="139" t="s">
        <v>50</v>
      </c>
      <c r="C65" s="139">
        <v>43005</v>
      </c>
      <c r="D65" s="139"/>
      <c r="E65" s="139"/>
      <c r="F65" s="139"/>
      <c r="G65" s="139"/>
    </row>
    <row r="66" spans="1:7" ht="14.25" customHeight="1" x14ac:dyDescent="0.35">
      <c r="A66" s="138" t="s">
        <v>116</v>
      </c>
      <c r="B66" s="139" t="s">
        <v>50</v>
      </c>
      <c r="C66" s="139">
        <v>41082</v>
      </c>
      <c r="D66" s="139"/>
      <c r="E66" s="139"/>
      <c r="F66" s="139"/>
      <c r="G66" s="139"/>
    </row>
    <row r="67" spans="1:7" ht="14.25" customHeight="1" x14ac:dyDescent="0.35">
      <c r="A67" s="138" t="s">
        <v>180</v>
      </c>
      <c r="B67" s="139" t="s">
        <v>48</v>
      </c>
      <c r="C67" s="139">
        <v>11016</v>
      </c>
      <c r="D67" s="139"/>
      <c r="E67" s="139"/>
      <c r="F67" s="139"/>
      <c r="G67" s="139"/>
    </row>
    <row r="68" spans="1:7" ht="14.25" customHeight="1" x14ac:dyDescent="0.35">
      <c r="A68" s="138" t="s">
        <v>90</v>
      </c>
      <c r="B68" s="139" t="s">
        <v>50</v>
      </c>
      <c r="C68" s="139">
        <v>44019</v>
      </c>
      <c r="D68" s="139"/>
      <c r="E68" s="139"/>
      <c r="F68" s="139"/>
      <c r="G68" s="139"/>
    </row>
    <row r="69" spans="1:7" ht="14.25" customHeight="1" x14ac:dyDescent="0.35">
      <c r="A69" s="138" t="s">
        <v>209</v>
      </c>
      <c r="B69" s="139" t="s">
        <v>50</v>
      </c>
      <c r="C69" s="139">
        <v>44020</v>
      </c>
      <c r="D69" s="139"/>
      <c r="E69" s="139"/>
      <c r="F69" s="139"/>
      <c r="G69" s="139"/>
    </row>
    <row r="70" spans="1:7" ht="14.25" customHeight="1" x14ac:dyDescent="0.35">
      <c r="A70" s="138" t="s">
        <v>91</v>
      </c>
      <c r="B70" s="139" t="s">
        <v>48</v>
      </c>
      <c r="C70" s="139">
        <v>13008</v>
      </c>
      <c r="D70" s="139"/>
      <c r="E70" s="139"/>
      <c r="F70" s="139"/>
      <c r="G70" s="139"/>
    </row>
    <row r="71" spans="1:7" ht="14.25" customHeight="1" x14ac:dyDescent="0.35">
      <c r="A71" s="138" t="s">
        <v>245</v>
      </c>
      <c r="B71" s="139" t="s">
        <v>52</v>
      </c>
      <c r="C71" s="139">
        <v>24028</v>
      </c>
      <c r="D71" s="139"/>
      <c r="E71" s="139"/>
      <c r="F71" s="139"/>
      <c r="G71" s="139"/>
    </row>
    <row r="72" spans="1:7" ht="14.25" customHeight="1" x14ac:dyDescent="0.35">
      <c r="A72" s="138" t="s">
        <v>95</v>
      </c>
      <c r="B72" s="139" t="s">
        <v>59</v>
      </c>
      <c r="C72" s="139">
        <v>71016</v>
      </c>
      <c r="D72" s="139"/>
      <c r="E72" s="139"/>
      <c r="F72" s="139"/>
      <c r="G72" s="139"/>
    </row>
    <row r="73" spans="1:7" ht="14.25" customHeight="1" x14ac:dyDescent="0.35">
      <c r="A73" s="138" t="s">
        <v>49</v>
      </c>
      <c r="B73" s="139" t="s">
        <v>50</v>
      </c>
      <c r="C73" s="139">
        <v>44021</v>
      </c>
      <c r="D73" s="139"/>
      <c r="E73" s="139"/>
      <c r="F73" s="139"/>
      <c r="G73" s="139"/>
    </row>
    <row r="74" spans="1:7" ht="14.25" customHeight="1" x14ac:dyDescent="0.35">
      <c r="A74" s="138" t="s">
        <v>144</v>
      </c>
      <c r="B74" s="139" t="s">
        <v>50</v>
      </c>
      <c r="C74" s="139">
        <v>41018</v>
      </c>
      <c r="D74" s="139"/>
      <c r="E74" s="139"/>
      <c r="F74" s="139"/>
      <c r="G74" s="139"/>
    </row>
    <row r="75" spans="1:7" ht="14.25" customHeight="1" x14ac:dyDescent="0.35">
      <c r="A75" s="138" t="s">
        <v>323</v>
      </c>
      <c r="B75" s="139" t="s">
        <v>59</v>
      </c>
      <c r="C75" s="139">
        <v>71017</v>
      </c>
      <c r="D75" s="139"/>
      <c r="E75" s="139"/>
      <c r="F75" s="139"/>
      <c r="G75" s="139"/>
    </row>
    <row r="76" spans="1:7" ht="14.25" customHeight="1" x14ac:dyDescent="0.35">
      <c r="A76" s="138" t="s">
        <v>206</v>
      </c>
      <c r="B76" s="139" t="s">
        <v>55</v>
      </c>
      <c r="C76" s="139">
        <v>35005</v>
      </c>
      <c r="D76" s="139"/>
      <c r="E76" s="139"/>
      <c r="F76" s="139"/>
      <c r="G76" s="139"/>
    </row>
    <row r="77" spans="1:7" ht="14.25" customHeight="1" x14ac:dyDescent="0.35">
      <c r="A77" s="138" t="s">
        <v>243</v>
      </c>
      <c r="B77" s="139" t="s">
        <v>52</v>
      </c>
      <c r="C77" s="139">
        <v>24137</v>
      </c>
      <c r="D77" s="139"/>
      <c r="E77" s="139"/>
      <c r="F77" s="139"/>
      <c r="G77" s="139"/>
    </row>
    <row r="78" spans="1:7" ht="14.25" customHeight="1" x14ac:dyDescent="0.35">
      <c r="A78" s="138" t="s">
        <v>107</v>
      </c>
      <c r="B78" s="139" t="s">
        <v>52</v>
      </c>
      <c r="C78" s="139">
        <v>23025</v>
      </c>
      <c r="D78" s="139"/>
      <c r="E78" s="139"/>
      <c r="F78" s="139"/>
      <c r="G78" s="139"/>
    </row>
    <row r="79" spans="1:7" ht="14.25" customHeight="1" x14ac:dyDescent="0.35">
      <c r="A79" s="138" t="s">
        <v>303</v>
      </c>
      <c r="B79" s="139" t="s">
        <v>48</v>
      </c>
      <c r="C79" s="139">
        <v>13010</v>
      </c>
      <c r="D79" s="139"/>
      <c r="E79" s="139"/>
      <c r="F79" s="139"/>
      <c r="G79" s="139"/>
    </row>
    <row r="80" spans="1:7" ht="14.25" customHeight="1" x14ac:dyDescent="0.35">
      <c r="A80" s="138" t="s">
        <v>92</v>
      </c>
      <c r="B80" s="139" t="s">
        <v>52</v>
      </c>
      <c r="C80" s="139">
        <v>24033</v>
      </c>
      <c r="D80" s="139"/>
      <c r="E80" s="139"/>
      <c r="F80" s="139"/>
      <c r="G80" s="139"/>
    </row>
    <row r="81" spans="1:7" ht="14.25" customHeight="1" x14ac:dyDescent="0.35">
      <c r="A81" s="138" t="s">
        <v>223</v>
      </c>
      <c r="B81" s="139" t="s">
        <v>50</v>
      </c>
      <c r="C81" s="139">
        <v>41024</v>
      </c>
      <c r="D81" s="139"/>
      <c r="E81" s="139"/>
      <c r="F81" s="139"/>
      <c r="G81" s="139"/>
    </row>
    <row r="82" spans="1:7" ht="14.25" customHeight="1" x14ac:dyDescent="0.35">
      <c r="A82" s="138" t="s">
        <v>324</v>
      </c>
      <c r="B82" s="139" t="s">
        <v>59</v>
      </c>
      <c r="C82" s="139">
        <v>71020</v>
      </c>
      <c r="D82" s="139"/>
      <c r="E82" s="139"/>
      <c r="F82" s="139"/>
      <c r="G82" s="139"/>
    </row>
    <row r="83" spans="1:7" ht="14.25" customHeight="1" x14ac:dyDescent="0.35">
      <c r="A83" s="138" t="s">
        <v>70</v>
      </c>
      <c r="B83" s="139" t="s">
        <v>52</v>
      </c>
      <c r="C83" s="139">
        <v>23027</v>
      </c>
      <c r="D83" s="139"/>
      <c r="E83" s="139"/>
      <c r="F83" s="139"/>
      <c r="G83" s="139"/>
    </row>
    <row r="84" spans="1:7" ht="14.25" customHeight="1" x14ac:dyDescent="0.35">
      <c r="A84" s="138" t="s">
        <v>127</v>
      </c>
      <c r="B84" s="139" t="s">
        <v>50</v>
      </c>
      <c r="C84" s="139">
        <v>42008</v>
      </c>
      <c r="D84" s="139"/>
      <c r="E84" s="139"/>
      <c r="F84" s="139"/>
      <c r="G84" s="139"/>
    </row>
    <row r="85" spans="1:7" ht="14.25" customHeight="1" x14ac:dyDescent="0.35">
      <c r="A85" s="138" t="s">
        <v>331</v>
      </c>
      <c r="B85" s="139" t="s">
        <v>59</v>
      </c>
      <c r="C85" s="139">
        <v>72037</v>
      </c>
      <c r="D85" s="139"/>
      <c r="E85" s="139"/>
      <c r="F85" s="139"/>
      <c r="G85" s="139"/>
    </row>
    <row r="86" spans="1:7" ht="14.25" customHeight="1" x14ac:dyDescent="0.35">
      <c r="A86" s="138" t="s">
        <v>73</v>
      </c>
      <c r="B86" s="139" t="s">
        <v>55</v>
      </c>
      <c r="C86" s="139">
        <v>34013</v>
      </c>
      <c r="D86" s="139"/>
      <c r="E86" s="139"/>
      <c r="F86" s="139"/>
      <c r="G86" s="139"/>
    </row>
    <row r="87" spans="1:7" ht="14.25" customHeight="1" x14ac:dyDescent="0.35">
      <c r="A87" s="138" t="s">
        <v>58</v>
      </c>
      <c r="B87" s="139" t="s">
        <v>59</v>
      </c>
      <c r="C87" s="139">
        <v>71022</v>
      </c>
      <c r="D87" s="139"/>
      <c r="E87" s="139"/>
      <c r="F87" s="139"/>
      <c r="G87" s="139"/>
    </row>
    <row r="88" spans="1:7" ht="14.25" customHeight="1" x14ac:dyDescent="0.35">
      <c r="A88" s="138" t="s">
        <v>265</v>
      </c>
      <c r="B88" s="139" t="s">
        <v>59</v>
      </c>
      <c r="C88" s="139">
        <v>72038</v>
      </c>
      <c r="D88" s="139"/>
      <c r="E88" s="139"/>
      <c r="F88" s="139"/>
      <c r="G88" s="139"/>
    </row>
    <row r="89" spans="1:7" ht="14.25" customHeight="1" x14ac:dyDescent="0.35">
      <c r="A89" s="138" t="s">
        <v>300</v>
      </c>
      <c r="B89" s="139" t="s">
        <v>59</v>
      </c>
      <c r="C89" s="139">
        <v>73022</v>
      </c>
      <c r="D89" s="139"/>
      <c r="E89" s="139"/>
      <c r="F89" s="139"/>
      <c r="G89" s="139"/>
    </row>
    <row r="90" spans="1:7" ht="14.25" customHeight="1" x14ac:dyDescent="0.35">
      <c r="A90" s="138" t="s">
        <v>108</v>
      </c>
      <c r="B90" s="139" t="s">
        <v>48</v>
      </c>
      <c r="C90" s="139">
        <v>12014</v>
      </c>
      <c r="D90" s="139"/>
      <c r="E90" s="139"/>
      <c r="F90" s="139"/>
      <c r="G90" s="139"/>
    </row>
    <row r="91" spans="1:7" ht="14.25" customHeight="1" x14ac:dyDescent="0.35">
      <c r="A91" s="138" t="s">
        <v>266</v>
      </c>
      <c r="B91" s="139" t="s">
        <v>48</v>
      </c>
      <c r="C91" s="139">
        <v>11018</v>
      </c>
      <c r="D91" s="139"/>
      <c r="E91" s="139"/>
      <c r="F91" s="139"/>
      <c r="G91" s="139"/>
    </row>
    <row r="92" spans="1:7" ht="14.25" customHeight="1" x14ac:dyDescent="0.35">
      <c r="A92" s="138" t="s">
        <v>69</v>
      </c>
      <c r="B92" s="139" t="s">
        <v>52</v>
      </c>
      <c r="C92" s="139">
        <v>24038</v>
      </c>
      <c r="D92" s="139"/>
      <c r="E92" s="139"/>
      <c r="F92" s="139"/>
      <c r="G92" s="139"/>
    </row>
    <row r="93" spans="1:7" ht="14.25" customHeight="1" x14ac:dyDescent="0.35">
      <c r="A93" s="138" t="s">
        <v>83</v>
      </c>
      <c r="B93" s="139" t="s">
        <v>48</v>
      </c>
      <c r="C93" s="139">
        <v>13011</v>
      </c>
      <c r="D93" s="139"/>
      <c r="E93" s="139"/>
      <c r="F93" s="139"/>
      <c r="G93" s="139"/>
    </row>
    <row r="94" spans="1:7" ht="14.25" customHeight="1" x14ac:dyDescent="0.35">
      <c r="A94" s="138" t="s">
        <v>326</v>
      </c>
      <c r="B94" s="139" t="s">
        <v>48</v>
      </c>
      <c r="C94" s="139">
        <v>13012</v>
      </c>
      <c r="D94" s="139"/>
      <c r="E94" s="139"/>
      <c r="F94" s="139"/>
      <c r="G94" s="139"/>
    </row>
    <row r="95" spans="1:7" ht="14.25" customHeight="1" x14ac:dyDescent="0.35">
      <c r="A95" s="138" t="s">
        <v>187</v>
      </c>
      <c r="B95" s="139" t="s">
        <v>59</v>
      </c>
      <c r="C95" s="139">
        <v>71024</v>
      </c>
      <c r="D95" s="139"/>
      <c r="E95" s="139"/>
      <c r="F95" s="139"/>
      <c r="G95" s="139"/>
    </row>
    <row r="96" spans="1:7" ht="14.25" customHeight="1" x14ac:dyDescent="0.35">
      <c r="A96" s="138" t="s">
        <v>272</v>
      </c>
      <c r="B96" s="139" t="s">
        <v>48</v>
      </c>
      <c r="C96" s="139">
        <v>13013</v>
      </c>
      <c r="D96" s="139"/>
      <c r="E96" s="139"/>
      <c r="F96" s="139"/>
      <c r="G96" s="139"/>
    </row>
    <row r="97" spans="1:7" ht="14.25" customHeight="1" x14ac:dyDescent="0.35">
      <c r="A97" s="138" t="s">
        <v>313</v>
      </c>
      <c r="B97" s="139" t="s">
        <v>59</v>
      </c>
      <c r="C97" s="139">
        <v>73028</v>
      </c>
      <c r="D97" s="139"/>
      <c r="E97" s="139"/>
      <c r="F97" s="139"/>
      <c r="G97" s="139"/>
    </row>
    <row r="98" spans="1:7" ht="14.25" customHeight="1" x14ac:dyDescent="0.35">
      <c r="A98" s="138" t="s">
        <v>113</v>
      </c>
      <c r="B98" s="139" t="s">
        <v>50</v>
      </c>
      <c r="C98" s="139">
        <v>41027</v>
      </c>
      <c r="D98" s="139"/>
      <c r="E98" s="139"/>
      <c r="F98" s="139"/>
      <c r="G98" s="139"/>
    </row>
    <row r="99" spans="1:7" ht="14.25" customHeight="1" x14ac:dyDescent="0.35">
      <c r="A99" s="138" t="s">
        <v>190</v>
      </c>
      <c r="B99" s="139" t="s">
        <v>59</v>
      </c>
      <c r="C99" s="139">
        <v>71070</v>
      </c>
      <c r="D99" s="139"/>
      <c r="E99" s="139"/>
      <c r="F99" s="139"/>
      <c r="G99" s="139"/>
    </row>
    <row r="100" spans="1:7" ht="14.25" customHeight="1" x14ac:dyDescent="0.35">
      <c r="A100" s="138" t="s">
        <v>167</v>
      </c>
      <c r="B100" s="139" t="s">
        <v>55</v>
      </c>
      <c r="C100" s="139">
        <v>33039</v>
      </c>
      <c r="D100" s="139"/>
      <c r="E100" s="139"/>
      <c r="F100" s="139"/>
      <c r="G100" s="139"/>
    </row>
    <row r="101" spans="1:7" ht="14.25" customHeight="1" x14ac:dyDescent="0.35">
      <c r="A101" s="138" t="s">
        <v>192</v>
      </c>
      <c r="B101" s="139" t="s">
        <v>52</v>
      </c>
      <c r="C101" s="139">
        <v>24041</v>
      </c>
      <c r="D101" s="139"/>
      <c r="E101" s="139"/>
      <c r="F101" s="139"/>
      <c r="G101" s="139"/>
    </row>
    <row r="102" spans="1:7" ht="14.25" customHeight="1" x14ac:dyDescent="0.35">
      <c r="A102" s="138" t="s">
        <v>153</v>
      </c>
      <c r="B102" s="139" t="s">
        <v>52</v>
      </c>
      <c r="C102" s="139">
        <v>23033</v>
      </c>
      <c r="D102" s="139"/>
      <c r="E102" s="139"/>
      <c r="F102" s="139"/>
      <c r="G102" s="139"/>
    </row>
    <row r="103" spans="1:7" ht="14.25" customHeight="1" x14ac:dyDescent="0.35">
      <c r="A103" s="138" t="s">
        <v>86</v>
      </c>
      <c r="B103" s="139" t="s">
        <v>52</v>
      </c>
      <c r="C103" s="139">
        <v>24043</v>
      </c>
      <c r="D103" s="139"/>
      <c r="E103" s="139"/>
      <c r="F103" s="139"/>
      <c r="G103" s="139"/>
    </row>
    <row r="104" spans="1:7" ht="14.25" customHeight="1" x14ac:dyDescent="0.35">
      <c r="A104" s="138" t="s">
        <v>150</v>
      </c>
      <c r="B104" s="139" t="s">
        <v>55</v>
      </c>
      <c r="C104" s="139">
        <v>36006</v>
      </c>
      <c r="D104" s="139"/>
      <c r="E104" s="139"/>
      <c r="F104" s="139"/>
      <c r="G104" s="139"/>
    </row>
    <row r="105" spans="1:7" ht="14.25" customHeight="1" x14ac:dyDescent="0.35">
      <c r="A105" s="138" t="s">
        <v>185</v>
      </c>
      <c r="B105" s="139" t="s">
        <v>48</v>
      </c>
      <c r="C105" s="139">
        <v>13014</v>
      </c>
      <c r="D105" s="139"/>
      <c r="E105" s="139"/>
      <c r="F105" s="139"/>
      <c r="G105" s="139"/>
    </row>
    <row r="106" spans="1:7" ht="14.25" customHeight="1" x14ac:dyDescent="0.35">
      <c r="A106" s="138" t="s">
        <v>297</v>
      </c>
      <c r="B106" s="139" t="s">
        <v>50</v>
      </c>
      <c r="C106" s="139">
        <v>45062</v>
      </c>
      <c r="D106" s="139"/>
      <c r="E106" s="139"/>
      <c r="F106" s="139"/>
      <c r="G106" s="139"/>
    </row>
    <row r="107" spans="1:7" ht="14.25" customHeight="1" x14ac:dyDescent="0.35">
      <c r="A107" s="138" t="s">
        <v>296</v>
      </c>
      <c r="B107" s="139" t="s">
        <v>59</v>
      </c>
      <c r="C107" s="139">
        <v>72039</v>
      </c>
      <c r="D107" s="139"/>
      <c r="E107" s="139"/>
      <c r="F107" s="139"/>
      <c r="G107" s="139"/>
    </row>
    <row r="108" spans="1:7" ht="14.25" customHeight="1" x14ac:dyDescent="0.35">
      <c r="A108" s="138" t="s">
        <v>261</v>
      </c>
      <c r="B108" s="139" t="s">
        <v>55</v>
      </c>
      <c r="C108" s="139">
        <v>32006</v>
      </c>
      <c r="D108" s="139"/>
      <c r="E108" s="139"/>
      <c r="F108" s="139"/>
      <c r="G108" s="139"/>
    </row>
    <row r="109" spans="1:7" ht="14.25" customHeight="1" x14ac:dyDescent="0.35">
      <c r="A109" s="138" t="s">
        <v>196</v>
      </c>
      <c r="B109" s="139" t="s">
        <v>48</v>
      </c>
      <c r="C109" s="139">
        <v>11021</v>
      </c>
      <c r="D109" s="139"/>
      <c r="E109" s="139"/>
      <c r="F109" s="139"/>
      <c r="G109" s="139"/>
    </row>
    <row r="110" spans="1:7" ht="14.25" customHeight="1" x14ac:dyDescent="0.35">
      <c r="A110" s="138" t="s">
        <v>134</v>
      </c>
      <c r="B110" s="139" t="s">
        <v>52</v>
      </c>
      <c r="C110" s="139">
        <v>24045</v>
      </c>
      <c r="D110" s="139"/>
      <c r="E110" s="139"/>
      <c r="F110" s="139"/>
      <c r="G110" s="139"/>
    </row>
    <row r="111" spans="1:7" ht="14.25" customHeight="1" x14ac:dyDescent="0.35">
      <c r="A111" s="138" t="s">
        <v>173</v>
      </c>
      <c r="B111" s="139" t="s">
        <v>48</v>
      </c>
      <c r="C111" s="139">
        <v>13016</v>
      </c>
      <c r="D111" s="139"/>
      <c r="E111" s="139"/>
      <c r="F111" s="139"/>
      <c r="G111" s="139"/>
    </row>
    <row r="112" spans="1:7" ht="14.25" customHeight="1" x14ac:dyDescent="0.35">
      <c r="A112" s="138" t="s">
        <v>212</v>
      </c>
      <c r="B112" s="139" t="s">
        <v>55</v>
      </c>
      <c r="C112" s="139">
        <v>35006</v>
      </c>
      <c r="D112" s="139"/>
      <c r="E112" s="139"/>
      <c r="F112" s="139"/>
      <c r="G112" s="139"/>
    </row>
    <row r="113" spans="1:7" ht="14.25" customHeight="1" x14ac:dyDescent="0.35">
      <c r="A113" s="138" t="s">
        <v>76</v>
      </c>
      <c r="B113" s="139" t="s">
        <v>55</v>
      </c>
      <c r="C113" s="139">
        <v>33011</v>
      </c>
      <c r="D113" s="139"/>
      <c r="E113" s="139"/>
      <c r="F113" s="139"/>
      <c r="G113" s="139"/>
    </row>
    <row r="114" spans="1:7" ht="14.25" customHeight="1" x14ac:dyDescent="0.35">
      <c r="A114" s="138" t="s">
        <v>263</v>
      </c>
      <c r="B114" s="139" t="s">
        <v>55</v>
      </c>
      <c r="C114" s="139">
        <v>36007</v>
      </c>
      <c r="D114" s="139"/>
      <c r="E114" s="139"/>
      <c r="F114" s="139"/>
      <c r="G114" s="139"/>
    </row>
    <row r="115" spans="1:7" ht="14.25" customHeight="1" x14ac:dyDescent="0.35">
      <c r="A115" s="138" t="s">
        <v>129</v>
      </c>
      <c r="B115" s="139" t="s">
        <v>55</v>
      </c>
      <c r="C115" s="139">
        <v>36008</v>
      </c>
      <c r="D115" s="139"/>
      <c r="E115" s="139"/>
      <c r="F115" s="139"/>
      <c r="G115" s="139"/>
    </row>
    <row r="116" spans="1:7" ht="14.25" customHeight="1" x14ac:dyDescent="0.35">
      <c r="A116" s="138" t="s">
        <v>273</v>
      </c>
      <c r="B116" s="139" t="s">
        <v>55</v>
      </c>
      <c r="C116" s="139">
        <v>31012</v>
      </c>
      <c r="D116" s="139"/>
      <c r="E116" s="139"/>
      <c r="F116" s="139"/>
      <c r="G116" s="139"/>
    </row>
    <row r="117" spans="1:7" ht="14.25" customHeight="1" x14ac:dyDescent="0.35">
      <c r="A117" s="138" t="s">
        <v>163</v>
      </c>
      <c r="B117" s="139" t="s">
        <v>48</v>
      </c>
      <c r="C117" s="139">
        <v>11022</v>
      </c>
      <c r="D117" s="139"/>
      <c r="E117" s="139"/>
      <c r="F117" s="139"/>
      <c r="G117" s="139"/>
    </row>
    <row r="118" spans="1:7" ht="14.25" customHeight="1" x14ac:dyDescent="0.35">
      <c r="A118" s="138" t="s">
        <v>207</v>
      </c>
      <c r="B118" s="139" t="s">
        <v>52</v>
      </c>
      <c r="C118" s="139">
        <v>23038</v>
      </c>
      <c r="D118" s="139"/>
      <c r="E118" s="139"/>
      <c r="F118" s="139"/>
      <c r="G118" s="139"/>
    </row>
    <row r="119" spans="1:7" ht="14.25" customHeight="1" x14ac:dyDescent="0.35">
      <c r="A119" s="138" t="s">
        <v>258</v>
      </c>
      <c r="B119" s="139" t="s">
        <v>52</v>
      </c>
      <c r="C119" s="139">
        <v>23039</v>
      </c>
      <c r="D119" s="139"/>
      <c r="E119" s="139"/>
      <c r="F119" s="139"/>
      <c r="G119" s="139"/>
    </row>
    <row r="120" spans="1:7" ht="14.25" customHeight="1" x14ac:dyDescent="0.35">
      <c r="A120" s="138" t="s">
        <v>312</v>
      </c>
      <c r="B120" s="139" t="s">
        <v>48</v>
      </c>
      <c r="C120" s="139">
        <v>11023</v>
      </c>
      <c r="D120" s="139"/>
      <c r="E120" s="139"/>
      <c r="F120" s="139"/>
      <c r="G120" s="139"/>
    </row>
    <row r="121" spans="1:7" ht="14.25" customHeight="1" x14ac:dyDescent="0.35">
      <c r="A121" s="138" t="s">
        <v>247</v>
      </c>
      <c r="B121" s="139" t="s">
        <v>50</v>
      </c>
      <c r="C121" s="139">
        <v>43007</v>
      </c>
      <c r="D121" s="139"/>
      <c r="E121" s="139"/>
      <c r="F121" s="139"/>
      <c r="G121" s="139"/>
    </row>
    <row r="122" spans="1:7" ht="14.25" customHeight="1" x14ac:dyDescent="0.35">
      <c r="A122" s="138" t="s">
        <v>181</v>
      </c>
      <c r="B122" s="139" t="s">
        <v>48</v>
      </c>
      <c r="C122" s="139">
        <v>13017</v>
      </c>
      <c r="D122" s="139"/>
      <c r="E122" s="139"/>
      <c r="F122" s="139"/>
      <c r="G122" s="139"/>
    </row>
    <row r="123" spans="1:7" ht="14.25" customHeight="1" x14ac:dyDescent="0.35">
      <c r="A123" s="138" t="s">
        <v>176</v>
      </c>
      <c r="B123" s="139" t="s">
        <v>52</v>
      </c>
      <c r="C123" s="139">
        <v>24048</v>
      </c>
      <c r="D123" s="139"/>
      <c r="E123" s="139"/>
      <c r="F123" s="139"/>
      <c r="G123" s="139"/>
    </row>
    <row r="124" spans="1:7" ht="14.25" customHeight="1" x14ac:dyDescent="0.35">
      <c r="A124" s="138" t="s">
        <v>325</v>
      </c>
      <c r="B124" s="139" t="s">
        <v>59</v>
      </c>
      <c r="C124" s="139">
        <v>72018</v>
      </c>
      <c r="D124" s="139"/>
      <c r="E124" s="139"/>
      <c r="F124" s="139"/>
      <c r="G124" s="139"/>
    </row>
    <row r="125" spans="1:7" ht="14.25" customHeight="1" x14ac:dyDescent="0.35">
      <c r="A125" s="138" t="s">
        <v>191</v>
      </c>
      <c r="B125" s="139" t="s">
        <v>50</v>
      </c>
      <c r="C125" s="139">
        <v>45060</v>
      </c>
      <c r="D125" s="139"/>
      <c r="E125" s="139"/>
      <c r="F125" s="139"/>
      <c r="G125" s="139"/>
    </row>
    <row r="126" spans="1:7" ht="14.25" customHeight="1" x14ac:dyDescent="0.35">
      <c r="A126" s="138" t="s">
        <v>103</v>
      </c>
      <c r="B126" s="139" t="s">
        <v>55</v>
      </c>
      <c r="C126" s="139">
        <v>31043</v>
      </c>
      <c r="D126" s="139"/>
      <c r="E126" s="139"/>
      <c r="F126" s="139"/>
      <c r="G126" s="139"/>
    </row>
    <row r="127" spans="1:7" ht="14.25" customHeight="1" x14ac:dyDescent="0.35">
      <c r="A127" s="138" t="s">
        <v>256</v>
      </c>
      <c r="B127" s="139" t="s">
        <v>55</v>
      </c>
      <c r="C127" s="139">
        <v>32010</v>
      </c>
      <c r="D127" s="139"/>
      <c r="E127" s="139"/>
      <c r="F127" s="139"/>
      <c r="G127" s="139"/>
    </row>
    <row r="128" spans="1:7" ht="14.25" customHeight="1" x14ac:dyDescent="0.35">
      <c r="A128" s="138" t="s">
        <v>100</v>
      </c>
      <c r="B128" s="139" t="s">
        <v>55</v>
      </c>
      <c r="C128" s="139">
        <v>38014</v>
      </c>
      <c r="D128" s="139"/>
      <c r="E128" s="139"/>
      <c r="F128" s="139"/>
      <c r="G128" s="139"/>
    </row>
    <row r="129" spans="1:7" ht="14.25" customHeight="1" x14ac:dyDescent="0.35">
      <c r="A129" s="138" t="s">
        <v>288</v>
      </c>
      <c r="B129" s="139" t="s">
        <v>48</v>
      </c>
      <c r="C129" s="139">
        <v>11024</v>
      </c>
      <c r="D129" s="139"/>
      <c r="E129" s="139"/>
      <c r="F129" s="139"/>
      <c r="G129" s="139"/>
    </row>
    <row r="130" spans="1:7" ht="14.25" customHeight="1" x14ac:dyDescent="0.35">
      <c r="A130" s="138" t="s">
        <v>138</v>
      </c>
      <c r="B130" s="139" t="s">
        <v>55</v>
      </c>
      <c r="C130" s="139">
        <v>32011</v>
      </c>
      <c r="D130" s="139"/>
      <c r="E130" s="139"/>
      <c r="F130" s="139"/>
      <c r="G130" s="139"/>
    </row>
    <row r="131" spans="1:7" ht="14.25" customHeight="1" x14ac:dyDescent="0.35">
      <c r="A131" s="138" t="s">
        <v>252</v>
      </c>
      <c r="B131" s="139" t="s">
        <v>52</v>
      </c>
      <c r="C131" s="139">
        <v>24054</v>
      </c>
      <c r="D131" s="139"/>
      <c r="E131" s="139"/>
      <c r="F131" s="139"/>
      <c r="G131" s="139"/>
    </row>
    <row r="132" spans="1:7" ht="14.25" customHeight="1" x14ac:dyDescent="0.35">
      <c r="A132" s="138" t="s">
        <v>117</v>
      </c>
      <c r="B132" s="139" t="s">
        <v>52</v>
      </c>
      <c r="C132" s="139">
        <v>24055</v>
      </c>
      <c r="D132" s="139"/>
      <c r="E132" s="139"/>
      <c r="F132" s="139"/>
      <c r="G132" s="139"/>
    </row>
    <row r="133" spans="1:7" ht="14.25" customHeight="1" x14ac:dyDescent="0.35">
      <c r="A133" s="138" t="s">
        <v>56</v>
      </c>
      <c r="B133" s="139" t="s">
        <v>55</v>
      </c>
      <c r="C133" s="139">
        <v>34022</v>
      </c>
      <c r="D133" s="139"/>
      <c r="E133" s="139"/>
      <c r="F133" s="139"/>
      <c r="G133" s="139"/>
    </row>
    <row r="134" spans="1:7" ht="14.25" customHeight="1" x14ac:dyDescent="0.35">
      <c r="A134" s="138" t="s">
        <v>270</v>
      </c>
      <c r="B134" s="139" t="s">
        <v>52</v>
      </c>
      <c r="C134" s="139">
        <v>23099</v>
      </c>
      <c r="D134" s="139"/>
      <c r="E134" s="139"/>
      <c r="F134" s="139"/>
      <c r="G134" s="139"/>
    </row>
    <row r="135" spans="1:7" ht="14.25" customHeight="1" x14ac:dyDescent="0.35">
      <c r="A135" s="138" t="s">
        <v>122</v>
      </c>
      <c r="B135" s="139" t="s">
        <v>50</v>
      </c>
      <c r="C135" s="139">
        <v>45068</v>
      </c>
      <c r="D135" s="139"/>
      <c r="E135" s="139"/>
      <c r="F135" s="139"/>
      <c r="G135" s="139"/>
    </row>
    <row r="136" spans="1:7" ht="14.25" customHeight="1" x14ac:dyDescent="0.35">
      <c r="A136" s="138" t="s">
        <v>158</v>
      </c>
      <c r="B136" s="139" t="s">
        <v>55</v>
      </c>
      <c r="C136" s="139">
        <v>34023</v>
      </c>
      <c r="D136" s="139"/>
      <c r="E136" s="139"/>
      <c r="F136" s="139"/>
      <c r="G136" s="139"/>
    </row>
    <row r="137" spans="1:7" ht="14.25" customHeight="1" x14ac:dyDescent="0.35">
      <c r="A137" s="138" t="s">
        <v>218</v>
      </c>
      <c r="B137" s="139" t="s">
        <v>48</v>
      </c>
      <c r="C137" s="139">
        <v>13053</v>
      </c>
      <c r="D137" s="139"/>
      <c r="E137" s="139"/>
      <c r="F137" s="139"/>
      <c r="G137" s="139"/>
    </row>
    <row r="138" spans="1:7" ht="14.25" customHeight="1" x14ac:dyDescent="0.35">
      <c r="A138" s="138" t="s">
        <v>155</v>
      </c>
      <c r="B138" s="139" t="s">
        <v>50</v>
      </c>
      <c r="C138" s="139">
        <v>42010</v>
      </c>
      <c r="D138" s="139"/>
      <c r="E138" s="139"/>
      <c r="F138" s="139"/>
      <c r="G138" s="139"/>
    </row>
    <row r="139" spans="1:7" ht="14.25" customHeight="1" x14ac:dyDescent="0.35">
      <c r="A139" s="138" t="s">
        <v>295</v>
      </c>
      <c r="B139" s="139" t="s">
        <v>59</v>
      </c>
      <c r="C139" s="139">
        <v>73042</v>
      </c>
      <c r="D139" s="139"/>
      <c r="E139" s="139"/>
      <c r="F139" s="139"/>
      <c r="G139" s="139"/>
    </row>
    <row r="140" spans="1:7" ht="14.25" customHeight="1" x14ac:dyDescent="0.35">
      <c r="A140" s="138" t="s">
        <v>81</v>
      </c>
      <c r="B140" s="139" t="s">
        <v>52</v>
      </c>
      <c r="C140" s="139">
        <v>24059</v>
      </c>
      <c r="D140" s="139"/>
      <c r="E140" s="139"/>
      <c r="F140" s="139"/>
      <c r="G140" s="139"/>
    </row>
    <row r="141" spans="1:7" ht="14.25" customHeight="1" x14ac:dyDescent="0.35">
      <c r="A141" s="138" t="s">
        <v>253</v>
      </c>
      <c r="B141" s="139" t="s">
        <v>55</v>
      </c>
      <c r="C141" s="139">
        <v>33040</v>
      </c>
      <c r="D141" s="139"/>
      <c r="E141" s="139"/>
      <c r="F141" s="139"/>
      <c r="G141" s="139"/>
    </row>
    <row r="142" spans="1:7" ht="14.25" customHeight="1" x14ac:dyDescent="0.35">
      <c r="A142" s="138" t="s">
        <v>114</v>
      </c>
      <c r="B142" s="139" t="s">
        <v>50</v>
      </c>
      <c r="C142" s="139">
        <v>42011</v>
      </c>
      <c r="D142" s="139"/>
      <c r="E142" s="139"/>
      <c r="F142" s="139"/>
      <c r="G142" s="139"/>
    </row>
    <row r="143" spans="1:7" ht="14.25" customHeight="1" x14ac:dyDescent="0.35">
      <c r="A143" s="138" t="s">
        <v>179</v>
      </c>
      <c r="B143" s="139" t="s">
        <v>50</v>
      </c>
      <c r="C143" s="139">
        <v>41034</v>
      </c>
      <c r="D143" s="139"/>
      <c r="E143" s="139"/>
      <c r="F143" s="139"/>
      <c r="G143" s="139"/>
    </row>
    <row r="144" spans="1:7" ht="14.25" customHeight="1" x14ac:dyDescent="0.35">
      <c r="A144" s="138" t="s">
        <v>171</v>
      </c>
      <c r="B144" s="139" t="s">
        <v>55</v>
      </c>
      <c r="C144" s="139">
        <v>36010</v>
      </c>
      <c r="D144" s="139"/>
      <c r="E144" s="139"/>
      <c r="F144" s="139"/>
      <c r="G144" s="139"/>
    </row>
    <row r="145" spans="1:7" ht="14.25" customHeight="1" x14ac:dyDescent="0.35">
      <c r="A145" s="138" t="s">
        <v>320</v>
      </c>
      <c r="B145" s="139" t="s">
        <v>55</v>
      </c>
      <c r="C145" s="139">
        <v>34025</v>
      </c>
      <c r="D145" s="139"/>
      <c r="E145" s="139"/>
      <c r="F145" s="139"/>
      <c r="G145" s="139"/>
    </row>
    <row r="146" spans="1:7" ht="14.25" customHeight="1" x14ac:dyDescent="0.35">
      <c r="A146" s="138" t="s">
        <v>257</v>
      </c>
      <c r="B146" s="139" t="s">
        <v>52</v>
      </c>
      <c r="C146" s="139">
        <v>23104</v>
      </c>
      <c r="D146" s="139"/>
      <c r="E146" s="139"/>
      <c r="F146" s="139"/>
      <c r="G146" s="139"/>
    </row>
    <row r="147" spans="1:7" ht="14.25" customHeight="1" x14ac:dyDescent="0.35">
      <c r="A147" s="138" t="s">
        <v>308</v>
      </c>
      <c r="B147" s="139" t="s">
        <v>59</v>
      </c>
      <c r="C147" s="139">
        <v>71034</v>
      </c>
      <c r="D147" s="139"/>
      <c r="E147" s="139"/>
      <c r="F147" s="139"/>
      <c r="G147" s="139"/>
    </row>
    <row r="148" spans="1:7" ht="14.25" customHeight="1" x14ac:dyDescent="0.35">
      <c r="A148" s="138" t="s">
        <v>51</v>
      </c>
      <c r="B148" s="139" t="s">
        <v>52</v>
      </c>
      <c r="C148" s="139">
        <v>24062</v>
      </c>
      <c r="D148" s="139"/>
      <c r="E148" s="139"/>
      <c r="F148" s="139"/>
      <c r="G148" s="139"/>
    </row>
    <row r="149" spans="1:7" ht="14.25" customHeight="1" x14ac:dyDescent="0.35">
      <c r="A149" s="138" t="s">
        <v>198</v>
      </c>
      <c r="B149" s="139" t="s">
        <v>55</v>
      </c>
      <c r="C149" s="139">
        <v>36011</v>
      </c>
      <c r="D149" s="139"/>
      <c r="E149" s="139"/>
      <c r="F149" s="139"/>
      <c r="G149" s="139"/>
    </row>
    <row r="150" spans="1:7" ht="14.25" customHeight="1" x14ac:dyDescent="0.35">
      <c r="A150" s="138" t="s">
        <v>334</v>
      </c>
      <c r="B150" s="139" t="s">
        <v>52</v>
      </c>
      <c r="C150" s="139">
        <v>23044</v>
      </c>
      <c r="D150" s="139"/>
      <c r="E150" s="139"/>
      <c r="F150" s="139"/>
      <c r="G150" s="139"/>
    </row>
    <row r="151" spans="1:7" ht="14.25" customHeight="1" x14ac:dyDescent="0.35">
      <c r="A151" s="138" t="s">
        <v>68</v>
      </c>
      <c r="B151" s="139" t="s">
        <v>48</v>
      </c>
      <c r="C151" s="139">
        <v>12021</v>
      </c>
      <c r="D151" s="139"/>
      <c r="E151" s="139"/>
      <c r="F151" s="139"/>
      <c r="G151" s="139"/>
    </row>
    <row r="152" spans="1:7" ht="14.25" customHeight="1" x14ac:dyDescent="0.35">
      <c r="A152" s="138" t="s">
        <v>248</v>
      </c>
      <c r="B152" s="139" t="s">
        <v>50</v>
      </c>
      <c r="C152" s="139">
        <v>45063</v>
      </c>
      <c r="D152" s="139"/>
      <c r="E152" s="139"/>
      <c r="F152" s="139"/>
      <c r="G152" s="139"/>
    </row>
    <row r="153" spans="1:7" ht="14.25" customHeight="1" x14ac:dyDescent="0.35">
      <c r="A153" s="138" t="s">
        <v>82</v>
      </c>
      <c r="B153" s="139" t="s">
        <v>50</v>
      </c>
      <c r="C153" s="139">
        <v>44085</v>
      </c>
      <c r="D153" s="139"/>
      <c r="E153" s="139"/>
      <c r="F153" s="139"/>
      <c r="G153" s="139"/>
    </row>
    <row r="154" spans="1:7" ht="14.25" customHeight="1" x14ac:dyDescent="0.35">
      <c r="A154" s="138" t="s">
        <v>161</v>
      </c>
      <c r="B154" s="139" t="s">
        <v>48</v>
      </c>
      <c r="C154" s="139">
        <v>13019</v>
      </c>
      <c r="D154" s="139"/>
      <c r="E154" s="139"/>
      <c r="F154" s="139"/>
      <c r="G154" s="139"/>
    </row>
    <row r="155" spans="1:7" ht="14.25" customHeight="1" x14ac:dyDescent="0.35">
      <c r="A155" s="138" t="s">
        <v>319</v>
      </c>
      <c r="B155" s="139" t="s">
        <v>52</v>
      </c>
      <c r="C155" s="139">
        <v>23100</v>
      </c>
      <c r="D155" s="139"/>
      <c r="E155" s="139"/>
      <c r="F155" s="139"/>
      <c r="G155" s="139"/>
    </row>
    <row r="156" spans="1:7" ht="14.25" customHeight="1" x14ac:dyDescent="0.35">
      <c r="A156" s="138" t="s">
        <v>254</v>
      </c>
      <c r="B156" s="139" t="s">
        <v>48</v>
      </c>
      <c r="C156" s="139">
        <v>11025</v>
      </c>
      <c r="D156" s="139"/>
      <c r="E156" s="139"/>
      <c r="F156" s="139"/>
      <c r="G156" s="139"/>
    </row>
    <row r="157" spans="1:7" ht="14.25" customHeight="1" x14ac:dyDescent="0.35">
      <c r="A157" s="138" t="s">
        <v>193</v>
      </c>
      <c r="B157" s="139" t="s">
        <v>52</v>
      </c>
      <c r="C157" s="139">
        <v>24133</v>
      </c>
      <c r="D157" s="139"/>
      <c r="E157" s="139"/>
      <c r="F157" s="139"/>
      <c r="G157" s="139"/>
    </row>
    <row r="158" spans="1:7" ht="14.25" customHeight="1" x14ac:dyDescent="0.35">
      <c r="A158" s="138" t="s">
        <v>239</v>
      </c>
      <c r="B158" s="139" t="s">
        <v>55</v>
      </c>
      <c r="C158" s="139">
        <v>32030</v>
      </c>
      <c r="D158" s="139"/>
      <c r="E158" s="139"/>
      <c r="F158" s="139"/>
      <c r="G158" s="139"/>
    </row>
    <row r="159" spans="1:7" ht="14.25" customHeight="1" x14ac:dyDescent="0.35">
      <c r="A159" s="138" t="s">
        <v>233</v>
      </c>
      <c r="B159" s="139" t="s">
        <v>50</v>
      </c>
      <c r="C159" s="139">
        <v>44034</v>
      </c>
      <c r="D159" s="139"/>
      <c r="E159" s="139"/>
      <c r="F159" s="139"/>
      <c r="G159" s="139"/>
    </row>
    <row r="160" spans="1:7" ht="14.25" customHeight="1" x14ac:dyDescent="0.35">
      <c r="A160" s="138" t="s">
        <v>72</v>
      </c>
      <c r="B160" s="139" t="s">
        <v>50</v>
      </c>
      <c r="C160" s="139">
        <v>46014</v>
      </c>
      <c r="D160" s="139"/>
      <c r="E160" s="139"/>
      <c r="F160" s="139"/>
      <c r="G160" s="139"/>
    </row>
    <row r="161" spans="1:7" ht="14.25" customHeight="1" x14ac:dyDescent="0.35">
      <c r="A161" s="138" t="s">
        <v>126</v>
      </c>
      <c r="B161" s="139" t="s">
        <v>59</v>
      </c>
      <c r="C161" s="139">
        <v>72020</v>
      </c>
      <c r="D161" s="139"/>
      <c r="E161" s="139"/>
      <c r="F161" s="139"/>
      <c r="G161" s="139"/>
    </row>
    <row r="162" spans="1:7" ht="14.25" customHeight="1" x14ac:dyDescent="0.35">
      <c r="A162" s="138" t="s">
        <v>283</v>
      </c>
      <c r="B162" s="139" t="s">
        <v>52</v>
      </c>
      <c r="C162" s="139">
        <v>23045</v>
      </c>
      <c r="D162" s="139"/>
      <c r="E162" s="139"/>
      <c r="F162" s="139"/>
      <c r="G162" s="139"/>
    </row>
    <row r="163" spans="1:7" ht="14.25" customHeight="1" x14ac:dyDescent="0.35">
      <c r="A163" s="138" t="s">
        <v>139</v>
      </c>
      <c r="B163" s="139" t="s">
        <v>52</v>
      </c>
      <c r="C163" s="139">
        <v>24066</v>
      </c>
      <c r="D163" s="139"/>
      <c r="E163" s="139"/>
      <c r="F163" s="139"/>
      <c r="G163" s="139"/>
    </row>
    <row r="164" spans="1:7" ht="14.25" customHeight="1" x14ac:dyDescent="0.35">
      <c r="A164" s="138" t="s">
        <v>286</v>
      </c>
      <c r="B164" s="139" t="s">
        <v>59</v>
      </c>
      <c r="C164" s="139">
        <v>71037</v>
      </c>
      <c r="D164" s="139"/>
      <c r="E164" s="139"/>
      <c r="F164" s="139"/>
      <c r="G164" s="139"/>
    </row>
    <row r="165" spans="1:7" ht="14.25" customHeight="1" x14ac:dyDescent="0.35">
      <c r="A165" s="138" t="s">
        <v>244</v>
      </c>
      <c r="B165" s="139" t="s">
        <v>50</v>
      </c>
      <c r="C165" s="139">
        <v>45064</v>
      </c>
      <c r="D165" s="139"/>
      <c r="E165" s="139"/>
      <c r="F165" s="139"/>
      <c r="G165" s="139"/>
    </row>
    <row r="166" spans="1:7" ht="14.25" customHeight="1" x14ac:dyDescent="0.35">
      <c r="A166" s="138" t="s">
        <v>211</v>
      </c>
      <c r="B166" s="139" t="s">
        <v>59</v>
      </c>
      <c r="C166" s="139">
        <v>72021</v>
      </c>
      <c r="D166" s="139"/>
      <c r="E166" s="139"/>
      <c r="F166" s="139"/>
      <c r="G166" s="139"/>
    </row>
    <row r="167" spans="1:7" ht="14.25" customHeight="1" x14ac:dyDescent="0.35">
      <c r="A167" s="138" t="s">
        <v>229</v>
      </c>
      <c r="B167" s="139" t="s">
        <v>59</v>
      </c>
      <c r="C167" s="139">
        <v>73107</v>
      </c>
      <c r="D167" s="139"/>
      <c r="E167" s="139"/>
      <c r="F167" s="139"/>
      <c r="G167" s="139"/>
    </row>
    <row r="168" spans="1:7" ht="14.25" customHeight="1" x14ac:dyDescent="0.35">
      <c r="A168" s="138" t="s">
        <v>278</v>
      </c>
      <c r="B168" s="139" t="s">
        <v>52</v>
      </c>
      <c r="C168" s="139">
        <v>23047</v>
      </c>
      <c r="D168" s="139"/>
      <c r="E168" s="139"/>
      <c r="F168" s="139"/>
      <c r="G168" s="139"/>
    </row>
    <row r="169" spans="1:7" ht="14.25" customHeight="1" x14ac:dyDescent="0.35">
      <c r="A169" s="138" t="s">
        <v>165</v>
      </c>
      <c r="B169" s="139" t="s">
        <v>50</v>
      </c>
      <c r="C169" s="139">
        <v>43010</v>
      </c>
      <c r="D169" s="139"/>
      <c r="E169" s="139"/>
      <c r="F169" s="139"/>
      <c r="G169" s="139"/>
    </row>
    <row r="170" spans="1:7" ht="14.25" customHeight="1" x14ac:dyDescent="0.35">
      <c r="A170" s="138" t="s">
        <v>178</v>
      </c>
      <c r="B170" s="139" t="s">
        <v>48</v>
      </c>
      <c r="C170" s="139">
        <v>11057</v>
      </c>
      <c r="D170" s="139"/>
      <c r="E170" s="139"/>
      <c r="F170" s="139"/>
      <c r="G170" s="139"/>
    </row>
    <row r="171" spans="1:7" ht="14.25" customHeight="1" x14ac:dyDescent="0.35">
      <c r="A171" s="138" t="s">
        <v>53</v>
      </c>
      <c r="B171" s="139" t="s">
        <v>48</v>
      </c>
      <c r="C171" s="139">
        <v>12025</v>
      </c>
      <c r="D171" s="139"/>
      <c r="E171" s="139"/>
      <c r="F171" s="139"/>
      <c r="G171" s="139"/>
    </row>
    <row r="172" spans="1:7" ht="14.25" customHeight="1" x14ac:dyDescent="0.35">
      <c r="A172" s="138" t="s">
        <v>172</v>
      </c>
      <c r="B172" s="139" t="s">
        <v>48</v>
      </c>
      <c r="C172" s="139">
        <v>13021</v>
      </c>
      <c r="D172" s="139"/>
      <c r="E172" s="139"/>
      <c r="F172" s="139"/>
      <c r="G172" s="139"/>
    </row>
    <row r="173" spans="1:7" ht="14.25" customHeight="1" x14ac:dyDescent="0.35">
      <c r="A173" s="138" t="s">
        <v>287</v>
      </c>
      <c r="B173" s="139" t="s">
        <v>52</v>
      </c>
      <c r="C173" s="139">
        <v>23050</v>
      </c>
      <c r="D173" s="139"/>
      <c r="E173" s="139"/>
      <c r="F173" s="139"/>
      <c r="G173" s="139"/>
    </row>
    <row r="174" spans="1:7" ht="14.25" customHeight="1" x14ac:dyDescent="0.35">
      <c r="A174" s="138" t="s">
        <v>130</v>
      </c>
      <c r="B174" s="139" t="s">
        <v>55</v>
      </c>
      <c r="C174" s="139">
        <v>34027</v>
      </c>
      <c r="D174" s="139"/>
      <c r="E174" s="139"/>
      <c r="F174" s="139"/>
      <c r="G174" s="139"/>
    </row>
    <row r="175" spans="1:7" ht="14.25" customHeight="1" x14ac:dyDescent="0.35">
      <c r="A175" s="138" t="s">
        <v>281</v>
      </c>
      <c r="B175" s="139" t="s">
        <v>52</v>
      </c>
      <c r="C175" s="139">
        <v>23052</v>
      </c>
      <c r="D175" s="139"/>
      <c r="E175" s="139"/>
      <c r="F175" s="139"/>
      <c r="G175" s="139"/>
    </row>
    <row r="176" spans="1:7" ht="14.25" customHeight="1" x14ac:dyDescent="0.35">
      <c r="A176" s="138" t="s">
        <v>60</v>
      </c>
      <c r="B176" s="139" t="s">
        <v>50</v>
      </c>
      <c r="C176" s="139">
        <v>44043</v>
      </c>
      <c r="D176" s="139"/>
      <c r="E176" s="139"/>
      <c r="F176" s="139"/>
      <c r="G176" s="139"/>
    </row>
    <row r="177" spans="1:7" ht="14.25" customHeight="1" x14ac:dyDescent="0.35">
      <c r="A177" s="138" t="s">
        <v>197</v>
      </c>
      <c r="B177" s="139" t="s">
        <v>48</v>
      </c>
      <c r="C177" s="139">
        <v>13023</v>
      </c>
      <c r="D177" s="139"/>
      <c r="E177" s="139"/>
      <c r="F177" s="139"/>
      <c r="G177" s="139"/>
    </row>
    <row r="178" spans="1:7" ht="14.25" customHeight="1" x14ac:dyDescent="0.35">
      <c r="A178" s="138" t="s">
        <v>238</v>
      </c>
      <c r="B178" s="139" t="s">
        <v>55</v>
      </c>
      <c r="C178" s="139">
        <v>33016</v>
      </c>
      <c r="D178" s="139"/>
      <c r="E178" s="139"/>
      <c r="F178" s="139"/>
      <c r="G178" s="139"/>
    </row>
    <row r="179" spans="1:7" ht="14.25" customHeight="1" x14ac:dyDescent="0.35">
      <c r="A179" s="138" t="s">
        <v>225</v>
      </c>
      <c r="B179" s="139" t="s">
        <v>55</v>
      </c>
      <c r="C179" s="139">
        <v>35011</v>
      </c>
      <c r="D179" s="139"/>
      <c r="E179" s="139"/>
      <c r="F179" s="139"/>
      <c r="G179" s="139"/>
    </row>
    <row r="180" spans="1:7" ht="14.25" customHeight="1" x14ac:dyDescent="0.35">
      <c r="A180" s="138" t="s">
        <v>145</v>
      </c>
      <c r="B180" s="139" t="s">
        <v>48</v>
      </c>
      <c r="C180" s="139">
        <v>13025</v>
      </c>
      <c r="D180" s="139"/>
      <c r="E180" s="139"/>
      <c r="F180" s="139"/>
      <c r="G180" s="139"/>
    </row>
    <row r="181" spans="1:7" ht="14.25" customHeight="1" x14ac:dyDescent="0.35">
      <c r="A181" s="138" t="s">
        <v>174</v>
      </c>
      <c r="B181" s="139" t="s">
        <v>55</v>
      </c>
      <c r="C181" s="139">
        <v>36012</v>
      </c>
      <c r="D181" s="139"/>
      <c r="E181" s="139"/>
      <c r="F181" s="139"/>
      <c r="G181" s="139"/>
    </row>
    <row r="182" spans="1:7" ht="14.25" customHeight="1" x14ac:dyDescent="0.35">
      <c r="A182" s="138" t="s">
        <v>66</v>
      </c>
      <c r="B182" s="139" t="s">
        <v>48</v>
      </c>
      <c r="C182" s="139">
        <v>11029</v>
      </c>
      <c r="D182" s="139"/>
      <c r="E182" s="139"/>
      <c r="F182" s="139"/>
      <c r="G182" s="139"/>
    </row>
    <row r="183" spans="1:7" ht="14.25" customHeight="1" x14ac:dyDescent="0.35">
      <c r="A183" s="138" t="s">
        <v>75</v>
      </c>
      <c r="B183" s="139" t="s">
        <v>50</v>
      </c>
      <c r="C183" s="139">
        <v>44048</v>
      </c>
      <c r="D183" s="139"/>
      <c r="E183" s="139"/>
      <c r="F183" s="139"/>
      <c r="G183" s="139"/>
    </row>
    <row r="184" spans="1:7" ht="14.25" customHeight="1" x14ac:dyDescent="0.35">
      <c r="A184" s="138" t="s">
        <v>203</v>
      </c>
      <c r="B184" s="139" t="s">
        <v>48</v>
      </c>
      <c r="C184" s="139">
        <v>11030</v>
      </c>
      <c r="D184" s="139"/>
      <c r="E184" s="139"/>
      <c r="F184" s="139"/>
      <c r="G184" s="139"/>
    </row>
    <row r="185" spans="1:7" ht="14.25" customHeight="1" x14ac:dyDescent="0.35">
      <c r="A185" s="138" t="s">
        <v>299</v>
      </c>
      <c r="B185" s="139" t="s">
        <v>59</v>
      </c>
      <c r="C185" s="139">
        <v>71045</v>
      </c>
      <c r="D185" s="139"/>
      <c r="E185" s="139"/>
      <c r="F185" s="139"/>
      <c r="G185" s="139"/>
    </row>
    <row r="186" spans="1:7" ht="14.25" customHeight="1" x14ac:dyDescent="0.35">
      <c r="A186" s="138" t="s">
        <v>152</v>
      </c>
      <c r="B186" s="139" t="s">
        <v>55</v>
      </c>
      <c r="C186" s="139">
        <v>38016</v>
      </c>
      <c r="D186" s="139"/>
      <c r="E186" s="139"/>
      <c r="F186" s="139"/>
      <c r="G186" s="139"/>
    </row>
    <row r="187" spans="1:7" ht="14.25" customHeight="1" x14ac:dyDescent="0.35">
      <c r="A187" s="138" t="s">
        <v>124</v>
      </c>
      <c r="B187" s="139" t="s">
        <v>48</v>
      </c>
      <c r="C187" s="139">
        <v>12026</v>
      </c>
      <c r="D187" s="139"/>
      <c r="E187" s="139"/>
      <c r="F187" s="139"/>
      <c r="G187" s="139"/>
    </row>
    <row r="188" spans="1:7" ht="14.25" customHeight="1" x14ac:dyDescent="0.35">
      <c r="A188" s="138" t="s">
        <v>236</v>
      </c>
      <c r="B188" s="139" t="s">
        <v>50</v>
      </c>
      <c r="C188" s="139">
        <v>41048</v>
      </c>
      <c r="D188" s="139"/>
      <c r="E188" s="139"/>
      <c r="F188" s="139"/>
      <c r="G188" s="139"/>
    </row>
    <row r="189" spans="1:7" ht="14.25" customHeight="1" x14ac:dyDescent="0.35">
      <c r="A189" s="138" t="s">
        <v>330</v>
      </c>
      <c r="B189" s="139" t="s">
        <v>48</v>
      </c>
      <c r="C189" s="139">
        <v>13029</v>
      </c>
      <c r="D189" s="139"/>
      <c r="E189" s="139"/>
      <c r="F189" s="139"/>
      <c r="G189" s="139"/>
    </row>
    <row r="190" spans="1:7" ht="14.25" customHeight="1" x14ac:dyDescent="0.35">
      <c r="A190" s="138" t="s">
        <v>64</v>
      </c>
      <c r="B190" s="139" t="s">
        <v>55</v>
      </c>
      <c r="C190" s="139">
        <v>35013</v>
      </c>
      <c r="D190" s="139"/>
      <c r="E190" s="139"/>
      <c r="F190" s="139"/>
      <c r="G190" s="139"/>
    </row>
    <row r="191" spans="1:7" ht="14.25" customHeight="1" x14ac:dyDescent="0.35">
      <c r="A191" s="138" t="s">
        <v>121</v>
      </c>
      <c r="B191" s="139" t="s">
        <v>50</v>
      </c>
      <c r="C191" s="139">
        <v>44052</v>
      </c>
      <c r="D191" s="139"/>
      <c r="E191" s="139"/>
      <c r="F191" s="139"/>
      <c r="G191" s="139"/>
    </row>
    <row r="192" spans="1:7" ht="14.25" customHeight="1" x14ac:dyDescent="0.35">
      <c r="A192" s="138" t="s">
        <v>79</v>
      </c>
      <c r="B192" s="139" t="s">
        <v>55</v>
      </c>
      <c r="C192" s="139">
        <v>31022</v>
      </c>
      <c r="D192" s="139"/>
      <c r="E192" s="139"/>
      <c r="F192" s="139"/>
      <c r="G192" s="139"/>
    </row>
    <row r="193" spans="1:7" ht="14.25" customHeight="1" x14ac:dyDescent="0.35">
      <c r="A193" s="138" t="s">
        <v>194</v>
      </c>
      <c r="B193" s="139" t="s">
        <v>55</v>
      </c>
      <c r="C193" s="139">
        <v>37010</v>
      </c>
      <c r="D193" s="139"/>
      <c r="E193" s="139"/>
      <c r="F193" s="139"/>
      <c r="G193" s="139"/>
    </row>
    <row r="194" spans="1:7" ht="14.25" customHeight="1" x14ac:dyDescent="0.35">
      <c r="A194" s="138" t="s">
        <v>214</v>
      </c>
      <c r="B194" s="139" t="s">
        <v>52</v>
      </c>
      <c r="C194" s="139">
        <v>23060</v>
      </c>
      <c r="D194" s="139"/>
      <c r="E194" s="139"/>
      <c r="F194" s="139"/>
      <c r="G194" s="139"/>
    </row>
    <row r="195" spans="1:7" ht="14.25" customHeight="1" x14ac:dyDescent="0.35">
      <c r="A195" s="138" t="s">
        <v>110</v>
      </c>
      <c r="B195" s="139" t="s">
        <v>52</v>
      </c>
      <c r="C195" s="139">
        <v>24086</v>
      </c>
      <c r="D195" s="139"/>
      <c r="E195" s="139"/>
      <c r="F195" s="139"/>
      <c r="G195" s="139"/>
    </row>
    <row r="196" spans="1:7" ht="14.25" customHeight="1" x14ac:dyDescent="0.35">
      <c r="A196" s="138" t="s">
        <v>159</v>
      </c>
      <c r="B196" s="139" t="s">
        <v>48</v>
      </c>
      <c r="C196" s="139">
        <v>13031</v>
      </c>
      <c r="D196" s="139"/>
      <c r="E196" s="139"/>
      <c r="F196" s="139"/>
      <c r="G196" s="139"/>
    </row>
    <row r="197" spans="1:7" ht="14.25" customHeight="1" x14ac:dyDescent="0.35">
      <c r="A197" s="138" t="s">
        <v>77</v>
      </c>
      <c r="B197" s="139" t="s">
        <v>50</v>
      </c>
      <c r="C197" s="139">
        <v>45035</v>
      </c>
      <c r="D197" s="139"/>
      <c r="E197" s="139"/>
      <c r="F197" s="139"/>
      <c r="G197" s="139"/>
    </row>
    <row r="198" spans="1:7" ht="14.25" customHeight="1" x14ac:dyDescent="0.35">
      <c r="A198" s="138" t="s">
        <v>200</v>
      </c>
      <c r="B198" s="139" t="s">
        <v>55</v>
      </c>
      <c r="C198" s="139">
        <v>35014</v>
      </c>
      <c r="D198" s="139"/>
      <c r="E198" s="139"/>
      <c r="F198" s="139"/>
      <c r="G198" s="139"/>
    </row>
    <row r="199" spans="1:7" ht="14.25" customHeight="1" x14ac:dyDescent="0.35">
      <c r="A199" s="138" t="s">
        <v>234</v>
      </c>
      <c r="B199" s="139" t="s">
        <v>59</v>
      </c>
      <c r="C199" s="139">
        <v>72042</v>
      </c>
      <c r="D199" s="139"/>
      <c r="E199" s="139"/>
      <c r="F199" s="139"/>
      <c r="G199" s="139"/>
    </row>
    <row r="200" spans="1:7" ht="14.25" customHeight="1" x14ac:dyDescent="0.35">
      <c r="A200" s="138" t="s">
        <v>230</v>
      </c>
      <c r="B200" s="139" t="s">
        <v>52</v>
      </c>
      <c r="C200" s="139">
        <v>23062</v>
      </c>
      <c r="D200" s="139"/>
      <c r="E200" s="139"/>
      <c r="F200" s="139"/>
      <c r="G200" s="139"/>
    </row>
    <row r="201" spans="1:7" ht="14.25" customHeight="1" x14ac:dyDescent="0.35">
      <c r="A201" s="138" t="s">
        <v>293</v>
      </c>
      <c r="B201" s="139" t="s">
        <v>52</v>
      </c>
      <c r="C201" s="139"/>
      <c r="D201" s="139"/>
      <c r="E201" s="139"/>
      <c r="F201" s="139"/>
      <c r="G201" s="139"/>
    </row>
    <row r="202" spans="1:7" ht="14.25" customHeight="1" x14ac:dyDescent="0.35">
      <c r="A202" s="138" t="s">
        <v>232</v>
      </c>
      <c r="B202" s="139" t="s">
        <v>59</v>
      </c>
      <c r="C202" s="139">
        <v>72030</v>
      </c>
      <c r="D202" s="139"/>
      <c r="E202" s="139"/>
      <c r="F202" s="139"/>
      <c r="G202" s="139"/>
    </row>
    <row r="203" spans="1:7" ht="14.25" customHeight="1" x14ac:dyDescent="0.35">
      <c r="A203" s="138" t="s">
        <v>310</v>
      </c>
      <c r="B203" s="139" t="s">
        <v>59</v>
      </c>
      <c r="C203" s="139">
        <v>72043</v>
      </c>
      <c r="D203" s="139"/>
      <c r="E203" s="139"/>
      <c r="F203" s="139"/>
      <c r="G203" s="139"/>
    </row>
    <row r="204" spans="1:7" ht="14.25" customHeight="1" x14ac:dyDescent="0.35">
      <c r="A204" s="138" t="s">
        <v>241</v>
      </c>
      <c r="B204" s="139" t="s">
        <v>52</v>
      </c>
      <c r="C204" s="139">
        <v>23064</v>
      </c>
      <c r="D204" s="139"/>
      <c r="E204" s="139"/>
      <c r="F204" s="139"/>
      <c r="G204" s="139"/>
    </row>
    <row r="205" spans="1:7" ht="14.25" customHeight="1" x14ac:dyDescent="0.35">
      <c r="A205" s="138" t="s">
        <v>251</v>
      </c>
      <c r="B205" s="139" t="s">
        <v>55</v>
      </c>
      <c r="C205" s="139">
        <v>37011</v>
      </c>
      <c r="D205" s="139"/>
      <c r="E205" s="139"/>
      <c r="F205" s="139"/>
      <c r="G205" s="139"/>
    </row>
    <row r="206" spans="1:7" ht="14.25" customHeight="1" x14ac:dyDescent="0.35">
      <c r="A206" s="138" t="s">
        <v>98</v>
      </c>
      <c r="B206" s="139" t="s">
        <v>55</v>
      </c>
      <c r="C206" s="139">
        <v>33021</v>
      </c>
      <c r="D206" s="139">
        <v>4</v>
      </c>
      <c r="E206" s="139">
        <v>4</v>
      </c>
      <c r="F206" s="139">
        <v>4</v>
      </c>
      <c r="G206" s="139">
        <v>4</v>
      </c>
    </row>
    <row r="207" spans="1:7" ht="14.25" customHeight="1" x14ac:dyDescent="0.35">
      <c r="A207" s="138" t="s">
        <v>282</v>
      </c>
      <c r="B207" s="139" t="s">
        <v>48</v>
      </c>
      <c r="C207" s="139">
        <v>12029</v>
      </c>
      <c r="D207" s="139"/>
      <c r="E207" s="139"/>
      <c r="F207" s="139"/>
      <c r="G207" s="139"/>
    </row>
    <row r="208" spans="1:7" ht="14.25" customHeight="1" x14ac:dyDescent="0.35">
      <c r="A208" s="138" t="s">
        <v>94</v>
      </c>
      <c r="B208" s="139" t="s">
        <v>48</v>
      </c>
      <c r="C208" s="139">
        <v>12041</v>
      </c>
      <c r="D208" s="139"/>
      <c r="E208" s="139"/>
      <c r="F208" s="139"/>
      <c r="G208" s="139"/>
    </row>
    <row r="209" spans="1:7" ht="14.25" customHeight="1" x14ac:dyDescent="0.35">
      <c r="A209" s="138" t="s">
        <v>284</v>
      </c>
      <c r="B209" s="139" t="s">
        <v>48</v>
      </c>
      <c r="C209" s="139">
        <v>11035</v>
      </c>
      <c r="D209" s="139"/>
      <c r="E209" s="139"/>
      <c r="F209" s="139"/>
      <c r="G209" s="139"/>
    </row>
    <row r="210" spans="1:7" ht="14.25" customHeight="1" x14ac:dyDescent="0.35">
      <c r="A210" s="138" t="s">
        <v>277</v>
      </c>
      <c r="B210" s="139" t="s">
        <v>48</v>
      </c>
      <c r="C210" s="139">
        <v>13035</v>
      </c>
      <c r="D210" s="139"/>
      <c r="E210" s="139"/>
      <c r="F210" s="139"/>
      <c r="G210" s="139"/>
    </row>
    <row r="211" spans="1:7" ht="14.25" customHeight="1" x14ac:dyDescent="0.35">
      <c r="A211" s="138" t="s">
        <v>204</v>
      </c>
      <c r="B211" s="139" t="s">
        <v>48</v>
      </c>
      <c r="C211" s="139">
        <v>13036</v>
      </c>
      <c r="D211" s="139"/>
      <c r="E211" s="139"/>
      <c r="F211" s="139"/>
      <c r="G211" s="139"/>
    </row>
    <row r="212" spans="1:7" ht="14.25" customHeight="1" x14ac:dyDescent="0.35">
      <c r="A212" s="138" t="s">
        <v>332</v>
      </c>
      <c r="B212" s="139" t="s">
        <v>59</v>
      </c>
      <c r="C212" s="139">
        <v>73066</v>
      </c>
      <c r="D212" s="139"/>
      <c r="E212" s="139"/>
      <c r="F212" s="139"/>
      <c r="G212" s="139"/>
    </row>
    <row r="213" spans="1:7" ht="14.25" customHeight="1" x14ac:dyDescent="0.35">
      <c r="A213" s="138" t="s">
        <v>267</v>
      </c>
      <c r="B213" s="139" t="s">
        <v>48</v>
      </c>
      <c r="C213" s="139">
        <v>13037</v>
      </c>
      <c r="D213" s="139"/>
      <c r="E213" s="139"/>
      <c r="F213" s="139"/>
      <c r="G213" s="139"/>
    </row>
    <row r="214" spans="1:7" ht="14.25" customHeight="1" x14ac:dyDescent="0.35">
      <c r="A214" s="138" t="s">
        <v>63</v>
      </c>
      <c r="B214" s="139" t="s">
        <v>55</v>
      </c>
      <c r="C214" s="139">
        <v>36015</v>
      </c>
      <c r="D214" s="139"/>
      <c r="E214" s="139"/>
      <c r="F214" s="139"/>
      <c r="G214" s="139"/>
    </row>
    <row r="215" spans="1:7" ht="14.25" customHeight="1" x14ac:dyDescent="0.35">
      <c r="A215" s="138" t="s">
        <v>141</v>
      </c>
      <c r="B215" s="139" t="s">
        <v>50</v>
      </c>
      <c r="C215" s="139">
        <v>45041</v>
      </c>
      <c r="D215" s="139"/>
      <c r="E215" s="139"/>
      <c r="F215" s="139"/>
      <c r="G215" s="139"/>
    </row>
    <row r="216" spans="1:7" ht="14.25" customHeight="1" x14ac:dyDescent="0.35">
      <c r="A216" s="138" t="s">
        <v>328</v>
      </c>
      <c r="B216" s="139" t="s">
        <v>52</v>
      </c>
      <c r="C216" s="139">
        <v>23097</v>
      </c>
      <c r="D216" s="139"/>
      <c r="E216" s="139"/>
      <c r="F216" s="139"/>
      <c r="G216" s="139"/>
    </row>
    <row r="217" spans="1:7" ht="14.25" customHeight="1" x14ac:dyDescent="0.35">
      <c r="A217" s="138" t="s">
        <v>78</v>
      </c>
      <c r="B217" s="139" t="s">
        <v>52</v>
      </c>
      <c r="C217" s="139">
        <v>24094</v>
      </c>
      <c r="D217" s="139"/>
      <c r="E217" s="139"/>
      <c r="F217" s="139"/>
      <c r="G217" s="139"/>
    </row>
    <row r="218" spans="1:7" ht="14.25" customHeight="1" x14ac:dyDescent="0.35">
      <c r="A218" s="138" t="s">
        <v>160</v>
      </c>
      <c r="B218" s="139" t="s">
        <v>48</v>
      </c>
      <c r="C218" s="139">
        <v>11037</v>
      </c>
      <c r="D218" s="139"/>
      <c r="E218" s="139"/>
      <c r="F218" s="139"/>
      <c r="G218" s="139"/>
    </row>
    <row r="219" spans="1:7" ht="14.25" customHeight="1" x14ac:dyDescent="0.35">
      <c r="A219" s="138" t="s">
        <v>169</v>
      </c>
      <c r="B219" s="139" t="s">
        <v>48</v>
      </c>
      <c r="C219" s="139">
        <v>11038</v>
      </c>
      <c r="D219" s="139"/>
      <c r="E219" s="139"/>
      <c r="F219" s="139"/>
      <c r="G219" s="139"/>
    </row>
    <row r="220" spans="1:7" ht="14.25" customHeight="1" x14ac:dyDescent="0.35">
      <c r="A220" s="138" t="s">
        <v>292</v>
      </c>
      <c r="B220" s="139" t="s">
        <v>52</v>
      </c>
      <c r="C220" s="139">
        <v>24134</v>
      </c>
      <c r="D220" s="139"/>
      <c r="E220" s="139"/>
      <c r="F220" s="139"/>
      <c r="G220" s="139"/>
    </row>
    <row r="221" spans="1:7" ht="14.25" customHeight="1" x14ac:dyDescent="0.35">
      <c r="A221" s="138" t="s">
        <v>311</v>
      </c>
      <c r="B221" s="139" t="s">
        <v>48</v>
      </c>
      <c r="C221" s="139">
        <v>11039</v>
      </c>
      <c r="D221" s="139"/>
      <c r="E221" s="139"/>
      <c r="F221" s="139"/>
      <c r="G221" s="139"/>
    </row>
    <row r="222" spans="1:7" ht="14.25" customHeight="1" x14ac:dyDescent="0.35">
      <c r="A222" s="138" t="s">
        <v>188</v>
      </c>
      <c r="B222" s="139" t="s">
        <v>48</v>
      </c>
      <c r="C222" s="139">
        <v>11040</v>
      </c>
      <c r="D222" s="139"/>
      <c r="E222" s="139"/>
      <c r="F222" s="139"/>
      <c r="G222" s="139"/>
    </row>
    <row r="223" spans="1:7" ht="14.25" customHeight="1" x14ac:dyDescent="0.35">
      <c r="A223" s="138" t="s">
        <v>220</v>
      </c>
      <c r="B223" s="139" t="s">
        <v>52</v>
      </c>
      <c r="C223" s="139">
        <v>23101</v>
      </c>
      <c r="D223" s="139"/>
      <c r="E223" s="139"/>
      <c r="F223" s="139"/>
      <c r="G223" s="139"/>
    </row>
    <row r="224" spans="1:7" ht="14.25" customHeight="1" x14ac:dyDescent="0.35">
      <c r="A224" s="138" t="s">
        <v>226</v>
      </c>
      <c r="B224" s="139" t="s">
        <v>50</v>
      </c>
      <c r="C224" s="139">
        <v>46020</v>
      </c>
      <c r="D224" s="139"/>
      <c r="E224" s="139"/>
      <c r="F224" s="139"/>
      <c r="G224" s="139"/>
    </row>
    <row r="225" spans="1:7" ht="14.25" customHeight="1" x14ac:dyDescent="0.35">
      <c r="A225" s="138" t="s">
        <v>183</v>
      </c>
      <c r="B225" s="139" t="s">
        <v>48</v>
      </c>
      <c r="C225" s="139">
        <v>12035</v>
      </c>
      <c r="D225" s="139"/>
      <c r="E225" s="139"/>
      <c r="F225" s="139"/>
      <c r="G225" s="139"/>
    </row>
    <row r="226" spans="1:7" ht="14.25" customHeight="1" x14ac:dyDescent="0.35">
      <c r="A226" s="138" t="s">
        <v>250</v>
      </c>
      <c r="B226" s="139" t="s">
        <v>50</v>
      </c>
      <c r="C226" s="139">
        <v>43014</v>
      </c>
      <c r="D226" s="139"/>
      <c r="E226" s="139"/>
      <c r="F226" s="139"/>
      <c r="G226" s="139"/>
    </row>
    <row r="227" spans="1:7" ht="14.25" customHeight="1" x14ac:dyDescent="0.35">
      <c r="A227" s="138" t="s">
        <v>202</v>
      </c>
      <c r="B227" s="139" t="s">
        <v>50</v>
      </c>
      <c r="C227" s="139">
        <v>41063</v>
      </c>
      <c r="D227" s="139"/>
      <c r="E227" s="139"/>
      <c r="F227" s="139"/>
      <c r="G227" s="139"/>
    </row>
    <row r="228" spans="1:7" ht="14.25" customHeight="1" x14ac:dyDescent="0.35">
      <c r="A228" s="138" t="s">
        <v>148</v>
      </c>
      <c r="B228" s="139" t="s">
        <v>50</v>
      </c>
      <c r="C228" s="139">
        <v>44064</v>
      </c>
      <c r="D228" s="139"/>
      <c r="E228" s="139"/>
      <c r="F228" s="139"/>
      <c r="G228" s="139"/>
    </row>
    <row r="229" spans="1:7" ht="14.25" customHeight="1" x14ac:dyDescent="0.35">
      <c r="A229" s="138" t="s">
        <v>57</v>
      </c>
      <c r="B229" s="139" t="s">
        <v>50</v>
      </c>
      <c r="C229" s="139">
        <v>46021</v>
      </c>
      <c r="D229" s="139"/>
      <c r="E229" s="139"/>
      <c r="F229" s="139"/>
      <c r="G229" s="139"/>
    </row>
    <row r="230" spans="1:7" ht="14.25" customHeight="1" x14ac:dyDescent="0.35">
      <c r="A230" s="138" t="s">
        <v>132</v>
      </c>
      <c r="B230" s="139" t="s">
        <v>52</v>
      </c>
      <c r="C230" s="139">
        <v>23077</v>
      </c>
      <c r="D230" s="139"/>
      <c r="E230" s="139"/>
      <c r="F230" s="139"/>
      <c r="G230" s="139"/>
    </row>
    <row r="231" spans="1:7" ht="14.25" customHeight="1" x14ac:dyDescent="0.35">
      <c r="A231" s="138" t="s">
        <v>189</v>
      </c>
      <c r="B231" s="139" t="s">
        <v>59</v>
      </c>
      <c r="C231" s="139">
        <v>71053</v>
      </c>
      <c r="D231" s="139"/>
      <c r="E231" s="139"/>
      <c r="F231" s="139"/>
      <c r="G231" s="139"/>
    </row>
    <row r="232" spans="1:7" ht="14.25" customHeight="1" x14ac:dyDescent="0.35">
      <c r="A232" s="138" t="s">
        <v>314</v>
      </c>
      <c r="B232" s="139" t="s">
        <v>55</v>
      </c>
      <c r="C232" s="139">
        <v>34043</v>
      </c>
      <c r="D232" s="139"/>
      <c r="E232" s="139"/>
      <c r="F232" s="139"/>
      <c r="G232" s="139"/>
    </row>
    <row r="233" spans="1:7" ht="14.25" customHeight="1" x14ac:dyDescent="0.35">
      <c r="A233" s="138" t="s">
        <v>336</v>
      </c>
      <c r="B233" s="139" t="s">
        <v>48</v>
      </c>
      <c r="C233" s="139">
        <v>11044</v>
      </c>
      <c r="D233" s="139"/>
      <c r="E233" s="139"/>
      <c r="F233" s="139"/>
      <c r="G233" s="139"/>
    </row>
    <row r="234" spans="1:7" ht="14.25" customHeight="1" x14ac:dyDescent="0.35">
      <c r="A234" s="138" t="s">
        <v>154</v>
      </c>
      <c r="B234" s="139" t="s">
        <v>55</v>
      </c>
      <c r="C234" s="139">
        <v>36019</v>
      </c>
      <c r="D234" s="139"/>
      <c r="E234" s="139"/>
      <c r="F234" s="139"/>
      <c r="G234" s="139"/>
    </row>
    <row r="235" spans="1:7" ht="14.25" customHeight="1" x14ac:dyDescent="0.35">
      <c r="A235" s="138" t="s">
        <v>208</v>
      </c>
      <c r="B235" s="139" t="s">
        <v>52</v>
      </c>
      <c r="C235" s="139">
        <v>23081</v>
      </c>
      <c r="D235" s="139"/>
      <c r="E235" s="139"/>
      <c r="F235" s="139"/>
      <c r="G235" s="139"/>
    </row>
    <row r="236" spans="1:7" ht="14.25" customHeight="1" x14ac:dyDescent="0.35">
      <c r="A236" s="138" t="s">
        <v>285</v>
      </c>
      <c r="B236" s="139" t="s">
        <v>50</v>
      </c>
      <c r="C236" s="139">
        <v>46024</v>
      </c>
      <c r="D236" s="139"/>
      <c r="E236" s="139"/>
      <c r="F236" s="139"/>
      <c r="G236" s="139"/>
    </row>
    <row r="237" spans="1:7" ht="14.25" customHeight="1" x14ac:dyDescent="0.35">
      <c r="A237" s="138" t="s">
        <v>166</v>
      </c>
      <c r="B237" s="139" t="s">
        <v>50</v>
      </c>
      <c r="C237" s="139">
        <v>46025</v>
      </c>
      <c r="D237" s="139"/>
      <c r="E237" s="139"/>
      <c r="F237" s="139"/>
      <c r="G237" s="139"/>
    </row>
    <row r="238" spans="1:7" ht="14.25" customHeight="1" x14ac:dyDescent="0.35">
      <c r="A238" s="138" t="s">
        <v>217</v>
      </c>
      <c r="B238" s="139" t="s">
        <v>52</v>
      </c>
      <c r="C238" s="139">
        <v>23086</v>
      </c>
      <c r="D238" s="139"/>
      <c r="E238" s="139"/>
      <c r="F238" s="139"/>
      <c r="G238" s="139"/>
    </row>
    <row r="239" spans="1:7" ht="14.25" customHeight="1" x14ac:dyDescent="0.35">
      <c r="A239" s="138" t="s">
        <v>87</v>
      </c>
      <c r="B239" s="139" t="s">
        <v>52</v>
      </c>
      <c r="C239" s="139">
        <v>24104</v>
      </c>
      <c r="D239" s="139"/>
      <c r="E239" s="139"/>
      <c r="F239" s="139"/>
      <c r="G239" s="139"/>
    </row>
    <row r="240" spans="1:7" ht="14.25" customHeight="1" x14ac:dyDescent="0.35">
      <c r="A240" s="138" t="s">
        <v>147</v>
      </c>
      <c r="B240" s="139" t="s">
        <v>59</v>
      </c>
      <c r="C240" s="139">
        <v>71057</v>
      </c>
      <c r="D240" s="139"/>
      <c r="E240" s="139"/>
      <c r="F240" s="139"/>
      <c r="G240" s="139"/>
    </row>
    <row r="241" spans="1:7" ht="14.25" customHeight="1" x14ac:dyDescent="0.35">
      <c r="A241" s="138" t="s">
        <v>102</v>
      </c>
      <c r="B241" s="139" t="s">
        <v>55</v>
      </c>
      <c r="C241" s="139">
        <v>37015</v>
      </c>
      <c r="D241" s="139"/>
      <c r="E241" s="139"/>
      <c r="F241" s="139"/>
      <c r="G241" s="139"/>
    </row>
    <row r="242" spans="1:7" ht="14.25" customHeight="1" x14ac:dyDescent="0.35">
      <c r="A242" s="138" t="s">
        <v>302</v>
      </c>
      <c r="B242" s="139" t="s">
        <v>52</v>
      </c>
      <c r="C242" s="139">
        <v>24135</v>
      </c>
      <c r="D242" s="139"/>
      <c r="E242" s="139"/>
      <c r="F242" s="139"/>
      <c r="G242" s="139"/>
    </row>
    <row r="243" spans="1:7" ht="14.25" customHeight="1" x14ac:dyDescent="0.35">
      <c r="A243" s="138" t="s">
        <v>104</v>
      </c>
      <c r="B243" s="139" t="s">
        <v>52</v>
      </c>
      <c r="C243" s="139">
        <v>24107</v>
      </c>
      <c r="D243" s="139"/>
      <c r="E243" s="139"/>
      <c r="F243" s="139"/>
      <c r="G243" s="139"/>
    </row>
    <row r="244" spans="1:7" ht="14.25" customHeight="1" x14ac:dyDescent="0.35">
      <c r="A244" s="138" t="s">
        <v>133</v>
      </c>
      <c r="B244" s="139" t="s">
        <v>59</v>
      </c>
      <c r="C244" s="139">
        <v>73083</v>
      </c>
      <c r="D244" s="139"/>
      <c r="E244" s="139"/>
      <c r="F244" s="139"/>
      <c r="G244" s="139"/>
    </row>
    <row r="245" spans="1:7" ht="14.25" customHeight="1" x14ac:dyDescent="0.35">
      <c r="A245" s="138" t="s">
        <v>93</v>
      </c>
      <c r="B245" s="139" t="s">
        <v>55</v>
      </c>
      <c r="C245" s="139">
        <v>31033</v>
      </c>
      <c r="D245" s="139"/>
      <c r="E245" s="139"/>
      <c r="F245" s="139"/>
      <c r="G245" s="139"/>
    </row>
    <row r="246" spans="1:7" ht="14.25" customHeight="1" x14ac:dyDescent="0.35">
      <c r="A246" s="138" t="s">
        <v>215</v>
      </c>
      <c r="B246" s="139" t="s">
        <v>52</v>
      </c>
      <c r="C246" s="139">
        <v>24109</v>
      </c>
      <c r="D246" s="139"/>
      <c r="E246" s="139"/>
      <c r="F246" s="139"/>
      <c r="G246" s="139"/>
    </row>
    <row r="247" spans="1:7" ht="14.25" customHeight="1" x14ac:dyDescent="0.35">
      <c r="A247" s="138" t="s">
        <v>61</v>
      </c>
      <c r="B247" s="139" t="s">
        <v>48</v>
      </c>
      <c r="C247" s="139">
        <v>13040</v>
      </c>
      <c r="D247" s="139"/>
      <c r="E247" s="139"/>
      <c r="F247" s="139"/>
      <c r="G247" s="139"/>
    </row>
    <row r="248" spans="1:7" ht="14.25" customHeight="1" x14ac:dyDescent="0.35">
      <c r="A248" s="138" t="s">
        <v>175</v>
      </c>
      <c r="B248" s="139" t="s">
        <v>55</v>
      </c>
      <c r="C248" s="139">
        <v>38025</v>
      </c>
      <c r="D248" s="139"/>
      <c r="E248" s="139"/>
      <c r="F248" s="139"/>
      <c r="G248" s="139"/>
    </row>
    <row r="249" spans="1:7" ht="14.25" customHeight="1" x14ac:dyDescent="0.35">
      <c r="A249" s="138" t="s">
        <v>74</v>
      </c>
      <c r="B249" s="139" t="s">
        <v>52</v>
      </c>
      <c r="C249" s="139">
        <v>23088</v>
      </c>
      <c r="D249" s="139"/>
      <c r="E249" s="139"/>
      <c r="F249" s="139"/>
      <c r="G249" s="139"/>
    </row>
    <row r="250" spans="1:7" ht="14.25" customHeight="1" x14ac:dyDescent="0.35">
      <c r="A250" s="138" t="s">
        <v>240</v>
      </c>
      <c r="B250" s="139" t="s">
        <v>55</v>
      </c>
      <c r="C250" s="139">
        <v>33041</v>
      </c>
      <c r="D250" s="139"/>
      <c r="E250" s="139"/>
      <c r="F250" s="139"/>
      <c r="G250" s="139"/>
    </row>
    <row r="251" spans="1:7" ht="14.25" customHeight="1" x14ac:dyDescent="0.35">
      <c r="A251" s="138" t="s">
        <v>318</v>
      </c>
      <c r="B251" s="139" t="s">
        <v>59</v>
      </c>
      <c r="C251" s="139">
        <v>73109</v>
      </c>
      <c r="D251" s="139"/>
      <c r="E251" s="139"/>
      <c r="F251" s="139"/>
      <c r="G251" s="139"/>
    </row>
    <row r="252" spans="1:7" ht="14.25" customHeight="1" x14ac:dyDescent="0.35">
      <c r="A252" s="138" t="s">
        <v>195</v>
      </c>
      <c r="B252" s="139" t="s">
        <v>48</v>
      </c>
      <c r="C252" s="139">
        <v>13044</v>
      </c>
      <c r="D252" s="139"/>
      <c r="E252" s="139"/>
      <c r="F252" s="139"/>
      <c r="G252" s="139"/>
    </row>
    <row r="253" spans="1:7" ht="14.25" customHeight="1" x14ac:dyDescent="0.35">
      <c r="A253" s="138" t="s">
        <v>264</v>
      </c>
      <c r="B253" s="139" t="s">
        <v>48</v>
      </c>
      <c r="C253" s="139">
        <v>13046</v>
      </c>
      <c r="D253" s="139"/>
      <c r="E253" s="139"/>
      <c r="F253" s="139"/>
      <c r="G253" s="139"/>
    </row>
    <row r="254" spans="1:7" ht="14.25" customHeight="1" x14ac:dyDescent="0.35">
      <c r="A254" s="138" t="s">
        <v>262</v>
      </c>
      <c r="B254" s="139" t="s">
        <v>50</v>
      </c>
      <c r="C254" s="139">
        <v>42023</v>
      </c>
      <c r="D254" s="139"/>
      <c r="E254" s="139"/>
      <c r="F254" s="139"/>
      <c r="G254" s="139"/>
    </row>
    <row r="255" spans="1:7" ht="14.25" customHeight="1" x14ac:dyDescent="0.35">
      <c r="A255" s="138" t="s">
        <v>146</v>
      </c>
      <c r="B255" s="139" t="s">
        <v>55</v>
      </c>
      <c r="C255" s="139">
        <v>34040</v>
      </c>
      <c r="D255" s="139"/>
      <c r="E255" s="139"/>
      <c r="F255" s="139"/>
      <c r="G255" s="139"/>
    </row>
    <row r="256" spans="1:7" ht="14.25" customHeight="1" x14ac:dyDescent="0.35">
      <c r="A256" s="138" t="s">
        <v>322</v>
      </c>
      <c r="B256" s="139" t="s">
        <v>59</v>
      </c>
      <c r="C256" s="139">
        <v>73098</v>
      </c>
      <c r="D256" s="139"/>
      <c r="E256" s="139"/>
      <c r="F256" s="139"/>
      <c r="G256" s="139"/>
    </row>
    <row r="257" spans="1:7" ht="14.25" customHeight="1" x14ac:dyDescent="0.35">
      <c r="A257" s="138" t="s">
        <v>162</v>
      </c>
      <c r="B257" s="139" t="s">
        <v>52</v>
      </c>
      <c r="C257" s="139">
        <v>23102</v>
      </c>
      <c r="D257" s="139"/>
      <c r="E257" s="139"/>
      <c r="F257" s="139"/>
      <c r="G257" s="139"/>
    </row>
    <row r="258" spans="1:7" ht="14.25" customHeight="1" x14ac:dyDescent="0.35">
      <c r="A258" s="138" t="s">
        <v>222</v>
      </c>
      <c r="B258" s="139" t="s">
        <v>55</v>
      </c>
      <c r="C258" s="139">
        <v>33029</v>
      </c>
      <c r="D258" s="139"/>
      <c r="E258" s="139"/>
      <c r="F258" s="139"/>
      <c r="G258" s="139"/>
    </row>
    <row r="259" spans="1:7" ht="14.25" customHeight="1" x14ac:dyDescent="0.35">
      <c r="A259" s="138" t="s">
        <v>101</v>
      </c>
      <c r="B259" s="139" t="s">
        <v>48</v>
      </c>
      <c r="C259" s="139">
        <v>13049</v>
      </c>
      <c r="D259" s="139"/>
      <c r="E259" s="139"/>
      <c r="F259" s="139"/>
      <c r="G259" s="139"/>
    </row>
    <row r="260" spans="1:7" ht="14.25" customHeight="1" x14ac:dyDescent="0.35">
      <c r="A260" s="138" t="s">
        <v>89</v>
      </c>
      <c r="B260" s="139" t="s">
        <v>50</v>
      </c>
      <c r="C260" s="139">
        <v>42025</v>
      </c>
      <c r="D260" s="139"/>
      <c r="E260" s="139"/>
      <c r="F260" s="139"/>
      <c r="G260" s="139"/>
    </row>
    <row r="261" spans="1:7" ht="14.25" customHeight="1" x14ac:dyDescent="0.35">
      <c r="A261" s="138" t="s">
        <v>143</v>
      </c>
      <c r="B261" s="139" t="s">
        <v>55</v>
      </c>
      <c r="C261" s="139">
        <v>34041</v>
      </c>
      <c r="D261" s="139"/>
      <c r="E261" s="139"/>
      <c r="F261" s="139"/>
      <c r="G261" s="139"/>
    </row>
    <row r="262" spans="1:7" ht="14.25" customHeight="1" x14ac:dyDescent="0.35">
      <c r="A262" s="138" t="s">
        <v>213</v>
      </c>
      <c r="B262" s="139" t="s">
        <v>52</v>
      </c>
      <c r="C262" s="139">
        <v>23103</v>
      </c>
      <c r="D262" s="139"/>
      <c r="E262" s="139"/>
      <c r="F262" s="139"/>
      <c r="G262" s="139"/>
    </row>
    <row r="263" spans="1:7" ht="14.25" customHeight="1" x14ac:dyDescent="0.35">
      <c r="A263" s="138" t="s">
        <v>205</v>
      </c>
      <c r="B263" s="139" t="s">
        <v>50</v>
      </c>
      <c r="C263" s="139">
        <v>42026</v>
      </c>
      <c r="D263" s="139"/>
      <c r="E263" s="139"/>
      <c r="F263" s="139"/>
      <c r="G263" s="139"/>
    </row>
    <row r="264" spans="1:7" ht="14.25" customHeight="1" x14ac:dyDescent="0.35">
      <c r="A264" s="138" t="s">
        <v>201</v>
      </c>
      <c r="B264" s="139" t="s">
        <v>55</v>
      </c>
      <c r="C264" s="139">
        <v>37017</v>
      </c>
      <c r="D264" s="139"/>
      <c r="E264" s="139"/>
      <c r="F264" s="139"/>
      <c r="G264" s="139"/>
    </row>
    <row r="265" spans="1:7" ht="14.25" customHeight="1" x14ac:dyDescent="0.35">
      <c r="A265" s="138" t="s">
        <v>151</v>
      </c>
      <c r="B265" s="139" t="s">
        <v>48</v>
      </c>
      <c r="C265" s="139">
        <v>11050</v>
      </c>
      <c r="D265" s="139"/>
      <c r="E265" s="139"/>
      <c r="F265" s="139"/>
      <c r="G265" s="139"/>
    </row>
    <row r="266" spans="1:7" ht="14.25" customHeight="1" x14ac:dyDescent="0.35">
      <c r="A266" s="138" t="s">
        <v>142</v>
      </c>
      <c r="B266" s="139" t="s">
        <v>48</v>
      </c>
      <c r="C266" s="139">
        <v>12040</v>
      </c>
      <c r="D266" s="139"/>
      <c r="E266" s="139"/>
      <c r="F266" s="139"/>
      <c r="G266" s="139"/>
    </row>
    <row r="267" spans="1:7" ht="14.25" customHeight="1" x14ac:dyDescent="0.35">
      <c r="A267" s="138" t="s">
        <v>115</v>
      </c>
      <c r="B267" s="139" t="s">
        <v>55</v>
      </c>
      <c r="C267" s="139">
        <v>37018</v>
      </c>
      <c r="D267" s="139"/>
      <c r="E267" s="139"/>
      <c r="F267" s="139"/>
      <c r="G267" s="139"/>
    </row>
    <row r="268" spans="1:7" ht="14.25" customHeight="1" x14ac:dyDescent="0.35">
      <c r="A268" s="138" t="s">
        <v>210</v>
      </c>
      <c r="B268" s="139" t="s">
        <v>48</v>
      </c>
      <c r="C268" s="139">
        <v>11052</v>
      </c>
      <c r="D268" s="139"/>
      <c r="E268" s="139"/>
      <c r="F268" s="139"/>
      <c r="G268" s="139"/>
    </row>
    <row r="269" spans="1:7" ht="14.25" customHeight="1" x14ac:dyDescent="0.35">
      <c r="A269" s="138" t="s">
        <v>246</v>
      </c>
      <c r="B269" s="139" t="s">
        <v>50</v>
      </c>
      <c r="C269" s="139">
        <v>45061</v>
      </c>
      <c r="D269" s="139"/>
      <c r="E269" s="139"/>
      <c r="F269" s="139"/>
      <c r="G269" s="139"/>
    </row>
    <row r="270" spans="1:7" ht="14.25" customHeight="1" x14ac:dyDescent="0.35">
      <c r="A270" s="138" t="s">
        <v>290</v>
      </c>
      <c r="B270" s="139" t="s">
        <v>48</v>
      </c>
      <c r="C270" s="139">
        <v>11053</v>
      </c>
      <c r="D270" s="139"/>
      <c r="E270" s="139"/>
      <c r="F270" s="139"/>
      <c r="G270" s="139"/>
    </row>
    <row r="271" spans="1:7" ht="14.25" customHeight="1" x14ac:dyDescent="0.35">
      <c r="A271" s="138" t="s">
        <v>305</v>
      </c>
      <c r="B271" s="139" t="s">
        <v>48</v>
      </c>
      <c r="C271" s="139">
        <v>11054</v>
      </c>
      <c r="D271" s="139"/>
      <c r="E271" s="139"/>
      <c r="F271" s="139"/>
      <c r="G271" s="139"/>
    </row>
    <row r="272" spans="1:7" ht="14.25" customHeight="1" x14ac:dyDescent="0.35">
      <c r="A272" s="138" t="s">
        <v>105</v>
      </c>
      <c r="B272" s="139" t="s">
        <v>52</v>
      </c>
      <c r="C272" s="139">
        <v>23094</v>
      </c>
      <c r="D272" s="139"/>
      <c r="E272" s="139"/>
      <c r="F272" s="139"/>
      <c r="G272" s="139"/>
    </row>
    <row r="273" spans="1:7" ht="14.25" customHeight="1" x14ac:dyDescent="0.35">
      <c r="A273" s="138" t="s">
        <v>164</v>
      </c>
      <c r="B273" s="139" t="s">
        <v>55</v>
      </c>
      <c r="C273" s="139">
        <v>31040</v>
      </c>
      <c r="D273" s="139"/>
      <c r="E273" s="139"/>
      <c r="F273" s="139"/>
      <c r="G273" s="139"/>
    </row>
    <row r="274" spans="1:7" ht="14.25" customHeight="1" x14ac:dyDescent="0.35">
      <c r="A274" s="138" t="s">
        <v>228</v>
      </c>
      <c r="B274" s="139" t="s">
        <v>50</v>
      </c>
      <c r="C274" s="139">
        <v>42028</v>
      </c>
      <c r="D274" s="139"/>
      <c r="E274" s="139"/>
      <c r="F274" s="139"/>
      <c r="G274" s="139"/>
    </row>
    <row r="275" spans="1:7" ht="14.25" customHeight="1" x14ac:dyDescent="0.35">
      <c r="A275" s="138" t="s">
        <v>269</v>
      </c>
      <c r="B275" s="139" t="s">
        <v>50</v>
      </c>
      <c r="C275" s="139">
        <v>43018</v>
      </c>
      <c r="D275" s="139"/>
      <c r="E275" s="139"/>
      <c r="F275" s="139"/>
      <c r="G275" s="139"/>
    </row>
    <row r="276" spans="1:7" ht="14.25" customHeight="1" x14ac:dyDescent="0.35">
      <c r="A276" s="138" t="s">
        <v>119</v>
      </c>
      <c r="B276" s="139" t="s">
        <v>52</v>
      </c>
      <c r="C276" s="139">
        <v>23096</v>
      </c>
      <c r="D276" s="139"/>
      <c r="E276" s="139"/>
      <c r="F276" s="139"/>
      <c r="G276" s="139"/>
    </row>
    <row r="277" spans="1:7" ht="14.25" customHeight="1" x14ac:dyDescent="0.35">
      <c r="A277" s="138" t="s">
        <v>291</v>
      </c>
      <c r="B277" s="139" t="s">
        <v>48</v>
      </c>
      <c r="C277" s="139">
        <v>11055</v>
      </c>
      <c r="D277" s="139"/>
      <c r="E277" s="139"/>
      <c r="F277" s="139"/>
      <c r="G277" s="139"/>
    </row>
    <row r="278" spans="1:7" ht="14.25" customHeight="1" x14ac:dyDescent="0.35">
      <c r="A278" s="138" t="s">
        <v>289</v>
      </c>
      <c r="B278" s="139" t="s">
        <v>59</v>
      </c>
      <c r="C278" s="139">
        <v>71066</v>
      </c>
      <c r="D278" s="139"/>
      <c r="E278" s="139"/>
      <c r="F278" s="139"/>
      <c r="G278" s="139"/>
    </row>
    <row r="279" spans="1:7" ht="14.25" customHeight="1" x14ac:dyDescent="0.35">
      <c r="A279" s="138" t="s">
        <v>137</v>
      </c>
      <c r="B279" s="139" t="s">
        <v>55</v>
      </c>
      <c r="C279" s="139">
        <v>33037</v>
      </c>
      <c r="D279" s="139"/>
      <c r="E279" s="139"/>
      <c r="F279" s="139"/>
      <c r="G279" s="139"/>
    </row>
    <row r="280" spans="1:7" ht="14.25" customHeight="1" x14ac:dyDescent="0.35">
      <c r="A280" s="138" t="s">
        <v>120</v>
      </c>
      <c r="B280" s="139" t="s">
        <v>50</v>
      </c>
      <c r="C280" s="139">
        <v>41081</v>
      </c>
      <c r="D280" s="139"/>
      <c r="E280" s="139"/>
      <c r="F280" s="139"/>
      <c r="G280" s="139"/>
    </row>
    <row r="281" spans="1:7" ht="14.25" customHeight="1" x14ac:dyDescent="0.35">
      <c r="A281" s="138" t="s">
        <v>255</v>
      </c>
      <c r="B281" s="139" t="s">
        <v>52</v>
      </c>
      <c r="C281" s="139">
        <v>24130</v>
      </c>
      <c r="D281" s="139"/>
      <c r="E281" s="139"/>
      <c r="F281" s="139"/>
      <c r="G281" s="139"/>
    </row>
    <row r="282" spans="1:7" ht="14.25" customHeight="1" x14ac:dyDescent="0.35">
      <c r="A282" s="138" t="s">
        <v>316</v>
      </c>
      <c r="B282" s="139" t="s">
        <v>55</v>
      </c>
      <c r="C282" s="139">
        <v>31042</v>
      </c>
      <c r="D282" s="139"/>
      <c r="E282" s="139"/>
      <c r="F282" s="139"/>
      <c r="G282" s="139"/>
    </row>
    <row r="283" spans="1:7" ht="14.25" customHeight="1" x14ac:dyDescent="0.35">
      <c r="A283" s="138" t="s">
        <v>111</v>
      </c>
      <c r="B283" s="139" t="s">
        <v>50</v>
      </c>
      <c r="C283" s="139">
        <v>44081</v>
      </c>
      <c r="D283" s="139"/>
      <c r="E283" s="139"/>
      <c r="F283" s="139"/>
      <c r="G283" s="139"/>
    </row>
    <row r="284" spans="1:7" ht="14.25" customHeight="1" x14ac:dyDescent="0.35">
      <c r="A284" s="138" t="s">
        <v>321</v>
      </c>
      <c r="B284" s="139" t="s">
        <v>59</v>
      </c>
      <c r="C284" s="139">
        <v>71067</v>
      </c>
      <c r="D284" s="139"/>
      <c r="E284" s="139"/>
      <c r="F284" s="139"/>
      <c r="G284" s="139"/>
    </row>
    <row r="285" spans="1:7" ht="14.25" customHeight="1" x14ac:dyDescent="0.35">
      <c r="A285" s="138" t="s">
        <v>149</v>
      </c>
      <c r="B285" s="139" t="s">
        <v>50</v>
      </c>
      <c r="C285" s="139">
        <v>45065</v>
      </c>
      <c r="D285" s="139"/>
      <c r="E285" s="139"/>
      <c r="F285" s="139"/>
      <c r="G285" s="139"/>
    </row>
    <row r="286" spans="1:7" ht="14.25" customHeight="1" x14ac:dyDescent="0.35">
      <c r="A286" s="138" t="s">
        <v>186</v>
      </c>
      <c r="B286" s="139" t="s">
        <v>55</v>
      </c>
      <c r="C286" s="139">
        <v>34042</v>
      </c>
      <c r="D286" s="139"/>
      <c r="E286" s="139"/>
      <c r="F286" s="139"/>
      <c r="G286" s="139"/>
    </row>
    <row r="287" spans="1:7" ht="14.25" customHeight="1" x14ac:dyDescent="0.35">
      <c r="A287" s="138"/>
      <c r="B287" s="139"/>
      <c r="C287" s="139"/>
      <c r="D287" s="139">
        <v>4</v>
      </c>
      <c r="E287" s="139">
        <v>4</v>
      </c>
      <c r="F287" s="139"/>
      <c r="G287" s="139"/>
    </row>
    <row r="288" spans="1:7"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2">
    <dataValidation type="custom" allowBlank="1" showDropDown="1" sqref="C2:C286" xr:uid="{00000000-0002-0000-0A00-000000000000}">
      <formula1>AND(ISNUMBER(C2),(NOT(OR(NOT(ISERROR(DATEVALUE(C2))), AND(ISNUMBER(C2), LEFT(CELL("format", C2))="D")))))</formula1>
    </dataValidation>
    <dataValidation type="list" allowBlank="1" showDropDown="1" showErrorMessage="1" sqref="B2:B286" xr:uid="{00000000-0002-0000-0A00-000001000000}">
      <formula1>"Oost-Vlaanderen,Vlaams-Brabant,Antwerpen,Limburg,West-Vlaanderen"</formula1>
    </dataValidation>
  </dataValidations>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0"/>
  <sheetViews>
    <sheetView workbookViewId="0"/>
  </sheetViews>
  <sheetFormatPr defaultColWidth="14.453125" defaultRowHeight="15" customHeight="1" x14ac:dyDescent="0.35"/>
  <cols>
    <col min="1" max="1" width="14.26953125" customWidth="1"/>
    <col min="2" max="2" width="16.7265625" customWidth="1"/>
    <col min="3" max="3" width="8.7265625" customWidth="1"/>
    <col min="4" max="4" width="14" customWidth="1"/>
    <col min="5" max="5" width="13" customWidth="1"/>
    <col min="6" max="6" width="14.08984375" customWidth="1"/>
    <col min="7" max="7" width="14.26953125" customWidth="1"/>
    <col min="9" max="9" width="13.54296875" customWidth="1"/>
    <col min="10" max="10" width="19.81640625" customWidth="1"/>
    <col min="11" max="11" width="17.08984375" customWidth="1"/>
    <col min="12" max="26" width="8.7265625" customWidth="1"/>
  </cols>
  <sheetData>
    <row r="1" spans="1:11" ht="43.5" customHeight="1" x14ac:dyDescent="0.35">
      <c r="A1" s="3" t="s">
        <v>0</v>
      </c>
      <c r="B1" s="2" t="s">
        <v>1</v>
      </c>
      <c r="C1" s="3" t="s">
        <v>2</v>
      </c>
      <c r="D1" s="3" t="s">
        <v>7</v>
      </c>
      <c r="E1" s="3" t="s">
        <v>8</v>
      </c>
      <c r="F1" s="3" t="s">
        <v>10</v>
      </c>
      <c r="G1" s="3" t="s">
        <v>11</v>
      </c>
      <c r="H1" s="3" t="s">
        <v>13</v>
      </c>
      <c r="I1" s="3" t="s">
        <v>14</v>
      </c>
      <c r="J1" s="3" t="s">
        <v>23</v>
      </c>
      <c r="K1" s="3" t="s">
        <v>24</v>
      </c>
    </row>
    <row r="2" spans="1:11" ht="14.25" customHeight="1" x14ac:dyDescent="0.35">
      <c r="A2" s="2" t="s">
        <v>65</v>
      </c>
      <c r="B2" s="13" t="s">
        <v>50</v>
      </c>
      <c r="C2" s="13">
        <v>41002</v>
      </c>
      <c r="D2" s="13">
        <v>0</v>
      </c>
    </row>
    <row r="3" spans="1:11" ht="14.25" customHeight="1" x14ac:dyDescent="0.35">
      <c r="A3" s="2" t="s">
        <v>231</v>
      </c>
      <c r="B3" s="13" t="s">
        <v>50</v>
      </c>
      <c r="C3" s="13">
        <v>44084</v>
      </c>
      <c r="D3" s="13">
        <v>0</v>
      </c>
    </row>
    <row r="4" spans="1:11" ht="14.25" customHeight="1" x14ac:dyDescent="0.35">
      <c r="A4" s="2" t="s">
        <v>84</v>
      </c>
      <c r="B4" s="13" t="s">
        <v>52</v>
      </c>
      <c r="C4" s="13">
        <v>24001</v>
      </c>
      <c r="D4" s="13">
        <v>0</v>
      </c>
    </row>
    <row r="5" spans="1:11" ht="14.25" customHeight="1" x14ac:dyDescent="0.35">
      <c r="A5" s="2" t="s">
        <v>335</v>
      </c>
      <c r="B5" s="13" t="s">
        <v>48</v>
      </c>
      <c r="C5" s="13">
        <v>11001</v>
      </c>
      <c r="D5" s="13">
        <v>0</v>
      </c>
    </row>
    <row r="6" spans="1:11" ht="14.25" customHeight="1" x14ac:dyDescent="0.35">
      <c r="A6" s="2" t="s">
        <v>306</v>
      </c>
      <c r="B6" s="13" t="s">
        <v>52</v>
      </c>
      <c r="C6" s="13">
        <v>23105</v>
      </c>
      <c r="D6" s="13">
        <v>0</v>
      </c>
    </row>
    <row r="7" spans="1:11" ht="14.25" customHeight="1" x14ac:dyDescent="0.35">
      <c r="A7" s="2" t="s">
        <v>279</v>
      </c>
      <c r="B7" s="13" t="s">
        <v>59</v>
      </c>
      <c r="C7" s="13">
        <v>73001</v>
      </c>
      <c r="D7" s="13">
        <v>0</v>
      </c>
    </row>
    <row r="8" spans="1:11" ht="14.25" customHeight="1" x14ac:dyDescent="0.35">
      <c r="A8" s="2" t="s">
        <v>242</v>
      </c>
      <c r="B8" s="13" t="s">
        <v>55</v>
      </c>
      <c r="C8" s="13">
        <v>38002</v>
      </c>
      <c r="D8" s="13">
        <v>0</v>
      </c>
    </row>
    <row r="9" spans="1:11" ht="14.25" customHeight="1" x14ac:dyDescent="0.35">
      <c r="A9" s="2" t="s">
        <v>48</v>
      </c>
      <c r="B9" s="13" t="s">
        <v>48</v>
      </c>
      <c r="C9" s="13">
        <v>11002</v>
      </c>
      <c r="D9" s="13">
        <v>170</v>
      </c>
      <c r="E9" s="13">
        <v>170</v>
      </c>
      <c r="F9" s="13">
        <v>160</v>
      </c>
      <c r="G9" s="13">
        <v>160</v>
      </c>
      <c r="H9" s="13">
        <v>345</v>
      </c>
      <c r="I9" s="13">
        <v>345</v>
      </c>
      <c r="J9" s="13">
        <v>290</v>
      </c>
      <c r="K9" s="13">
        <v>290</v>
      </c>
    </row>
    <row r="10" spans="1:11" ht="14.25" customHeight="1" x14ac:dyDescent="0.35">
      <c r="A10" s="2" t="s">
        <v>276</v>
      </c>
      <c r="B10" s="13" t="s">
        <v>55</v>
      </c>
      <c r="C10" s="13">
        <v>34002</v>
      </c>
      <c r="D10" s="13">
        <v>0</v>
      </c>
    </row>
    <row r="11" spans="1:11" ht="14.25" customHeight="1" x14ac:dyDescent="0.35">
      <c r="A11" s="2" t="s">
        <v>199</v>
      </c>
      <c r="B11" s="13" t="s">
        <v>55</v>
      </c>
      <c r="C11" s="13">
        <v>37020</v>
      </c>
      <c r="D11" s="13">
        <v>0</v>
      </c>
    </row>
    <row r="12" spans="1:11" ht="14.25" customHeight="1" x14ac:dyDescent="0.35">
      <c r="A12" s="2" t="s">
        <v>304</v>
      </c>
      <c r="B12" s="13" t="s">
        <v>48</v>
      </c>
      <c r="C12" s="13">
        <v>13001</v>
      </c>
      <c r="D12" s="13">
        <v>0</v>
      </c>
    </row>
    <row r="13" spans="1:11" ht="14.25" customHeight="1" x14ac:dyDescent="0.35">
      <c r="A13" s="2" t="s">
        <v>307</v>
      </c>
      <c r="B13" s="13" t="s">
        <v>59</v>
      </c>
      <c r="C13" s="13">
        <v>71002</v>
      </c>
      <c r="D13" s="13">
        <v>0</v>
      </c>
    </row>
    <row r="14" spans="1:11" ht="14.25" customHeight="1" x14ac:dyDescent="0.35">
      <c r="A14" s="2" t="s">
        <v>131</v>
      </c>
      <c r="B14" s="13" t="s">
        <v>52</v>
      </c>
      <c r="C14" s="13">
        <v>23002</v>
      </c>
      <c r="D14" s="13">
        <v>0</v>
      </c>
    </row>
    <row r="15" spans="1:11" ht="14.25" customHeight="1" x14ac:dyDescent="0.35">
      <c r="A15" s="2" t="s">
        <v>177</v>
      </c>
      <c r="B15" s="13" t="s">
        <v>50</v>
      </c>
      <c r="C15" s="13">
        <v>43002</v>
      </c>
      <c r="D15" s="13">
        <v>0</v>
      </c>
    </row>
    <row r="16" spans="1:11" ht="14.25" customHeight="1" x14ac:dyDescent="0.35">
      <c r="A16" s="2" t="s">
        <v>260</v>
      </c>
      <c r="B16" s="13" t="s">
        <v>55</v>
      </c>
      <c r="C16" s="13">
        <v>34003</v>
      </c>
      <c r="D16" s="13">
        <v>0</v>
      </c>
    </row>
    <row r="17" spans="1:4" ht="14.25" customHeight="1" x14ac:dyDescent="0.35">
      <c r="A17" s="2" t="s">
        <v>317</v>
      </c>
      <c r="B17" s="13" t="s">
        <v>48</v>
      </c>
      <c r="C17" s="13">
        <v>13002</v>
      </c>
      <c r="D17" s="13">
        <v>0</v>
      </c>
    </row>
    <row r="18" spans="1:4" ht="14.25" customHeight="1" x14ac:dyDescent="0.35">
      <c r="A18" s="2" t="s">
        <v>125</v>
      </c>
      <c r="B18" s="13" t="s">
        <v>48</v>
      </c>
      <c r="C18" s="13">
        <v>13003</v>
      </c>
      <c r="D18" s="13">
        <v>0</v>
      </c>
    </row>
    <row r="19" spans="1:4" ht="14.25" customHeight="1" x14ac:dyDescent="0.35">
      <c r="A19" s="2" t="s">
        <v>112</v>
      </c>
      <c r="B19" s="13" t="s">
        <v>55</v>
      </c>
      <c r="C19" s="13">
        <v>31003</v>
      </c>
      <c r="D19" s="13">
        <v>0</v>
      </c>
    </row>
    <row r="20" spans="1:4" ht="14.25" customHeight="1" x14ac:dyDescent="0.35">
      <c r="A20" s="2" t="s">
        <v>221</v>
      </c>
      <c r="B20" s="13" t="s">
        <v>48</v>
      </c>
      <c r="C20" s="13">
        <v>13004</v>
      </c>
      <c r="D20" s="13">
        <v>0</v>
      </c>
    </row>
    <row r="21" spans="1:4" ht="14.25" customHeight="1" x14ac:dyDescent="0.35">
      <c r="A21" s="2" t="s">
        <v>128</v>
      </c>
      <c r="B21" s="13" t="s">
        <v>52</v>
      </c>
      <c r="C21" s="13">
        <v>23003</v>
      </c>
      <c r="D21" s="13">
        <v>0</v>
      </c>
    </row>
    <row r="22" spans="1:4" ht="14.25" customHeight="1" x14ac:dyDescent="0.35">
      <c r="A22" s="2" t="s">
        <v>327</v>
      </c>
      <c r="B22" s="13" t="s">
        <v>52</v>
      </c>
      <c r="C22" s="13">
        <v>24007</v>
      </c>
      <c r="D22" s="13">
        <v>0</v>
      </c>
    </row>
    <row r="23" spans="1:4" ht="14.25" customHeight="1" x14ac:dyDescent="0.35">
      <c r="A23" s="2" t="s">
        <v>249</v>
      </c>
      <c r="B23" s="13" t="s">
        <v>52</v>
      </c>
      <c r="C23" s="13">
        <v>24008</v>
      </c>
      <c r="D23" s="13">
        <v>0</v>
      </c>
    </row>
    <row r="24" spans="1:4" ht="14.25" customHeight="1" x14ac:dyDescent="0.35">
      <c r="A24" s="2" t="s">
        <v>235</v>
      </c>
      <c r="B24" s="13" t="s">
        <v>59</v>
      </c>
      <c r="C24" s="13">
        <v>71004</v>
      </c>
      <c r="D24" s="13">
        <v>0</v>
      </c>
    </row>
    <row r="25" spans="1:4" ht="14.25" customHeight="1" x14ac:dyDescent="0.35">
      <c r="A25" s="2" t="s">
        <v>136</v>
      </c>
      <c r="B25" s="13" t="s">
        <v>48</v>
      </c>
      <c r="C25" s="13">
        <v>12002</v>
      </c>
      <c r="D25" s="13">
        <v>0</v>
      </c>
    </row>
    <row r="26" spans="1:4" ht="14.25" customHeight="1" x14ac:dyDescent="0.35">
      <c r="A26" s="2" t="s">
        <v>216</v>
      </c>
      <c r="B26" s="13" t="s">
        <v>50</v>
      </c>
      <c r="C26" s="13">
        <v>42003</v>
      </c>
      <c r="D26" s="13">
        <v>0</v>
      </c>
    </row>
    <row r="27" spans="1:4" ht="14.25" customHeight="1" x14ac:dyDescent="0.35">
      <c r="A27" s="2" t="s">
        <v>259</v>
      </c>
      <c r="B27" s="13" t="s">
        <v>52</v>
      </c>
      <c r="C27" s="13">
        <v>24009</v>
      </c>
      <c r="D27" s="13">
        <v>0</v>
      </c>
    </row>
    <row r="28" spans="1:4" ht="14.25" customHeight="1" x14ac:dyDescent="0.35">
      <c r="A28" s="2" t="s">
        <v>315</v>
      </c>
      <c r="B28" s="13" t="s">
        <v>52</v>
      </c>
      <c r="C28" s="13">
        <v>23009</v>
      </c>
      <c r="D28" s="13">
        <v>0</v>
      </c>
    </row>
    <row r="29" spans="1:4" ht="14.25" customHeight="1" x14ac:dyDescent="0.35">
      <c r="A29" s="2" t="s">
        <v>337</v>
      </c>
      <c r="B29" s="13" t="s">
        <v>50</v>
      </c>
      <c r="C29" s="13">
        <v>46003</v>
      </c>
      <c r="D29" s="13">
        <v>0</v>
      </c>
    </row>
    <row r="30" spans="1:4" ht="14.25" customHeight="1" x14ac:dyDescent="0.35">
      <c r="A30" s="2" t="s">
        <v>109</v>
      </c>
      <c r="B30" s="13" t="s">
        <v>52</v>
      </c>
      <c r="C30" s="13">
        <v>24011</v>
      </c>
      <c r="D30" s="13">
        <v>0</v>
      </c>
    </row>
    <row r="31" spans="1:4" ht="14.25" customHeight="1" x14ac:dyDescent="0.35">
      <c r="A31" s="2" t="s">
        <v>338</v>
      </c>
      <c r="B31" s="13" t="s">
        <v>59</v>
      </c>
      <c r="C31" s="13">
        <v>73006</v>
      </c>
      <c r="D31" s="13">
        <v>0</v>
      </c>
    </row>
    <row r="32" spans="1:4" ht="14.25" customHeight="1" x14ac:dyDescent="0.35">
      <c r="A32" s="2" t="s">
        <v>99</v>
      </c>
      <c r="B32" s="13" t="s">
        <v>55</v>
      </c>
      <c r="C32" s="13">
        <v>31004</v>
      </c>
      <c r="D32" s="13">
        <v>0</v>
      </c>
    </row>
    <row r="33" spans="1:4" ht="14.25" customHeight="1" x14ac:dyDescent="0.35">
      <c r="A33" s="2" t="s">
        <v>329</v>
      </c>
      <c r="B33" s="13" t="s">
        <v>59</v>
      </c>
      <c r="C33" s="13">
        <v>72003</v>
      </c>
      <c r="D33" s="13">
        <v>0</v>
      </c>
    </row>
    <row r="34" spans="1:4" ht="14.25" customHeight="1" x14ac:dyDescent="0.35">
      <c r="A34" s="2" t="s">
        <v>271</v>
      </c>
      <c r="B34" s="13" t="s">
        <v>48</v>
      </c>
      <c r="C34" s="13">
        <v>11004</v>
      </c>
      <c r="D34" s="13">
        <v>0</v>
      </c>
    </row>
    <row r="35" spans="1:4" ht="14.25" customHeight="1" x14ac:dyDescent="0.35">
      <c r="A35" s="2" t="s">
        <v>97</v>
      </c>
      <c r="B35" s="13" t="s">
        <v>48</v>
      </c>
      <c r="C35" s="13">
        <v>12005</v>
      </c>
      <c r="D35" s="13">
        <v>0</v>
      </c>
    </row>
    <row r="36" spans="1:4" ht="14.25" customHeight="1" x14ac:dyDescent="0.35">
      <c r="A36" s="2" t="s">
        <v>224</v>
      </c>
      <c r="B36" s="13" t="s">
        <v>48</v>
      </c>
      <c r="C36" s="13">
        <v>11005</v>
      </c>
      <c r="D36" s="13">
        <v>0</v>
      </c>
    </row>
    <row r="37" spans="1:4" ht="14.25" customHeight="1" x14ac:dyDescent="0.35">
      <c r="A37" s="2" t="s">
        <v>157</v>
      </c>
      <c r="B37" s="13" t="s">
        <v>52</v>
      </c>
      <c r="C37" s="13">
        <v>24014</v>
      </c>
      <c r="D37" s="13">
        <v>0</v>
      </c>
    </row>
    <row r="38" spans="1:4" ht="14.25" customHeight="1" x14ac:dyDescent="0.35">
      <c r="A38" s="2" t="s">
        <v>339</v>
      </c>
      <c r="B38" s="13" t="s">
        <v>59</v>
      </c>
      <c r="C38" s="13">
        <v>73009</v>
      </c>
      <c r="D38" s="13">
        <v>0</v>
      </c>
    </row>
    <row r="39" spans="1:4" ht="14.25" customHeight="1" x14ac:dyDescent="0.35">
      <c r="A39" s="2" t="s">
        <v>184</v>
      </c>
      <c r="B39" s="13" t="s">
        <v>48</v>
      </c>
      <c r="C39" s="13">
        <v>12007</v>
      </c>
      <c r="D39" s="13">
        <v>0</v>
      </c>
    </row>
    <row r="40" spans="1:4" ht="14.25" customHeight="1" x14ac:dyDescent="0.35">
      <c r="A40" s="2" t="s">
        <v>340</v>
      </c>
      <c r="B40" s="13" t="s">
        <v>48</v>
      </c>
      <c r="C40" s="13">
        <v>11007</v>
      </c>
      <c r="D40" s="13">
        <v>0</v>
      </c>
    </row>
    <row r="41" spans="1:4" ht="14.25" customHeight="1" x14ac:dyDescent="0.35">
      <c r="A41" s="2" t="s">
        <v>170</v>
      </c>
      <c r="B41" s="13" t="s">
        <v>52</v>
      </c>
      <c r="C41" s="13">
        <v>24016</v>
      </c>
      <c r="D41" s="13">
        <v>0</v>
      </c>
    </row>
    <row r="42" spans="1:4" ht="14.25" customHeight="1" x14ac:dyDescent="0.35">
      <c r="A42" s="2" t="s">
        <v>275</v>
      </c>
      <c r="B42" s="13" t="s">
        <v>50</v>
      </c>
      <c r="C42" s="13">
        <v>45059</v>
      </c>
      <c r="D42" s="13">
        <v>0</v>
      </c>
    </row>
    <row r="43" spans="1:4" ht="14.25" customHeight="1" x14ac:dyDescent="0.35">
      <c r="A43" s="2" t="s">
        <v>106</v>
      </c>
      <c r="B43" s="13" t="s">
        <v>48</v>
      </c>
      <c r="C43" s="13">
        <v>11008</v>
      </c>
      <c r="D43" s="13">
        <v>0</v>
      </c>
    </row>
    <row r="44" spans="1:4" ht="14.25" customHeight="1" x14ac:dyDescent="0.35">
      <c r="A44" s="2" t="s">
        <v>294</v>
      </c>
      <c r="B44" s="13" t="s">
        <v>48</v>
      </c>
      <c r="C44" s="13">
        <v>11009</v>
      </c>
      <c r="D44" s="13">
        <v>0</v>
      </c>
    </row>
    <row r="45" spans="1:4" ht="14.25" customHeight="1" x14ac:dyDescent="0.35">
      <c r="A45" s="2" t="s">
        <v>219</v>
      </c>
      <c r="B45" s="13" t="s">
        <v>55</v>
      </c>
      <c r="C45" s="13">
        <v>35002</v>
      </c>
      <c r="D45" s="13">
        <v>0</v>
      </c>
    </row>
    <row r="46" spans="1:4" ht="14.25" customHeight="1" x14ac:dyDescent="0.35">
      <c r="A46" s="2" t="s">
        <v>227</v>
      </c>
      <c r="B46" s="13" t="s">
        <v>59</v>
      </c>
      <c r="C46" s="13">
        <v>72004</v>
      </c>
      <c r="D46" s="13">
        <v>0</v>
      </c>
    </row>
    <row r="47" spans="1:4" ht="14.25" customHeight="1" x14ac:dyDescent="0.35">
      <c r="A47" s="2" t="s">
        <v>54</v>
      </c>
      <c r="B47" s="13" t="s">
        <v>55</v>
      </c>
      <c r="C47" s="13">
        <v>31005</v>
      </c>
      <c r="D47" s="13">
        <v>0</v>
      </c>
    </row>
    <row r="48" spans="1:4" ht="14.25" customHeight="1" x14ac:dyDescent="0.35">
      <c r="A48" s="2" t="s">
        <v>274</v>
      </c>
      <c r="B48" s="13" t="s">
        <v>50</v>
      </c>
      <c r="C48" s="13">
        <v>42004</v>
      </c>
      <c r="D48" s="13">
        <v>0</v>
      </c>
    </row>
    <row r="49" spans="1:4" ht="14.25" customHeight="1" x14ac:dyDescent="0.35">
      <c r="A49" s="2" t="s">
        <v>96</v>
      </c>
      <c r="B49" s="13" t="s">
        <v>55</v>
      </c>
      <c r="C49" s="13">
        <v>31006</v>
      </c>
      <c r="D49" s="13">
        <v>0</v>
      </c>
    </row>
    <row r="50" spans="1:4" ht="14.25" customHeight="1" x14ac:dyDescent="0.35">
      <c r="A50" s="2" t="s">
        <v>268</v>
      </c>
      <c r="B50" s="13" t="s">
        <v>55</v>
      </c>
      <c r="C50" s="13">
        <v>35029</v>
      </c>
      <c r="D50" s="13">
        <v>0</v>
      </c>
    </row>
    <row r="51" spans="1:4" ht="14.25" customHeight="1" x14ac:dyDescent="0.35">
      <c r="A51" s="2" t="s">
        <v>135</v>
      </c>
      <c r="B51" s="13" t="s">
        <v>55</v>
      </c>
      <c r="C51" s="13">
        <v>38008</v>
      </c>
      <c r="D51" s="13">
        <v>0</v>
      </c>
    </row>
    <row r="52" spans="1:4" ht="14.25" customHeight="1" x14ac:dyDescent="0.35">
      <c r="A52" s="2" t="s">
        <v>341</v>
      </c>
      <c r="B52" s="13" t="s">
        <v>50</v>
      </c>
      <c r="C52" s="13">
        <v>44012</v>
      </c>
      <c r="D52" s="13">
        <v>0</v>
      </c>
    </row>
    <row r="53" spans="1:4" ht="14.25" customHeight="1" x14ac:dyDescent="0.35">
      <c r="A53" s="2" t="s">
        <v>156</v>
      </c>
      <c r="B53" s="13" t="s">
        <v>55</v>
      </c>
      <c r="C53" s="13">
        <v>34009</v>
      </c>
      <c r="D53" s="13">
        <v>0</v>
      </c>
    </row>
    <row r="54" spans="1:4" ht="14.25" customHeight="1" x14ac:dyDescent="0.35">
      <c r="A54" s="2" t="s">
        <v>62</v>
      </c>
      <c r="B54" s="13" t="s">
        <v>50</v>
      </c>
      <c r="C54" s="13">
        <v>44083</v>
      </c>
      <c r="D54" s="13">
        <v>0</v>
      </c>
    </row>
    <row r="55" spans="1:4" ht="14.25" customHeight="1" x14ac:dyDescent="0.35">
      <c r="A55" s="2" t="s">
        <v>182</v>
      </c>
      <c r="B55" s="13" t="s">
        <v>50</v>
      </c>
      <c r="C55" s="13">
        <v>41011</v>
      </c>
      <c r="D55" s="13">
        <v>0</v>
      </c>
    </row>
    <row r="56" spans="1:4" ht="14.25" customHeight="1" x14ac:dyDescent="0.35">
      <c r="A56" s="2" t="s">
        <v>80</v>
      </c>
      <c r="B56" s="13" t="s">
        <v>50</v>
      </c>
      <c r="C56" s="13">
        <v>42006</v>
      </c>
      <c r="D56" s="13">
        <v>0</v>
      </c>
    </row>
    <row r="57" spans="1:4" ht="14.25" customHeight="1" x14ac:dyDescent="0.35">
      <c r="A57" s="2" t="s">
        <v>168</v>
      </c>
      <c r="B57" s="13" t="s">
        <v>55</v>
      </c>
      <c r="C57" s="13">
        <v>37002</v>
      </c>
      <c r="D57" s="13">
        <v>0</v>
      </c>
    </row>
    <row r="58" spans="1:4" ht="14.25" customHeight="1" x14ac:dyDescent="0.35">
      <c r="A58" s="2" t="s">
        <v>301</v>
      </c>
      <c r="B58" s="13" t="s">
        <v>48</v>
      </c>
      <c r="C58" s="13">
        <v>13006</v>
      </c>
      <c r="D58" s="13">
        <v>0</v>
      </c>
    </row>
    <row r="59" spans="1:4" ht="14.25" customHeight="1" x14ac:dyDescent="0.35">
      <c r="A59" s="2" t="s">
        <v>71</v>
      </c>
      <c r="B59" s="13" t="s">
        <v>50</v>
      </c>
      <c r="C59" s="13">
        <v>44013</v>
      </c>
      <c r="D59" s="13">
        <v>0</v>
      </c>
    </row>
    <row r="60" spans="1:4" ht="14.25" customHeight="1" x14ac:dyDescent="0.35">
      <c r="A60" s="2" t="s">
        <v>309</v>
      </c>
      <c r="B60" s="13" t="s">
        <v>59</v>
      </c>
      <c r="C60" s="13">
        <v>71011</v>
      </c>
      <c r="D60" s="13">
        <v>0</v>
      </c>
    </row>
    <row r="61" spans="1:4" ht="14.25" customHeight="1" x14ac:dyDescent="0.35">
      <c r="A61" s="2" t="s">
        <v>88</v>
      </c>
      <c r="B61" s="13" t="s">
        <v>52</v>
      </c>
      <c r="C61" s="13">
        <v>24020</v>
      </c>
      <c r="D61" s="13">
        <v>0</v>
      </c>
    </row>
    <row r="62" spans="1:4" ht="14.25" customHeight="1" x14ac:dyDescent="0.35">
      <c r="A62" s="2" t="s">
        <v>280</v>
      </c>
      <c r="B62" s="13" t="s">
        <v>55</v>
      </c>
      <c r="C62" s="13">
        <v>32003</v>
      </c>
      <c r="D62" s="13">
        <v>0</v>
      </c>
    </row>
    <row r="63" spans="1:4" ht="14.25" customHeight="1" x14ac:dyDescent="0.35">
      <c r="A63" s="2" t="s">
        <v>85</v>
      </c>
      <c r="B63" s="13" t="s">
        <v>52</v>
      </c>
      <c r="C63" s="13">
        <v>23016</v>
      </c>
      <c r="D63" s="13">
        <v>0</v>
      </c>
    </row>
    <row r="64" spans="1:4" ht="14.25" customHeight="1" x14ac:dyDescent="0.35">
      <c r="A64" s="2" t="s">
        <v>333</v>
      </c>
      <c r="B64" s="13" t="s">
        <v>59</v>
      </c>
      <c r="C64" s="13">
        <v>72041</v>
      </c>
      <c r="D64" s="13">
        <v>0</v>
      </c>
    </row>
    <row r="65" spans="1:9" ht="14.25" customHeight="1" x14ac:dyDescent="0.35">
      <c r="A65" s="2" t="s">
        <v>298</v>
      </c>
      <c r="B65" s="13" t="s">
        <v>52</v>
      </c>
      <c r="C65" s="13">
        <v>23098</v>
      </c>
      <c r="D65" s="13">
        <v>0</v>
      </c>
    </row>
    <row r="66" spans="1:9" ht="14.25" customHeight="1" x14ac:dyDescent="0.35">
      <c r="A66" s="2" t="s">
        <v>140</v>
      </c>
      <c r="B66" s="13" t="s">
        <v>48</v>
      </c>
      <c r="C66" s="13">
        <v>12009</v>
      </c>
      <c r="D66" s="13">
        <v>0</v>
      </c>
    </row>
    <row r="67" spans="1:9" ht="14.25" customHeight="1" x14ac:dyDescent="0.35">
      <c r="A67" s="2" t="s">
        <v>123</v>
      </c>
      <c r="B67" s="13" t="s">
        <v>48</v>
      </c>
      <c r="C67" s="13">
        <v>11013</v>
      </c>
      <c r="D67" s="13">
        <v>0</v>
      </c>
    </row>
    <row r="68" spans="1:9" ht="14.25" customHeight="1" x14ac:dyDescent="0.35">
      <c r="A68" s="2" t="s">
        <v>118</v>
      </c>
      <c r="B68" s="13" t="s">
        <v>50</v>
      </c>
      <c r="C68" s="13">
        <v>43005</v>
      </c>
      <c r="D68" s="13">
        <v>0</v>
      </c>
    </row>
    <row r="69" spans="1:9" ht="14.25" customHeight="1" x14ac:dyDescent="0.35">
      <c r="A69" s="2" t="s">
        <v>116</v>
      </c>
      <c r="B69" s="13" t="s">
        <v>50</v>
      </c>
      <c r="C69" s="13">
        <v>41082</v>
      </c>
      <c r="D69" s="13">
        <v>0</v>
      </c>
    </row>
    <row r="70" spans="1:9" ht="14.25" customHeight="1" x14ac:dyDescent="0.35">
      <c r="A70" s="2" t="s">
        <v>180</v>
      </c>
      <c r="B70" s="13" t="s">
        <v>48</v>
      </c>
      <c r="C70" s="13">
        <v>11016</v>
      </c>
      <c r="D70" s="13">
        <v>0</v>
      </c>
    </row>
    <row r="71" spans="1:9" ht="14.25" customHeight="1" x14ac:dyDescent="0.35">
      <c r="A71" s="2" t="s">
        <v>90</v>
      </c>
      <c r="B71" s="13" t="s">
        <v>50</v>
      </c>
      <c r="C71" s="13">
        <v>44019</v>
      </c>
      <c r="D71" s="13">
        <v>0</v>
      </c>
    </row>
    <row r="72" spans="1:9" ht="14.25" customHeight="1" x14ac:dyDescent="0.35">
      <c r="A72" s="2" t="s">
        <v>342</v>
      </c>
      <c r="B72" s="13" t="s">
        <v>52</v>
      </c>
      <c r="C72" s="13">
        <v>23023</v>
      </c>
      <c r="D72" s="13">
        <v>0</v>
      </c>
    </row>
    <row r="73" spans="1:9" ht="14.25" customHeight="1" x14ac:dyDescent="0.35">
      <c r="A73" s="2" t="s">
        <v>209</v>
      </c>
      <c r="B73" s="13" t="s">
        <v>50</v>
      </c>
      <c r="C73" s="13">
        <v>44020</v>
      </c>
      <c r="D73" s="13">
        <v>0</v>
      </c>
    </row>
    <row r="74" spans="1:9" ht="14.25" customHeight="1" x14ac:dyDescent="0.35">
      <c r="A74" s="2" t="s">
        <v>91</v>
      </c>
      <c r="B74" s="13" t="s">
        <v>48</v>
      </c>
      <c r="C74" s="13">
        <v>13008</v>
      </c>
      <c r="D74" s="13">
        <v>0</v>
      </c>
    </row>
    <row r="75" spans="1:9" ht="14.25" customHeight="1" x14ac:dyDescent="0.35">
      <c r="A75" s="2" t="s">
        <v>245</v>
      </c>
      <c r="B75" s="13" t="s">
        <v>52</v>
      </c>
      <c r="C75" s="13">
        <v>24028</v>
      </c>
      <c r="D75" s="13">
        <v>0</v>
      </c>
    </row>
    <row r="76" spans="1:9" ht="14.25" customHeight="1" x14ac:dyDescent="0.35">
      <c r="A76" s="2" t="s">
        <v>95</v>
      </c>
      <c r="B76" s="13" t="s">
        <v>59</v>
      </c>
      <c r="C76" s="13">
        <v>71016</v>
      </c>
      <c r="D76" s="13">
        <v>0</v>
      </c>
    </row>
    <row r="77" spans="1:9" ht="14.25" customHeight="1" x14ac:dyDescent="0.35">
      <c r="A77" s="2" t="s">
        <v>49</v>
      </c>
      <c r="B77" s="13" t="s">
        <v>50</v>
      </c>
      <c r="C77" s="13">
        <v>44021</v>
      </c>
      <c r="D77" s="13">
        <v>20</v>
      </c>
      <c r="E77" s="13">
        <v>20</v>
      </c>
      <c r="F77" s="13">
        <v>20</v>
      </c>
      <c r="G77" s="13">
        <v>20</v>
      </c>
      <c r="H77" s="13">
        <v>20</v>
      </c>
      <c r="I77" s="13">
        <v>20</v>
      </c>
    </row>
    <row r="78" spans="1:9" ht="14.25" customHeight="1" x14ac:dyDescent="0.35">
      <c r="A78" s="2" t="s">
        <v>144</v>
      </c>
      <c r="B78" s="13" t="s">
        <v>50</v>
      </c>
      <c r="C78" s="13">
        <v>41018</v>
      </c>
      <c r="D78" s="13">
        <v>0</v>
      </c>
    </row>
    <row r="79" spans="1:9" ht="14.25" customHeight="1" x14ac:dyDescent="0.35">
      <c r="A79" s="2" t="s">
        <v>323</v>
      </c>
      <c r="B79" s="13" t="s">
        <v>59</v>
      </c>
      <c r="C79" s="13">
        <v>71017</v>
      </c>
      <c r="D79" s="13">
        <v>0</v>
      </c>
    </row>
    <row r="80" spans="1:9" ht="14.25" customHeight="1" x14ac:dyDescent="0.35">
      <c r="A80" s="2" t="s">
        <v>206</v>
      </c>
      <c r="B80" s="13" t="s">
        <v>55</v>
      </c>
      <c r="C80" s="13">
        <v>35005</v>
      </c>
      <c r="D80" s="13">
        <v>0</v>
      </c>
    </row>
    <row r="81" spans="1:4" ht="14.25" customHeight="1" x14ac:dyDescent="0.35">
      <c r="A81" s="2" t="s">
        <v>243</v>
      </c>
      <c r="B81" s="13" t="s">
        <v>52</v>
      </c>
      <c r="C81" s="13">
        <v>24137</v>
      </c>
      <c r="D81" s="13">
        <v>0</v>
      </c>
    </row>
    <row r="82" spans="1:4" ht="14.25" customHeight="1" x14ac:dyDescent="0.35">
      <c r="A82" s="2" t="s">
        <v>343</v>
      </c>
      <c r="B82" s="13" t="s">
        <v>52</v>
      </c>
      <c r="C82" s="13">
        <v>23024</v>
      </c>
      <c r="D82" s="13">
        <v>0</v>
      </c>
    </row>
    <row r="83" spans="1:4" ht="14.25" customHeight="1" x14ac:dyDescent="0.35">
      <c r="A83" s="2" t="s">
        <v>107</v>
      </c>
      <c r="B83" s="13" t="s">
        <v>52</v>
      </c>
      <c r="C83" s="13">
        <v>23025</v>
      </c>
      <c r="D83" s="13">
        <v>0</v>
      </c>
    </row>
    <row r="84" spans="1:4" ht="14.25" customHeight="1" x14ac:dyDescent="0.35">
      <c r="A84" s="2" t="s">
        <v>303</v>
      </c>
      <c r="B84" s="13" t="s">
        <v>48</v>
      </c>
      <c r="C84" s="13">
        <v>13010</v>
      </c>
      <c r="D84" s="13">
        <v>0</v>
      </c>
    </row>
    <row r="85" spans="1:4" ht="14.25" customHeight="1" x14ac:dyDescent="0.35">
      <c r="A85" s="2" t="s">
        <v>92</v>
      </c>
      <c r="B85" s="13" t="s">
        <v>52</v>
      </c>
      <c r="C85" s="13">
        <v>24033</v>
      </c>
      <c r="D85" s="13">
        <v>0</v>
      </c>
    </row>
    <row r="86" spans="1:4" ht="14.25" customHeight="1" x14ac:dyDescent="0.35">
      <c r="A86" s="2" t="s">
        <v>223</v>
      </c>
      <c r="B86" s="13" t="s">
        <v>50</v>
      </c>
      <c r="C86" s="13">
        <v>41024</v>
      </c>
      <c r="D86" s="13">
        <v>0</v>
      </c>
    </row>
    <row r="87" spans="1:4" ht="14.25" customHeight="1" x14ac:dyDescent="0.35">
      <c r="A87" s="2" t="s">
        <v>324</v>
      </c>
      <c r="B87" s="13" t="s">
        <v>59</v>
      </c>
      <c r="C87" s="13">
        <v>71020</v>
      </c>
      <c r="D87" s="13">
        <v>0</v>
      </c>
    </row>
    <row r="88" spans="1:4" ht="14.25" customHeight="1" x14ac:dyDescent="0.35">
      <c r="A88" s="2" t="s">
        <v>70</v>
      </c>
      <c r="B88" s="13" t="s">
        <v>52</v>
      </c>
      <c r="C88" s="13">
        <v>23027</v>
      </c>
      <c r="D88" s="13">
        <v>0</v>
      </c>
    </row>
    <row r="89" spans="1:4" ht="14.25" customHeight="1" x14ac:dyDescent="0.35">
      <c r="A89" s="2" t="s">
        <v>344</v>
      </c>
      <c r="B89" s="13" t="s">
        <v>59</v>
      </c>
      <c r="C89" s="13">
        <v>71069</v>
      </c>
      <c r="D89" s="13">
        <v>0</v>
      </c>
    </row>
    <row r="90" spans="1:4" ht="14.25" customHeight="1" x14ac:dyDescent="0.35">
      <c r="A90" s="2" t="s">
        <v>127</v>
      </c>
      <c r="B90" s="13" t="s">
        <v>50</v>
      </c>
      <c r="C90" s="13">
        <v>42008</v>
      </c>
      <c r="D90" s="13">
        <v>0</v>
      </c>
    </row>
    <row r="91" spans="1:4" ht="14.25" customHeight="1" x14ac:dyDescent="0.35">
      <c r="A91" s="2" t="s">
        <v>331</v>
      </c>
      <c r="B91" s="13" t="s">
        <v>59</v>
      </c>
      <c r="C91" s="13">
        <v>72037</v>
      </c>
      <c r="D91" s="13">
        <v>0</v>
      </c>
    </row>
    <row r="92" spans="1:4" ht="14.25" customHeight="1" x14ac:dyDescent="0.35">
      <c r="A92" s="2" t="s">
        <v>73</v>
      </c>
      <c r="B92" s="13" t="s">
        <v>55</v>
      </c>
      <c r="C92" s="13">
        <v>34013</v>
      </c>
      <c r="D92" s="13">
        <v>0</v>
      </c>
    </row>
    <row r="93" spans="1:4" ht="14.25" customHeight="1" x14ac:dyDescent="0.35">
      <c r="A93" s="2" t="s">
        <v>58</v>
      </c>
      <c r="B93" s="13" t="s">
        <v>59</v>
      </c>
      <c r="C93" s="13">
        <v>71022</v>
      </c>
      <c r="D93" s="13">
        <v>0</v>
      </c>
    </row>
    <row r="94" spans="1:4" ht="14.25" customHeight="1" x14ac:dyDescent="0.35">
      <c r="A94" s="2" t="s">
        <v>265</v>
      </c>
      <c r="B94" s="13" t="s">
        <v>59</v>
      </c>
      <c r="C94" s="13">
        <v>72038</v>
      </c>
      <c r="D94" s="13">
        <v>0</v>
      </c>
    </row>
    <row r="95" spans="1:4" ht="14.25" customHeight="1" x14ac:dyDescent="0.35">
      <c r="A95" s="2" t="s">
        <v>300</v>
      </c>
      <c r="B95" s="13" t="s">
        <v>59</v>
      </c>
      <c r="C95" s="13">
        <v>73022</v>
      </c>
      <c r="D95" s="13">
        <v>0</v>
      </c>
    </row>
    <row r="96" spans="1:4" ht="14.25" customHeight="1" x14ac:dyDescent="0.35">
      <c r="A96" s="2" t="s">
        <v>108</v>
      </c>
      <c r="B96" s="13" t="s">
        <v>48</v>
      </c>
      <c r="C96" s="13">
        <v>12014</v>
      </c>
      <c r="D96" s="13">
        <v>0</v>
      </c>
    </row>
    <row r="97" spans="1:4" ht="14.25" customHeight="1" x14ac:dyDescent="0.35">
      <c r="A97" s="2" t="s">
        <v>266</v>
      </c>
      <c r="B97" s="13" t="s">
        <v>48</v>
      </c>
      <c r="C97" s="13">
        <v>11018</v>
      </c>
      <c r="D97" s="13">
        <v>0</v>
      </c>
    </row>
    <row r="98" spans="1:4" ht="14.25" customHeight="1" x14ac:dyDescent="0.35">
      <c r="A98" s="2" t="s">
        <v>69</v>
      </c>
      <c r="B98" s="13" t="s">
        <v>52</v>
      </c>
      <c r="C98" s="13">
        <v>24038</v>
      </c>
      <c r="D98" s="13">
        <v>0</v>
      </c>
    </row>
    <row r="99" spans="1:4" ht="14.25" customHeight="1" x14ac:dyDescent="0.35">
      <c r="A99" s="2" t="s">
        <v>83</v>
      </c>
      <c r="B99" s="13" t="s">
        <v>48</v>
      </c>
      <c r="C99" s="13">
        <v>13011</v>
      </c>
      <c r="D99" s="13">
        <v>0</v>
      </c>
    </row>
    <row r="100" spans="1:4" ht="14.25" customHeight="1" x14ac:dyDescent="0.35">
      <c r="A100" s="2" t="s">
        <v>326</v>
      </c>
      <c r="B100" s="13" t="s">
        <v>48</v>
      </c>
      <c r="C100" s="13">
        <v>13012</v>
      </c>
      <c r="D100" s="13">
        <v>0</v>
      </c>
    </row>
    <row r="101" spans="1:4" ht="14.25" customHeight="1" x14ac:dyDescent="0.35">
      <c r="A101" s="2" t="s">
        <v>187</v>
      </c>
      <c r="B101" s="13" t="s">
        <v>59</v>
      </c>
      <c r="C101" s="13">
        <v>71024</v>
      </c>
      <c r="D101" s="13">
        <v>0</v>
      </c>
    </row>
    <row r="102" spans="1:4" ht="14.25" customHeight="1" x14ac:dyDescent="0.35">
      <c r="A102" s="2" t="s">
        <v>345</v>
      </c>
      <c r="B102" s="13" t="s">
        <v>52</v>
      </c>
      <c r="C102" s="13">
        <v>23032</v>
      </c>
      <c r="D102" s="13">
        <v>0</v>
      </c>
    </row>
    <row r="103" spans="1:4" ht="14.25" customHeight="1" x14ac:dyDescent="0.35">
      <c r="A103" s="2" t="s">
        <v>272</v>
      </c>
      <c r="B103" s="13" t="s">
        <v>48</v>
      </c>
      <c r="C103" s="13">
        <v>13013</v>
      </c>
      <c r="D103" s="13">
        <v>0</v>
      </c>
    </row>
    <row r="104" spans="1:4" ht="14.25" customHeight="1" x14ac:dyDescent="0.35">
      <c r="A104" s="2" t="s">
        <v>313</v>
      </c>
      <c r="B104" s="13" t="s">
        <v>59</v>
      </c>
      <c r="C104" s="13">
        <v>73028</v>
      </c>
      <c r="D104" s="13">
        <v>0</v>
      </c>
    </row>
    <row r="105" spans="1:4" ht="14.25" customHeight="1" x14ac:dyDescent="0.35">
      <c r="A105" s="2" t="s">
        <v>113</v>
      </c>
      <c r="B105" s="13" t="s">
        <v>50</v>
      </c>
      <c r="C105" s="13">
        <v>41027</v>
      </c>
      <c r="D105" s="13">
        <v>0</v>
      </c>
    </row>
    <row r="106" spans="1:4" ht="14.25" customHeight="1" x14ac:dyDescent="0.35">
      <c r="A106" s="2" t="s">
        <v>190</v>
      </c>
      <c r="B106" s="13" t="s">
        <v>59</v>
      </c>
      <c r="C106" s="13">
        <v>71070</v>
      </c>
      <c r="D106" s="13">
        <v>0</v>
      </c>
    </row>
    <row r="107" spans="1:4" ht="14.25" customHeight="1" x14ac:dyDescent="0.35">
      <c r="A107" s="2" t="s">
        <v>167</v>
      </c>
      <c r="B107" s="13" t="s">
        <v>55</v>
      </c>
      <c r="C107" s="13">
        <v>33039</v>
      </c>
      <c r="D107" s="13">
        <v>0</v>
      </c>
    </row>
    <row r="108" spans="1:4" ht="14.25" customHeight="1" x14ac:dyDescent="0.35">
      <c r="A108" s="2" t="s">
        <v>192</v>
      </c>
      <c r="B108" s="13" t="s">
        <v>52</v>
      </c>
      <c r="C108" s="13">
        <v>24041</v>
      </c>
      <c r="D108" s="13">
        <v>0</v>
      </c>
    </row>
    <row r="109" spans="1:4" ht="14.25" customHeight="1" x14ac:dyDescent="0.35">
      <c r="A109" s="2" t="s">
        <v>153</v>
      </c>
      <c r="B109" s="13" t="s">
        <v>52</v>
      </c>
      <c r="C109" s="13">
        <v>23033</v>
      </c>
      <c r="D109" s="13">
        <v>0</v>
      </c>
    </row>
    <row r="110" spans="1:4" ht="14.25" customHeight="1" x14ac:dyDescent="0.35">
      <c r="A110" s="2" t="s">
        <v>346</v>
      </c>
      <c r="B110" s="13" t="s">
        <v>59</v>
      </c>
      <c r="C110" s="13">
        <v>73032</v>
      </c>
      <c r="D110" s="13">
        <v>0</v>
      </c>
    </row>
    <row r="111" spans="1:4" ht="14.25" customHeight="1" x14ac:dyDescent="0.35">
      <c r="A111" s="2" t="s">
        <v>86</v>
      </c>
      <c r="B111" s="13" t="s">
        <v>52</v>
      </c>
      <c r="C111" s="13">
        <v>24043</v>
      </c>
      <c r="D111" s="13">
        <v>0</v>
      </c>
    </row>
    <row r="112" spans="1:4" ht="14.25" customHeight="1" x14ac:dyDescent="0.35">
      <c r="A112" s="2" t="s">
        <v>150</v>
      </c>
      <c r="B112" s="13" t="s">
        <v>55</v>
      </c>
      <c r="C112" s="13">
        <v>36006</v>
      </c>
      <c r="D112" s="13">
        <v>0</v>
      </c>
    </row>
    <row r="113" spans="1:4" ht="14.25" customHeight="1" x14ac:dyDescent="0.35">
      <c r="A113" s="2" t="s">
        <v>185</v>
      </c>
      <c r="B113" s="13" t="s">
        <v>48</v>
      </c>
      <c r="C113" s="13">
        <v>13014</v>
      </c>
      <c r="D113" s="13">
        <v>0</v>
      </c>
    </row>
    <row r="114" spans="1:4" ht="14.25" customHeight="1" x14ac:dyDescent="0.35">
      <c r="A114" s="2" t="s">
        <v>297</v>
      </c>
      <c r="B114" s="13" t="s">
        <v>50</v>
      </c>
      <c r="C114" s="13">
        <v>45062</v>
      </c>
      <c r="D114" s="13">
        <v>0</v>
      </c>
    </row>
    <row r="115" spans="1:4" ht="14.25" customHeight="1" x14ac:dyDescent="0.35">
      <c r="A115" s="2" t="s">
        <v>296</v>
      </c>
      <c r="B115" s="13" t="s">
        <v>59</v>
      </c>
      <c r="C115" s="13">
        <v>72039</v>
      </c>
      <c r="D115" s="13">
        <v>0</v>
      </c>
    </row>
    <row r="116" spans="1:4" ht="14.25" customHeight="1" x14ac:dyDescent="0.35">
      <c r="A116" s="2" t="s">
        <v>261</v>
      </c>
      <c r="B116" s="13" t="s">
        <v>55</v>
      </c>
      <c r="C116" s="13">
        <v>32006</v>
      </c>
      <c r="D116" s="13">
        <v>0</v>
      </c>
    </row>
    <row r="117" spans="1:4" ht="14.25" customHeight="1" x14ac:dyDescent="0.35">
      <c r="A117" s="2" t="s">
        <v>196</v>
      </c>
      <c r="B117" s="13" t="s">
        <v>48</v>
      </c>
      <c r="C117" s="13">
        <v>11021</v>
      </c>
      <c r="D117" s="13">
        <v>0</v>
      </c>
    </row>
    <row r="118" spans="1:4" ht="14.25" customHeight="1" x14ac:dyDescent="0.35">
      <c r="A118" s="2" t="s">
        <v>134</v>
      </c>
      <c r="B118" s="13" t="s">
        <v>52</v>
      </c>
      <c r="C118" s="13">
        <v>24045</v>
      </c>
      <c r="D118" s="13">
        <v>0</v>
      </c>
    </row>
    <row r="119" spans="1:4" ht="14.25" customHeight="1" x14ac:dyDescent="0.35">
      <c r="A119" s="2" t="s">
        <v>173</v>
      </c>
      <c r="B119" s="13" t="s">
        <v>48</v>
      </c>
      <c r="C119" s="13">
        <v>13016</v>
      </c>
      <c r="D119" s="13">
        <v>0</v>
      </c>
    </row>
    <row r="120" spans="1:4" ht="14.25" customHeight="1" x14ac:dyDescent="0.35">
      <c r="A120" s="2" t="s">
        <v>212</v>
      </c>
      <c r="B120" s="13" t="s">
        <v>55</v>
      </c>
      <c r="C120" s="13">
        <v>35006</v>
      </c>
      <c r="D120" s="13">
        <v>0</v>
      </c>
    </row>
    <row r="121" spans="1:4" ht="14.25" customHeight="1" x14ac:dyDescent="0.35">
      <c r="A121" s="2" t="s">
        <v>76</v>
      </c>
      <c r="B121" s="13" t="s">
        <v>55</v>
      </c>
      <c r="C121" s="13">
        <v>33011</v>
      </c>
      <c r="D121" s="13">
        <v>0</v>
      </c>
    </row>
    <row r="122" spans="1:4" ht="14.25" customHeight="1" x14ac:dyDescent="0.35">
      <c r="A122" s="2" t="s">
        <v>263</v>
      </c>
      <c r="B122" s="13" t="s">
        <v>55</v>
      </c>
      <c r="C122" s="13">
        <v>36007</v>
      </c>
      <c r="D122" s="13">
        <v>0</v>
      </c>
    </row>
    <row r="123" spans="1:4" ht="14.25" customHeight="1" x14ac:dyDescent="0.35">
      <c r="A123" s="2" t="s">
        <v>129</v>
      </c>
      <c r="B123" s="13" t="s">
        <v>55</v>
      </c>
      <c r="C123" s="13">
        <v>36008</v>
      </c>
      <c r="D123" s="13">
        <v>0</v>
      </c>
    </row>
    <row r="124" spans="1:4" ht="14.25" customHeight="1" x14ac:dyDescent="0.35">
      <c r="A124" s="2" t="s">
        <v>273</v>
      </c>
      <c r="B124" s="13" t="s">
        <v>55</v>
      </c>
      <c r="C124" s="13">
        <v>31012</v>
      </c>
      <c r="D124" s="13">
        <v>0</v>
      </c>
    </row>
    <row r="125" spans="1:4" ht="14.25" customHeight="1" x14ac:dyDescent="0.35">
      <c r="A125" s="2" t="s">
        <v>163</v>
      </c>
      <c r="B125" s="13" t="s">
        <v>48</v>
      </c>
      <c r="C125" s="13">
        <v>11022</v>
      </c>
      <c r="D125" s="13">
        <v>0</v>
      </c>
    </row>
    <row r="126" spans="1:4" ht="14.25" customHeight="1" x14ac:dyDescent="0.35">
      <c r="A126" s="2" t="s">
        <v>207</v>
      </c>
      <c r="B126" s="13" t="s">
        <v>52</v>
      </c>
      <c r="C126" s="13">
        <v>23038</v>
      </c>
      <c r="D126" s="13">
        <v>0</v>
      </c>
    </row>
    <row r="127" spans="1:4" ht="14.25" customHeight="1" x14ac:dyDescent="0.35">
      <c r="A127" s="2" t="s">
        <v>312</v>
      </c>
      <c r="B127" s="13" t="s">
        <v>48</v>
      </c>
      <c r="C127" s="13">
        <v>11023</v>
      </c>
      <c r="D127" s="13">
        <v>0</v>
      </c>
    </row>
    <row r="128" spans="1:4" ht="14.25" customHeight="1" x14ac:dyDescent="0.35">
      <c r="A128" s="2" t="s">
        <v>258</v>
      </c>
      <c r="B128" s="13" t="s">
        <v>52</v>
      </c>
      <c r="C128" s="13">
        <v>23039</v>
      </c>
      <c r="D128" s="13">
        <v>0</v>
      </c>
    </row>
    <row r="129" spans="1:4" ht="14.25" customHeight="1" x14ac:dyDescent="0.35">
      <c r="A129" s="2" t="s">
        <v>247</v>
      </c>
      <c r="B129" s="13" t="s">
        <v>50</v>
      </c>
      <c r="C129" s="13">
        <v>43007</v>
      </c>
      <c r="D129" s="13">
        <v>0</v>
      </c>
    </row>
    <row r="130" spans="1:4" ht="14.25" customHeight="1" x14ac:dyDescent="0.35">
      <c r="A130" s="2" t="s">
        <v>181</v>
      </c>
      <c r="B130" s="13" t="s">
        <v>48</v>
      </c>
      <c r="C130" s="13">
        <v>13017</v>
      </c>
      <c r="D130" s="13">
        <v>0</v>
      </c>
    </row>
    <row r="131" spans="1:4" ht="14.25" customHeight="1" x14ac:dyDescent="0.35">
      <c r="A131" s="2" t="s">
        <v>176</v>
      </c>
      <c r="B131" s="13" t="s">
        <v>52</v>
      </c>
      <c r="C131" s="13">
        <v>24048</v>
      </c>
      <c r="D131" s="13">
        <v>0</v>
      </c>
    </row>
    <row r="132" spans="1:4" ht="14.25" customHeight="1" x14ac:dyDescent="0.35">
      <c r="A132" s="2" t="s">
        <v>325</v>
      </c>
      <c r="B132" s="13" t="s">
        <v>59</v>
      </c>
      <c r="C132" s="13">
        <v>72018</v>
      </c>
      <c r="D132" s="13">
        <v>0</v>
      </c>
    </row>
    <row r="133" spans="1:4" ht="14.25" customHeight="1" x14ac:dyDescent="0.35">
      <c r="A133" s="2" t="s">
        <v>191</v>
      </c>
      <c r="B133" s="13" t="s">
        <v>50</v>
      </c>
      <c r="C133" s="13">
        <v>45060</v>
      </c>
      <c r="D133" s="13">
        <v>0</v>
      </c>
    </row>
    <row r="134" spans="1:4" ht="14.25" customHeight="1" x14ac:dyDescent="0.35">
      <c r="A134" s="2" t="s">
        <v>103</v>
      </c>
      <c r="B134" s="13" t="s">
        <v>55</v>
      </c>
      <c r="C134" s="13">
        <v>31043</v>
      </c>
      <c r="D134" s="13">
        <v>0</v>
      </c>
    </row>
    <row r="135" spans="1:4" ht="14.25" customHeight="1" x14ac:dyDescent="0.35">
      <c r="A135" s="2" t="s">
        <v>256</v>
      </c>
      <c r="B135" s="13" t="s">
        <v>55</v>
      </c>
      <c r="C135" s="13">
        <v>32010</v>
      </c>
      <c r="D135" s="13">
        <v>0</v>
      </c>
    </row>
    <row r="136" spans="1:4" ht="14.25" customHeight="1" x14ac:dyDescent="0.35">
      <c r="A136" s="2" t="s">
        <v>100</v>
      </c>
      <c r="B136" s="13" t="s">
        <v>55</v>
      </c>
      <c r="C136" s="13">
        <v>38014</v>
      </c>
      <c r="D136" s="13">
        <v>0</v>
      </c>
    </row>
    <row r="137" spans="1:4" ht="14.25" customHeight="1" x14ac:dyDescent="0.35">
      <c r="A137" s="2" t="s">
        <v>288</v>
      </c>
      <c r="B137" s="13" t="s">
        <v>48</v>
      </c>
      <c r="C137" s="13">
        <v>11024</v>
      </c>
      <c r="D137" s="13">
        <v>0</v>
      </c>
    </row>
    <row r="138" spans="1:4" ht="14.25" customHeight="1" x14ac:dyDescent="0.35">
      <c r="A138" s="2" t="s">
        <v>138</v>
      </c>
      <c r="B138" s="13" t="s">
        <v>55</v>
      </c>
      <c r="C138" s="13">
        <v>32011</v>
      </c>
      <c r="D138" s="13">
        <v>0</v>
      </c>
    </row>
    <row r="139" spans="1:4" ht="14.25" customHeight="1" x14ac:dyDescent="0.35">
      <c r="A139" s="2" t="s">
        <v>252</v>
      </c>
      <c r="B139" s="13" t="s">
        <v>52</v>
      </c>
      <c r="C139" s="13">
        <v>24054</v>
      </c>
      <c r="D139" s="13">
        <v>0</v>
      </c>
    </row>
    <row r="140" spans="1:4" ht="14.25" customHeight="1" x14ac:dyDescent="0.35">
      <c r="A140" s="2" t="s">
        <v>117</v>
      </c>
      <c r="B140" s="13" t="s">
        <v>52</v>
      </c>
      <c r="C140" s="13">
        <v>24055</v>
      </c>
      <c r="D140" s="13">
        <v>0</v>
      </c>
    </row>
    <row r="141" spans="1:4" ht="14.25" customHeight="1" x14ac:dyDescent="0.35">
      <c r="A141" s="2" t="s">
        <v>347</v>
      </c>
      <c r="B141" s="13" t="s">
        <v>59</v>
      </c>
      <c r="C141" s="13">
        <v>73040</v>
      </c>
      <c r="D141" s="13">
        <v>0</v>
      </c>
    </row>
    <row r="142" spans="1:4" ht="14.25" customHeight="1" x14ac:dyDescent="0.35">
      <c r="A142" s="2" t="s">
        <v>56</v>
      </c>
      <c r="B142" s="13" t="s">
        <v>55</v>
      </c>
      <c r="C142" s="13">
        <v>34022</v>
      </c>
      <c r="D142" s="13">
        <v>0</v>
      </c>
    </row>
    <row r="143" spans="1:4" ht="14.25" customHeight="1" x14ac:dyDescent="0.35">
      <c r="A143" s="2" t="s">
        <v>270</v>
      </c>
      <c r="B143" s="13" t="s">
        <v>52</v>
      </c>
      <c r="C143" s="13">
        <v>23099</v>
      </c>
      <c r="D143" s="13">
        <v>0</v>
      </c>
    </row>
    <row r="144" spans="1:4" ht="14.25" customHeight="1" x14ac:dyDescent="0.35">
      <c r="A144" s="2" t="s">
        <v>348</v>
      </c>
      <c r="B144" s="13" t="s">
        <v>50</v>
      </c>
      <c r="C144" s="13">
        <v>46013</v>
      </c>
      <c r="D144" s="13">
        <v>0</v>
      </c>
    </row>
    <row r="145" spans="1:4" ht="14.25" customHeight="1" x14ac:dyDescent="0.35">
      <c r="A145" s="2" t="s">
        <v>122</v>
      </c>
      <c r="B145" s="13" t="s">
        <v>50</v>
      </c>
      <c r="C145" s="13">
        <v>45068</v>
      </c>
      <c r="D145" s="13">
        <v>0</v>
      </c>
    </row>
    <row r="146" spans="1:4" ht="14.25" customHeight="1" x14ac:dyDescent="0.35">
      <c r="A146" s="2" t="s">
        <v>158</v>
      </c>
      <c r="B146" s="13" t="s">
        <v>55</v>
      </c>
      <c r="C146" s="13">
        <v>34023</v>
      </c>
      <c r="D146" s="13">
        <v>0</v>
      </c>
    </row>
    <row r="147" spans="1:4" ht="14.25" customHeight="1" x14ac:dyDescent="0.35">
      <c r="A147" s="2" t="s">
        <v>218</v>
      </c>
      <c r="B147" s="13" t="s">
        <v>48</v>
      </c>
      <c r="C147" s="13">
        <v>13053</v>
      </c>
      <c r="D147" s="13">
        <v>0</v>
      </c>
    </row>
    <row r="148" spans="1:4" ht="14.25" customHeight="1" x14ac:dyDescent="0.35">
      <c r="A148" s="2" t="s">
        <v>155</v>
      </c>
      <c r="B148" s="13" t="s">
        <v>50</v>
      </c>
      <c r="C148" s="13">
        <v>42010</v>
      </c>
      <c r="D148" s="13">
        <v>0</v>
      </c>
    </row>
    <row r="149" spans="1:4" ht="14.25" customHeight="1" x14ac:dyDescent="0.35">
      <c r="A149" s="2" t="s">
        <v>295</v>
      </c>
      <c r="B149" s="13" t="s">
        <v>59</v>
      </c>
      <c r="C149" s="13">
        <v>73042</v>
      </c>
      <c r="D149" s="13">
        <v>0</v>
      </c>
    </row>
    <row r="150" spans="1:4" ht="14.25" customHeight="1" x14ac:dyDescent="0.35">
      <c r="A150" s="2" t="s">
        <v>81</v>
      </c>
      <c r="B150" s="13" t="s">
        <v>52</v>
      </c>
      <c r="C150" s="13">
        <v>24059</v>
      </c>
      <c r="D150" s="13">
        <v>0</v>
      </c>
    </row>
    <row r="151" spans="1:4" ht="14.25" customHeight="1" x14ac:dyDescent="0.35">
      <c r="A151" s="2" t="s">
        <v>253</v>
      </c>
      <c r="B151" s="13" t="s">
        <v>55</v>
      </c>
      <c r="C151" s="13">
        <v>33040</v>
      </c>
      <c r="D151" s="13">
        <v>0</v>
      </c>
    </row>
    <row r="152" spans="1:4" ht="14.25" customHeight="1" x14ac:dyDescent="0.35">
      <c r="A152" s="2" t="s">
        <v>114</v>
      </c>
      <c r="B152" s="13" t="s">
        <v>50</v>
      </c>
      <c r="C152" s="13">
        <v>42011</v>
      </c>
      <c r="D152" s="13">
        <v>0</v>
      </c>
    </row>
    <row r="153" spans="1:4" ht="14.25" customHeight="1" x14ac:dyDescent="0.35">
      <c r="A153" s="2" t="s">
        <v>179</v>
      </c>
      <c r="B153" s="13" t="s">
        <v>50</v>
      </c>
      <c r="C153" s="13">
        <v>41034</v>
      </c>
      <c r="D153" s="13">
        <v>0</v>
      </c>
    </row>
    <row r="154" spans="1:4" ht="14.25" customHeight="1" x14ac:dyDescent="0.35">
      <c r="A154" s="2" t="s">
        <v>171</v>
      </c>
      <c r="B154" s="13" t="s">
        <v>55</v>
      </c>
      <c r="C154" s="13">
        <v>36010</v>
      </c>
      <c r="D154" s="13">
        <v>0</v>
      </c>
    </row>
    <row r="155" spans="1:4" ht="14.25" customHeight="1" x14ac:dyDescent="0.35">
      <c r="A155" s="2" t="s">
        <v>320</v>
      </c>
      <c r="B155" s="13" t="s">
        <v>55</v>
      </c>
      <c r="C155" s="13">
        <v>34025</v>
      </c>
      <c r="D155" s="13">
        <v>0</v>
      </c>
    </row>
    <row r="156" spans="1:4" ht="14.25" customHeight="1" x14ac:dyDescent="0.35">
      <c r="A156" s="2" t="s">
        <v>257</v>
      </c>
      <c r="B156" s="13" t="s">
        <v>52</v>
      </c>
      <c r="C156" s="13">
        <v>23104</v>
      </c>
      <c r="D156" s="13">
        <v>0</v>
      </c>
    </row>
    <row r="157" spans="1:4" ht="14.25" customHeight="1" x14ac:dyDescent="0.35">
      <c r="A157" s="2" t="s">
        <v>308</v>
      </c>
      <c r="B157" s="13" t="s">
        <v>59</v>
      </c>
      <c r="C157" s="13">
        <v>71034</v>
      </c>
      <c r="D157" s="13">
        <v>0</v>
      </c>
    </row>
    <row r="158" spans="1:4" ht="14.25" customHeight="1" x14ac:dyDescent="0.35">
      <c r="A158" s="2" t="s">
        <v>51</v>
      </c>
      <c r="B158" s="13" t="s">
        <v>52</v>
      </c>
      <c r="C158" s="13">
        <v>24062</v>
      </c>
      <c r="D158" s="13">
        <v>0</v>
      </c>
    </row>
    <row r="159" spans="1:4" ht="14.25" customHeight="1" x14ac:dyDescent="0.35">
      <c r="A159" s="2" t="s">
        <v>198</v>
      </c>
      <c r="B159" s="13" t="s">
        <v>55</v>
      </c>
      <c r="C159" s="13">
        <v>36011</v>
      </c>
      <c r="D159" s="13">
        <v>0</v>
      </c>
    </row>
    <row r="160" spans="1:4" ht="14.25" customHeight="1" x14ac:dyDescent="0.35">
      <c r="A160" s="2" t="s">
        <v>334</v>
      </c>
      <c r="B160" s="13" t="s">
        <v>52</v>
      </c>
      <c r="C160" s="13">
        <v>23044</v>
      </c>
      <c r="D160" s="13">
        <v>0</v>
      </c>
    </row>
    <row r="161" spans="1:4" ht="14.25" customHeight="1" x14ac:dyDescent="0.35">
      <c r="A161" s="2" t="s">
        <v>68</v>
      </c>
      <c r="B161" s="13" t="s">
        <v>48</v>
      </c>
      <c r="C161" s="13">
        <v>12021</v>
      </c>
      <c r="D161" s="13">
        <v>0</v>
      </c>
    </row>
    <row r="162" spans="1:4" ht="14.25" customHeight="1" x14ac:dyDescent="0.35">
      <c r="A162" s="2" t="s">
        <v>248</v>
      </c>
      <c r="B162" s="13" t="s">
        <v>50</v>
      </c>
      <c r="C162" s="13">
        <v>45063</v>
      </c>
      <c r="D162" s="13">
        <v>0</v>
      </c>
    </row>
    <row r="163" spans="1:4" ht="14.25" customHeight="1" x14ac:dyDescent="0.35">
      <c r="A163" s="2" t="s">
        <v>82</v>
      </c>
      <c r="B163" s="13" t="s">
        <v>50</v>
      </c>
      <c r="C163" s="13">
        <v>44085</v>
      </c>
      <c r="D163" s="13">
        <v>0</v>
      </c>
    </row>
    <row r="164" spans="1:4" ht="14.25" customHeight="1" x14ac:dyDescent="0.35">
      <c r="A164" s="2" t="s">
        <v>161</v>
      </c>
      <c r="B164" s="13" t="s">
        <v>48</v>
      </c>
      <c r="C164" s="13">
        <v>13019</v>
      </c>
      <c r="D164" s="13">
        <v>0</v>
      </c>
    </row>
    <row r="165" spans="1:4" ht="14.25" customHeight="1" x14ac:dyDescent="0.35">
      <c r="A165" s="2" t="s">
        <v>319</v>
      </c>
      <c r="B165" s="13" t="s">
        <v>52</v>
      </c>
      <c r="C165" s="13">
        <v>23100</v>
      </c>
      <c r="D165" s="13">
        <v>0</v>
      </c>
    </row>
    <row r="166" spans="1:4" ht="14.25" customHeight="1" x14ac:dyDescent="0.35">
      <c r="A166" s="2" t="s">
        <v>254</v>
      </c>
      <c r="B166" s="13" t="s">
        <v>48</v>
      </c>
      <c r="C166" s="13">
        <v>11025</v>
      </c>
      <c r="D166" s="13">
        <v>0</v>
      </c>
    </row>
    <row r="167" spans="1:4" ht="14.25" customHeight="1" x14ac:dyDescent="0.35">
      <c r="A167" s="2" t="s">
        <v>193</v>
      </c>
      <c r="B167" s="13" t="s">
        <v>52</v>
      </c>
      <c r="C167" s="13">
        <v>24133</v>
      </c>
      <c r="D167" s="13">
        <v>0</v>
      </c>
    </row>
    <row r="168" spans="1:4" ht="14.25" customHeight="1" x14ac:dyDescent="0.35">
      <c r="A168" s="2" t="s">
        <v>233</v>
      </c>
      <c r="B168" s="13" t="s">
        <v>50</v>
      </c>
      <c r="C168" s="13">
        <v>44034</v>
      </c>
      <c r="D168" s="13">
        <v>0</v>
      </c>
    </row>
    <row r="169" spans="1:4" ht="14.25" customHeight="1" x14ac:dyDescent="0.35">
      <c r="A169" s="2" t="s">
        <v>72</v>
      </c>
      <c r="B169" s="13" t="s">
        <v>50</v>
      </c>
      <c r="C169" s="13">
        <v>46014</v>
      </c>
      <c r="D169" s="13">
        <v>0</v>
      </c>
    </row>
    <row r="170" spans="1:4" ht="14.25" customHeight="1" x14ac:dyDescent="0.35">
      <c r="A170" s="2" t="s">
        <v>126</v>
      </c>
      <c r="B170" s="13" t="s">
        <v>59</v>
      </c>
      <c r="C170" s="13">
        <v>72020</v>
      </c>
      <c r="D170" s="13">
        <v>0</v>
      </c>
    </row>
    <row r="171" spans="1:4" ht="14.25" customHeight="1" x14ac:dyDescent="0.35">
      <c r="A171" s="2" t="s">
        <v>283</v>
      </c>
      <c r="B171" s="13" t="s">
        <v>52</v>
      </c>
      <c r="C171" s="13">
        <v>23045</v>
      </c>
      <c r="D171" s="13">
        <v>0</v>
      </c>
    </row>
    <row r="172" spans="1:4" ht="14.25" customHeight="1" x14ac:dyDescent="0.35">
      <c r="A172" s="2" t="s">
        <v>239</v>
      </c>
      <c r="B172" s="13" t="s">
        <v>55</v>
      </c>
      <c r="C172" s="13">
        <v>32030</v>
      </c>
      <c r="D172" s="13">
        <v>0</v>
      </c>
    </row>
    <row r="173" spans="1:4" ht="14.25" customHeight="1" x14ac:dyDescent="0.35">
      <c r="A173" s="2" t="s">
        <v>139</v>
      </c>
      <c r="B173" s="13" t="s">
        <v>52</v>
      </c>
      <c r="C173" s="13">
        <v>24066</v>
      </c>
      <c r="D173" s="13">
        <v>0</v>
      </c>
    </row>
    <row r="174" spans="1:4" ht="14.25" customHeight="1" x14ac:dyDescent="0.35">
      <c r="A174" s="2" t="s">
        <v>286</v>
      </c>
      <c r="B174" s="13" t="s">
        <v>59</v>
      </c>
      <c r="C174" s="13">
        <v>71037</v>
      </c>
      <c r="D174" s="13">
        <v>0</v>
      </c>
    </row>
    <row r="175" spans="1:4" ht="14.25" customHeight="1" x14ac:dyDescent="0.35">
      <c r="A175" s="2" t="s">
        <v>244</v>
      </c>
      <c r="B175" s="13" t="s">
        <v>50</v>
      </c>
      <c r="C175" s="13">
        <v>45064</v>
      </c>
      <c r="D175" s="13">
        <v>0</v>
      </c>
    </row>
    <row r="176" spans="1:4" ht="14.25" customHeight="1" x14ac:dyDescent="0.35">
      <c r="A176" s="2" t="s">
        <v>211</v>
      </c>
      <c r="B176" s="13" t="s">
        <v>59</v>
      </c>
      <c r="C176" s="13">
        <v>72021</v>
      </c>
      <c r="D176" s="13">
        <v>0</v>
      </c>
    </row>
    <row r="177" spans="1:4" ht="14.25" customHeight="1" x14ac:dyDescent="0.35">
      <c r="A177" s="2" t="s">
        <v>229</v>
      </c>
      <c r="B177" s="13" t="s">
        <v>59</v>
      </c>
      <c r="C177" s="13">
        <v>73107</v>
      </c>
      <c r="D177" s="13">
        <v>0</v>
      </c>
    </row>
    <row r="178" spans="1:4" ht="14.25" customHeight="1" x14ac:dyDescent="0.35">
      <c r="A178" s="2" t="s">
        <v>278</v>
      </c>
      <c r="B178" s="13" t="s">
        <v>52</v>
      </c>
      <c r="C178" s="13">
        <v>23047</v>
      </c>
      <c r="D178" s="13">
        <v>0</v>
      </c>
    </row>
    <row r="179" spans="1:4" ht="14.25" customHeight="1" x14ac:dyDescent="0.35">
      <c r="A179" s="2" t="s">
        <v>165</v>
      </c>
      <c r="B179" s="13" t="s">
        <v>50</v>
      </c>
      <c r="C179" s="13">
        <v>43010</v>
      </c>
      <c r="D179" s="13">
        <v>0</v>
      </c>
    </row>
    <row r="180" spans="1:4" ht="14.25" customHeight="1" x14ac:dyDescent="0.35">
      <c r="A180" s="2" t="s">
        <v>178</v>
      </c>
      <c r="B180" s="13" t="s">
        <v>48</v>
      </c>
      <c r="C180" s="13">
        <v>11057</v>
      </c>
      <c r="D180" s="13">
        <v>0</v>
      </c>
    </row>
    <row r="181" spans="1:4" ht="14.25" customHeight="1" x14ac:dyDescent="0.35">
      <c r="A181" s="2" t="s">
        <v>53</v>
      </c>
      <c r="B181" s="13" t="s">
        <v>48</v>
      </c>
      <c r="C181" s="13">
        <v>12025</v>
      </c>
      <c r="D181" s="13">
        <v>0</v>
      </c>
    </row>
    <row r="182" spans="1:4" ht="14.25" customHeight="1" x14ac:dyDescent="0.35">
      <c r="A182" s="2" t="s">
        <v>172</v>
      </c>
      <c r="B182" s="13" t="s">
        <v>48</v>
      </c>
      <c r="C182" s="13">
        <v>13021</v>
      </c>
      <c r="D182" s="13">
        <v>0</v>
      </c>
    </row>
    <row r="183" spans="1:4" ht="14.25" customHeight="1" x14ac:dyDescent="0.35">
      <c r="A183" s="2" t="s">
        <v>287</v>
      </c>
      <c r="B183" s="13" t="s">
        <v>52</v>
      </c>
      <c r="C183" s="13">
        <v>23050</v>
      </c>
      <c r="D183" s="13">
        <v>0</v>
      </c>
    </row>
    <row r="184" spans="1:4" ht="14.25" customHeight="1" x14ac:dyDescent="0.35">
      <c r="A184" s="2" t="s">
        <v>349</v>
      </c>
      <c r="B184" s="13" t="s">
        <v>50</v>
      </c>
      <c r="C184" s="13">
        <v>44040</v>
      </c>
      <c r="D184" s="13">
        <v>0</v>
      </c>
    </row>
    <row r="185" spans="1:4" ht="14.25" customHeight="1" x14ac:dyDescent="0.35">
      <c r="A185" s="2" t="s">
        <v>130</v>
      </c>
      <c r="B185" s="13" t="s">
        <v>55</v>
      </c>
      <c r="C185" s="13">
        <v>34027</v>
      </c>
      <c r="D185" s="13">
        <v>0</v>
      </c>
    </row>
    <row r="186" spans="1:4" ht="14.25" customHeight="1" x14ac:dyDescent="0.35">
      <c r="A186" s="2" t="s">
        <v>281</v>
      </c>
      <c r="B186" s="13" t="s">
        <v>52</v>
      </c>
      <c r="C186" s="13">
        <v>23052</v>
      </c>
      <c r="D186" s="13">
        <v>0</v>
      </c>
    </row>
    <row r="187" spans="1:4" ht="14.25" customHeight="1" x14ac:dyDescent="0.35">
      <c r="A187" s="2" t="s">
        <v>350</v>
      </c>
      <c r="B187" s="13" t="s">
        <v>50</v>
      </c>
      <c r="C187" s="13">
        <v>44043</v>
      </c>
      <c r="D187" s="13">
        <v>0</v>
      </c>
    </row>
    <row r="188" spans="1:4" ht="14.25" customHeight="1" x14ac:dyDescent="0.35">
      <c r="A188" s="2" t="s">
        <v>197</v>
      </c>
      <c r="B188" s="13" t="s">
        <v>48</v>
      </c>
      <c r="C188" s="13">
        <v>13023</v>
      </c>
      <c r="D188" s="13">
        <v>0</v>
      </c>
    </row>
    <row r="189" spans="1:4" ht="14.25" customHeight="1" x14ac:dyDescent="0.35">
      <c r="A189" s="2" t="s">
        <v>238</v>
      </c>
      <c r="B189" s="13" t="s">
        <v>55</v>
      </c>
      <c r="C189" s="13">
        <v>33016</v>
      </c>
      <c r="D189" s="13">
        <v>0</v>
      </c>
    </row>
    <row r="190" spans="1:4" ht="14.25" customHeight="1" x14ac:dyDescent="0.35">
      <c r="A190" s="2" t="s">
        <v>351</v>
      </c>
      <c r="B190" s="13" t="s">
        <v>55</v>
      </c>
      <c r="C190" s="13">
        <v>37007</v>
      </c>
      <c r="D190" s="13">
        <v>0</v>
      </c>
    </row>
    <row r="191" spans="1:4" ht="14.25" customHeight="1" x14ac:dyDescent="0.35">
      <c r="A191" s="2" t="s">
        <v>225</v>
      </c>
      <c r="B191" s="13" t="s">
        <v>55</v>
      </c>
      <c r="C191" s="13">
        <v>35011</v>
      </c>
      <c r="D191" s="13">
        <v>0</v>
      </c>
    </row>
    <row r="192" spans="1:4" ht="14.25" customHeight="1" x14ac:dyDescent="0.35">
      <c r="A192" s="2" t="s">
        <v>352</v>
      </c>
      <c r="B192" s="13" t="s">
        <v>50</v>
      </c>
      <c r="C192" s="13">
        <v>44045</v>
      </c>
      <c r="D192" s="13">
        <v>0</v>
      </c>
    </row>
    <row r="193" spans="1:4" ht="14.25" customHeight="1" x14ac:dyDescent="0.35">
      <c r="A193" s="2" t="s">
        <v>145</v>
      </c>
      <c r="B193" s="13" t="s">
        <v>48</v>
      </c>
      <c r="C193" s="13">
        <v>13025</v>
      </c>
      <c r="D193" s="13">
        <v>0</v>
      </c>
    </row>
    <row r="194" spans="1:4" ht="14.25" customHeight="1" x14ac:dyDescent="0.35">
      <c r="A194" s="2" t="s">
        <v>174</v>
      </c>
      <c r="B194" s="13" t="s">
        <v>55</v>
      </c>
      <c r="C194" s="13">
        <v>36012</v>
      </c>
      <c r="D194" s="13">
        <v>0</v>
      </c>
    </row>
    <row r="195" spans="1:4" ht="14.25" customHeight="1" x14ac:dyDescent="0.35">
      <c r="A195" s="2" t="s">
        <v>66</v>
      </c>
      <c r="B195" s="13" t="s">
        <v>48</v>
      </c>
      <c r="C195" s="13">
        <v>11029</v>
      </c>
      <c r="D195" s="13">
        <v>0</v>
      </c>
    </row>
    <row r="196" spans="1:4" ht="14.25" customHeight="1" x14ac:dyDescent="0.35">
      <c r="A196" s="2" t="s">
        <v>353</v>
      </c>
      <c r="B196" s="13" t="s">
        <v>50</v>
      </c>
      <c r="C196" s="13">
        <v>44048</v>
      </c>
      <c r="D196" s="13">
        <v>0</v>
      </c>
    </row>
    <row r="197" spans="1:4" ht="14.25" customHeight="1" x14ac:dyDescent="0.35">
      <c r="A197" s="2" t="s">
        <v>203</v>
      </c>
      <c r="B197" s="13" t="s">
        <v>48</v>
      </c>
      <c r="C197" s="13">
        <v>11030</v>
      </c>
      <c r="D197" s="13">
        <v>0</v>
      </c>
    </row>
    <row r="198" spans="1:4" ht="14.25" customHeight="1" x14ac:dyDescent="0.35">
      <c r="A198" s="2" t="s">
        <v>299</v>
      </c>
      <c r="B198" s="13" t="s">
        <v>59</v>
      </c>
      <c r="C198" s="13">
        <v>71045</v>
      </c>
      <c r="D198" s="13">
        <v>0</v>
      </c>
    </row>
    <row r="199" spans="1:4" ht="14.25" customHeight="1" x14ac:dyDescent="0.35">
      <c r="A199" s="2" t="s">
        <v>152</v>
      </c>
      <c r="B199" s="13" t="s">
        <v>55</v>
      </c>
      <c r="C199" s="13">
        <v>38016</v>
      </c>
      <c r="D199" s="13">
        <v>0</v>
      </c>
    </row>
    <row r="200" spans="1:4" ht="14.25" customHeight="1" x14ac:dyDescent="0.35">
      <c r="A200" s="2" t="s">
        <v>124</v>
      </c>
      <c r="B200" s="13" t="s">
        <v>48</v>
      </c>
      <c r="C200" s="13">
        <v>12026</v>
      </c>
      <c r="D200" s="13">
        <v>0</v>
      </c>
    </row>
    <row r="201" spans="1:4" ht="14.25" customHeight="1" x14ac:dyDescent="0.35">
      <c r="A201" s="2" t="s">
        <v>236</v>
      </c>
      <c r="B201" s="13" t="s">
        <v>50</v>
      </c>
      <c r="C201" s="13">
        <v>41048</v>
      </c>
      <c r="D201" s="13">
        <v>0</v>
      </c>
    </row>
    <row r="202" spans="1:4" ht="14.25" customHeight="1" x14ac:dyDescent="0.35">
      <c r="A202" s="2" t="s">
        <v>330</v>
      </c>
      <c r="B202" s="13" t="s">
        <v>48</v>
      </c>
      <c r="C202" s="13">
        <v>13029</v>
      </c>
      <c r="D202" s="13">
        <v>0</v>
      </c>
    </row>
    <row r="203" spans="1:4" ht="14.25" customHeight="1" x14ac:dyDescent="0.35">
      <c r="A203" s="2" t="s">
        <v>64</v>
      </c>
      <c r="B203" s="13" t="s">
        <v>55</v>
      </c>
      <c r="C203" s="13">
        <v>35013</v>
      </c>
      <c r="D203" s="13">
        <v>0</v>
      </c>
    </row>
    <row r="204" spans="1:4" ht="14.25" customHeight="1" x14ac:dyDescent="0.35">
      <c r="A204" s="2" t="s">
        <v>121</v>
      </c>
      <c r="B204" s="13" t="s">
        <v>50</v>
      </c>
      <c r="C204" s="13">
        <v>44052</v>
      </c>
      <c r="D204" s="13">
        <v>0</v>
      </c>
    </row>
    <row r="205" spans="1:4" ht="14.25" customHeight="1" x14ac:dyDescent="0.35">
      <c r="A205" s="2" t="s">
        <v>79</v>
      </c>
      <c r="B205" s="13" t="s">
        <v>55</v>
      </c>
      <c r="C205" s="13">
        <v>31022</v>
      </c>
      <c r="D205" s="13">
        <v>0</v>
      </c>
    </row>
    <row r="206" spans="1:4" ht="14.25" customHeight="1" x14ac:dyDescent="0.35">
      <c r="A206" s="2" t="s">
        <v>194</v>
      </c>
      <c r="B206" s="13" t="s">
        <v>55</v>
      </c>
      <c r="C206" s="13">
        <v>37010</v>
      </c>
      <c r="D206" s="13">
        <v>0</v>
      </c>
    </row>
    <row r="207" spans="1:4" ht="14.25" customHeight="1" x14ac:dyDescent="0.35">
      <c r="A207" s="2" t="s">
        <v>214</v>
      </c>
      <c r="B207" s="13" t="s">
        <v>52</v>
      </c>
      <c r="C207" s="13">
        <v>23060</v>
      </c>
      <c r="D207" s="13">
        <v>0</v>
      </c>
    </row>
    <row r="208" spans="1:4" ht="14.25" customHeight="1" x14ac:dyDescent="0.35">
      <c r="A208" s="2" t="s">
        <v>77</v>
      </c>
      <c r="B208" s="13" t="s">
        <v>50</v>
      </c>
      <c r="C208" s="13">
        <v>45035</v>
      </c>
      <c r="D208" s="13">
        <v>0</v>
      </c>
    </row>
    <row r="209" spans="1:4" ht="14.25" customHeight="1" x14ac:dyDescent="0.35">
      <c r="A209" s="2" t="s">
        <v>200</v>
      </c>
      <c r="B209" s="13" t="s">
        <v>55</v>
      </c>
      <c r="C209" s="13">
        <v>35014</v>
      </c>
      <c r="D209" s="13">
        <v>0</v>
      </c>
    </row>
    <row r="210" spans="1:4" ht="14.25" customHeight="1" x14ac:dyDescent="0.35">
      <c r="A210" s="2" t="s">
        <v>110</v>
      </c>
      <c r="B210" s="13" t="s">
        <v>52</v>
      </c>
      <c r="C210" s="13">
        <v>24086</v>
      </c>
      <c r="D210" s="13">
        <v>0</v>
      </c>
    </row>
    <row r="211" spans="1:4" ht="14.25" customHeight="1" x14ac:dyDescent="0.35">
      <c r="A211" s="2" t="s">
        <v>234</v>
      </c>
      <c r="B211" s="13" t="s">
        <v>59</v>
      </c>
      <c r="C211" s="13">
        <v>72042</v>
      </c>
      <c r="D211" s="13">
        <v>0</v>
      </c>
    </row>
    <row r="212" spans="1:4" ht="14.25" customHeight="1" x14ac:dyDescent="0.35">
      <c r="A212" s="2" t="s">
        <v>159</v>
      </c>
      <c r="B212" s="13" t="s">
        <v>48</v>
      </c>
      <c r="C212" s="13">
        <v>13031</v>
      </c>
      <c r="D212" s="13">
        <v>0</v>
      </c>
    </row>
    <row r="213" spans="1:4" ht="14.25" customHeight="1" x14ac:dyDescent="0.35">
      <c r="A213" s="2" t="s">
        <v>230</v>
      </c>
      <c r="B213" s="13" t="s">
        <v>52</v>
      </c>
      <c r="C213" s="13">
        <v>23062</v>
      </c>
      <c r="D213" s="13">
        <v>0</v>
      </c>
    </row>
    <row r="214" spans="1:4" ht="14.25" customHeight="1" x14ac:dyDescent="0.35">
      <c r="A214" s="2" t="s">
        <v>232</v>
      </c>
      <c r="B214" s="13" t="s">
        <v>59</v>
      </c>
      <c r="C214" s="13">
        <v>72030</v>
      </c>
      <c r="D214" s="13">
        <v>0</v>
      </c>
    </row>
    <row r="215" spans="1:4" ht="14.25" customHeight="1" x14ac:dyDescent="0.35">
      <c r="A215" s="2" t="s">
        <v>310</v>
      </c>
      <c r="B215" s="13" t="s">
        <v>59</v>
      </c>
      <c r="C215" s="13">
        <v>72043</v>
      </c>
      <c r="D215" s="13">
        <v>0</v>
      </c>
    </row>
    <row r="216" spans="1:4" ht="14.25" customHeight="1" x14ac:dyDescent="0.35">
      <c r="A216" s="2" t="s">
        <v>241</v>
      </c>
      <c r="B216" s="13" t="s">
        <v>52</v>
      </c>
      <c r="C216" s="13">
        <v>23064</v>
      </c>
      <c r="D216" s="13">
        <v>0</v>
      </c>
    </row>
    <row r="217" spans="1:4" ht="14.25" customHeight="1" x14ac:dyDescent="0.35">
      <c r="A217" s="2" t="s">
        <v>251</v>
      </c>
      <c r="B217" s="13" t="s">
        <v>55</v>
      </c>
      <c r="C217" s="13">
        <v>37011</v>
      </c>
      <c r="D217" s="13">
        <v>0</v>
      </c>
    </row>
    <row r="218" spans="1:4" ht="14.25" customHeight="1" x14ac:dyDescent="0.35">
      <c r="A218" s="2" t="s">
        <v>98</v>
      </c>
      <c r="B218" s="13" t="s">
        <v>55</v>
      </c>
      <c r="C218" s="13">
        <v>33021</v>
      </c>
      <c r="D218" s="13">
        <v>0</v>
      </c>
    </row>
    <row r="219" spans="1:4" ht="14.25" customHeight="1" x14ac:dyDescent="0.35">
      <c r="A219" s="2" t="s">
        <v>282</v>
      </c>
      <c r="B219" s="13" t="s">
        <v>48</v>
      </c>
      <c r="C219" s="13">
        <v>12029</v>
      </c>
      <c r="D219" s="13">
        <v>0</v>
      </c>
    </row>
    <row r="220" spans="1:4" ht="14.25" customHeight="1" x14ac:dyDescent="0.35">
      <c r="A220" s="2" t="s">
        <v>94</v>
      </c>
      <c r="B220" s="13" t="s">
        <v>48</v>
      </c>
      <c r="C220" s="13">
        <v>12041</v>
      </c>
      <c r="D220" s="13">
        <v>0</v>
      </c>
    </row>
    <row r="221" spans="1:4" ht="14.25" customHeight="1" x14ac:dyDescent="0.35">
      <c r="A221" s="2" t="s">
        <v>284</v>
      </c>
      <c r="B221" s="13" t="s">
        <v>48</v>
      </c>
      <c r="C221" s="13">
        <v>11035</v>
      </c>
      <c r="D221" s="13">
        <v>0</v>
      </c>
    </row>
    <row r="222" spans="1:4" ht="14.25" customHeight="1" x14ac:dyDescent="0.35">
      <c r="A222" s="2" t="s">
        <v>277</v>
      </c>
      <c r="B222" s="13" t="s">
        <v>48</v>
      </c>
      <c r="C222" s="13">
        <v>13035</v>
      </c>
      <c r="D222" s="13">
        <v>0</v>
      </c>
    </row>
    <row r="223" spans="1:4" ht="14.25" customHeight="1" x14ac:dyDescent="0.35">
      <c r="A223" s="2" t="s">
        <v>204</v>
      </c>
      <c r="B223" s="13" t="s">
        <v>48</v>
      </c>
      <c r="C223" s="13">
        <v>13036</v>
      </c>
      <c r="D223" s="13">
        <v>0</v>
      </c>
    </row>
    <row r="224" spans="1:4" ht="14.25" customHeight="1" x14ac:dyDescent="0.35">
      <c r="A224" s="2" t="s">
        <v>332</v>
      </c>
      <c r="B224" s="13" t="s">
        <v>59</v>
      </c>
      <c r="C224" s="13">
        <v>73066</v>
      </c>
      <c r="D224" s="13">
        <v>0</v>
      </c>
    </row>
    <row r="225" spans="1:4" ht="14.25" customHeight="1" x14ac:dyDescent="0.35">
      <c r="A225" s="2" t="s">
        <v>267</v>
      </c>
      <c r="B225" s="13" t="s">
        <v>48</v>
      </c>
      <c r="C225" s="13">
        <v>13037</v>
      </c>
      <c r="D225" s="13">
        <v>0</v>
      </c>
    </row>
    <row r="226" spans="1:4" ht="14.25" customHeight="1" x14ac:dyDescent="0.35">
      <c r="A226" s="2" t="s">
        <v>63</v>
      </c>
      <c r="B226" s="13" t="s">
        <v>55</v>
      </c>
      <c r="C226" s="13">
        <v>36015</v>
      </c>
      <c r="D226" s="13">
        <v>0</v>
      </c>
    </row>
    <row r="227" spans="1:4" ht="14.25" customHeight="1" x14ac:dyDescent="0.35">
      <c r="A227" s="2" t="s">
        <v>141</v>
      </c>
      <c r="B227" s="13" t="s">
        <v>50</v>
      </c>
      <c r="C227" s="13">
        <v>45041</v>
      </c>
      <c r="D227" s="13">
        <v>0</v>
      </c>
    </row>
    <row r="228" spans="1:4" ht="14.25" customHeight="1" x14ac:dyDescent="0.35">
      <c r="A228" s="2" t="s">
        <v>328</v>
      </c>
      <c r="B228" s="13" t="s">
        <v>52</v>
      </c>
      <c r="C228" s="13">
        <v>23097</v>
      </c>
      <c r="D228" s="13">
        <v>0</v>
      </c>
    </row>
    <row r="229" spans="1:4" ht="14.25" customHeight="1" x14ac:dyDescent="0.35">
      <c r="A229" s="2" t="s">
        <v>78</v>
      </c>
      <c r="B229" s="13" t="s">
        <v>52</v>
      </c>
      <c r="C229" s="13">
        <v>24094</v>
      </c>
      <c r="D229" s="13">
        <v>0</v>
      </c>
    </row>
    <row r="230" spans="1:4" ht="14.25" customHeight="1" x14ac:dyDescent="0.35">
      <c r="A230" s="2" t="s">
        <v>354</v>
      </c>
      <c r="B230" s="13" t="s">
        <v>55</v>
      </c>
      <c r="C230" s="13">
        <v>37012</v>
      </c>
      <c r="D230" s="13">
        <v>0</v>
      </c>
    </row>
    <row r="231" spans="1:4" ht="14.25" customHeight="1" x14ac:dyDescent="0.35">
      <c r="A231" s="2" t="s">
        <v>160</v>
      </c>
      <c r="B231" s="13" t="s">
        <v>48</v>
      </c>
      <c r="C231" s="13">
        <v>11037</v>
      </c>
      <c r="D231" s="13">
        <v>0</v>
      </c>
    </row>
    <row r="232" spans="1:4" ht="14.25" customHeight="1" x14ac:dyDescent="0.35">
      <c r="A232" s="2" t="s">
        <v>169</v>
      </c>
      <c r="B232" s="13" t="s">
        <v>48</v>
      </c>
      <c r="C232" s="13">
        <v>11038</v>
      </c>
      <c r="D232" s="13">
        <v>0</v>
      </c>
    </row>
    <row r="233" spans="1:4" ht="14.25" customHeight="1" x14ac:dyDescent="0.35">
      <c r="A233" s="2" t="s">
        <v>292</v>
      </c>
      <c r="B233" s="13" t="s">
        <v>52</v>
      </c>
      <c r="C233" s="13">
        <v>24134</v>
      </c>
      <c r="D233" s="13">
        <v>0</v>
      </c>
    </row>
    <row r="234" spans="1:4" ht="14.25" customHeight="1" x14ac:dyDescent="0.35">
      <c r="A234" s="2" t="s">
        <v>311</v>
      </c>
      <c r="B234" s="13" t="s">
        <v>48</v>
      </c>
      <c r="C234" s="13">
        <v>11039</v>
      </c>
      <c r="D234" s="13">
        <v>0</v>
      </c>
    </row>
    <row r="235" spans="1:4" ht="14.25" customHeight="1" x14ac:dyDescent="0.35">
      <c r="A235" s="2" t="s">
        <v>188</v>
      </c>
      <c r="B235" s="13" t="s">
        <v>48</v>
      </c>
      <c r="C235" s="13">
        <v>11040</v>
      </c>
      <c r="D235" s="13">
        <v>0</v>
      </c>
    </row>
    <row r="236" spans="1:4" ht="14.25" customHeight="1" x14ac:dyDescent="0.35">
      <c r="A236" s="2" t="s">
        <v>220</v>
      </c>
      <c r="B236" s="13" t="s">
        <v>52</v>
      </c>
      <c r="C236" s="13">
        <v>23101</v>
      </c>
      <c r="D236" s="13">
        <v>0</v>
      </c>
    </row>
    <row r="237" spans="1:4" ht="14.25" customHeight="1" x14ac:dyDescent="0.35">
      <c r="A237" s="2" t="s">
        <v>226</v>
      </c>
      <c r="B237" s="13" t="s">
        <v>50</v>
      </c>
      <c r="C237" s="13">
        <v>46020</v>
      </c>
      <c r="D237" s="13">
        <v>0</v>
      </c>
    </row>
    <row r="238" spans="1:4" ht="14.25" customHeight="1" x14ac:dyDescent="0.35">
      <c r="A238" s="2" t="s">
        <v>183</v>
      </c>
      <c r="B238" s="13" t="s">
        <v>48</v>
      </c>
      <c r="C238" s="13">
        <v>12035</v>
      </c>
      <c r="D238" s="13">
        <v>0</v>
      </c>
    </row>
    <row r="239" spans="1:4" ht="14.25" customHeight="1" x14ac:dyDescent="0.35">
      <c r="A239" s="2" t="s">
        <v>250</v>
      </c>
      <c r="B239" s="13" t="s">
        <v>50</v>
      </c>
      <c r="C239" s="13">
        <v>43014</v>
      </c>
      <c r="D239" s="13">
        <v>0</v>
      </c>
    </row>
    <row r="240" spans="1:4" ht="14.25" customHeight="1" x14ac:dyDescent="0.35">
      <c r="A240" s="2" t="s">
        <v>202</v>
      </c>
      <c r="B240" s="13" t="s">
        <v>50</v>
      </c>
      <c r="C240" s="13">
        <v>41063</v>
      </c>
      <c r="D240" s="13">
        <v>0</v>
      </c>
    </row>
    <row r="241" spans="1:4" ht="14.25" customHeight="1" x14ac:dyDescent="0.35">
      <c r="A241" s="2" t="s">
        <v>148</v>
      </c>
      <c r="B241" s="13" t="s">
        <v>50</v>
      </c>
      <c r="C241" s="13">
        <v>44064</v>
      </c>
      <c r="D241" s="13">
        <v>0</v>
      </c>
    </row>
    <row r="242" spans="1:4" ht="14.25" customHeight="1" x14ac:dyDescent="0.35">
      <c r="A242" s="2" t="s">
        <v>57</v>
      </c>
      <c r="B242" s="13" t="s">
        <v>50</v>
      </c>
      <c r="C242" s="13">
        <v>46021</v>
      </c>
      <c r="D242" s="13">
        <v>0</v>
      </c>
    </row>
    <row r="243" spans="1:4" ht="14.25" customHeight="1" x14ac:dyDescent="0.35">
      <c r="A243" s="2" t="s">
        <v>132</v>
      </c>
      <c r="B243" s="13" t="s">
        <v>52</v>
      </c>
      <c r="C243" s="13">
        <v>23077</v>
      </c>
      <c r="D243" s="13">
        <v>0</v>
      </c>
    </row>
    <row r="244" spans="1:4" ht="14.25" customHeight="1" x14ac:dyDescent="0.35">
      <c r="A244" s="2" t="s">
        <v>189</v>
      </c>
      <c r="B244" s="13" t="s">
        <v>59</v>
      </c>
      <c r="C244" s="13">
        <v>71053</v>
      </c>
      <c r="D244" s="13">
        <v>0</v>
      </c>
    </row>
    <row r="245" spans="1:4" ht="14.25" customHeight="1" x14ac:dyDescent="0.35">
      <c r="A245" s="2" t="s">
        <v>314</v>
      </c>
      <c r="B245" s="13" t="s">
        <v>55</v>
      </c>
      <c r="C245" s="13">
        <v>34043</v>
      </c>
      <c r="D245" s="13">
        <v>0</v>
      </c>
    </row>
    <row r="246" spans="1:4" ht="14.25" customHeight="1" x14ac:dyDescent="0.35">
      <c r="A246" s="2" t="s">
        <v>336</v>
      </c>
      <c r="B246" s="13" t="s">
        <v>48</v>
      </c>
      <c r="C246" s="13">
        <v>11044</v>
      </c>
      <c r="D246" s="13">
        <v>0</v>
      </c>
    </row>
    <row r="247" spans="1:4" ht="14.25" customHeight="1" x14ac:dyDescent="0.35">
      <c r="A247" s="2" t="s">
        <v>154</v>
      </c>
      <c r="B247" s="13" t="s">
        <v>55</v>
      </c>
      <c r="C247" s="13">
        <v>36019</v>
      </c>
      <c r="D247" s="13">
        <v>0</v>
      </c>
    </row>
    <row r="248" spans="1:4" ht="14.25" customHeight="1" x14ac:dyDescent="0.35">
      <c r="A248" s="2" t="s">
        <v>208</v>
      </c>
      <c r="B248" s="13" t="s">
        <v>52</v>
      </c>
      <c r="C248" s="13">
        <v>23081</v>
      </c>
      <c r="D248" s="13">
        <v>0</v>
      </c>
    </row>
    <row r="249" spans="1:4" ht="14.25" customHeight="1" x14ac:dyDescent="0.35">
      <c r="A249" s="2" t="s">
        <v>285</v>
      </c>
      <c r="B249" s="13" t="s">
        <v>50</v>
      </c>
      <c r="C249" s="13">
        <v>46024</v>
      </c>
      <c r="D249" s="13">
        <v>0</v>
      </c>
    </row>
    <row r="250" spans="1:4" ht="14.25" customHeight="1" x14ac:dyDescent="0.35">
      <c r="A250" s="2" t="s">
        <v>166</v>
      </c>
      <c r="B250" s="13" t="s">
        <v>50</v>
      </c>
      <c r="C250" s="13">
        <v>46025</v>
      </c>
      <c r="D250" s="13">
        <v>0</v>
      </c>
    </row>
    <row r="251" spans="1:4" ht="14.25" customHeight="1" x14ac:dyDescent="0.35">
      <c r="A251" s="2" t="s">
        <v>217</v>
      </c>
      <c r="B251" s="13" t="s">
        <v>52</v>
      </c>
      <c r="C251" s="13">
        <v>23086</v>
      </c>
      <c r="D251" s="13">
        <v>0</v>
      </c>
    </row>
    <row r="252" spans="1:4" ht="14.25" customHeight="1" x14ac:dyDescent="0.35">
      <c r="A252" s="2" t="s">
        <v>87</v>
      </c>
      <c r="B252" s="13" t="s">
        <v>52</v>
      </c>
      <c r="C252" s="13">
        <v>24104</v>
      </c>
      <c r="D252" s="13">
        <v>0</v>
      </c>
    </row>
    <row r="253" spans="1:4" ht="14.25" customHeight="1" x14ac:dyDescent="0.35">
      <c r="A253" s="2" t="s">
        <v>355</v>
      </c>
      <c r="B253" s="13" t="s">
        <v>59</v>
      </c>
      <c r="C253" s="13">
        <v>71057</v>
      </c>
      <c r="D253" s="13">
        <v>0</v>
      </c>
    </row>
    <row r="254" spans="1:4" ht="14.25" customHeight="1" x14ac:dyDescent="0.35">
      <c r="A254" s="2" t="s">
        <v>102</v>
      </c>
      <c r="B254" s="13" t="s">
        <v>55</v>
      </c>
      <c r="C254" s="13">
        <v>37015</v>
      </c>
      <c r="D254" s="13">
        <v>0</v>
      </c>
    </row>
    <row r="255" spans="1:4" ht="14.25" customHeight="1" x14ac:dyDescent="0.35">
      <c r="A255" s="2" t="s">
        <v>302</v>
      </c>
      <c r="B255" s="13" t="s">
        <v>52</v>
      </c>
      <c r="C255" s="13">
        <v>24135</v>
      </c>
      <c r="D255" s="13">
        <v>0</v>
      </c>
    </row>
    <row r="256" spans="1:4" ht="14.25" customHeight="1" x14ac:dyDescent="0.35">
      <c r="A256" s="2" t="s">
        <v>104</v>
      </c>
      <c r="B256" s="13" t="s">
        <v>52</v>
      </c>
      <c r="C256" s="13">
        <v>24107</v>
      </c>
      <c r="D256" s="13">
        <v>0</v>
      </c>
    </row>
    <row r="257" spans="1:4" ht="14.25" customHeight="1" x14ac:dyDescent="0.35">
      <c r="A257" s="2" t="s">
        <v>356</v>
      </c>
      <c r="B257" s="13" t="s">
        <v>59</v>
      </c>
      <c r="C257" s="13">
        <v>73083</v>
      </c>
      <c r="D257" s="13">
        <v>0</v>
      </c>
    </row>
    <row r="258" spans="1:4" ht="14.25" customHeight="1" x14ac:dyDescent="0.35">
      <c r="A258" s="2" t="s">
        <v>93</v>
      </c>
      <c r="B258" s="13" t="s">
        <v>55</v>
      </c>
      <c r="C258" s="13">
        <v>31033</v>
      </c>
      <c r="D258" s="13">
        <v>0</v>
      </c>
    </row>
    <row r="259" spans="1:4" ht="14.25" customHeight="1" x14ac:dyDescent="0.35">
      <c r="A259" s="2" t="s">
        <v>215</v>
      </c>
      <c r="B259" s="13" t="s">
        <v>52</v>
      </c>
      <c r="C259" s="13">
        <v>24109</v>
      </c>
      <c r="D259" s="13">
        <v>0</v>
      </c>
    </row>
    <row r="260" spans="1:4" ht="14.25" customHeight="1" x14ac:dyDescent="0.35">
      <c r="A260" s="2" t="s">
        <v>61</v>
      </c>
      <c r="B260" s="13" t="s">
        <v>48</v>
      </c>
      <c r="C260" s="13">
        <v>13040</v>
      </c>
      <c r="D260" s="13">
        <v>0</v>
      </c>
    </row>
    <row r="261" spans="1:4" ht="14.25" customHeight="1" x14ac:dyDescent="0.35">
      <c r="A261" s="2" t="s">
        <v>175</v>
      </c>
      <c r="B261" s="13" t="s">
        <v>55</v>
      </c>
      <c r="C261" s="13">
        <v>38025</v>
      </c>
      <c r="D261" s="13">
        <v>0</v>
      </c>
    </row>
    <row r="262" spans="1:4" ht="14.25" customHeight="1" x14ac:dyDescent="0.35">
      <c r="A262" s="2" t="s">
        <v>74</v>
      </c>
      <c r="B262" s="13" t="s">
        <v>52</v>
      </c>
      <c r="C262" s="13">
        <v>23088</v>
      </c>
      <c r="D262" s="13">
        <v>0</v>
      </c>
    </row>
    <row r="263" spans="1:4" ht="14.25" customHeight="1" x14ac:dyDescent="0.35">
      <c r="A263" s="2" t="s">
        <v>240</v>
      </c>
      <c r="B263" s="13" t="s">
        <v>55</v>
      </c>
      <c r="C263" s="13">
        <v>33041</v>
      </c>
      <c r="D263" s="13">
        <v>0</v>
      </c>
    </row>
    <row r="264" spans="1:4" ht="14.25" customHeight="1" x14ac:dyDescent="0.35">
      <c r="A264" s="2" t="s">
        <v>318</v>
      </c>
      <c r="B264" s="13" t="s">
        <v>59</v>
      </c>
      <c r="C264" s="13">
        <v>73109</v>
      </c>
      <c r="D264" s="13">
        <v>0</v>
      </c>
    </row>
    <row r="265" spans="1:4" ht="14.25" customHeight="1" x14ac:dyDescent="0.35">
      <c r="A265" s="2" t="s">
        <v>195</v>
      </c>
      <c r="B265" s="13" t="s">
        <v>48</v>
      </c>
      <c r="C265" s="13">
        <v>13044</v>
      </c>
      <c r="D265" s="13">
        <v>0</v>
      </c>
    </row>
    <row r="266" spans="1:4" ht="14.25" customHeight="1" x14ac:dyDescent="0.35">
      <c r="A266" s="2" t="s">
        <v>264</v>
      </c>
      <c r="B266" s="13" t="s">
        <v>48</v>
      </c>
      <c r="C266" s="13">
        <v>13046</v>
      </c>
      <c r="D266" s="13">
        <v>0</v>
      </c>
    </row>
    <row r="267" spans="1:4" ht="14.25" customHeight="1" x14ac:dyDescent="0.35">
      <c r="A267" s="2" t="s">
        <v>262</v>
      </c>
      <c r="B267" s="13" t="s">
        <v>50</v>
      </c>
      <c r="C267" s="13">
        <v>42023</v>
      </c>
      <c r="D267" s="13">
        <v>0</v>
      </c>
    </row>
    <row r="268" spans="1:4" ht="14.25" customHeight="1" x14ac:dyDescent="0.35">
      <c r="A268" s="2" t="s">
        <v>357</v>
      </c>
      <c r="B268" s="13" t="s">
        <v>50</v>
      </c>
      <c r="C268" s="13">
        <v>44073</v>
      </c>
      <c r="D268" s="13">
        <v>0</v>
      </c>
    </row>
    <row r="269" spans="1:4" ht="14.25" customHeight="1" x14ac:dyDescent="0.35">
      <c r="A269" s="2" t="s">
        <v>146</v>
      </c>
      <c r="B269" s="13" t="s">
        <v>55</v>
      </c>
      <c r="C269" s="13">
        <v>34040</v>
      </c>
      <c r="D269" s="13">
        <v>0</v>
      </c>
    </row>
    <row r="270" spans="1:4" ht="14.25" customHeight="1" x14ac:dyDescent="0.35">
      <c r="A270" s="2" t="s">
        <v>322</v>
      </c>
      <c r="B270" s="13" t="s">
        <v>59</v>
      </c>
      <c r="C270" s="13">
        <v>73098</v>
      </c>
      <c r="D270" s="13">
        <v>0</v>
      </c>
    </row>
    <row r="271" spans="1:4" ht="14.25" customHeight="1" x14ac:dyDescent="0.35">
      <c r="A271" s="2" t="s">
        <v>162</v>
      </c>
      <c r="B271" s="13" t="s">
        <v>52</v>
      </c>
      <c r="C271" s="13">
        <v>23102</v>
      </c>
      <c r="D271" s="13">
        <v>0</v>
      </c>
    </row>
    <row r="272" spans="1:4" ht="14.25" customHeight="1" x14ac:dyDescent="0.35">
      <c r="A272" s="2" t="s">
        <v>222</v>
      </c>
      <c r="B272" s="13" t="s">
        <v>55</v>
      </c>
      <c r="C272" s="13">
        <v>33029</v>
      </c>
      <c r="D272" s="13">
        <v>0</v>
      </c>
    </row>
    <row r="273" spans="1:9" ht="14.25" customHeight="1" x14ac:dyDescent="0.35">
      <c r="A273" s="2" t="s">
        <v>101</v>
      </c>
      <c r="B273" s="13" t="s">
        <v>48</v>
      </c>
      <c r="C273" s="13">
        <v>13049</v>
      </c>
      <c r="D273" s="13">
        <v>0</v>
      </c>
    </row>
    <row r="274" spans="1:9" ht="14.25" customHeight="1" x14ac:dyDescent="0.35">
      <c r="A274" s="2" t="s">
        <v>89</v>
      </c>
      <c r="B274" s="13" t="s">
        <v>50</v>
      </c>
      <c r="C274" s="13">
        <v>42025</v>
      </c>
      <c r="D274" s="13">
        <v>0</v>
      </c>
    </row>
    <row r="275" spans="1:9" ht="14.25" customHeight="1" x14ac:dyDescent="0.35">
      <c r="A275" s="2" t="s">
        <v>143</v>
      </c>
      <c r="B275" s="13" t="s">
        <v>55</v>
      </c>
      <c r="C275" s="13">
        <v>34041</v>
      </c>
      <c r="D275" s="13">
        <v>0</v>
      </c>
    </row>
    <row r="276" spans="1:9" ht="14.25" customHeight="1" x14ac:dyDescent="0.35">
      <c r="A276" s="2" t="s">
        <v>213</v>
      </c>
      <c r="B276" s="13" t="s">
        <v>52</v>
      </c>
      <c r="C276" s="13">
        <v>23103</v>
      </c>
      <c r="D276" s="13">
        <v>0</v>
      </c>
    </row>
    <row r="277" spans="1:9" ht="14.25" customHeight="1" x14ac:dyDescent="0.35">
      <c r="A277" s="2" t="s">
        <v>205</v>
      </c>
      <c r="B277" s="13" t="s">
        <v>50</v>
      </c>
      <c r="C277" s="13">
        <v>42026</v>
      </c>
      <c r="D277" s="13">
        <v>0</v>
      </c>
    </row>
    <row r="278" spans="1:9" ht="14.25" customHeight="1" x14ac:dyDescent="0.35">
      <c r="A278" s="2" t="s">
        <v>201</v>
      </c>
      <c r="B278" s="13" t="s">
        <v>55</v>
      </c>
      <c r="C278" s="13">
        <v>37017</v>
      </c>
      <c r="D278" s="13">
        <v>0</v>
      </c>
    </row>
    <row r="279" spans="1:9" ht="14.25" customHeight="1" x14ac:dyDescent="0.35">
      <c r="A279" s="2" t="s">
        <v>151</v>
      </c>
      <c r="B279" s="13" t="s">
        <v>48</v>
      </c>
      <c r="C279" s="13">
        <v>11050</v>
      </c>
      <c r="D279" s="13">
        <v>0</v>
      </c>
    </row>
    <row r="280" spans="1:9" ht="14.25" customHeight="1" x14ac:dyDescent="0.35">
      <c r="A280" s="2" t="s">
        <v>142</v>
      </c>
      <c r="B280" s="13" t="s">
        <v>48</v>
      </c>
      <c r="C280" s="13">
        <v>12040</v>
      </c>
      <c r="D280" s="13">
        <v>0</v>
      </c>
    </row>
    <row r="281" spans="1:9" ht="14.25" customHeight="1" x14ac:dyDescent="0.35">
      <c r="A281" s="2" t="s">
        <v>115</v>
      </c>
      <c r="B281" s="13" t="s">
        <v>55</v>
      </c>
      <c r="C281" s="13">
        <v>37018</v>
      </c>
      <c r="D281" s="13">
        <v>0</v>
      </c>
    </row>
    <row r="282" spans="1:9" ht="14.25" customHeight="1" x14ac:dyDescent="0.35">
      <c r="A282" s="2" t="s">
        <v>210</v>
      </c>
      <c r="B282" s="13" t="s">
        <v>48</v>
      </c>
      <c r="C282" s="13">
        <v>11052</v>
      </c>
      <c r="D282" s="13">
        <v>0</v>
      </c>
    </row>
    <row r="283" spans="1:9" ht="14.25" customHeight="1" x14ac:dyDescent="0.35">
      <c r="A283" s="2" t="s">
        <v>246</v>
      </c>
      <c r="B283" s="13" t="s">
        <v>50</v>
      </c>
      <c r="C283" s="13">
        <v>45061</v>
      </c>
      <c r="D283" s="13">
        <v>0</v>
      </c>
    </row>
    <row r="284" spans="1:9" ht="14.25" customHeight="1" x14ac:dyDescent="0.35">
      <c r="A284" s="2" t="s">
        <v>290</v>
      </c>
      <c r="B284" s="13" t="s">
        <v>48</v>
      </c>
      <c r="C284" s="13">
        <v>11053</v>
      </c>
      <c r="D284" s="13">
        <v>0</v>
      </c>
    </row>
    <row r="285" spans="1:9" ht="14.25" customHeight="1" x14ac:dyDescent="0.35">
      <c r="A285" s="2" t="s">
        <v>305</v>
      </c>
      <c r="B285" s="13" t="s">
        <v>48</v>
      </c>
      <c r="C285" s="13">
        <v>11054</v>
      </c>
      <c r="D285" s="13">
        <v>0</v>
      </c>
    </row>
    <row r="286" spans="1:9" ht="14.25" customHeight="1" x14ac:dyDescent="0.35">
      <c r="A286" s="2" t="s">
        <v>105</v>
      </c>
      <c r="B286" s="13" t="s">
        <v>52</v>
      </c>
      <c r="C286" s="13">
        <v>23094</v>
      </c>
      <c r="D286" s="13">
        <v>0</v>
      </c>
      <c r="H286" s="13">
        <v>5</v>
      </c>
      <c r="I286" s="13">
        <v>5</v>
      </c>
    </row>
    <row r="287" spans="1:9" ht="14.25" customHeight="1" x14ac:dyDescent="0.35">
      <c r="A287" s="2" t="s">
        <v>164</v>
      </c>
      <c r="B287" s="13" t="s">
        <v>55</v>
      </c>
      <c r="C287" s="13">
        <v>31040</v>
      </c>
      <c r="D287" s="13">
        <v>0</v>
      </c>
    </row>
    <row r="288" spans="1:9" ht="14.25" customHeight="1" x14ac:dyDescent="0.35">
      <c r="A288" s="2" t="s">
        <v>228</v>
      </c>
      <c r="B288" s="13" t="s">
        <v>50</v>
      </c>
      <c r="C288" s="13">
        <v>42028</v>
      </c>
      <c r="D288" s="13">
        <v>0</v>
      </c>
    </row>
    <row r="289" spans="1:11" ht="14.25" customHeight="1" x14ac:dyDescent="0.35">
      <c r="A289" s="2" t="s">
        <v>269</v>
      </c>
      <c r="B289" s="13" t="s">
        <v>50</v>
      </c>
      <c r="C289" s="13">
        <v>43018</v>
      </c>
      <c r="D289" s="13">
        <v>0</v>
      </c>
    </row>
    <row r="290" spans="1:11" ht="14.25" customHeight="1" x14ac:dyDescent="0.35">
      <c r="A290" s="2" t="s">
        <v>119</v>
      </c>
      <c r="B290" s="13" t="s">
        <v>52</v>
      </c>
      <c r="C290" s="13">
        <v>23096</v>
      </c>
      <c r="D290" s="13">
        <v>0</v>
      </c>
    </row>
    <row r="291" spans="1:11" ht="14.25" customHeight="1" x14ac:dyDescent="0.35">
      <c r="A291" s="2" t="s">
        <v>291</v>
      </c>
      <c r="B291" s="13" t="s">
        <v>48</v>
      </c>
      <c r="C291" s="13">
        <v>11055</v>
      </c>
      <c r="D291" s="13">
        <v>0</v>
      </c>
    </row>
    <row r="292" spans="1:11" ht="14.25" customHeight="1" x14ac:dyDescent="0.35">
      <c r="A292" s="2" t="s">
        <v>289</v>
      </c>
      <c r="B292" s="13" t="s">
        <v>59</v>
      </c>
      <c r="C292" s="13">
        <v>71066</v>
      </c>
      <c r="D292" s="13">
        <v>0</v>
      </c>
    </row>
    <row r="293" spans="1:11" ht="14.25" customHeight="1" x14ac:dyDescent="0.35">
      <c r="A293" s="2" t="s">
        <v>137</v>
      </c>
      <c r="B293" s="13" t="s">
        <v>55</v>
      </c>
      <c r="C293" s="13">
        <v>33037</v>
      </c>
      <c r="D293" s="13">
        <v>0</v>
      </c>
    </row>
    <row r="294" spans="1:11" ht="14.25" customHeight="1" x14ac:dyDescent="0.35">
      <c r="A294" s="2" t="s">
        <v>120</v>
      </c>
      <c r="B294" s="13" t="s">
        <v>50</v>
      </c>
      <c r="C294" s="13">
        <v>41081</v>
      </c>
      <c r="D294" s="13">
        <v>0</v>
      </c>
    </row>
    <row r="295" spans="1:11" ht="14.25" customHeight="1" x14ac:dyDescent="0.35">
      <c r="A295" s="2" t="s">
        <v>255</v>
      </c>
      <c r="B295" s="13" t="s">
        <v>52</v>
      </c>
      <c r="C295" s="13">
        <v>24130</v>
      </c>
      <c r="D295" s="13">
        <v>0</v>
      </c>
    </row>
    <row r="296" spans="1:11" ht="14.25" customHeight="1" x14ac:dyDescent="0.35">
      <c r="A296" s="2" t="s">
        <v>316</v>
      </c>
      <c r="B296" s="13" t="s">
        <v>55</v>
      </c>
      <c r="C296" s="13">
        <v>31042</v>
      </c>
      <c r="D296" s="13">
        <v>0</v>
      </c>
    </row>
    <row r="297" spans="1:11" ht="14.25" customHeight="1" x14ac:dyDescent="0.35">
      <c r="A297" s="2" t="s">
        <v>111</v>
      </c>
      <c r="B297" s="13" t="s">
        <v>50</v>
      </c>
      <c r="C297" s="13">
        <v>44081</v>
      </c>
      <c r="D297" s="13">
        <v>0</v>
      </c>
    </row>
    <row r="298" spans="1:11" ht="14.25" customHeight="1" x14ac:dyDescent="0.35">
      <c r="A298" s="2" t="s">
        <v>321</v>
      </c>
      <c r="B298" s="13" t="s">
        <v>59</v>
      </c>
      <c r="C298" s="13">
        <v>71067</v>
      </c>
      <c r="D298" s="13">
        <v>0</v>
      </c>
    </row>
    <row r="299" spans="1:11" ht="14.25" customHeight="1" x14ac:dyDescent="0.35">
      <c r="A299" s="2" t="s">
        <v>149</v>
      </c>
      <c r="B299" s="13" t="s">
        <v>50</v>
      </c>
      <c r="C299" s="13">
        <v>45065</v>
      </c>
      <c r="D299" s="13">
        <v>0</v>
      </c>
    </row>
    <row r="300" spans="1:11" ht="14.25" customHeight="1" x14ac:dyDescent="0.35">
      <c r="A300" s="2" t="s">
        <v>186</v>
      </c>
      <c r="B300" s="13" t="s">
        <v>55</v>
      </c>
      <c r="C300" s="13">
        <v>34042</v>
      </c>
      <c r="D300" s="13">
        <v>0</v>
      </c>
    </row>
    <row r="301" spans="1:11" ht="14.25" customHeight="1" x14ac:dyDescent="0.35">
      <c r="A301" s="2" t="s">
        <v>358</v>
      </c>
      <c r="B301" s="13" t="s">
        <v>48</v>
      </c>
      <c r="C301" s="13">
        <v>11056</v>
      </c>
      <c r="D301" s="13">
        <v>0</v>
      </c>
    </row>
    <row r="302" spans="1:11" ht="14.25" customHeight="1" x14ac:dyDescent="0.35">
      <c r="D302" s="13">
        <f t="shared" ref="D302:K302" si="0">SUM(D2:D301)</f>
        <v>190</v>
      </c>
      <c r="E302" s="13">
        <f t="shared" si="0"/>
        <v>190</v>
      </c>
      <c r="F302" s="13">
        <f t="shared" si="0"/>
        <v>180</v>
      </c>
      <c r="G302" s="13">
        <f t="shared" si="0"/>
        <v>180</v>
      </c>
      <c r="H302" s="13">
        <f t="shared" si="0"/>
        <v>370</v>
      </c>
      <c r="I302" s="13">
        <f t="shared" si="0"/>
        <v>370</v>
      </c>
      <c r="J302" s="13">
        <f t="shared" si="0"/>
        <v>290</v>
      </c>
      <c r="K302" s="13">
        <f t="shared" si="0"/>
        <v>290</v>
      </c>
    </row>
    <row r="303" spans="1:11" ht="14.25" customHeight="1" x14ac:dyDescent="0.35"/>
    <row r="304" spans="1:11"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21.08984375" customWidth="1"/>
    <col min="2" max="2" width="15.81640625" customWidth="1"/>
    <col min="3" max="3" width="12.453125" customWidth="1"/>
    <col min="4" max="4" width="16.08984375" customWidth="1"/>
    <col min="5" max="5" width="13.81640625" customWidth="1"/>
    <col min="6" max="6" width="12.453125" customWidth="1"/>
    <col min="7" max="7" width="13.26953125" customWidth="1"/>
    <col min="8" max="9" width="8.7265625" customWidth="1"/>
  </cols>
  <sheetData>
    <row r="1" spans="1:7" ht="45.75" customHeight="1" x14ac:dyDescent="0.35">
      <c r="A1" s="128" t="s">
        <v>0</v>
      </c>
      <c r="B1" s="129" t="s">
        <v>1</v>
      </c>
      <c r="C1" s="128" t="s">
        <v>2</v>
      </c>
      <c r="D1" s="128" t="s">
        <v>35</v>
      </c>
      <c r="E1" s="128" t="s">
        <v>36</v>
      </c>
      <c r="F1" s="128" t="s">
        <v>41</v>
      </c>
      <c r="G1" s="128" t="s">
        <v>42</v>
      </c>
    </row>
    <row r="2" spans="1:7" ht="14.25" customHeight="1" x14ac:dyDescent="0.35">
      <c r="A2" s="130" t="s">
        <v>65</v>
      </c>
      <c r="B2" s="131" t="s">
        <v>50</v>
      </c>
      <c r="C2" s="131">
        <v>41002</v>
      </c>
      <c r="D2" s="131"/>
      <c r="E2" s="131"/>
      <c r="F2" s="131"/>
      <c r="G2" s="131"/>
    </row>
    <row r="3" spans="1:7" ht="14.25" customHeight="1" x14ac:dyDescent="0.35">
      <c r="A3" s="132" t="s">
        <v>231</v>
      </c>
      <c r="B3" s="133" t="s">
        <v>50</v>
      </c>
      <c r="C3" s="133">
        <v>44084</v>
      </c>
      <c r="D3" s="133"/>
      <c r="E3" s="133"/>
      <c r="F3" s="133"/>
      <c r="G3" s="133"/>
    </row>
    <row r="4" spans="1:7" ht="14.25" customHeight="1" x14ac:dyDescent="0.35">
      <c r="A4" s="130" t="s">
        <v>84</v>
      </c>
      <c r="B4" s="131" t="s">
        <v>52</v>
      </c>
      <c r="C4" s="131">
        <v>24001</v>
      </c>
      <c r="D4" s="131"/>
      <c r="E4" s="131"/>
      <c r="F4" s="131"/>
      <c r="G4" s="131"/>
    </row>
    <row r="5" spans="1:7" ht="14.25" customHeight="1" x14ac:dyDescent="0.35">
      <c r="A5" s="132" t="s">
        <v>335</v>
      </c>
      <c r="B5" s="133" t="s">
        <v>48</v>
      </c>
      <c r="C5" s="133">
        <v>11001</v>
      </c>
      <c r="D5" s="133"/>
      <c r="E5" s="133"/>
      <c r="F5" s="133"/>
      <c r="G5" s="133"/>
    </row>
    <row r="6" spans="1:7" ht="14.25" customHeight="1" x14ac:dyDescent="0.35">
      <c r="A6" s="130" t="s">
        <v>306</v>
      </c>
      <c r="B6" s="131" t="s">
        <v>52</v>
      </c>
      <c r="C6" s="131">
        <v>23105</v>
      </c>
      <c r="D6" s="131"/>
      <c r="E6" s="131"/>
      <c r="F6" s="131"/>
      <c r="G6" s="131"/>
    </row>
    <row r="7" spans="1:7" ht="14.25" customHeight="1" x14ac:dyDescent="0.35">
      <c r="A7" s="132" t="s">
        <v>279</v>
      </c>
      <c r="B7" s="133" t="s">
        <v>59</v>
      </c>
      <c r="C7" s="133">
        <v>73001</v>
      </c>
      <c r="D7" s="133"/>
      <c r="E7" s="133"/>
      <c r="F7" s="133"/>
      <c r="G7" s="133"/>
    </row>
    <row r="8" spans="1:7" ht="14.25" customHeight="1" x14ac:dyDescent="0.35">
      <c r="A8" s="130" t="s">
        <v>242</v>
      </c>
      <c r="B8" s="131" t="s">
        <v>55</v>
      </c>
      <c r="C8" s="131">
        <v>38002</v>
      </c>
      <c r="D8" s="131"/>
      <c r="E8" s="131"/>
      <c r="F8" s="131"/>
      <c r="G8" s="131"/>
    </row>
    <row r="9" spans="1:7" ht="14.25" customHeight="1" x14ac:dyDescent="0.35">
      <c r="A9" s="132" t="s">
        <v>48</v>
      </c>
      <c r="B9" s="133" t="s">
        <v>48</v>
      </c>
      <c r="C9" s="133">
        <v>11002</v>
      </c>
      <c r="D9" s="133"/>
      <c r="E9" s="133"/>
      <c r="F9" s="133"/>
      <c r="G9" s="133"/>
    </row>
    <row r="10" spans="1:7" ht="14.25" customHeight="1" x14ac:dyDescent="0.35">
      <c r="A10" s="130" t="s">
        <v>276</v>
      </c>
      <c r="B10" s="131" t="s">
        <v>55</v>
      </c>
      <c r="C10" s="131">
        <v>34002</v>
      </c>
      <c r="D10" s="131"/>
      <c r="E10" s="131"/>
      <c r="F10" s="131"/>
      <c r="G10" s="131"/>
    </row>
    <row r="11" spans="1:7" ht="14.25" customHeight="1" x14ac:dyDescent="0.35">
      <c r="A11" s="132" t="s">
        <v>199</v>
      </c>
      <c r="B11" s="133" t="s">
        <v>55</v>
      </c>
      <c r="C11" s="133">
        <v>37020</v>
      </c>
      <c r="D11" s="133"/>
      <c r="E11" s="133"/>
      <c r="F11" s="133"/>
      <c r="G11" s="133"/>
    </row>
    <row r="12" spans="1:7" ht="14.25" customHeight="1" x14ac:dyDescent="0.35">
      <c r="A12" s="130" t="s">
        <v>304</v>
      </c>
      <c r="B12" s="131" t="s">
        <v>48</v>
      </c>
      <c r="C12" s="131">
        <v>13001</v>
      </c>
      <c r="D12" s="131"/>
      <c r="E12" s="131"/>
      <c r="F12" s="131"/>
      <c r="G12" s="131"/>
    </row>
    <row r="13" spans="1:7" ht="14.25" customHeight="1" x14ac:dyDescent="0.35">
      <c r="A13" s="132" t="s">
        <v>307</v>
      </c>
      <c r="B13" s="133" t="s">
        <v>59</v>
      </c>
      <c r="C13" s="133">
        <v>71002</v>
      </c>
      <c r="D13" s="133"/>
      <c r="E13" s="133"/>
      <c r="F13" s="133"/>
      <c r="G13" s="133"/>
    </row>
    <row r="14" spans="1:7" ht="14.25" customHeight="1" x14ac:dyDescent="0.35">
      <c r="A14" s="130" t="s">
        <v>131</v>
      </c>
      <c r="B14" s="131" t="s">
        <v>52</v>
      </c>
      <c r="C14" s="131">
        <v>23002</v>
      </c>
      <c r="D14" s="131"/>
      <c r="E14" s="131"/>
      <c r="F14" s="131"/>
      <c r="G14" s="131"/>
    </row>
    <row r="15" spans="1:7" ht="14.25" customHeight="1" x14ac:dyDescent="0.35">
      <c r="A15" s="132" t="s">
        <v>177</v>
      </c>
      <c r="B15" s="133" t="s">
        <v>50</v>
      </c>
      <c r="C15" s="133">
        <v>43002</v>
      </c>
      <c r="D15" s="133"/>
      <c r="E15" s="133"/>
      <c r="F15" s="133"/>
      <c r="G15" s="133"/>
    </row>
    <row r="16" spans="1:7" ht="14.25" customHeight="1" x14ac:dyDescent="0.35">
      <c r="A16" s="130" t="s">
        <v>260</v>
      </c>
      <c r="B16" s="131" t="s">
        <v>55</v>
      </c>
      <c r="C16" s="131">
        <v>34003</v>
      </c>
      <c r="D16" s="131"/>
      <c r="E16" s="131"/>
      <c r="F16" s="131"/>
      <c r="G16" s="131"/>
    </row>
    <row r="17" spans="1:7" ht="14.25" customHeight="1" x14ac:dyDescent="0.35">
      <c r="A17" s="132" t="s">
        <v>317</v>
      </c>
      <c r="B17" s="133" t="s">
        <v>48</v>
      </c>
      <c r="C17" s="133">
        <v>13002</v>
      </c>
      <c r="D17" s="133"/>
      <c r="E17" s="133"/>
      <c r="F17" s="133"/>
      <c r="G17" s="133"/>
    </row>
    <row r="18" spans="1:7" ht="14.25" customHeight="1" x14ac:dyDescent="0.35">
      <c r="A18" s="130" t="s">
        <v>125</v>
      </c>
      <c r="B18" s="131" t="s">
        <v>48</v>
      </c>
      <c r="C18" s="131">
        <v>13003</v>
      </c>
      <c r="D18" s="131"/>
      <c r="E18" s="131"/>
      <c r="F18" s="131"/>
      <c r="G18" s="131"/>
    </row>
    <row r="19" spans="1:7" ht="14.25" customHeight="1" x14ac:dyDescent="0.35">
      <c r="A19" s="132" t="s">
        <v>112</v>
      </c>
      <c r="B19" s="133" t="s">
        <v>55</v>
      </c>
      <c r="C19" s="133">
        <v>31003</v>
      </c>
      <c r="D19" s="133"/>
      <c r="E19" s="133"/>
      <c r="F19" s="133"/>
      <c r="G19" s="133"/>
    </row>
    <row r="20" spans="1:7" ht="14.25" customHeight="1" x14ac:dyDescent="0.35">
      <c r="A20" s="130" t="s">
        <v>221</v>
      </c>
      <c r="B20" s="131" t="s">
        <v>48</v>
      </c>
      <c r="C20" s="131">
        <v>13004</v>
      </c>
      <c r="D20" s="131"/>
      <c r="E20" s="131"/>
      <c r="F20" s="131"/>
      <c r="G20" s="131"/>
    </row>
    <row r="21" spans="1:7" ht="14.25" customHeight="1" x14ac:dyDescent="0.35">
      <c r="A21" s="132" t="s">
        <v>128</v>
      </c>
      <c r="B21" s="133" t="s">
        <v>52</v>
      </c>
      <c r="C21" s="133">
        <v>23003</v>
      </c>
      <c r="D21" s="133"/>
      <c r="E21" s="133"/>
      <c r="F21" s="133"/>
      <c r="G21" s="133"/>
    </row>
    <row r="22" spans="1:7" ht="14.25" customHeight="1" x14ac:dyDescent="0.35">
      <c r="A22" s="130" t="s">
        <v>327</v>
      </c>
      <c r="B22" s="131" t="s">
        <v>52</v>
      </c>
      <c r="C22" s="131">
        <v>24007</v>
      </c>
      <c r="D22" s="131"/>
      <c r="E22" s="131"/>
      <c r="F22" s="131"/>
      <c r="G22" s="131"/>
    </row>
    <row r="23" spans="1:7" ht="14.25" customHeight="1" x14ac:dyDescent="0.35">
      <c r="A23" s="132" t="s">
        <v>249</v>
      </c>
      <c r="B23" s="133" t="s">
        <v>52</v>
      </c>
      <c r="C23" s="133">
        <v>24008</v>
      </c>
      <c r="D23" s="133"/>
      <c r="E23" s="133"/>
      <c r="F23" s="133"/>
      <c r="G23" s="133"/>
    </row>
    <row r="24" spans="1:7" ht="14.25" customHeight="1" x14ac:dyDescent="0.35">
      <c r="A24" s="130" t="s">
        <v>235</v>
      </c>
      <c r="B24" s="131" t="s">
        <v>59</v>
      </c>
      <c r="C24" s="131">
        <v>71004</v>
      </c>
      <c r="D24" s="131"/>
      <c r="E24" s="131"/>
      <c r="F24" s="131"/>
      <c r="G24" s="131"/>
    </row>
    <row r="25" spans="1:7" ht="14.25" customHeight="1" x14ac:dyDescent="0.35">
      <c r="A25" s="132" t="s">
        <v>136</v>
      </c>
      <c r="B25" s="133" t="s">
        <v>48</v>
      </c>
      <c r="C25" s="133">
        <v>12002</v>
      </c>
      <c r="D25" s="133"/>
      <c r="E25" s="133"/>
      <c r="F25" s="133"/>
      <c r="G25" s="133"/>
    </row>
    <row r="26" spans="1:7" ht="14.25" customHeight="1" x14ac:dyDescent="0.35">
      <c r="A26" s="130" t="s">
        <v>216</v>
      </c>
      <c r="B26" s="131" t="s">
        <v>50</v>
      </c>
      <c r="C26" s="131">
        <v>42003</v>
      </c>
      <c r="D26" s="131"/>
      <c r="E26" s="131"/>
      <c r="F26" s="131"/>
      <c r="G26" s="131"/>
    </row>
    <row r="27" spans="1:7" ht="14.25" customHeight="1" x14ac:dyDescent="0.35">
      <c r="A27" s="132" t="s">
        <v>259</v>
      </c>
      <c r="B27" s="133" t="s">
        <v>52</v>
      </c>
      <c r="C27" s="133">
        <v>24009</v>
      </c>
      <c r="D27" s="133"/>
      <c r="E27" s="133"/>
      <c r="F27" s="133"/>
      <c r="G27" s="133"/>
    </row>
    <row r="28" spans="1:7" ht="14.25" customHeight="1" x14ac:dyDescent="0.35">
      <c r="A28" s="130" t="s">
        <v>315</v>
      </c>
      <c r="B28" s="131" t="s">
        <v>52</v>
      </c>
      <c r="C28" s="131">
        <v>23009</v>
      </c>
      <c r="D28" s="131"/>
      <c r="E28" s="131"/>
      <c r="F28" s="131"/>
      <c r="G28" s="131"/>
    </row>
    <row r="29" spans="1:7" ht="14.25" customHeight="1" x14ac:dyDescent="0.35">
      <c r="A29" s="132" t="s">
        <v>67</v>
      </c>
      <c r="B29" s="133" t="s">
        <v>50</v>
      </c>
      <c r="C29" s="133">
        <v>46003</v>
      </c>
      <c r="D29" s="133"/>
      <c r="E29" s="133"/>
      <c r="F29" s="133"/>
      <c r="G29" s="133"/>
    </row>
    <row r="30" spans="1:7" ht="14.25" customHeight="1" x14ac:dyDescent="0.35">
      <c r="A30" s="130" t="s">
        <v>109</v>
      </c>
      <c r="B30" s="131" t="s">
        <v>52</v>
      </c>
      <c r="C30" s="131">
        <v>24011</v>
      </c>
      <c r="D30" s="131"/>
      <c r="E30" s="131"/>
      <c r="F30" s="131"/>
      <c r="G30" s="131"/>
    </row>
    <row r="31" spans="1:7" ht="14.25" customHeight="1" x14ac:dyDescent="0.35">
      <c r="A31" s="132" t="s">
        <v>237</v>
      </c>
      <c r="B31" s="133" t="s">
        <v>59</v>
      </c>
      <c r="C31" s="133">
        <v>73006</v>
      </c>
      <c r="D31" s="133"/>
      <c r="E31" s="133"/>
      <c r="F31" s="133"/>
      <c r="G31" s="133"/>
    </row>
    <row r="32" spans="1:7" ht="14.25" customHeight="1" x14ac:dyDescent="0.35">
      <c r="A32" s="130" t="s">
        <v>99</v>
      </c>
      <c r="B32" s="131" t="s">
        <v>55</v>
      </c>
      <c r="C32" s="131">
        <v>31004</v>
      </c>
      <c r="D32" s="131"/>
      <c r="E32" s="131"/>
      <c r="F32" s="131"/>
      <c r="G32" s="131"/>
    </row>
    <row r="33" spans="1:7" ht="14.25" customHeight="1" x14ac:dyDescent="0.35">
      <c r="A33" s="132" t="s">
        <v>329</v>
      </c>
      <c r="B33" s="133" t="s">
        <v>59</v>
      </c>
      <c r="C33" s="133">
        <v>72003</v>
      </c>
      <c r="D33" s="133"/>
      <c r="E33" s="133"/>
      <c r="F33" s="133"/>
      <c r="G33" s="133"/>
    </row>
    <row r="34" spans="1:7" ht="14.25" customHeight="1" x14ac:dyDescent="0.35">
      <c r="A34" s="130" t="s">
        <v>271</v>
      </c>
      <c r="B34" s="131" t="s">
        <v>48</v>
      </c>
      <c r="C34" s="131">
        <v>11004</v>
      </c>
      <c r="D34" s="131"/>
      <c r="E34" s="131"/>
      <c r="F34" s="131"/>
      <c r="G34" s="131"/>
    </row>
    <row r="35" spans="1:7" ht="14.25" customHeight="1" x14ac:dyDescent="0.35">
      <c r="A35" s="132" t="s">
        <v>97</v>
      </c>
      <c r="B35" s="133" t="s">
        <v>48</v>
      </c>
      <c r="C35" s="133">
        <v>12005</v>
      </c>
      <c r="D35" s="133">
        <v>5</v>
      </c>
      <c r="E35" s="133">
        <v>5</v>
      </c>
      <c r="F35" s="133">
        <v>6</v>
      </c>
      <c r="G35" s="133">
        <v>6</v>
      </c>
    </row>
    <row r="36" spans="1:7" ht="14.25" customHeight="1" x14ac:dyDescent="0.35">
      <c r="A36" s="130" t="s">
        <v>224</v>
      </c>
      <c r="B36" s="131" t="s">
        <v>48</v>
      </c>
      <c r="C36" s="131">
        <v>11005</v>
      </c>
      <c r="D36" s="131"/>
      <c r="E36" s="131"/>
      <c r="F36" s="131"/>
      <c r="G36" s="131"/>
    </row>
    <row r="37" spans="1:7" ht="14.25" customHeight="1" x14ac:dyDescent="0.35">
      <c r="A37" s="132" t="s">
        <v>157</v>
      </c>
      <c r="B37" s="133" t="s">
        <v>52</v>
      </c>
      <c r="C37" s="133">
        <v>24014</v>
      </c>
      <c r="D37" s="133"/>
      <c r="E37" s="133"/>
      <c r="F37" s="133">
        <v>2</v>
      </c>
      <c r="G37" s="133">
        <v>2</v>
      </c>
    </row>
    <row r="38" spans="1:7" ht="14.25" customHeight="1" x14ac:dyDescent="0.35">
      <c r="A38" s="130" t="s">
        <v>184</v>
      </c>
      <c r="B38" s="131" t="s">
        <v>48</v>
      </c>
      <c r="C38" s="131">
        <v>12007</v>
      </c>
      <c r="D38" s="131"/>
      <c r="E38" s="131"/>
      <c r="F38" s="131"/>
      <c r="G38" s="131"/>
    </row>
    <row r="39" spans="1:7" ht="14.25" customHeight="1" x14ac:dyDescent="0.35">
      <c r="A39" s="132" t="s">
        <v>170</v>
      </c>
      <c r="B39" s="133" t="s">
        <v>52</v>
      </c>
      <c r="C39" s="133">
        <v>24016</v>
      </c>
      <c r="D39" s="133"/>
      <c r="E39" s="133"/>
      <c r="F39" s="133"/>
      <c r="G39" s="133"/>
    </row>
    <row r="40" spans="1:7" ht="14.25" customHeight="1" x14ac:dyDescent="0.35">
      <c r="A40" s="130" t="s">
        <v>275</v>
      </c>
      <c r="B40" s="131" t="s">
        <v>50</v>
      </c>
      <c r="C40" s="131">
        <v>45059</v>
      </c>
      <c r="D40" s="131"/>
      <c r="E40" s="131"/>
      <c r="F40" s="131"/>
      <c r="G40" s="131"/>
    </row>
    <row r="41" spans="1:7" ht="14.25" customHeight="1" x14ac:dyDescent="0.35">
      <c r="A41" s="132" t="s">
        <v>106</v>
      </c>
      <c r="B41" s="133" t="s">
        <v>48</v>
      </c>
      <c r="C41" s="133">
        <v>11008</v>
      </c>
      <c r="D41" s="133"/>
      <c r="E41" s="133"/>
      <c r="F41" s="133"/>
      <c r="G41" s="133"/>
    </row>
    <row r="42" spans="1:7" ht="14.25" customHeight="1" x14ac:dyDescent="0.35">
      <c r="A42" s="130" t="s">
        <v>294</v>
      </c>
      <c r="B42" s="131" t="s">
        <v>48</v>
      </c>
      <c r="C42" s="131">
        <v>11009</v>
      </c>
      <c r="D42" s="131"/>
      <c r="E42" s="131"/>
      <c r="F42" s="131"/>
      <c r="G42" s="131"/>
    </row>
    <row r="43" spans="1:7" ht="14.25" customHeight="1" x14ac:dyDescent="0.35">
      <c r="A43" s="132" t="s">
        <v>219</v>
      </c>
      <c r="B43" s="133" t="s">
        <v>55</v>
      </c>
      <c r="C43" s="133">
        <v>35002</v>
      </c>
      <c r="D43" s="133"/>
      <c r="E43" s="133"/>
      <c r="F43" s="133"/>
      <c r="G43" s="133"/>
    </row>
    <row r="44" spans="1:7" ht="14.25" customHeight="1" x14ac:dyDescent="0.35">
      <c r="A44" s="130" t="s">
        <v>227</v>
      </c>
      <c r="B44" s="131" t="s">
        <v>59</v>
      </c>
      <c r="C44" s="131">
        <v>72004</v>
      </c>
      <c r="D44" s="131"/>
      <c r="E44" s="131"/>
      <c r="F44" s="131"/>
      <c r="G44" s="131"/>
    </row>
    <row r="45" spans="1:7" ht="14.25" customHeight="1" x14ac:dyDescent="0.35">
      <c r="A45" s="132" t="s">
        <v>54</v>
      </c>
      <c r="B45" s="133" t="s">
        <v>55</v>
      </c>
      <c r="C45" s="133">
        <v>31005</v>
      </c>
      <c r="D45" s="133"/>
      <c r="E45" s="133"/>
      <c r="F45" s="133"/>
      <c r="G45" s="133"/>
    </row>
    <row r="46" spans="1:7" ht="14.25" customHeight="1" x14ac:dyDescent="0.35">
      <c r="A46" s="130" t="s">
        <v>274</v>
      </c>
      <c r="B46" s="131" t="s">
        <v>50</v>
      </c>
      <c r="C46" s="131">
        <v>42004</v>
      </c>
      <c r="D46" s="131"/>
      <c r="E46" s="131"/>
      <c r="F46" s="131"/>
      <c r="G46" s="131"/>
    </row>
    <row r="47" spans="1:7" ht="14.25" customHeight="1" x14ac:dyDescent="0.35">
      <c r="A47" s="132" t="s">
        <v>96</v>
      </c>
      <c r="B47" s="133" t="s">
        <v>55</v>
      </c>
      <c r="C47" s="133">
        <v>31006</v>
      </c>
      <c r="D47" s="133"/>
      <c r="E47" s="133"/>
      <c r="F47" s="133"/>
      <c r="G47" s="133"/>
    </row>
    <row r="48" spans="1:7" ht="14.25" customHeight="1" x14ac:dyDescent="0.35">
      <c r="A48" s="130" t="s">
        <v>268</v>
      </c>
      <c r="B48" s="131" t="s">
        <v>55</v>
      </c>
      <c r="C48" s="131">
        <v>35029</v>
      </c>
      <c r="D48" s="131"/>
      <c r="E48" s="131"/>
      <c r="F48" s="131"/>
      <c r="G48" s="131"/>
    </row>
    <row r="49" spans="1:7" ht="14.25" customHeight="1" x14ac:dyDescent="0.35">
      <c r="A49" s="132" t="s">
        <v>135</v>
      </c>
      <c r="B49" s="133" t="s">
        <v>55</v>
      </c>
      <c r="C49" s="133">
        <v>38008</v>
      </c>
      <c r="D49" s="133"/>
      <c r="E49" s="133"/>
      <c r="F49" s="133"/>
      <c r="G49" s="133"/>
    </row>
    <row r="50" spans="1:7" ht="14.25" customHeight="1" x14ac:dyDescent="0.35">
      <c r="A50" s="130" t="s">
        <v>156</v>
      </c>
      <c r="B50" s="131" t="s">
        <v>55</v>
      </c>
      <c r="C50" s="131">
        <v>34009</v>
      </c>
      <c r="D50" s="131"/>
      <c r="E50" s="131"/>
      <c r="F50" s="131"/>
      <c r="G50" s="131"/>
    </row>
    <row r="51" spans="1:7" ht="14.25" customHeight="1" x14ac:dyDescent="0.35">
      <c r="A51" s="132" t="s">
        <v>62</v>
      </c>
      <c r="B51" s="133" t="s">
        <v>50</v>
      </c>
      <c r="C51" s="133">
        <v>44083</v>
      </c>
      <c r="D51" s="133"/>
      <c r="E51" s="133"/>
      <c r="F51" s="133"/>
      <c r="G51" s="133"/>
    </row>
    <row r="52" spans="1:7" ht="14.25" customHeight="1" x14ac:dyDescent="0.35">
      <c r="A52" s="130" t="s">
        <v>182</v>
      </c>
      <c r="B52" s="131" t="s">
        <v>50</v>
      </c>
      <c r="C52" s="131">
        <v>41011</v>
      </c>
      <c r="D52" s="131"/>
      <c r="E52" s="131"/>
      <c r="F52" s="131"/>
      <c r="G52" s="131"/>
    </row>
    <row r="53" spans="1:7" ht="14.25" customHeight="1" x14ac:dyDescent="0.35">
      <c r="A53" s="132" t="s">
        <v>80</v>
      </c>
      <c r="B53" s="133" t="s">
        <v>50</v>
      </c>
      <c r="C53" s="133">
        <v>42006</v>
      </c>
      <c r="D53" s="133"/>
      <c r="E53" s="133"/>
      <c r="F53" s="133"/>
      <c r="G53" s="133"/>
    </row>
    <row r="54" spans="1:7" ht="14.25" customHeight="1" x14ac:dyDescent="0.35">
      <c r="A54" s="130" t="s">
        <v>168</v>
      </c>
      <c r="B54" s="131" t="s">
        <v>55</v>
      </c>
      <c r="C54" s="131">
        <v>37002</v>
      </c>
      <c r="D54" s="131"/>
      <c r="E54" s="131"/>
      <c r="F54" s="131"/>
      <c r="G54" s="131"/>
    </row>
    <row r="55" spans="1:7" ht="14.25" customHeight="1" x14ac:dyDescent="0.35">
      <c r="A55" s="132" t="s">
        <v>301</v>
      </c>
      <c r="B55" s="133" t="s">
        <v>48</v>
      </c>
      <c r="C55" s="133">
        <v>13006</v>
      </c>
      <c r="D55" s="133"/>
      <c r="E55" s="133"/>
      <c r="F55" s="133"/>
      <c r="G55" s="133"/>
    </row>
    <row r="56" spans="1:7" ht="14.25" customHeight="1" x14ac:dyDescent="0.35">
      <c r="A56" s="130" t="s">
        <v>71</v>
      </c>
      <c r="B56" s="131" t="s">
        <v>50</v>
      </c>
      <c r="C56" s="131">
        <v>44013</v>
      </c>
      <c r="D56" s="131"/>
      <c r="E56" s="131"/>
      <c r="F56" s="131"/>
      <c r="G56" s="131"/>
    </row>
    <row r="57" spans="1:7" ht="14.25" customHeight="1" x14ac:dyDescent="0.35">
      <c r="A57" s="132" t="s">
        <v>309</v>
      </c>
      <c r="B57" s="133" t="s">
        <v>59</v>
      </c>
      <c r="C57" s="133">
        <v>71011</v>
      </c>
      <c r="D57" s="133"/>
      <c r="E57" s="133"/>
      <c r="F57" s="133"/>
      <c r="G57" s="133"/>
    </row>
    <row r="58" spans="1:7" ht="14.25" customHeight="1" x14ac:dyDescent="0.35">
      <c r="A58" s="130" t="s">
        <v>88</v>
      </c>
      <c r="B58" s="131" t="s">
        <v>52</v>
      </c>
      <c r="C58" s="131">
        <v>24020</v>
      </c>
      <c r="D58" s="131"/>
      <c r="E58" s="131"/>
      <c r="F58" s="131"/>
      <c r="G58" s="131"/>
    </row>
    <row r="59" spans="1:7" ht="14.25" customHeight="1" x14ac:dyDescent="0.35">
      <c r="A59" s="132" t="s">
        <v>280</v>
      </c>
      <c r="B59" s="133" t="s">
        <v>55</v>
      </c>
      <c r="C59" s="133">
        <v>32003</v>
      </c>
      <c r="D59" s="133"/>
      <c r="E59" s="133"/>
      <c r="F59" s="133"/>
      <c r="G59" s="133"/>
    </row>
    <row r="60" spans="1:7" ht="14.25" customHeight="1" x14ac:dyDescent="0.35">
      <c r="A60" s="130" t="s">
        <v>85</v>
      </c>
      <c r="B60" s="131" t="s">
        <v>52</v>
      </c>
      <c r="C60" s="131">
        <v>23016</v>
      </c>
      <c r="D60" s="131"/>
      <c r="E60" s="131"/>
      <c r="F60" s="131"/>
      <c r="G60" s="131"/>
    </row>
    <row r="61" spans="1:7" ht="14.25" customHeight="1" x14ac:dyDescent="0.35">
      <c r="A61" s="132" t="s">
        <v>333</v>
      </c>
      <c r="B61" s="133" t="s">
        <v>59</v>
      </c>
      <c r="C61" s="133">
        <v>72041</v>
      </c>
      <c r="D61" s="133"/>
      <c r="E61" s="133"/>
      <c r="F61" s="133"/>
      <c r="G61" s="133"/>
    </row>
    <row r="62" spans="1:7" ht="14.25" customHeight="1" x14ac:dyDescent="0.35">
      <c r="A62" s="130" t="s">
        <v>298</v>
      </c>
      <c r="B62" s="131" t="s">
        <v>52</v>
      </c>
      <c r="C62" s="131">
        <v>23098</v>
      </c>
      <c r="D62" s="131"/>
      <c r="E62" s="131"/>
      <c r="F62" s="131"/>
      <c r="G62" s="131"/>
    </row>
    <row r="63" spans="1:7" ht="14.25" customHeight="1" x14ac:dyDescent="0.35">
      <c r="A63" s="132" t="s">
        <v>140</v>
      </c>
      <c r="B63" s="133" t="s">
        <v>48</v>
      </c>
      <c r="C63" s="133">
        <v>12009</v>
      </c>
      <c r="D63" s="133">
        <v>3</v>
      </c>
      <c r="E63" s="133">
        <v>3</v>
      </c>
      <c r="F63" s="133">
        <v>5</v>
      </c>
      <c r="G63" s="133">
        <v>5</v>
      </c>
    </row>
    <row r="64" spans="1:7" ht="14.25" customHeight="1" x14ac:dyDescent="0.35">
      <c r="A64" s="130" t="s">
        <v>123</v>
      </c>
      <c r="B64" s="131" t="s">
        <v>48</v>
      </c>
      <c r="C64" s="131">
        <v>11013</v>
      </c>
      <c r="D64" s="131"/>
      <c r="E64" s="131"/>
      <c r="F64" s="131"/>
      <c r="G64" s="131"/>
    </row>
    <row r="65" spans="1:7" ht="14.25" customHeight="1" x14ac:dyDescent="0.35">
      <c r="A65" s="132" t="s">
        <v>118</v>
      </c>
      <c r="B65" s="133" t="s">
        <v>50</v>
      </c>
      <c r="C65" s="133">
        <v>43005</v>
      </c>
      <c r="D65" s="133"/>
      <c r="E65" s="133"/>
      <c r="F65" s="133"/>
      <c r="G65" s="133"/>
    </row>
    <row r="66" spans="1:7" ht="14.25" customHeight="1" x14ac:dyDescent="0.35">
      <c r="A66" s="130" t="s">
        <v>116</v>
      </c>
      <c r="B66" s="131" t="s">
        <v>50</v>
      </c>
      <c r="C66" s="131">
        <v>41082</v>
      </c>
      <c r="D66" s="131"/>
      <c r="E66" s="131"/>
      <c r="F66" s="131"/>
      <c r="G66" s="131"/>
    </row>
    <row r="67" spans="1:7" ht="14.25" customHeight="1" x14ac:dyDescent="0.35">
      <c r="A67" s="132" t="s">
        <v>180</v>
      </c>
      <c r="B67" s="133" t="s">
        <v>48</v>
      </c>
      <c r="C67" s="133">
        <v>11016</v>
      </c>
      <c r="D67" s="133"/>
      <c r="E67" s="133"/>
      <c r="F67" s="133"/>
      <c r="G67" s="133"/>
    </row>
    <row r="68" spans="1:7" ht="14.25" customHeight="1" x14ac:dyDescent="0.35">
      <c r="A68" s="130" t="s">
        <v>90</v>
      </c>
      <c r="B68" s="131" t="s">
        <v>50</v>
      </c>
      <c r="C68" s="131">
        <v>44019</v>
      </c>
      <c r="D68" s="131"/>
      <c r="E68" s="131"/>
      <c r="F68" s="131"/>
      <c r="G68" s="131"/>
    </row>
    <row r="69" spans="1:7" ht="14.25" customHeight="1" x14ac:dyDescent="0.35">
      <c r="A69" s="132" t="s">
        <v>209</v>
      </c>
      <c r="B69" s="133" t="s">
        <v>50</v>
      </c>
      <c r="C69" s="133">
        <v>44020</v>
      </c>
      <c r="D69" s="133"/>
      <c r="E69" s="133"/>
      <c r="F69" s="133"/>
      <c r="G69" s="133"/>
    </row>
    <row r="70" spans="1:7" ht="14.25" customHeight="1" x14ac:dyDescent="0.35">
      <c r="A70" s="130" t="s">
        <v>91</v>
      </c>
      <c r="B70" s="131" t="s">
        <v>48</v>
      </c>
      <c r="C70" s="131">
        <v>13008</v>
      </c>
      <c r="D70" s="131"/>
      <c r="E70" s="131"/>
      <c r="F70" s="131"/>
      <c r="G70" s="131"/>
    </row>
    <row r="71" spans="1:7" ht="14.25" customHeight="1" x14ac:dyDescent="0.35">
      <c r="A71" s="132" t="s">
        <v>245</v>
      </c>
      <c r="B71" s="133" t="s">
        <v>52</v>
      </c>
      <c r="C71" s="133">
        <v>24028</v>
      </c>
      <c r="D71" s="133"/>
      <c r="E71" s="133"/>
      <c r="F71" s="133"/>
      <c r="G71" s="133"/>
    </row>
    <row r="72" spans="1:7" ht="14.25" customHeight="1" x14ac:dyDescent="0.35">
      <c r="A72" s="130" t="s">
        <v>95</v>
      </c>
      <c r="B72" s="131" t="s">
        <v>59</v>
      </c>
      <c r="C72" s="131">
        <v>71016</v>
      </c>
      <c r="D72" s="131"/>
      <c r="E72" s="131"/>
      <c r="F72" s="131"/>
      <c r="G72" s="131"/>
    </row>
    <row r="73" spans="1:7" ht="14.25" customHeight="1" x14ac:dyDescent="0.35">
      <c r="A73" s="132" t="s">
        <v>49</v>
      </c>
      <c r="B73" s="133" t="s">
        <v>50</v>
      </c>
      <c r="C73" s="133">
        <v>44021</v>
      </c>
      <c r="D73" s="133"/>
      <c r="E73" s="133"/>
      <c r="F73" s="133"/>
      <c r="G73" s="133"/>
    </row>
    <row r="74" spans="1:7" ht="14.25" customHeight="1" x14ac:dyDescent="0.35">
      <c r="A74" s="130" t="s">
        <v>144</v>
      </c>
      <c r="B74" s="131" t="s">
        <v>50</v>
      </c>
      <c r="C74" s="131">
        <v>41018</v>
      </c>
      <c r="D74" s="131"/>
      <c r="E74" s="131"/>
      <c r="F74" s="131"/>
      <c r="G74" s="131"/>
    </row>
    <row r="75" spans="1:7" ht="14.25" customHeight="1" x14ac:dyDescent="0.35">
      <c r="A75" s="132" t="s">
        <v>323</v>
      </c>
      <c r="B75" s="133" t="s">
        <v>59</v>
      </c>
      <c r="C75" s="133">
        <v>71017</v>
      </c>
      <c r="D75" s="133"/>
      <c r="E75" s="133"/>
      <c r="F75" s="133"/>
      <c r="G75" s="133"/>
    </row>
    <row r="76" spans="1:7" ht="14.25" customHeight="1" x14ac:dyDescent="0.35">
      <c r="A76" s="130" t="s">
        <v>206</v>
      </c>
      <c r="B76" s="131" t="s">
        <v>55</v>
      </c>
      <c r="C76" s="131">
        <v>35005</v>
      </c>
      <c r="D76" s="131"/>
      <c r="E76" s="131"/>
      <c r="F76" s="131"/>
      <c r="G76" s="131"/>
    </row>
    <row r="77" spans="1:7" ht="14.25" customHeight="1" x14ac:dyDescent="0.35">
      <c r="A77" s="132" t="s">
        <v>243</v>
      </c>
      <c r="B77" s="133" t="s">
        <v>52</v>
      </c>
      <c r="C77" s="133">
        <v>24137</v>
      </c>
      <c r="D77" s="133"/>
      <c r="E77" s="133"/>
      <c r="F77" s="133"/>
      <c r="G77" s="133"/>
    </row>
    <row r="78" spans="1:7" ht="14.25" customHeight="1" x14ac:dyDescent="0.35">
      <c r="A78" s="130" t="s">
        <v>107</v>
      </c>
      <c r="B78" s="131" t="s">
        <v>52</v>
      </c>
      <c r="C78" s="131">
        <v>23025</v>
      </c>
      <c r="D78" s="131"/>
      <c r="E78" s="131"/>
      <c r="F78" s="131"/>
      <c r="G78" s="131"/>
    </row>
    <row r="79" spans="1:7" ht="14.25" customHeight="1" x14ac:dyDescent="0.35">
      <c r="A79" s="132" t="s">
        <v>303</v>
      </c>
      <c r="B79" s="133" t="s">
        <v>48</v>
      </c>
      <c r="C79" s="133">
        <v>13010</v>
      </c>
      <c r="D79" s="133"/>
      <c r="E79" s="133"/>
      <c r="F79" s="133"/>
      <c r="G79" s="133"/>
    </row>
    <row r="80" spans="1:7" ht="14.25" customHeight="1" x14ac:dyDescent="0.35">
      <c r="A80" s="130" t="s">
        <v>92</v>
      </c>
      <c r="B80" s="131" t="s">
        <v>52</v>
      </c>
      <c r="C80" s="131">
        <v>24033</v>
      </c>
      <c r="D80" s="131">
        <v>2</v>
      </c>
      <c r="E80" s="131">
        <v>2</v>
      </c>
      <c r="F80" s="131">
        <v>2</v>
      </c>
      <c r="G80" s="131">
        <v>2</v>
      </c>
    </row>
    <row r="81" spans="1:7" ht="14.25" customHeight="1" x14ac:dyDescent="0.35">
      <c r="A81" s="132" t="s">
        <v>223</v>
      </c>
      <c r="B81" s="133" t="s">
        <v>50</v>
      </c>
      <c r="C81" s="133">
        <v>41024</v>
      </c>
      <c r="D81" s="133"/>
      <c r="E81" s="133"/>
      <c r="F81" s="133"/>
      <c r="G81" s="133"/>
    </row>
    <row r="82" spans="1:7" ht="14.25" customHeight="1" x14ac:dyDescent="0.35">
      <c r="A82" s="130" t="s">
        <v>324</v>
      </c>
      <c r="B82" s="131" t="s">
        <v>59</v>
      </c>
      <c r="C82" s="131">
        <v>71020</v>
      </c>
      <c r="D82" s="131"/>
      <c r="E82" s="131"/>
      <c r="F82" s="131"/>
      <c r="G82" s="131"/>
    </row>
    <row r="83" spans="1:7" ht="14.25" customHeight="1" x14ac:dyDescent="0.35">
      <c r="A83" s="132" t="s">
        <v>70</v>
      </c>
      <c r="B83" s="133" t="s">
        <v>52</v>
      </c>
      <c r="C83" s="133">
        <v>23027</v>
      </c>
      <c r="D83" s="133"/>
      <c r="E83" s="133"/>
      <c r="F83" s="133"/>
      <c r="G83" s="133"/>
    </row>
    <row r="84" spans="1:7" ht="14.25" customHeight="1" x14ac:dyDescent="0.35">
      <c r="A84" s="130" t="s">
        <v>127</v>
      </c>
      <c r="B84" s="131" t="s">
        <v>50</v>
      </c>
      <c r="C84" s="131">
        <v>42008</v>
      </c>
      <c r="D84" s="131"/>
      <c r="E84" s="131"/>
      <c r="F84" s="131"/>
      <c r="G84" s="131"/>
    </row>
    <row r="85" spans="1:7" ht="14.25" customHeight="1" x14ac:dyDescent="0.35">
      <c r="A85" s="132" t="s">
        <v>331</v>
      </c>
      <c r="B85" s="133" t="s">
        <v>59</v>
      </c>
      <c r="C85" s="133">
        <v>72037</v>
      </c>
      <c r="D85" s="133"/>
      <c r="E85" s="133"/>
      <c r="F85" s="133"/>
      <c r="G85" s="133"/>
    </row>
    <row r="86" spans="1:7" ht="14.25" customHeight="1" x14ac:dyDescent="0.35">
      <c r="A86" s="130" t="s">
        <v>73</v>
      </c>
      <c r="B86" s="131" t="s">
        <v>55</v>
      </c>
      <c r="C86" s="131">
        <v>34013</v>
      </c>
      <c r="D86" s="131"/>
      <c r="E86" s="131"/>
      <c r="F86" s="131"/>
      <c r="G86" s="131"/>
    </row>
    <row r="87" spans="1:7" ht="14.25" customHeight="1" x14ac:dyDescent="0.35">
      <c r="A87" s="132" t="s">
        <v>58</v>
      </c>
      <c r="B87" s="133" t="s">
        <v>59</v>
      </c>
      <c r="C87" s="133">
        <v>71022</v>
      </c>
      <c r="D87" s="133"/>
      <c r="E87" s="133"/>
      <c r="F87" s="133"/>
      <c r="G87" s="133"/>
    </row>
    <row r="88" spans="1:7" ht="14.25" customHeight="1" x14ac:dyDescent="0.35">
      <c r="A88" s="130" t="s">
        <v>265</v>
      </c>
      <c r="B88" s="131" t="s">
        <v>59</v>
      </c>
      <c r="C88" s="131">
        <v>72038</v>
      </c>
      <c r="D88" s="131"/>
      <c r="E88" s="131"/>
      <c r="F88" s="131"/>
      <c r="G88" s="131"/>
    </row>
    <row r="89" spans="1:7" ht="14.25" customHeight="1" x14ac:dyDescent="0.35">
      <c r="A89" s="132" t="s">
        <v>300</v>
      </c>
      <c r="B89" s="133" t="s">
        <v>59</v>
      </c>
      <c r="C89" s="133">
        <v>73022</v>
      </c>
      <c r="D89" s="133"/>
      <c r="E89" s="133"/>
      <c r="F89" s="133"/>
      <c r="G89" s="133"/>
    </row>
    <row r="90" spans="1:7" ht="14.25" customHeight="1" x14ac:dyDescent="0.35">
      <c r="A90" s="130" t="s">
        <v>108</v>
      </c>
      <c r="B90" s="131" t="s">
        <v>48</v>
      </c>
      <c r="C90" s="131">
        <v>12014</v>
      </c>
      <c r="D90" s="131"/>
      <c r="E90" s="131"/>
      <c r="F90" s="131"/>
      <c r="G90" s="131"/>
    </row>
    <row r="91" spans="1:7" ht="14.25" customHeight="1" x14ac:dyDescent="0.35">
      <c r="A91" s="132" t="s">
        <v>266</v>
      </c>
      <c r="B91" s="133" t="s">
        <v>48</v>
      </c>
      <c r="C91" s="133">
        <v>11018</v>
      </c>
      <c r="D91" s="133"/>
      <c r="E91" s="133"/>
      <c r="F91" s="133"/>
      <c r="G91" s="133"/>
    </row>
    <row r="92" spans="1:7" ht="14.25" customHeight="1" x14ac:dyDescent="0.35">
      <c r="A92" s="130" t="s">
        <v>69</v>
      </c>
      <c r="B92" s="131" t="s">
        <v>52</v>
      </c>
      <c r="C92" s="131">
        <v>24038</v>
      </c>
      <c r="D92" s="131"/>
      <c r="E92" s="131"/>
      <c r="F92" s="131"/>
      <c r="G92" s="131"/>
    </row>
    <row r="93" spans="1:7" ht="14.25" customHeight="1" x14ac:dyDescent="0.35">
      <c r="A93" s="132" t="s">
        <v>83</v>
      </c>
      <c r="B93" s="133" t="s">
        <v>48</v>
      </c>
      <c r="C93" s="133">
        <v>13011</v>
      </c>
      <c r="D93" s="133"/>
      <c r="E93" s="133"/>
      <c r="F93" s="133"/>
      <c r="G93" s="133"/>
    </row>
    <row r="94" spans="1:7" ht="14.25" customHeight="1" x14ac:dyDescent="0.35">
      <c r="A94" s="130" t="s">
        <v>326</v>
      </c>
      <c r="B94" s="131" t="s">
        <v>48</v>
      </c>
      <c r="C94" s="131">
        <v>13012</v>
      </c>
      <c r="D94" s="131"/>
      <c r="E94" s="131"/>
      <c r="F94" s="131"/>
      <c r="G94" s="131"/>
    </row>
    <row r="95" spans="1:7" ht="14.25" customHeight="1" x14ac:dyDescent="0.35">
      <c r="A95" s="132" t="s">
        <v>187</v>
      </c>
      <c r="B95" s="133" t="s">
        <v>59</v>
      </c>
      <c r="C95" s="133">
        <v>71024</v>
      </c>
      <c r="D95" s="133"/>
      <c r="E95" s="133"/>
      <c r="F95" s="133"/>
      <c r="G95" s="133"/>
    </row>
    <row r="96" spans="1:7" ht="14.25" customHeight="1" x14ac:dyDescent="0.35">
      <c r="A96" s="130" t="s">
        <v>272</v>
      </c>
      <c r="B96" s="131" t="s">
        <v>48</v>
      </c>
      <c r="C96" s="131">
        <v>13013</v>
      </c>
      <c r="D96" s="131"/>
      <c r="E96" s="131"/>
      <c r="F96" s="131"/>
      <c r="G96" s="131"/>
    </row>
    <row r="97" spans="1:7" ht="14.25" customHeight="1" x14ac:dyDescent="0.35">
      <c r="A97" s="132" t="s">
        <v>313</v>
      </c>
      <c r="B97" s="133" t="s">
        <v>59</v>
      </c>
      <c r="C97" s="133">
        <v>73028</v>
      </c>
      <c r="D97" s="133"/>
      <c r="E97" s="133"/>
      <c r="F97" s="133"/>
      <c r="G97" s="133"/>
    </row>
    <row r="98" spans="1:7" ht="14.25" customHeight="1" x14ac:dyDescent="0.35">
      <c r="A98" s="130" t="s">
        <v>113</v>
      </c>
      <c r="B98" s="131" t="s">
        <v>50</v>
      </c>
      <c r="C98" s="131">
        <v>41027</v>
      </c>
      <c r="D98" s="131"/>
      <c r="E98" s="131"/>
      <c r="F98" s="131"/>
      <c r="G98" s="131"/>
    </row>
    <row r="99" spans="1:7" ht="14.25" customHeight="1" x14ac:dyDescent="0.35">
      <c r="A99" s="132" t="s">
        <v>190</v>
      </c>
      <c r="B99" s="133" t="s">
        <v>59</v>
      </c>
      <c r="C99" s="133">
        <v>71070</v>
      </c>
      <c r="D99" s="133"/>
      <c r="E99" s="133"/>
      <c r="F99" s="133"/>
      <c r="G99" s="133"/>
    </row>
    <row r="100" spans="1:7" ht="14.25" customHeight="1" x14ac:dyDescent="0.35">
      <c r="A100" s="130" t="s">
        <v>167</v>
      </c>
      <c r="B100" s="131" t="s">
        <v>55</v>
      </c>
      <c r="C100" s="131">
        <v>33039</v>
      </c>
      <c r="D100" s="131"/>
      <c r="E100" s="131"/>
      <c r="F100" s="131"/>
      <c r="G100" s="131"/>
    </row>
    <row r="101" spans="1:7" ht="14.25" customHeight="1" x14ac:dyDescent="0.35">
      <c r="A101" s="132" t="s">
        <v>192</v>
      </c>
      <c r="B101" s="133" t="s">
        <v>52</v>
      </c>
      <c r="C101" s="133">
        <v>24041</v>
      </c>
      <c r="D101" s="133"/>
      <c r="E101" s="133"/>
      <c r="F101" s="133"/>
      <c r="G101" s="133"/>
    </row>
    <row r="102" spans="1:7" ht="14.25" customHeight="1" x14ac:dyDescent="0.35">
      <c r="A102" s="130" t="s">
        <v>153</v>
      </c>
      <c r="B102" s="131" t="s">
        <v>52</v>
      </c>
      <c r="C102" s="131">
        <v>23033</v>
      </c>
      <c r="D102" s="131"/>
      <c r="E102" s="131"/>
      <c r="F102" s="131"/>
      <c r="G102" s="131"/>
    </row>
    <row r="103" spans="1:7" ht="14.25" customHeight="1" x14ac:dyDescent="0.35">
      <c r="A103" s="132" t="s">
        <v>86</v>
      </c>
      <c r="B103" s="133" t="s">
        <v>52</v>
      </c>
      <c r="C103" s="133">
        <v>24043</v>
      </c>
      <c r="D103" s="133"/>
      <c r="E103" s="133"/>
      <c r="F103" s="133"/>
      <c r="G103" s="133"/>
    </row>
    <row r="104" spans="1:7" ht="14.25" customHeight="1" x14ac:dyDescent="0.35">
      <c r="A104" s="130" t="s">
        <v>150</v>
      </c>
      <c r="B104" s="131" t="s">
        <v>55</v>
      </c>
      <c r="C104" s="131">
        <v>36006</v>
      </c>
      <c r="D104" s="131"/>
      <c r="E104" s="131"/>
      <c r="F104" s="131"/>
      <c r="G104" s="131"/>
    </row>
    <row r="105" spans="1:7" ht="14.25" customHeight="1" x14ac:dyDescent="0.35">
      <c r="A105" s="132" t="s">
        <v>185</v>
      </c>
      <c r="B105" s="133" t="s">
        <v>48</v>
      </c>
      <c r="C105" s="133">
        <v>13014</v>
      </c>
      <c r="D105" s="133"/>
      <c r="E105" s="133"/>
      <c r="F105" s="133"/>
      <c r="G105" s="133"/>
    </row>
    <row r="106" spans="1:7" ht="14.25" customHeight="1" x14ac:dyDescent="0.35">
      <c r="A106" s="130" t="s">
        <v>297</v>
      </c>
      <c r="B106" s="131" t="s">
        <v>50</v>
      </c>
      <c r="C106" s="131">
        <v>45062</v>
      </c>
      <c r="D106" s="131"/>
      <c r="E106" s="131"/>
      <c r="F106" s="131"/>
      <c r="G106" s="131"/>
    </row>
    <row r="107" spans="1:7" ht="14.25" customHeight="1" x14ac:dyDescent="0.35">
      <c r="A107" s="132" t="s">
        <v>296</v>
      </c>
      <c r="B107" s="133" t="s">
        <v>59</v>
      </c>
      <c r="C107" s="133">
        <v>72039</v>
      </c>
      <c r="D107" s="133"/>
      <c r="E107" s="133"/>
      <c r="F107" s="133"/>
      <c r="G107" s="133"/>
    </row>
    <row r="108" spans="1:7" ht="14.25" customHeight="1" x14ac:dyDescent="0.35">
      <c r="A108" s="130" t="s">
        <v>261</v>
      </c>
      <c r="B108" s="131" t="s">
        <v>55</v>
      </c>
      <c r="C108" s="131">
        <v>32006</v>
      </c>
      <c r="D108" s="131"/>
      <c r="E108" s="131"/>
      <c r="F108" s="131"/>
      <c r="G108" s="131"/>
    </row>
    <row r="109" spans="1:7" ht="14.25" customHeight="1" x14ac:dyDescent="0.35">
      <c r="A109" s="132" t="s">
        <v>196</v>
      </c>
      <c r="B109" s="133" t="s">
        <v>48</v>
      </c>
      <c r="C109" s="133">
        <v>11021</v>
      </c>
      <c r="D109" s="133"/>
      <c r="E109" s="133"/>
      <c r="F109" s="133"/>
      <c r="G109" s="133"/>
    </row>
    <row r="110" spans="1:7" ht="14.25" customHeight="1" x14ac:dyDescent="0.35">
      <c r="A110" s="130" t="s">
        <v>134</v>
      </c>
      <c r="B110" s="131" t="s">
        <v>52</v>
      </c>
      <c r="C110" s="131">
        <v>24045</v>
      </c>
      <c r="D110" s="131"/>
      <c r="E110" s="131"/>
      <c r="F110" s="131"/>
      <c r="G110" s="131"/>
    </row>
    <row r="111" spans="1:7" ht="14.25" customHeight="1" x14ac:dyDescent="0.35">
      <c r="A111" s="132" t="s">
        <v>173</v>
      </c>
      <c r="B111" s="133" t="s">
        <v>48</v>
      </c>
      <c r="C111" s="133">
        <v>13016</v>
      </c>
      <c r="D111" s="133"/>
      <c r="E111" s="133"/>
      <c r="F111" s="133"/>
      <c r="G111" s="133"/>
    </row>
    <row r="112" spans="1:7" ht="14.25" customHeight="1" x14ac:dyDescent="0.35">
      <c r="A112" s="130" t="s">
        <v>212</v>
      </c>
      <c r="B112" s="131" t="s">
        <v>55</v>
      </c>
      <c r="C112" s="131">
        <v>35006</v>
      </c>
      <c r="D112" s="131"/>
      <c r="E112" s="131"/>
      <c r="F112" s="131"/>
      <c r="G112" s="131"/>
    </row>
    <row r="113" spans="1:7" ht="14.25" customHeight="1" x14ac:dyDescent="0.35">
      <c r="A113" s="132" t="s">
        <v>76</v>
      </c>
      <c r="B113" s="133" t="s">
        <v>55</v>
      </c>
      <c r="C113" s="133">
        <v>33011</v>
      </c>
      <c r="D113" s="133"/>
      <c r="E113" s="133"/>
      <c r="F113" s="133"/>
      <c r="G113" s="133"/>
    </row>
    <row r="114" spans="1:7" ht="14.25" customHeight="1" x14ac:dyDescent="0.35">
      <c r="A114" s="130" t="s">
        <v>263</v>
      </c>
      <c r="B114" s="131" t="s">
        <v>55</v>
      </c>
      <c r="C114" s="131">
        <v>36007</v>
      </c>
      <c r="D114" s="131"/>
      <c r="E114" s="131"/>
      <c r="F114" s="131"/>
      <c r="G114" s="131"/>
    </row>
    <row r="115" spans="1:7" ht="14.25" customHeight="1" x14ac:dyDescent="0.35">
      <c r="A115" s="132" t="s">
        <v>129</v>
      </c>
      <c r="B115" s="133" t="s">
        <v>55</v>
      </c>
      <c r="C115" s="133">
        <v>36008</v>
      </c>
      <c r="D115" s="133"/>
      <c r="E115" s="133"/>
      <c r="F115" s="133"/>
      <c r="G115" s="133"/>
    </row>
    <row r="116" spans="1:7" ht="14.25" customHeight="1" x14ac:dyDescent="0.35">
      <c r="A116" s="130" t="s">
        <v>273</v>
      </c>
      <c r="B116" s="131" t="s">
        <v>55</v>
      </c>
      <c r="C116" s="131">
        <v>31012</v>
      </c>
      <c r="D116" s="131"/>
      <c r="E116" s="131"/>
      <c r="F116" s="131"/>
      <c r="G116" s="131"/>
    </row>
    <row r="117" spans="1:7" ht="14.25" customHeight="1" x14ac:dyDescent="0.35">
      <c r="A117" s="132" t="s">
        <v>163</v>
      </c>
      <c r="B117" s="133" t="s">
        <v>48</v>
      </c>
      <c r="C117" s="133">
        <v>11022</v>
      </c>
      <c r="D117" s="133"/>
      <c r="E117" s="133"/>
      <c r="F117" s="133"/>
      <c r="G117" s="133"/>
    </row>
    <row r="118" spans="1:7" ht="14.25" customHeight="1" x14ac:dyDescent="0.35">
      <c r="A118" s="130" t="s">
        <v>207</v>
      </c>
      <c r="B118" s="131" t="s">
        <v>52</v>
      </c>
      <c r="C118" s="131">
        <v>23038</v>
      </c>
      <c r="D118" s="131"/>
      <c r="E118" s="131"/>
      <c r="F118" s="131"/>
      <c r="G118" s="131"/>
    </row>
    <row r="119" spans="1:7" ht="14.25" customHeight="1" x14ac:dyDescent="0.35">
      <c r="A119" s="132" t="s">
        <v>258</v>
      </c>
      <c r="B119" s="133" t="s">
        <v>52</v>
      </c>
      <c r="C119" s="133">
        <v>23039</v>
      </c>
      <c r="D119" s="133"/>
      <c r="E119" s="133"/>
      <c r="F119" s="133"/>
      <c r="G119" s="133"/>
    </row>
    <row r="120" spans="1:7" ht="14.25" customHeight="1" x14ac:dyDescent="0.35">
      <c r="A120" s="130" t="s">
        <v>312</v>
      </c>
      <c r="B120" s="131" t="s">
        <v>48</v>
      </c>
      <c r="C120" s="131">
        <v>11023</v>
      </c>
      <c r="D120" s="131"/>
      <c r="E120" s="131"/>
      <c r="F120" s="131"/>
      <c r="G120" s="131"/>
    </row>
    <row r="121" spans="1:7" ht="14.25" customHeight="1" x14ac:dyDescent="0.35">
      <c r="A121" s="132" t="s">
        <v>247</v>
      </c>
      <c r="B121" s="133" t="s">
        <v>50</v>
      </c>
      <c r="C121" s="133">
        <v>43007</v>
      </c>
      <c r="D121" s="133"/>
      <c r="E121" s="133"/>
      <c r="F121" s="133"/>
      <c r="G121" s="133"/>
    </row>
    <row r="122" spans="1:7" ht="14.25" customHeight="1" x14ac:dyDescent="0.35">
      <c r="A122" s="130" t="s">
        <v>181</v>
      </c>
      <c r="B122" s="131" t="s">
        <v>48</v>
      </c>
      <c r="C122" s="131">
        <v>13017</v>
      </c>
      <c r="D122" s="131"/>
      <c r="E122" s="131"/>
      <c r="F122" s="131"/>
      <c r="G122" s="131"/>
    </row>
    <row r="123" spans="1:7" ht="14.25" customHeight="1" x14ac:dyDescent="0.35">
      <c r="A123" s="132" t="s">
        <v>176</v>
      </c>
      <c r="B123" s="133" t="s">
        <v>52</v>
      </c>
      <c r="C123" s="133">
        <v>24048</v>
      </c>
      <c r="D123" s="133"/>
      <c r="E123" s="133"/>
      <c r="F123" s="133"/>
      <c r="G123" s="133"/>
    </row>
    <row r="124" spans="1:7" ht="14.25" customHeight="1" x14ac:dyDescent="0.35">
      <c r="A124" s="130" t="s">
        <v>325</v>
      </c>
      <c r="B124" s="131" t="s">
        <v>59</v>
      </c>
      <c r="C124" s="131">
        <v>72018</v>
      </c>
      <c r="D124" s="131"/>
      <c r="E124" s="131"/>
      <c r="F124" s="131"/>
      <c r="G124" s="131"/>
    </row>
    <row r="125" spans="1:7" ht="14.25" customHeight="1" x14ac:dyDescent="0.35">
      <c r="A125" s="132" t="s">
        <v>191</v>
      </c>
      <c r="B125" s="133" t="s">
        <v>50</v>
      </c>
      <c r="C125" s="133">
        <v>45060</v>
      </c>
      <c r="D125" s="133"/>
      <c r="E125" s="133"/>
      <c r="F125" s="133"/>
      <c r="G125" s="133"/>
    </row>
    <row r="126" spans="1:7" ht="14.25" customHeight="1" x14ac:dyDescent="0.35">
      <c r="A126" s="130" t="s">
        <v>103</v>
      </c>
      <c r="B126" s="131" t="s">
        <v>55</v>
      </c>
      <c r="C126" s="131">
        <v>31043</v>
      </c>
      <c r="D126" s="131"/>
      <c r="E126" s="131"/>
      <c r="F126" s="131"/>
      <c r="G126" s="131"/>
    </row>
    <row r="127" spans="1:7" ht="14.25" customHeight="1" x14ac:dyDescent="0.35">
      <c r="A127" s="132" t="s">
        <v>256</v>
      </c>
      <c r="B127" s="133" t="s">
        <v>55</v>
      </c>
      <c r="C127" s="133">
        <v>32010</v>
      </c>
      <c r="D127" s="133"/>
      <c r="E127" s="133"/>
      <c r="F127" s="133"/>
      <c r="G127" s="133"/>
    </row>
    <row r="128" spans="1:7" ht="14.25" customHeight="1" x14ac:dyDescent="0.35">
      <c r="A128" s="130" t="s">
        <v>100</v>
      </c>
      <c r="B128" s="131" t="s">
        <v>55</v>
      </c>
      <c r="C128" s="131">
        <v>38014</v>
      </c>
      <c r="D128" s="131"/>
      <c r="E128" s="131"/>
      <c r="F128" s="131"/>
      <c r="G128" s="131"/>
    </row>
    <row r="129" spans="1:7" ht="14.25" customHeight="1" x14ac:dyDescent="0.35">
      <c r="A129" s="132" t="s">
        <v>288</v>
      </c>
      <c r="B129" s="133" t="s">
        <v>48</v>
      </c>
      <c r="C129" s="133">
        <v>11024</v>
      </c>
      <c r="D129" s="133"/>
      <c r="E129" s="133"/>
      <c r="F129" s="133"/>
      <c r="G129" s="133"/>
    </row>
    <row r="130" spans="1:7" ht="14.25" customHeight="1" x14ac:dyDescent="0.35">
      <c r="A130" s="130" t="s">
        <v>138</v>
      </c>
      <c r="B130" s="131" t="s">
        <v>55</v>
      </c>
      <c r="C130" s="131">
        <v>32011</v>
      </c>
      <c r="D130" s="131"/>
      <c r="E130" s="131"/>
      <c r="F130" s="131"/>
      <c r="G130" s="131"/>
    </row>
    <row r="131" spans="1:7" ht="14.25" customHeight="1" x14ac:dyDescent="0.35">
      <c r="A131" s="132" t="s">
        <v>252</v>
      </c>
      <c r="B131" s="133" t="s">
        <v>52</v>
      </c>
      <c r="C131" s="133">
        <v>24054</v>
      </c>
      <c r="D131" s="133"/>
      <c r="E131" s="133"/>
      <c r="F131" s="133"/>
      <c r="G131" s="133"/>
    </row>
    <row r="132" spans="1:7" ht="14.25" customHeight="1" x14ac:dyDescent="0.35">
      <c r="A132" s="130" t="s">
        <v>117</v>
      </c>
      <c r="B132" s="131" t="s">
        <v>52</v>
      </c>
      <c r="C132" s="131">
        <v>24055</v>
      </c>
      <c r="D132" s="131"/>
      <c r="E132" s="131"/>
      <c r="F132" s="131"/>
      <c r="G132" s="131"/>
    </row>
    <row r="133" spans="1:7" ht="14.25" customHeight="1" x14ac:dyDescent="0.35">
      <c r="A133" s="132" t="s">
        <v>56</v>
      </c>
      <c r="B133" s="133" t="s">
        <v>55</v>
      </c>
      <c r="C133" s="133">
        <v>34022</v>
      </c>
      <c r="D133" s="133"/>
      <c r="E133" s="133"/>
      <c r="F133" s="133"/>
      <c r="G133" s="133"/>
    </row>
    <row r="134" spans="1:7" ht="14.25" customHeight="1" x14ac:dyDescent="0.35">
      <c r="A134" s="130" t="s">
        <v>270</v>
      </c>
      <c r="B134" s="131" t="s">
        <v>52</v>
      </c>
      <c r="C134" s="131">
        <v>23099</v>
      </c>
      <c r="D134" s="131"/>
      <c r="E134" s="131"/>
      <c r="F134" s="131"/>
      <c r="G134" s="131"/>
    </row>
    <row r="135" spans="1:7" ht="14.25" customHeight="1" x14ac:dyDescent="0.35">
      <c r="A135" s="132" t="s">
        <v>122</v>
      </c>
      <c r="B135" s="133" t="s">
        <v>50</v>
      </c>
      <c r="C135" s="133">
        <v>45068</v>
      </c>
      <c r="D135" s="133"/>
      <c r="E135" s="133"/>
      <c r="F135" s="133"/>
      <c r="G135" s="133"/>
    </row>
    <row r="136" spans="1:7" ht="14.25" customHeight="1" x14ac:dyDescent="0.35">
      <c r="A136" s="130" t="s">
        <v>158</v>
      </c>
      <c r="B136" s="131" t="s">
        <v>55</v>
      </c>
      <c r="C136" s="131">
        <v>34023</v>
      </c>
      <c r="D136" s="131"/>
      <c r="E136" s="131"/>
      <c r="F136" s="131"/>
      <c r="G136" s="131"/>
    </row>
    <row r="137" spans="1:7" ht="14.25" customHeight="1" x14ac:dyDescent="0.35">
      <c r="A137" s="132" t="s">
        <v>218</v>
      </c>
      <c r="B137" s="133" t="s">
        <v>48</v>
      </c>
      <c r="C137" s="133">
        <v>13053</v>
      </c>
      <c r="D137" s="133"/>
      <c r="E137" s="133"/>
      <c r="F137" s="133"/>
      <c r="G137" s="133"/>
    </row>
    <row r="138" spans="1:7" ht="14.25" customHeight="1" x14ac:dyDescent="0.35">
      <c r="A138" s="130" t="s">
        <v>155</v>
      </c>
      <c r="B138" s="131" t="s">
        <v>50</v>
      </c>
      <c r="C138" s="131">
        <v>42010</v>
      </c>
      <c r="D138" s="131"/>
      <c r="E138" s="131"/>
      <c r="F138" s="131"/>
      <c r="G138" s="131"/>
    </row>
    <row r="139" spans="1:7" ht="14.25" customHeight="1" x14ac:dyDescent="0.35">
      <c r="A139" s="132" t="s">
        <v>295</v>
      </c>
      <c r="B139" s="133" t="s">
        <v>59</v>
      </c>
      <c r="C139" s="133">
        <v>73042</v>
      </c>
      <c r="D139" s="133"/>
      <c r="E139" s="133"/>
      <c r="F139" s="133"/>
      <c r="G139" s="133"/>
    </row>
    <row r="140" spans="1:7" ht="14.25" customHeight="1" x14ac:dyDescent="0.35">
      <c r="A140" s="130" t="s">
        <v>81</v>
      </c>
      <c r="B140" s="131" t="s">
        <v>52</v>
      </c>
      <c r="C140" s="131">
        <v>24059</v>
      </c>
      <c r="D140" s="131"/>
      <c r="E140" s="131"/>
      <c r="F140" s="131"/>
      <c r="G140" s="131"/>
    </row>
    <row r="141" spans="1:7" ht="14.25" customHeight="1" x14ac:dyDescent="0.35">
      <c r="A141" s="132" t="s">
        <v>253</v>
      </c>
      <c r="B141" s="133" t="s">
        <v>55</v>
      </c>
      <c r="C141" s="133">
        <v>33040</v>
      </c>
      <c r="D141" s="133"/>
      <c r="E141" s="133"/>
      <c r="F141" s="133"/>
      <c r="G141" s="133"/>
    </row>
    <row r="142" spans="1:7" ht="14.25" customHeight="1" x14ac:dyDescent="0.35">
      <c r="A142" s="130" t="s">
        <v>114</v>
      </c>
      <c r="B142" s="131" t="s">
        <v>50</v>
      </c>
      <c r="C142" s="131">
        <v>42011</v>
      </c>
      <c r="D142" s="131"/>
      <c r="E142" s="131"/>
      <c r="F142" s="131"/>
      <c r="G142" s="131"/>
    </row>
    <row r="143" spans="1:7" ht="14.25" customHeight="1" x14ac:dyDescent="0.35">
      <c r="A143" s="132" t="s">
        <v>179</v>
      </c>
      <c r="B143" s="133" t="s">
        <v>50</v>
      </c>
      <c r="C143" s="133">
        <v>41034</v>
      </c>
      <c r="D143" s="133"/>
      <c r="E143" s="133"/>
      <c r="F143" s="133"/>
      <c r="G143" s="133"/>
    </row>
    <row r="144" spans="1:7" ht="14.25" customHeight="1" x14ac:dyDescent="0.35">
      <c r="A144" s="130" t="s">
        <v>171</v>
      </c>
      <c r="B144" s="131" t="s">
        <v>55</v>
      </c>
      <c r="C144" s="131">
        <v>36010</v>
      </c>
      <c r="D144" s="131"/>
      <c r="E144" s="131"/>
      <c r="F144" s="131"/>
      <c r="G144" s="131"/>
    </row>
    <row r="145" spans="1:7" ht="14.25" customHeight="1" x14ac:dyDescent="0.35">
      <c r="A145" s="132" t="s">
        <v>320</v>
      </c>
      <c r="B145" s="133" t="s">
        <v>55</v>
      </c>
      <c r="C145" s="133">
        <v>34025</v>
      </c>
      <c r="D145" s="133"/>
      <c r="E145" s="133"/>
      <c r="F145" s="133"/>
      <c r="G145" s="133"/>
    </row>
    <row r="146" spans="1:7" ht="14.25" customHeight="1" x14ac:dyDescent="0.35">
      <c r="A146" s="130" t="s">
        <v>257</v>
      </c>
      <c r="B146" s="131" t="s">
        <v>52</v>
      </c>
      <c r="C146" s="131">
        <v>23104</v>
      </c>
      <c r="D146" s="131"/>
      <c r="E146" s="131"/>
      <c r="F146" s="131"/>
      <c r="G146" s="131"/>
    </row>
    <row r="147" spans="1:7" ht="14.25" customHeight="1" x14ac:dyDescent="0.35">
      <c r="A147" s="132" t="s">
        <v>308</v>
      </c>
      <c r="B147" s="133" t="s">
        <v>59</v>
      </c>
      <c r="C147" s="133">
        <v>71034</v>
      </c>
      <c r="D147" s="133"/>
      <c r="E147" s="133"/>
      <c r="F147" s="133"/>
      <c r="G147" s="133"/>
    </row>
    <row r="148" spans="1:7" ht="14.25" customHeight="1" x14ac:dyDescent="0.35">
      <c r="A148" s="130" t="s">
        <v>51</v>
      </c>
      <c r="B148" s="131" t="s">
        <v>52</v>
      </c>
      <c r="C148" s="131">
        <v>24062</v>
      </c>
      <c r="D148" s="131"/>
      <c r="E148" s="131"/>
      <c r="F148" s="131"/>
      <c r="G148" s="131"/>
    </row>
    <row r="149" spans="1:7" ht="14.25" customHeight="1" x14ac:dyDescent="0.35">
      <c r="A149" s="132" t="s">
        <v>198</v>
      </c>
      <c r="B149" s="133" t="s">
        <v>55</v>
      </c>
      <c r="C149" s="133">
        <v>36011</v>
      </c>
      <c r="D149" s="133"/>
      <c r="E149" s="133"/>
      <c r="F149" s="133"/>
      <c r="G149" s="133"/>
    </row>
    <row r="150" spans="1:7" ht="14.25" customHeight="1" x14ac:dyDescent="0.35">
      <c r="A150" s="130" t="s">
        <v>334</v>
      </c>
      <c r="B150" s="131" t="s">
        <v>52</v>
      </c>
      <c r="C150" s="131">
        <v>23044</v>
      </c>
      <c r="D150" s="131"/>
      <c r="E150" s="131"/>
      <c r="F150" s="131"/>
      <c r="G150" s="131"/>
    </row>
    <row r="151" spans="1:7" ht="14.25" customHeight="1" x14ac:dyDescent="0.35">
      <c r="A151" s="132" t="s">
        <v>68</v>
      </c>
      <c r="B151" s="133" t="s">
        <v>48</v>
      </c>
      <c r="C151" s="133">
        <v>12021</v>
      </c>
      <c r="D151" s="133"/>
      <c r="E151" s="133"/>
      <c r="F151" s="133"/>
      <c r="G151" s="133"/>
    </row>
    <row r="152" spans="1:7" ht="14.25" customHeight="1" x14ac:dyDescent="0.35">
      <c r="A152" s="130" t="s">
        <v>248</v>
      </c>
      <c r="B152" s="131" t="s">
        <v>50</v>
      </c>
      <c r="C152" s="131">
        <v>45063</v>
      </c>
      <c r="D152" s="131"/>
      <c r="E152" s="131"/>
      <c r="F152" s="131"/>
      <c r="G152" s="131"/>
    </row>
    <row r="153" spans="1:7" ht="14.25" customHeight="1" x14ac:dyDescent="0.35">
      <c r="A153" s="132" t="s">
        <v>82</v>
      </c>
      <c r="B153" s="133" t="s">
        <v>50</v>
      </c>
      <c r="C153" s="133">
        <v>44085</v>
      </c>
      <c r="D153" s="133"/>
      <c r="E153" s="133"/>
      <c r="F153" s="133"/>
      <c r="G153" s="133"/>
    </row>
    <row r="154" spans="1:7" ht="14.25" customHeight="1" x14ac:dyDescent="0.35">
      <c r="A154" s="130" t="s">
        <v>161</v>
      </c>
      <c r="B154" s="131" t="s">
        <v>48</v>
      </c>
      <c r="C154" s="131">
        <v>13019</v>
      </c>
      <c r="D154" s="131"/>
      <c r="E154" s="131"/>
      <c r="F154" s="131"/>
      <c r="G154" s="131"/>
    </row>
    <row r="155" spans="1:7" ht="14.25" customHeight="1" x14ac:dyDescent="0.35">
      <c r="A155" s="132" t="s">
        <v>319</v>
      </c>
      <c r="B155" s="133" t="s">
        <v>52</v>
      </c>
      <c r="C155" s="133">
        <v>23100</v>
      </c>
      <c r="D155" s="133"/>
      <c r="E155" s="133"/>
      <c r="F155" s="133"/>
      <c r="G155" s="133"/>
    </row>
    <row r="156" spans="1:7" ht="14.25" customHeight="1" x14ac:dyDescent="0.35">
      <c r="A156" s="130" t="s">
        <v>254</v>
      </c>
      <c r="B156" s="131" t="s">
        <v>48</v>
      </c>
      <c r="C156" s="131">
        <v>11025</v>
      </c>
      <c r="D156" s="131"/>
      <c r="E156" s="131"/>
      <c r="F156" s="131"/>
      <c r="G156" s="131"/>
    </row>
    <row r="157" spans="1:7" ht="14.25" customHeight="1" x14ac:dyDescent="0.35">
      <c r="A157" s="132" t="s">
        <v>193</v>
      </c>
      <c r="B157" s="133" t="s">
        <v>52</v>
      </c>
      <c r="C157" s="133">
        <v>24133</v>
      </c>
      <c r="D157" s="133"/>
      <c r="E157" s="133"/>
      <c r="F157" s="133"/>
      <c r="G157" s="133"/>
    </row>
    <row r="158" spans="1:7" ht="14.25" customHeight="1" x14ac:dyDescent="0.35">
      <c r="A158" s="130" t="s">
        <v>239</v>
      </c>
      <c r="B158" s="131" t="s">
        <v>55</v>
      </c>
      <c r="C158" s="131">
        <v>32030</v>
      </c>
      <c r="D158" s="131"/>
      <c r="E158" s="131"/>
      <c r="F158" s="131"/>
      <c r="G158" s="131"/>
    </row>
    <row r="159" spans="1:7" ht="14.25" customHeight="1" x14ac:dyDescent="0.35">
      <c r="A159" s="132" t="s">
        <v>233</v>
      </c>
      <c r="B159" s="133" t="s">
        <v>50</v>
      </c>
      <c r="C159" s="133">
        <v>44034</v>
      </c>
      <c r="D159" s="133"/>
      <c r="E159" s="133"/>
      <c r="F159" s="133"/>
      <c r="G159" s="133"/>
    </row>
    <row r="160" spans="1:7" ht="14.25" customHeight="1" x14ac:dyDescent="0.35">
      <c r="A160" s="130" t="s">
        <v>72</v>
      </c>
      <c r="B160" s="131" t="s">
        <v>50</v>
      </c>
      <c r="C160" s="131">
        <v>46014</v>
      </c>
      <c r="D160" s="131"/>
      <c r="E160" s="131"/>
      <c r="F160" s="131"/>
      <c r="G160" s="131"/>
    </row>
    <row r="161" spans="1:7" ht="14.25" customHeight="1" x14ac:dyDescent="0.35">
      <c r="A161" s="132" t="s">
        <v>126</v>
      </c>
      <c r="B161" s="133" t="s">
        <v>59</v>
      </c>
      <c r="C161" s="133">
        <v>72020</v>
      </c>
      <c r="D161" s="133"/>
      <c r="E161" s="133"/>
      <c r="F161" s="133"/>
      <c r="G161" s="133"/>
    </row>
    <row r="162" spans="1:7" ht="14.25" customHeight="1" x14ac:dyDescent="0.35">
      <c r="A162" s="130" t="s">
        <v>283</v>
      </c>
      <c r="B162" s="131" t="s">
        <v>52</v>
      </c>
      <c r="C162" s="131">
        <v>23045</v>
      </c>
      <c r="D162" s="131"/>
      <c r="E162" s="131"/>
      <c r="F162" s="131"/>
      <c r="G162" s="131"/>
    </row>
    <row r="163" spans="1:7" ht="14.25" customHeight="1" x14ac:dyDescent="0.35">
      <c r="A163" s="132" t="s">
        <v>139</v>
      </c>
      <c r="B163" s="133" t="s">
        <v>52</v>
      </c>
      <c r="C163" s="133">
        <v>24066</v>
      </c>
      <c r="D163" s="133"/>
      <c r="E163" s="133"/>
      <c r="F163" s="133"/>
      <c r="G163" s="133"/>
    </row>
    <row r="164" spans="1:7" ht="14.25" customHeight="1" x14ac:dyDescent="0.35">
      <c r="A164" s="130" t="s">
        <v>286</v>
      </c>
      <c r="B164" s="131" t="s">
        <v>59</v>
      </c>
      <c r="C164" s="131">
        <v>71037</v>
      </c>
      <c r="D164" s="131"/>
      <c r="E164" s="131"/>
      <c r="F164" s="131"/>
      <c r="G164" s="131"/>
    </row>
    <row r="165" spans="1:7" ht="14.25" customHeight="1" x14ac:dyDescent="0.35">
      <c r="A165" s="132" t="s">
        <v>244</v>
      </c>
      <c r="B165" s="133" t="s">
        <v>50</v>
      </c>
      <c r="C165" s="133">
        <v>45064</v>
      </c>
      <c r="D165" s="133"/>
      <c r="E165" s="133"/>
      <c r="F165" s="133"/>
      <c r="G165" s="133"/>
    </row>
    <row r="166" spans="1:7" ht="14.25" customHeight="1" x14ac:dyDescent="0.35">
      <c r="A166" s="130" t="s">
        <v>211</v>
      </c>
      <c r="B166" s="131" t="s">
        <v>59</v>
      </c>
      <c r="C166" s="131">
        <v>72021</v>
      </c>
      <c r="D166" s="131"/>
      <c r="E166" s="131"/>
      <c r="F166" s="131"/>
      <c r="G166" s="131"/>
    </row>
    <row r="167" spans="1:7" ht="14.25" customHeight="1" x14ac:dyDescent="0.35">
      <c r="A167" s="132" t="s">
        <v>229</v>
      </c>
      <c r="B167" s="133" t="s">
        <v>59</v>
      </c>
      <c r="C167" s="133">
        <v>73107</v>
      </c>
      <c r="D167" s="133"/>
      <c r="E167" s="133"/>
      <c r="F167" s="133"/>
      <c r="G167" s="133"/>
    </row>
    <row r="168" spans="1:7" ht="14.25" customHeight="1" x14ac:dyDescent="0.35">
      <c r="A168" s="130" t="s">
        <v>278</v>
      </c>
      <c r="B168" s="131" t="s">
        <v>52</v>
      </c>
      <c r="C168" s="131">
        <v>23047</v>
      </c>
      <c r="D168" s="131"/>
      <c r="E168" s="131"/>
      <c r="F168" s="131"/>
      <c r="G168" s="131"/>
    </row>
    <row r="169" spans="1:7" ht="14.25" customHeight="1" x14ac:dyDescent="0.35">
      <c r="A169" s="132" t="s">
        <v>165</v>
      </c>
      <c r="B169" s="133" t="s">
        <v>50</v>
      </c>
      <c r="C169" s="133">
        <v>43010</v>
      </c>
      <c r="D169" s="133"/>
      <c r="E169" s="133"/>
      <c r="F169" s="133"/>
      <c r="G169" s="133"/>
    </row>
    <row r="170" spans="1:7" ht="14.25" customHeight="1" x14ac:dyDescent="0.35">
      <c r="A170" s="130" t="s">
        <v>178</v>
      </c>
      <c r="B170" s="131" t="s">
        <v>48</v>
      </c>
      <c r="C170" s="131">
        <v>11057</v>
      </c>
      <c r="D170" s="131"/>
      <c r="E170" s="131"/>
      <c r="F170" s="131"/>
      <c r="G170" s="131"/>
    </row>
    <row r="171" spans="1:7" ht="14.25" customHeight="1" x14ac:dyDescent="0.35">
      <c r="A171" s="132" t="s">
        <v>53</v>
      </c>
      <c r="B171" s="133" t="s">
        <v>48</v>
      </c>
      <c r="C171" s="133">
        <v>12025</v>
      </c>
      <c r="D171" s="133">
        <v>8</v>
      </c>
      <c r="E171" s="133">
        <v>8</v>
      </c>
      <c r="F171" s="133">
        <v>12</v>
      </c>
      <c r="G171" s="133">
        <v>12</v>
      </c>
    </row>
    <row r="172" spans="1:7" ht="14.25" customHeight="1" x14ac:dyDescent="0.35">
      <c r="A172" s="130" t="s">
        <v>172</v>
      </c>
      <c r="B172" s="131" t="s">
        <v>48</v>
      </c>
      <c r="C172" s="131">
        <v>13021</v>
      </c>
      <c r="D172" s="131"/>
      <c r="E172" s="131"/>
      <c r="F172" s="131"/>
      <c r="G172" s="131"/>
    </row>
    <row r="173" spans="1:7" ht="14.25" customHeight="1" x14ac:dyDescent="0.35">
      <c r="A173" s="132" t="s">
        <v>287</v>
      </c>
      <c r="B173" s="133" t="s">
        <v>52</v>
      </c>
      <c r="C173" s="133">
        <v>23050</v>
      </c>
      <c r="D173" s="133"/>
      <c r="E173" s="133"/>
      <c r="F173" s="133"/>
      <c r="G173" s="133"/>
    </row>
    <row r="174" spans="1:7" ht="14.25" customHeight="1" x14ac:dyDescent="0.35">
      <c r="A174" s="130" t="s">
        <v>130</v>
      </c>
      <c r="B174" s="131" t="s">
        <v>55</v>
      </c>
      <c r="C174" s="131">
        <v>34027</v>
      </c>
      <c r="D174" s="131"/>
      <c r="E174" s="131"/>
      <c r="F174" s="131"/>
      <c r="G174" s="131"/>
    </row>
    <row r="175" spans="1:7" ht="14.25" customHeight="1" x14ac:dyDescent="0.35">
      <c r="A175" s="132" t="s">
        <v>281</v>
      </c>
      <c r="B175" s="133" t="s">
        <v>52</v>
      </c>
      <c r="C175" s="133">
        <v>23052</v>
      </c>
      <c r="D175" s="133"/>
      <c r="E175" s="133"/>
      <c r="F175" s="133"/>
      <c r="G175" s="133"/>
    </row>
    <row r="176" spans="1:7" ht="14.25" customHeight="1" x14ac:dyDescent="0.35">
      <c r="A176" s="130" t="s">
        <v>60</v>
      </c>
      <c r="B176" s="131" t="s">
        <v>50</v>
      </c>
      <c r="C176" s="131">
        <v>44043</v>
      </c>
      <c r="D176" s="131"/>
      <c r="E176" s="131"/>
      <c r="F176" s="131"/>
      <c r="G176" s="131"/>
    </row>
    <row r="177" spans="1:7" ht="14.25" customHeight="1" x14ac:dyDescent="0.35">
      <c r="A177" s="132" t="s">
        <v>197</v>
      </c>
      <c r="B177" s="133" t="s">
        <v>48</v>
      </c>
      <c r="C177" s="133">
        <v>13023</v>
      </c>
      <c r="D177" s="133"/>
      <c r="E177" s="133"/>
      <c r="F177" s="133"/>
      <c r="G177" s="133"/>
    </row>
    <row r="178" spans="1:7" ht="14.25" customHeight="1" x14ac:dyDescent="0.35">
      <c r="A178" s="130" t="s">
        <v>238</v>
      </c>
      <c r="B178" s="131" t="s">
        <v>55</v>
      </c>
      <c r="C178" s="131">
        <v>33016</v>
      </c>
      <c r="D178" s="131"/>
      <c r="E178" s="131"/>
      <c r="F178" s="131"/>
      <c r="G178" s="131"/>
    </row>
    <row r="179" spans="1:7" ht="14.25" customHeight="1" x14ac:dyDescent="0.35">
      <c r="A179" s="132" t="s">
        <v>225</v>
      </c>
      <c r="B179" s="133" t="s">
        <v>55</v>
      </c>
      <c r="C179" s="133">
        <v>35011</v>
      </c>
      <c r="D179" s="133"/>
      <c r="E179" s="133"/>
      <c r="F179" s="133"/>
      <c r="G179" s="133"/>
    </row>
    <row r="180" spans="1:7" ht="14.25" customHeight="1" x14ac:dyDescent="0.35">
      <c r="A180" s="130" t="s">
        <v>145</v>
      </c>
      <c r="B180" s="131" t="s">
        <v>48</v>
      </c>
      <c r="C180" s="131">
        <v>13025</v>
      </c>
      <c r="D180" s="131"/>
      <c r="E180" s="131"/>
      <c r="F180" s="131"/>
      <c r="G180" s="131"/>
    </row>
    <row r="181" spans="1:7" ht="14.25" customHeight="1" x14ac:dyDescent="0.35">
      <c r="A181" s="132" t="s">
        <v>174</v>
      </c>
      <c r="B181" s="133" t="s">
        <v>55</v>
      </c>
      <c r="C181" s="133">
        <v>36012</v>
      </c>
      <c r="D181" s="133"/>
      <c r="E181" s="133"/>
      <c r="F181" s="133"/>
      <c r="G181" s="133"/>
    </row>
    <row r="182" spans="1:7" ht="14.25" customHeight="1" x14ac:dyDescent="0.35">
      <c r="A182" s="130" t="s">
        <v>66</v>
      </c>
      <c r="B182" s="131" t="s">
        <v>48</v>
      </c>
      <c r="C182" s="131">
        <v>11029</v>
      </c>
      <c r="D182" s="131"/>
      <c r="E182" s="131"/>
      <c r="F182" s="131"/>
      <c r="G182" s="131"/>
    </row>
    <row r="183" spans="1:7" ht="14.25" customHeight="1" x14ac:dyDescent="0.35">
      <c r="A183" s="132" t="s">
        <v>75</v>
      </c>
      <c r="B183" s="133" t="s">
        <v>50</v>
      </c>
      <c r="C183" s="133">
        <v>44048</v>
      </c>
      <c r="D183" s="133"/>
      <c r="E183" s="133"/>
      <c r="F183" s="133"/>
      <c r="G183" s="133"/>
    </row>
    <row r="184" spans="1:7" ht="14.25" customHeight="1" x14ac:dyDescent="0.35">
      <c r="A184" s="130" t="s">
        <v>203</v>
      </c>
      <c r="B184" s="131" t="s">
        <v>48</v>
      </c>
      <c r="C184" s="131">
        <v>11030</v>
      </c>
      <c r="D184" s="131"/>
      <c r="E184" s="131"/>
      <c r="F184" s="131"/>
      <c r="G184" s="131"/>
    </row>
    <row r="185" spans="1:7" ht="14.25" customHeight="1" x14ac:dyDescent="0.35">
      <c r="A185" s="132" t="s">
        <v>299</v>
      </c>
      <c r="B185" s="133" t="s">
        <v>59</v>
      </c>
      <c r="C185" s="133">
        <v>71045</v>
      </c>
      <c r="D185" s="133"/>
      <c r="E185" s="133"/>
      <c r="F185" s="133"/>
      <c r="G185" s="133"/>
    </row>
    <row r="186" spans="1:7" ht="14.25" customHeight="1" x14ac:dyDescent="0.35">
      <c r="A186" s="130" t="s">
        <v>152</v>
      </c>
      <c r="B186" s="131" t="s">
        <v>55</v>
      </c>
      <c r="C186" s="131">
        <v>38016</v>
      </c>
      <c r="D186" s="131"/>
      <c r="E186" s="131"/>
      <c r="F186" s="131"/>
      <c r="G186" s="131"/>
    </row>
    <row r="187" spans="1:7" ht="14.25" customHeight="1" x14ac:dyDescent="0.35">
      <c r="A187" s="132" t="s">
        <v>124</v>
      </c>
      <c r="B187" s="133" t="s">
        <v>48</v>
      </c>
      <c r="C187" s="133">
        <v>12026</v>
      </c>
      <c r="D187" s="133"/>
      <c r="E187" s="133"/>
      <c r="F187" s="133"/>
      <c r="G187" s="133"/>
    </row>
    <row r="188" spans="1:7" ht="14.25" customHeight="1" x14ac:dyDescent="0.35">
      <c r="A188" s="130" t="s">
        <v>236</v>
      </c>
      <c r="B188" s="131" t="s">
        <v>50</v>
      </c>
      <c r="C188" s="131">
        <v>41048</v>
      </c>
      <c r="D188" s="131"/>
      <c r="E188" s="131"/>
      <c r="F188" s="131"/>
      <c r="G188" s="131"/>
    </row>
    <row r="189" spans="1:7" ht="14.25" customHeight="1" x14ac:dyDescent="0.35">
      <c r="A189" s="132" t="s">
        <v>330</v>
      </c>
      <c r="B189" s="133" t="s">
        <v>48</v>
      </c>
      <c r="C189" s="133">
        <v>13029</v>
      </c>
      <c r="D189" s="133"/>
      <c r="E189" s="133"/>
      <c r="F189" s="133"/>
      <c r="G189" s="133"/>
    </row>
    <row r="190" spans="1:7" ht="14.25" customHeight="1" x14ac:dyDescent="0.35">
      <c r="A190" s="130" t="s">
        <v>64</v>
      </c>
      <c r="B190" s="131" t="s">
        <v>55</v>
      </c>
      <c r="C190" s="131">
        <v>35013</v>
      </c>
      <c r="D190" s="131"/>
      <c r="E190" s="131"/>
      <c r="F190" s="131"/>
      <c r="G190" s="131"/>
    </row>
    <row r="191" spans="1:7" ht="14.25" customHeight="1" x14ac:dyDescent="0.35">
      <c r="A191" s="132" t="s">
        <v>121</v>
      </c>
      <c r="B191" s="133" t="s">
        <v>50</v>
      </c>
      <c r="C191" s="133">
        <v>44052</v>
      </c>
      <c r="D191" s="133"/>
      <c r="E191" s="133"/>
      <c r="F191" s="133"/>
      <c r="G191" s="133"/>
    </row>
    <row r="192" spans="1:7" ht="14.25" customHeight="1" x14ac:dyDescent="0.35">
      <c r="A192" s="130" t="s">
        <v>79</v>
      </c>
      <c r="B192" s="131" t="s">
        <v>55</v>
      </c>
      <c r="C192" s="131">
        <v>31022</v>
      </c>
      <c r="D192" s="131"/>
      <c r="E192" s="131"/>
      <c r="F192" s="131"/>
      <c r="G192" s="131"/>
    </row>
    <row r="193" spans="1:7" ht="14.25" customHeight="1" x14ac:dyDescent="0.35">
      <c r="A193" s="132" t="s">
        <v>194</v>
      </c>
      <c r="B193" s="133" t="s">
        <v>55</v>
      </c>
      <c r="C193" s="133">
        <v>37010</v>
      </c>
      <c r="D193" s="133"/>
      <c r="E193" s="133"/>
      <c r="F193" s="133"/>
      <c r="G193" s="133"/>
    </row>
    <row r="194" spans="1:7" ht="14.25" customHeight="1" x14ac:dyDescent="0.35">
      <c r="A194" s="130" t="s">
        <v>214</v>
      </c>
      <c r="B194" s="131" t="s">
        <v>52</v>
      </c>
      <c r="C194" s="131">
        <v>23060</v>
      </c>
      <c r="D194" s="131"/>
      <c r="E194" s="131"/>
      <c r="F194" s="131"/>
      <c r="G194" s="131"/>
    </row>
    <row r="195" spans="1:7" ht="14.25" customHeight="1" x14ac:dyDescent="0.35">
      <c r="A195" s="132" t="s">
        <v>110</v>
      </c>
      <c r="B195" s="133" t="s">
        <v>52</v>
      </c>
      <c r="C195" s="133">
        <v>24086</v>
      </c>
      <c r="D195" s="133"/>
      <c r="E195" s="133"/>
      <c r="F195" s="133"/>
      <c r="G195" s="133"/>
    </row>
    <row r="196" spans="1:7" ht="14.25" customHeight="1" x14ac:dyDescent="0.35">
      <c r="A196" s="130" t="s">
        <v>159</v>
      </c>
      <c r="B196" s="131" t="s">
        <v>48</v>
      </c>
      <c r="C196" s="131">
        <v>13031</v>
      </c>
      <c r="D196" s="131"/>
      <c r="E196" s="131"/>
      <c r="F196" s="131"/>
      <c r="G196" s="131"/>
    </row>
    <row r="197" spans="1:7" ht="14.25" customHeight="1" x14ac:dyDescent="0.35">
      <c r="A197" s="132" t="s">
        <v>77</v>
      </c>
      <c r="B197" s="133" t="s">
        <v>50</v>
      </c>
      <c r="C197" s="133">
        <v>45035</v>
      </c>
      <c r="D197" s="133"/>
      <c r="E197" s="133"/>
      <c r="F197" s="133"/>
      <c r="G197" s="133"/>
    </row>
    <row r="198" spans="1:7" ht="14.25" customHeight="1" x14ac:dyDescent="0.35">
      <c r="A198" s="130" t="s">
        <v>200</v>
      </c>
      <c r="B198" s="131" t="s">
        <v>55</v>
      </c>
      <c r="C198" s="131">
        <v>35014</v>
      </c>
      <c r="D198" s="131"/>
      <c r="E198" s="131"/>
      <c r="F198" s="131"/>
      <c r="G198" s="131"/>
    </row>
    <row r="199" spans="1:7" ht="14.25" customHeight="1" x14ac:dyDescent="0.35">
      <c r="A199" s="132" t="s">
        <v>234</v>
      </c>
      <c r="B199" s="133" t="s">
        <v>59</v>
      </c>
      <c r="C199" s="133">
        <v>72042</v>
      </c>
      <c r="D199" s="133"/>
      <c r="E199" s="133"/>
      <c r="F199" s="133"/>
      <c r="G199" s="133"/>
    </row>
    <row r="200" spans="1:7" ht="14.25" customHeight="1" x14ac:dyDescent="0.35">
      <c r="A200" s="130" t="s">
        <v>230</v>
      </c>
      <c r="B200" s="131" t="s">
        <v>52</v>
      </c>
      <c r="C200" s="131">
        <v>23062</v>
      </c>
      <c r="D200" s="131"/>
      <c r="E200" s="131"/>
      <c r="F200" s="131"/>
      <c r="G200" s="131"/>
    </row>
    <row r="201" spans="1:7" ht="14.25" customHeight="1" x14ac:dyDescent="0.35">
      <c r="A201" s="132" t="s">
        <v>293</v>
      </c>
      <c r="B201" s="133" t="s">
        <v>52</v>
      </c>
      <c r="C201" s="133"/>
      <c r="D201" s="133"/>
      <c r="E201" s="133"/>
      <c r="F201" s="133"/>
      <c r="G201" s="133"/>
    </row>
    <row r="202" spans="1:7" ht="14.25" customHeight="1" x14ac:dyDescent="0.35">
      <c r="A202" s="130" t="s">
        <v>232</v>
      </c>
      <c r="B202" s="131" t="s">
        <v>59</v>
      </c>
      <c r="C202" s="131">
        <v>72030</v>
      </c>
      <c r="D202" s="131"/>
      <c r="E202" s="131"/>
      <c r="F202" s="131"/>
      <c r="G202" s="131"/>
    </row>
    <row r="203" spans="1:7" ht="14.25" customHeight="1" x14ac:dyDescent="0.35">
      <c r="A203" s="132" t="s">
        <v>310</v>
      </c>
      <c r="B203" s="133" t="s">
        <v>59</v>
      </c>
      <c r="C203" s="133">
        <v>72043</v>
      </c>
      <c r="D203" s="133"/>
      <c r="E203" s="133"/>
      <c r="F203" s="133"/>
      <c r="G203" s="133"/>
    </row>
    <row r="204" spans="1:7" ht="14.25" customHeight="1" x14ac:dyDescent="0.35">
      <c r="A204" s="130" t="s">
        <v>241</v>
      </c>
      <c r="B204" s="131" t="s">
        <v>52</v>
      </c>
      <c r="C204" s="131">
        <v>23064</v>
      </c>
      <c r="D204" s="131"/>
      <c r="E204" s="131"/>
      <c r="F204" s="131"/>
      <c r="G204" s="131"/>
    </row>
    <row r="205" spans="1:7" ht="14.25" customHeight="1" x14ac:dyDescent="0.35">
      <c r="A205" s="132" t="s">
        <v>251</v>
      </c>
      <c r="B205" s="133" t="s">
        <v>55</v>
      </c>
      <c r="C205" s="133">
        <v>37011</v>
      </c>
      <c r="D205" s="133"/>
      <c r="E205" s="133"/>
      <c r="F205" s="133"/>
      <c r="G205" s="133"/>
    </row>
    <row r="206" spans="1:7" ht="14.25" customHeight="1" x14ac:dyDescent="0.35">
      <c r="A206" s="130" t="s">
        <v>98</v>
      </c>
      <c r="B206" s="131" t="s">
        <v>55</v>
      </c>
      <c r="C206" s="131">
        <v>33021</v>
      </c>
      <c r="D206" s="131"/>
      <c r="E206" s="131"/>
      <c r="F206" s="131"/>
      <c r="G206" s="131"/>
    </row>
    <row r="207" spans="1:7" ht="14.25" customHeight="1" x14ac:dyDescent="0.35">
      <c r="A207" s="132" t="s">
        <v>282</v>
      </c>
      <c r="B207" s="133" t="s">
        <v>48</v>
      </c>
      <c r="C207" s="133">
        <v>12029</v>
      </c>
      <c r="D207" s="133">
        <v>1</v>
      </c>
      <c r="E207" s="133">
        <v>1</v>
      </c>
      <c r="F207" s="133">
        <v>1</v>
      </c>
      <c r="G207" s="133">
        <v>1</v>
      </c>
    </row>
    <row r="208" spans="1:7" ht="14.25" customHeight="1" x14ac:dyDescent="0.35">
      <c r="A208" s="130" t="s">
        <v>94</v>
      </c>
      <c r="B208" s="131" t="s">
        <v>48</v>
      </c>
      <c r="C208" s="131">
        <v>12041</v>
      </c>
      <c r="D208" s="131"/>
      <c r="E208" s="131"/>
      <c r="F208" s="131"/>
      <c r="G208" s="131"/>
    </row>
    <row r="209" spans="1:7" ht="14.25" customHeight="1" x14ac:dyDescent="0.35">
      <c r="A209" s="132" t="s">
        <v>284</v>
      </c>
      <c r="B209" s="133" t="s">
        <v>48</v>
      </c>
      <c r="C209" s="133">
        <v>11035</v>
      </c>
      <c r="D209" s="133"/>
      <c r="E209" s="133"/>
      <c r="F209" s="133"/>
      <c r="G209" s="133"/>
    </row>
    <row r="210" spans="1:7" ht="14.25" customHeight="1" x14ac:dyDescent="0.35">
      <c r="A210" s="130" t="s">
        <v>277</v>
      </c>
      <c r="B210" s="131" t="s">
        <v>48</v>
      </c>
      <c r="C210" s="131">
        <v>13035</v>
      </c>
      <c r="D210" s="131"/>
      <c r="E210" s="131"/>
      <c r="F210" s="131"/>
      <c r="G210" s="131"/>
    </row>
    <row r="211" spans="1:7" ht="14.25" customHeight="1" x14ac:dyDescent="0.35">
      <c r="A211" s="132" t="s">
        <v>204</v>
      </c>
      <c r="B211" s="133" t="s">
        <v>48</v>
      </c>
      <c r="C211" s="133">
        <v>13036</v>
      </c>
      <c r="D211" s="133"/>
      <c r="E211" s="133"/>
      <c r="F211" s="133"/>
      <c r="G211" s="133"/>
    </row>
    <row r="212" spans="1:7" ht="14.25" customHeight="1" x14ac:dyDescent="0.35">
      <c r="A212" s="130" t="s">
        <v>332</v>
      </c>
      <c r="B212" s="131" t="s">
        <v>59</v>
      </c>
      <c r="C212" s="131">
        <v>73066</v>
      </c>
      <c r="D212" s="131"/>
      <c r="E212" s="131"/>
      <c r="F212" s="131"/>
      <c r="G212" s="131"/>
    </row>
    <row r="213" spans="1:7" ht="14.25" customHeight="1" x14ac:dyDescent="0.35">
      <c r="A213" s="132" t="s">
        <v>267</v>
      </c>
      <c r="B213" s="133" t="s">
        <v>48</v>
      </c>
      <c r="C213" s="133">
        <v>13037</v>
      </c>
      <c r="D213" s="133"/>
      <c r="E213" s="133"/>
      <c r="F213" s="133"/>
      <c r="G213" s="133"/>
    </row>
    <row r="214" spans="1:7" ht="14.25" customHeight="1" x14ac:dyDescent="0.35">
      <c r="A214" s="130" t="s">
        <v>63</v>
      </c>
      <c r="B214" s="131" t="s">
        <v>55</v>
      </c>
      <c r="C214" s="131">
        <v>36015</v>
      </c>
      <c r="D214" s="131"/>
      <c r="E214" s="131"/>
      <c r="F214" s="131"/>
      <c r="G214" s="131"/>
    </row>
    <row r="215" spans="1:7" ht="14.25" customHeight="1" x14ac:dyDescent="0.35">
      <c r="A215" s="132" t="s">
        <v>141</v>
      </c>
      <c r="B215" s="133" t="s">
        <v>50</v>
      </c>
      <c r="C215" s="133">
        <v>45041</v>
      </c>
      <c r="D215" s="133"/>
      <c r="E215" s="133"/>
      <c r="F215" s="133"/>
      <c r="G215" s="133"/>
    </row>
    <row r="216" spans="1:7" ht="14.25" customHeight="1" x14ac:dyDescent="0.35">
      <c r="A216" s="130" t="s">
        <v>328</v>
      </c>
      <c r="B216" s="131" t="s">
        <v>52</v>
      </c>
      <c r="C216" s="131">
        <v>23097</v>
      </c>
      <c r="D216" s="131"/>
      <c r="E216" s="131"/>
      <c r="F216" s="131"/>
      <c r="G216" s="131"/>
    </row>
    <row r="217" spans="1:7" ht="14.25" customHeight="1" x14ac:dyDescent="0.35">
      <c r="A217" s="132" t="s">
        <v>78</v>
      </c>
      <c r="B217" s="133" t="s">
        <v>52</v>
      </c>
      <c r="C217" s="133">
        <v>24094</v>
      </c>
      <c r="D217" s="133"/>
      <c r="E217" s="133"/>
      <c r="F217" s="133"/>
      <c r="G217" s="133"/>
    </row>
    <row r="218" spans="1:7" ht="14.25" customHeight="1" x14ac:dyDescent="0.35">
      <c r="A218" s="130" t="s">
        <v>160</v>
      </c>
      <c r="B218" s="131" t="s">
        <v>48</v>
      </c>
      <c r="C218" s="131">
        <v>11037</v>
      </c>
      <c r="D218" s="131"/>
      <c r="E218" s="131"/>
      <c r="F218" s="131"/>
      <c r="G218" s="131"/>
    </row>
    <row r="219" spans="1:7" ht="14.25" customHeight="1" x14ac:dyDescent="0.35">
      <c r="A219" s="132" t="s">
        <v>169</v>
      </c>
      <c r="B219" s="133" t="s">
        <v>48</v>
      </c>
      <c r="C219" s="133">
        <v>11038</v>
      </c>
      <c r="D219" s="133"/>
      <c r="E219" s="133"/>
      <c r="F219" s="133"/>
      <c r="G219" s="133"/>
    </row>
    <row r="220" spans="1:7" ht="14.25" customHeight="1" x14ac:dyDescent="0.35">
      <c r="A220" s="130" t="s">
        <v>292</v>
      </c>
      <c r="B220" s="131" t="s">
        <v>52</v>
      </c>
      <c r="C220" s="131">
        <v>24134</v>
      </c>
      <c r="D220" s="131"/>
      <c r="E220" s="131"/>
      <c r="F220" s="131"/>
      <c r="G220" s="131"/>
    </row>
    <row r="221" spans="1:7" ht="14.25" customHeight="1" x14ac:dyDescent="0.35">
      <c r="A221" s="132" t="s">
        <v>311</v>
      </c>
      <c r="B221" s="133" t="s">
        <v>48</v>
      </c>
      <c r="C221" s="133">
        <v>11039</v>
      </c>
      <c r="D221" s="133"/>
      <c r="E221" s="133"/>
      <c r="F221" s="133"/>
      <c r="G221" s="133"/>
    </row>
    <row r="222" spans="1:7" ht="14.25" customHeight="1" x14ac:dyDescent="0.35">
      <c r="A222" s="130" t="s">
        <v>188</v>
      </c>
      <c r="B222" s="131" t="s">
        <v>48</v>
      </c>
      <c r="C222" s="131">
        <v>11040</v>
      </c>
      <c r="D222" s="131"/>
      <c r="E222" s="131"/>
      <c r="F222" s="131"/>
      <c r="G222" s="131"/>
    </row>
    <row r="223" spans="1:7" ht="14.25" customHeight="1" x14ac:dyDescent="0.35">
      <c r="A223" s="132" t="s">
        <v>220</v>
      </c>
      <c r="B223" s="133" t="s">
        <v>52</v>
      </c>
      <c r="C223" s="133">
        <v>23101</v>
      </c>
      <c r="D223" s="133"/>
      <c r="E223" s="133"/>
      <c r="F223" s="133"/>
      <c r="G223" s="133"/>
    </row>
    <row r="224" spans="1:7" ht="14.25" customHeight="1" x14ac:dyDescent="0.35">
      <c r="A224" s="130" t="s">
        <v>226</v>
      </c>
      <c r="B224" s="131" t="s">
        <v>50</v>
      </c>
      <c r="C224" s="131">
        <v>46020</v>
      </c>
      <c r="D224" s="131"/>
      <c r="E224" s="131"/>
      <c r="F224" s="131"/>
      <c r="G224" s="131"/>
    </row>
    <row r="225" spans="1:7" ht="14.25" customHeight="1" x14ac:dyDescent="0.35">
      <c r="A225" s="132" t="s">
        <v>183</v>
      </c>
      <c r="B225" s="133" t="s">
        <v>48</v>
      </c>
      <c r="C225" s="133">
        <v>12035</v>
      </c>
      <c r="D225" s="133"/>
      <c r="E225" s="133"/>
      <c r="F225" s="133"/>
      <c r="G225" s="133"/>
    </row>
    <row r="226" spans="1:7" ht="14.25" customHeight="1" x14ac:dyDescent="0.35">
      <c r="A226" s="130" t="s">
        <v>250</v>
      </c>
      <c r="B226" s="131" t="s">
        <v>50</v>
      </c>
      <c r="C226" s="131">
        <v>43014</v>
      </c>
      <c r="D226" s="131"/>
      <c r="E226" s="131"/>
      <c r="F226" s="131"/>
      <c r="G226" s="131"/>
    </row>
    <row r="227" spans="1:7" ht="14.25" customHeight="1" x14ac:dyDescent="0.35">
      <c r="A227" s="132" t="s">
        <v>202</v>
      </c>
      <c r="B227" s="133" t="s">
        <v>50</v>
      </c>
      <c r="C227" s="133">
        <v>41063</v>
      </c>
      <c r="D227" s="133"/>
      <c r="E227" s="133"/>
      <c r="F227" s="133"/>
      <c r="G227" s="133"/>
    </row>
    <row r="228" spans="1:7" ht="14.25" customHeight="1" x14ac:dyDescent="0.35">
      <c r="A228" s="130" t="s">
        <v>148</v>
      </c>
      <c r="B228" s="131" t="s">
        <v>50</v>
      </c>
      <c r="C228" s="131">
        <v>44064</v>
      </c>
      <c r="D228" s="131"/>
      <c r="E228" s="131"/>
      <c r="F228" s="131"/>
      <c r="G228" s="131"/>
    </row>
    <row r="229" spans="1:7" ht="14.25" customHeight="1" x14ac:dyDescent="0.35">
      <c r="A229" s="132" t="s">
        <v>57</v>
      </c>
      <c r="B229" s="133" t="s">
        <v>50</v>
      </c>
      <c r="C229" s="133">
        <v>46021</v>
      </c>
      <c r="D229" s="133"/>
      <c r="E229" s="133"/>
      <c r="F229" s="133"/>
      <c r="G229" s="133"/>
    </row>
    <row r="230" spans="1:7" ht="14.25" customHeight="1" x14ac:dyDescent="0.35">
      <c r="A230" s="130" t="s">
        <v>132</v>
      </c>
      <c r="B230" s="131" t="s">
        <v>52</v>
      </c>
      <c r="C230" s="131">
        <v>23077</v>
      </c>
      <c r="D230" s="131"/>
      <c r="E230" s="131"/>
      <c r="F230" s="131"/>
      <c r="G230" s="131"/>
    </row>
    <row r="231" spans="1:7" ht="14.25" customHeight="1" x14ac:dyDescent="0.35">
      <c r="A231" s="132" t="s">
        <v>189</v>
      </c>
      <c r="B231" s="133" t="s">
        <v>59</v>
      </c>
      <c r="C231" s="133">
        <v>71053</v>
      </c>
      <c r="D231" s="133"/>
      <c r="E231" s="133"/>
      <c r="F231" s="133"/>
      <c r="G231" s="133"/>
    </row>
    <row r="232" spans="1:7" ht="14.25" customHeight="1" x14ac:dyDescent="0.35">
      <c r="A232" s="130" t="s">
        <v>314</v>
      </c>
      <c r="B232" s="131" t="s">
        <v>55</v>
      </c>
      <c r="C232" s="131">
        <v>34043</v>
      </c>
      <c r="D232" s="131"/>
      <c r="E232" s="131"/>
      <c r="F232" s="131"/>
      <c r="G232" s="131"/>
    </row>
    <row r="233" spans="1:7" ht="14.25" customHeight="1" x14ac:dyDescent="0.35">
      <c r="A233" s="132" t="s">
        <v>336</v>
      </c>
      <c r="B233" s="133" t="s">
        <v>48</v>
      </c>
      <c r="C233" s="133">
        <v>11044</v>
      </c>
      <c r="D233" s="133"/>
      <c r="E233" s="133"/>
      <c r="F233" s="133"/>
      <c r="G233" s="133"/>
    </row>
    <row r="234" spans="1:7" ht="14.25" customHeight="1" x14ac:dyDescent="0.35">
      <c r="A234" s="130" t="s">
        <v>154</v>
      </c>
      <c r="B234" s="131" t="s">
        <v>55</v>
      </c>
      <c r="C234" s="131">
        <v>36019</v>
      </c>
      <c r="D234" s="131"/>
      <c r="E234" s="131"/>
      <c r="F234" s="131"/>
      <c r="G234" s="131"/>
    </row>
    <row r="235" spans="1:7" ht="14.25" customHeight="1" x14ac:dyDescent="0.35">
      <c r="A235" s="132" t="s">
        <v>208</v>
      </c>
      <c r="B235" s="133" t="s">
        <v>52</v>
      </c>
      <c r="C235" s="133">
        <v>23081</v>
      </c>
      <c r="D235" s="133"/>
      <c r="E235" s="133"/>
      <c r="F235" s="133"/>
      <c r="G235" s="133"/>
    </row>
    <row r="236" spans="1:7" ht="14.25" customHeight="1" x14ac:dyDescent="0.35">
      <c r="A236" s="130" t="s">
        <v>285</v>
      </c>
      <c r="B236" s="131" t="s">
        <v>50</v>
      </c>
      <c r="C236" s="131">
        <v>46024</v>
      </c>
      <c r="D236" s="131"/>
      <c r="E236" s="131"/>
      <c r="F236" s="131"/>
      <c r="G236" s="131"/>
    </row>
    <row r="237" spans="1:7" ht="14.25" customHeight="1" x14ac:dyDescent="0.35">
      <c r="A237" s="132" t="s">
        <v>166</v>
      </c>
      <c r="B237" s="133" t="s">
        <v>50</v>
      </c>
      <c r="C237" s="133">
        <v>46025</v>
      </c>
      <c r="D237" s="133"/>
      <c r="E237" s="133"/>
      <c r="F237" s="133"/>
      <c r="G237" s="133"/>
    </row>
    <row r="238" spans="1:7" ht="14.25" customHeight="1" x14ac:dyDescent="0.35">
      <c r="A238" s="130" t="s">
        <v>217</v>
      </c>
      <c r="B238" s="131" t="s">
        <v>52</v>
      </c>
      <c r="C238" s="131">
        <v>23086</v>
      </c>
      <c r="D238" s="131"/>
      <c r="E238" s="131"/>
      <c r="F238" s="131"/>
      <c r="G238" s="131"/>
    </row>
    <row r="239" spans="1:7" ht="14.25" customHeight="1" x14ac:dyDescent="0.35">
      <c r="A239" s="132" t="s">
        <v>87</v>
      </c>
      <c r="B239" s="133" t="s">
        <v>52</v>
      </c>
      <c r="C239" s="133">
        <v>24104</v>
      </c>
      <c r="D239" s="133"/>
      <c r="E239" s="133"/>
      <c r="F239" s="133"/>
      <c r="G239" s="133"/>
    </row>
    <row r="240" spans="1:7" ht="14.25" customHeight="1" x14ac:dyDescent="0.35">
      <c r="A240" s="130" t="s">
        <v>147</v>
      </c>
      <c r="B240" s="131" t="s">
        <v>59</v>
      </c>
      <c r="C240" s="131">
        <v>71057</v>
      </c>
      <c r="D240" s="131"/>
      <c r="E240" s="131"/>
      <c r="F240" s="131"/>
      <c r="G240" s="131"/>
    </row>
    <row r="241" spans="1:7" ht="14.25" customHeight="1" x14ac:dyDescent="0.35">
      <c r="A241" s="132" t="s">
        <v>102</v>
      </c>
      <c r="B241" s="133" t="s">
        <v>55</v>
      </c>
      <c r="C241" s="133">
        <v>37015</v>
      </c>
      <c r="D241" s="133"/>
      <c r="E241" s="133"/>
      <c r="F241" s="133"/>
      <c r="G241" s="133"/>
    </row>
    <row r="242" spans="1:7" ht="14.25" customHeight="1" x14ac:dyDescent="0.35">
      <c r="A242" s="130" t="s">
        <v>302</v>
      </c>
      <c r="B242" s="131" t="s">
        <v>52</v>
      </c>
      <c r="C242" s="131">
        <v>24135</v>
      </c>
      <c r="D242" s="131"/>
      <c r="E242" s="131"/>
      <c r="F242" s="131"/>
      <c r="G242" s="131"/>
    </row>
    <row r="243" spans="1:7" ht="14.25" customHeight="1" x14ac:dyDescent="0.35">
      <c r="A243" s="132" t="s">
        <v>104</v>
      </c>
      <c r="B243" s="133" t="s">
        <v>52</v>
      </c>
      <c r="C243" s="133">
        <v>24107</v>
      </c>
      <c r="D243" s="133"/>
      <c r="E243" s="133"/>
      <c r="F243" s="133"/>
      <c r="G243" s="133"/>
    </row>
    <row r="244" spans="1:7" ht="14.25" customHeight="1" x14ac:dyDescent="0.35">
      <c r="A244" s="130" t="s">
        <v>133</v>
      </c>
      <c r="B244" s="131" t="s">
        <v>59</v>
      </c>
      <c r="C244" s="131">
        <v>73083</v>
      </c>
      <c r="D244" s="131"/>
      <c r="E244" s="131"/>
      <c r="F244" s="131"/>
      <c r="G244" s="131"/>
    </row>
    <row r="245" spans="1:7" ht="14.25" customHeight="1" x14ac:dyDescent="0.35">
      <c r="A245" s="132" t="s">
        <v>93</v>
      </c>
      <c r="B245" s="133" t="s">
        <v>55</v>
      </c>
      <c r="C245" s="133">
        <v>31033</v>
      </c>
      <c r="D245" s="133"/>
      <c r="E245" s="133"/>
      <c r="F245" s="133"/>
      <c r="G245" s="133"/>
    </row>
    <row r="246" spans="1:7" ht="14.25" customHeight="1" x14ac:dyDescent="0.35">
      <c r="A246" s="130" t="s">
        <v>215</v>
      </c>
      <c r="B246" s="131" t="s">
        <v>52</v>
      </c>
      <c r="C246" s="131">
        <v>24109</v>
      </c>
      <c r="D246" s="131"/>
      <c r="E246" s="131"/>
      <c r="F246" s="131"/>
      <c r="G246" s="131"/>
    </row>
    <row r="247" spans="1:7" ht="14.25" customHeight="1" x14ac:dyDescent="0.35">
      <c r="A247" s="132" t="s">
        <v>61</v>
      </c>
      <c r="B247" s="133" t="s">
        <v>48</v>
      </c>
      <c r="C247" s="133">
        <v>13040</v>
      </c>
      <c r="D247" s="133"/>
      <c r="E247" s="133"/>
      <c r="F247" s="133"/>
      <c r="G247" s="133"/>
    </row>
    <row r="248" spans="1:7" ht="14.25" customHeight="1" x14ac:dyDescent="0.35">
      <c r="A248" s="130" t="s">
        <v>175</v>
      </c>
      <c r="B248" s="131" t="s">
        <v>55</v>
      </c>
      <c r="C248" s="131">
        <v>38025</v>
      </c>
      <c r="D248" s="131"/>
      <c r="E248" s="131"/>
      <c r="F248" s="131"/>
      <c r="G248" s="131"/>
    </row>
    <row r="249" spans="1:7" ht="14.25" customHeight="1" x14ac:dyDescent="0.35">
      <c r="A249" s="132" t="s">
        <v>74</v>
      </c>
      <c r="B249" s="133" t="s">
        <v>52</v>
      </c>
      <c r="C249" s="133">
        <v>23088</v>
      </c>
      <c r="D249" s="133"/>
      <c r="E249" s="133"/>
      <c r="F249" s="133"/>
      <c r="G249" s="133"/>
    </row>
    <row r="250" spans="1:7" ht="14.25" customHeight="1" x14ac:dyDescent="0.35">
      <c r="A250" s="130" t="s">
        <v>240</v>
      </c>
      <c r="B250" s="131" t="s">
        <v>55</v>
      </c>
      <c r="C250" s="131">
        <v>33041</v>
      </c>
      <c r="D250" s="131"/>
      <c r="E250" s="131"/>
      <c r="F250" s="131"/>
      <c r="G250" s="131"/>
    </row>
    <row r="251" spans="1:7" ht="14.25" customHeight="1" x14ac:dyDescent="0.35">
      <c r="A251" s="132" t="s">
        <v>318</v>
      </c>
      <c r="B251" s="133" t="s">
        <v>59</v>
      </c>
      <c r="C251" s="133">
        <v>73109</v>
      </c>
      <c r="D251" s="133"/>
      <c r="E251" s="133"/>
      <c r="F251" s="133"/>
      <c r="G251" s="133"/>
    </row>
    <row r="252" spans="1:7" ht="14.25" customHeight="1" x14ac:dyDescent="0.35">
      <c r="A252" s="130" t="s">
        <v>195</v>
      </c>
      <c r="B252" s="131" t="s">
        <v>48</v>
      </c>
      <c r="C252" s="131">
        <v>13044</v>
      </c>
      <c r="D252" s="131"/>
      <c r="E252" s="131"/>
      <c r="F252" s="131"/>
      <c r="G252" s="131"/>
    </row>
    <row r="253" spans="1:7" ht="14.25" customHeight="1" x14ac:dyDescent="0.35">
      <c r="A253" s="132" t="s">
        <v>264</v>
      </c>
      <c r="B253" s="133" t="s">
        <v>48</v>
      </c>
      <c r="C253" s="133">
        <v>13046</v>
      </c>
      <c r="D253" s="133"/>
      <c r="E253" s="133"/>
      <c r="F253" s="133"/>
      <c r="G253" s="133"/>
    </row>
    <row r="254" spans="1:7" ht="14.25" customHeight="1" x14ac:dyDescent="0.35">
      <c r="A254" s="130" t="s">
        <v>262</v>
      </c>
      <c r="B254" s="131" t="s">
        <v>50</v>
      </c>
      <c r="C254" s="131">
        <v>42023</v>
      </c>
      <c r="D254" s="131"/>
      <c r="E254" s="131"/>
      <c r="F254" s="131"/>
      <c r="G254" s="131"/>
    </row>
    <row r="255" spans="1:7" ht="14.25" customHeight="1" x14ac:dyDescent="0.35">
      <c r="A255" s="132" t="s">
        <v>146</v>
      </c>
      <c r="B255" s="133" t="s">
        <v>55</v>
      </c>
      <c r="C255" s="133">
        <v>34040</v>
      </c>
      <c r="D255" s="133"/>
      <c r="E255" s="133"/>
      <c r="F255" s="133"/>
      <c r="G255" s="133"/>
    </row>
    <row r="256" spans="1:7" ht="14.25" customHeight="1" x14ac:dyDescent="0.35">
      <c r="A256" s="130" t="s">
        <v>322</v>
      </c>
      <c r="B256" s="131" t="s">
        <v>59</v>
      </c>
      <c r="C256" s="131">
        <v>73098</v>
      </c>
      <c r="D256" s="131"/>
      <c r="E256" s="131"/>
      <c r="F256" s="131"/>
      <c r="G256" s="131"/>
    </row>
    <row r="257" spans="1:7" ht="14.25" customHeight="1" x14ac:dyDescent="0.35">
      <c r="A257" s="132" t="s">
        <v>162</v>
      </c>
      <c r="B257" s="133" t="s">
        <v>52</v>
      </c>
      <c r="C257" s="133">
        <v>23102</v>
      </c>
      <c r="D257" s="133"/>
      <c r="E257" s="133"/>
      <c r="F257" s="133"/>
      <c r="G257" s="133"/>
    </row>
    <row r="258" spans="1:7" ht="14.25" customHeight="1" x14ac:dyDescent="0.35">
      <c r="A258" s="130" t="s">
        <v>222</v>
      </c>
      <c r="B258" s="131" t="s">
        <v>55</v>
      </c>
      <c r="C258" s="131">
        <v>33029</v>
      </c>
      <c r="D258" s="131"/>
      <c r="E258" s="131"/>
      <c r="F258" s="131"/>
      <c r="G258" s="131"/>
    </row>
    <row r="259" spans="1:7" ht="14.25" customHeight="1" x14ac:dyDescent="0.35">
      <c r="A259" s="132" t="s">
        <v>101</v>
      </c>
      <c r="B259" s="133" t="s">
        <v>48</v>
      </c>
      <c r="C259" s="133">
        <v>13049</v>
      </c>
      <c r="D259" s="133"/>
      <c r="E259" s="133"/>
      <c r="F259" s="133"/>
      <c r="G259" s="133"/>
    </row>
    <row r="260" spans="1:7" ht="14.25" customHeight="1" x14ac:dyDescent="0.35">
      <c r="A260" s="130" t="s">
        <v>89</v>
      </c>
      <c r="B260" s="131" t="s">
        <v>50</v>
      </c>
      <c r="C260" s="131">
        <v>42025</v>
      </c>
      <c r="D260" s="131"/>
      <c r="E260" s="131"/>
      <c r="F260" s="131"/>
      <c r="G260" s="131"/>
    </row>
    <row r="261" spans="1:7" ht="14.25" customHeight="1" x14ac:dyDescent="0.35">
      <c r="A261" s="132" t="s">
        <v>143</v>
      </c>
      <c r="B261" s="133" t="s">
        <v>55</v>
      </c>
      <c r="C261" s="133">
        <v>34041</v>
      </c>
      <c r="D261" s="133"/>
      <c r="E261" s="133"/>
      <c r="F261" s="133"/>
      <c r="G261" s="133"/>
    </row>
    <row r="262" spans="1:7" ht="14.25" customHeight="1" x14ac:dyDescent="0.35">
      <c r="A262" s="130" t="s">
        <v>213</v>
      </c>
      <c r="B262" s="131" t="s">
        <v>52</v>
      </c>
      <c r="C262" s="131">
        <v>23103</v>
      </c>
      <c r="D262" s="131"/>
      <c r="E262" s="131"/>
      <c r="F262" s="131"/>
      <c r="G262" s="131"/>
    </row>
    <row r="263" spans="1:7" ht="14.25" customHeight="1" x14ac:dyDescent="0.35">
      <c r="A263" s="132" t="s">
        <v>205</v>
      </c>
      <c r="B263" s="133" t="s">
        <v>50</v>
      </c>
      <c r="C263" s="133">
        <v>42026</v>
      </c>
      <c r="D263" s="133"/>
      <c r="E263" s="133"/>
      <c r="F263" s="133"/>
      <c r="G263" s="133"/>
    </row>
    <row r="264" spans="1:7" ht="14.25" customHeight="1" x14ac:dyDescent="0.35">
      <c r="A264" s="130" t="s">
        <v>201</v>
      </c>
      <c r="B264" s="131" t="s">
        <v>55</v>
      </c>
      <c r="C264" s="131">
        <v>37017</v>
      </c>
      <c r="D264" s="131"/>
      <c r="E264" s="131"/>
      <c r="F264" s="131"/>
      <c r="G264" s="131"/>
    </row>
    <row r="265" spans="1:7" ht="14.25" customHeight="1" x14ac:dyDescent="0.35">
      <c r="A265" s="132" t="s">
        <v>151</v>
      </c>
      <c r="B265" s="133" t="s">
        <v>48</v>
      </c>
      <c r="C265" s="133">
        <v>11050</v>
      </c>
      <c r="D265" s="133"/>
      <c r="E265" s="133"/>
      <c r="F265" s="133"/>
      <c r="G265" s="133"/>
    </row>
    <row r="266" spans="1:7" ht="14.25" customHeight="1" x14ac:dyDescent="0.35">
      <c r="A266" s="130" t="s">
        <v>142</v>
      </c>
      <c r="B266" s="131" t="s">
        <v>48</v>
      </c>
      <c r="C266" s="131">
        <v>12040</v>
      </c>
      <c r="D266" s="131">
        <v>2</v>
      </c>
      <c r="E266" s="131">
        <v>2</v>
      </c>
      <c r="F266" s="131">
        <v>5</v>
      </c>
      <c r="G266" s="131">
        <v>5</v>
      </c>
    </row>
    <row r="267" spans="1:7" ht="14.25" customHeight="1" x14ac:dyDescent="0.35">
      <c r="A267" s="132" t="s">
        <v>115</v>
      </c>
      <c r="B267" s="133" t="s">
        <v>55</v>
      </c>
      <c r="C267" s="133">
        <v>37018</v>
      </c>
      <c r="D267" s="133"/>
      <c r="E267" s="133"/>
      <c r="F267" s="133"/>
      <c r="G267" s="133"/>
    </row>
    <row r="268" spans="1:7" ht="14.25" customHeight="1" x14ac:dyDescent="0.35">
      <c r="A268" s="130" t="s">
        <v>210</v>
      </c>
      <c r="B268" s="131" t="s">
        <v>48</v>
      </c>
      <c r="C268" s="131">
        <v>11052</v>
      </c>
      <c r="D268" s="131"/>
      <c r="E268" s="131"/>
      <c r="F268" s="131"/>
      <c r="G268" s="131"/>
    </row>
    <row r="269" spans="1:7" ht="14.25" customHeight="1" x14ac:dyDescent="0.35">
      <c r="A269" s="132" t="s">
        <v>246</v>
      </c>
      <c r="B269" s="133" t="s">
        <v>50</v>
      </c>
      <c r="C269" s="133">
        <v>45061</v>
      </c>
      <c r="D269" s="133"/>
      <c r="E269" s="133"/>
      <c r="F269" s="133"/>
      <c r="G269" s="133"/>
    </row>
    <row r="270" spans="1:7" ht="14.25" customHeight="1" x14ac:dyDescent="0.35">
      <c r="A270" s="130" t="s">
        <v>290</v>
      </c>
      <c r="B270" s="131" t="s">
        <v>48</v>
      </c>
      <c r="C270" s="131">
        <v>11053</v>
      </c>
      <c r="D270" s="131"/>
      <c r="E270" s="131"/>
      <c r="F270" s="131"/>
      <c r="G270" s="131"/>
    </row>
    <row r="271" spans="1:7" ht="14.25" customHeight="1" x14ac:dyDescent="0.35">
      <c r="A271" s="132" t="s">
        <v>305</v>
      </c>
      <c r="B271" s="133" t="s">
        <v>48</v>
      </c>
      <c r="C271" s="133">
        <v>11054</v>
      </c>
      <c r="D271" s="133"/>
      <c r="E271" s="133"/>
      <c r="F271" s="133"/>
      <c r="G271" s="133"/>
    </row>
    <row r="272" spans="1:7" ht="14.25" customHeight="1" x14ac:dyDescent="0.35">
      <c r="A272" s="130" t="s">
        <v>105</v>
      </c>
      <c r="B272" s="131" t="s">
        <v>52</v>
      </c>
      <c r="C272" s="131">
        <v>23094</v>
      </c>
      <c r="D272" s="131"/>
      <c r="E272" s="131"/>
      <c r="F272" s="131"/>
      <c r="G272" s="131"/>
    </row>
    <row r="273" spans="1:7" ht="14.25" customHeight="1" x14ac:dyDescent="0.35">
      <c r="A273" s="132" t="s">
        <v>164</v>
      </c>
      <c r="B273" s="133" t="s">
        <v>55</v>
      </c>
      <c r="C273" s="133">
        <v>31040</v>
      </c>
      <c r="D273" s="133"/>
      <c r="E273" s="133"/>
      <c r="F273" s="133"/>
      <c r="G273" s="133"/>
    </row>
    <row r="274" spans="1:7" ht="14.25" customHeight="1" x14ac:dyDescent="0.35">
      <c r="A274" s="130" t="s">
        <v>228</v>
      </c>
      <c r="B274" s="131" t="s">
        <v>50</v>
      </c>
      <c r="C274" s="131">
        <v>42028</v>
      </c>
      <c r="D274" s="131"/>
      <c r="E274" s="131"/>
      <c r="F274" s="131"/>
      <c r="G274" s="131"/>
    </row>
    <row r="275" spans="1:7" ht="14.25" customHeight="1" x14ac:dyDescent="0.35">
      <c r="A275" s="132" t="s">
        <v>269</v>
      </c>
      <c r="B275" s="133" t="s">
        <v>50</v>
      </c>
      <c r="C275" s="133">
        <v>43018</v>
      </c>
      <c r="D275" s="133"/>
      <c r="E275" s="133"/>
      <c r="F275" s="133"/>
      <c r="G275" s="133"/>
    </row>
    <row r="276" spans="1:7" ht="14.25" customHeight="1" x14ac:dyDescent="0.35">
      <c r="A276" s="130" t="s">
        <v>119</v>
      </c>
      <c r="B276" s="131" t="s">
        <v>52</v>
      </c>
      <c r="C276" s="131">
        <v>23096</v>
      </c>
      <c r="D276" s="131">
        <v>2</v>
      </c>
      <c r="E276" s="131">
        <v>2</v>
      </c>
      <c r="F276" s="131">
        <v>2</v>
      </c>
      <c r="G276" s="131">
        <v>2</v>
      </c>
    </row>
    <row r="277" spans="1:7" ht="14.25" customHeight="1" x14ac:dyDescent="0.35">
      <c r="A277" s="132" t="s">
        <v>291</v>
      </c>
      <c r="B277" s="133" t="s">
        <v>48</v>
      </c>
      <c r="C277" s="133">
        <v>11055</v>
      </c>
      <c r="D277" s="133"/>
      <c r="E277" s="133"/>
      <c r="F277" s="133"/>
      <c r="G277" s="133"/>
    </row>
    <row r="278" spans="1:7" ht="14.25" customHeight="1" x14ac:dyDescent="0.35">
      <c r="A278" s="130" t="s">
        <v>289</v>
      </c>
      <c r="B278" s="131" t="s">
        <v>59</v>
      </c>
      <c r="C278" s="131">
        <v>71066</v>
      </c>
      <c r="D278" s="131"/>
      <c r="E278" s="131"/>
      <c r="F278" s="131"/>
      <c r="G278" s="131"/>
    </row>
    <row r="279" spans="1:7" ht="14.25" customHeight="1" x14ac:dyDescent="0.35">
      <c r="A279" s="132" t="s">
        <v>137</v>
      </c>
      <c r="B279" s="133" t="s">
        <v>55</v>
      </c>
      <c r="C279" s="133">
        <v>33037</v>
      </c>
      <c r="D279" s="133"/>
      <c r="E279" s="133"/>
      <c r="F279" s="133"/>
      <c r="G279" s="133"/>
    </row>
    <row r="280" spans="1:7" ht="14.25" customHeight="1" x14ac:dyDescent="0.35">
      <c r="A280" s="130" t="s">
        <v>120</v>
      </c>
      <c r="B280" s="131" t="s">
        <v>50</v>
      </c>
      <c r="C280" s="131">
        <v>41081</v>
      </c>
      <c r="D280" s="131"/>
      <c r="E280" s="131"/>
      <c r="F280" s="131"/>
      <c r="G280" s="131"/>
    </row>
    <row r="281" spans="1:7" ht="14.25" customHeight="1" x14ac:dyDescent="0.35">
      <c r="A281" s="132" t="s">
        <v>255</v>
      </c>
      <c r="B281" s="133" t="s">
        <v>52</v>
      </c>
      <c r="C281" s="133">
        <v>24130</v>
      </c>
      <c r="D281" s="133"/>
      <c r="E281" s="133"/>
      <c r="F281" s="133"/>
      <c r="G281" s="133"/>
    </row>
    <row r="282" spans="1:7" ht="14.25" customHeight="1" x14ac:dyDescent="0.35">
      <c r="A282" s="130" t="s">
        <v>316</v>
      </c>
      <c r="B282" s="131" t="s">
        <v>55</v>
      </c>
      <c r="C282" s="131">
        <v>31042</v>
      </c>
      <c r="D282" s="131"/>
      <c r="E282" s="131"/>
      <c r="F282" s="131"/>
      <c r="G282" s="131"/>
    </row>
    <row r="283" spans="1:7" ht="14.25" customHeight="1" x14ac:dyDescent="0.35">
      <c r="A283" s="132" t="s">
        <v>111</v>
      </c>
      <c r="B283" s="133" t="s">
        <v>50</v>
      </c>
      <c r="C283" s="133">
        <v>44081</v>
      </c>
      <c r="D283" s="133"/>
      <c r="E283" s="133"/>
      <c r="F283" s="133"/>
      <c r="G283" s="133"/>
    </row>
    <row r="284" spans="1:7" ht="14.25" customHeight="1" x14ac:dyDescent="0.35">
      <c r="A284" s="130" t="s">
        <v>321</v>
      </c>
      <c r="B284" s="131" t="s">
        <v>59</v>
      </c>
      <c r="C284" s="131">
        <v>71067</v>
      </c>
      <c r="D284" s="131"/>
      <c r="E284" s="131"/>
      <c r="F284" s="131"/>
      <c r="G284" s="131"/>
    </row>
    <row r="285" spans="1:7" ht="14.25" customHeight="1" x14ac:dyDescent="0.35">
      <c r="A285" s="132" t="s">
        <v>149</v>
      </c>
      <c r="B285" s="133" t="s">
        <v>50</v>
      </c>
      <c r="C285" s="133">
        <v>45065</v>
      </c>
      <c r="D285" s="133"/>
      <c r="E285" s="133"/>
      <c r="F285" s="133"/>
      <c r="G285" s="133"/>
    </row>
    <row r="286" spans="1:7" ht="14.25" customHeight="1" x14ac:dyDescent="0.35">
      <c r="A286" s="130" t="s">
        <v>186</v>
      </c>
      <c r="B286" s="131" t="s">
        <v>55</v>
      </c>
      <c r="C286" s="131">
        <v>34042</v>
      </c>
      <c r="D286" s="131"/>
      <c r="E286" s="131"/>
      <c r="F286" s="131"/>
      <c r="G286" s="131"/>
    </row>
    <row r="287" spans="1:7" ht="14.25" customHeight="1" x14ac:dyDescent="0.35">
      <c r="A287" s="132"/>
      <c r="B287" s="133"/>
      <c r="C287" s="133"/>
      <c r="D287" s="133">
        <f t="shared" ref="D287:G287" si="0">SUM(D2:D286)</f>
        <v>23</v>
      </c>
      <c r="E287" s="133">
        <f t="shared" si="0"/>
        <v>23</v>
      </c>
      <c r="F287" s="133">
        <f t="shared" si="0"/>
        <v>35</v>
      </c>
      <c r="G287" s="133">
        <f t="shared" si="0"/>
        <v>35</v>
      </c>
    </row>
    <row r="288" spans="1:7"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G287" xr:uid="{00000000-0009-0000-0000-00000C000000}"/>
  <dataValidations count="2">
    <dataValidation type="custom" allowBlank="1" showDropDown="1" sqref="C2:C286" xr:uid="{00000000-0002-0000-0C00-000000000000}">
      <formula1>AND(ISNUMBER(C2),(NOT(OR(NOT(ISERROR(DATEVALUE(C2))), AND(ISNUMBER(C2), LEFT(CELL("format", C2))="D")))))</formula1>
    </dataValidation>
    <dataValidation type="list" allowBlank="1" showDropDown="1" showErrorMessage="1" sqref="B2:B286" xr:uid="{00000000-0002-0000-0C00-000001000000}">
      <formula1>"Oost-Vlaanderen,Vlaams-Brabant,Antwerpen,Limburg,West-Vlaanderen"</formula1>
    </dataValidation>
  </dataValidation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21.81640625" customWidth="1"/>
    <col min="2" max="2" width="15.81640625" customWidth="1"/>
    <col min="3" max="3" width="10.08984375" customWidth="1"/>
    <col min="4" max="9" width="8.7265625" customWidth="1"/>
  </cols>
  <sheetData>
    <row r="1" spans="1:9" ht="48" customHeight="1" x14ac:dyDescent="0.35">
      <c r="A1" s="128" t="s">
        <v>0</v>
      </c>
      <c r="B1" s="129" t="s">
        <v>1</v>
      </c>
      <c r="C1" s="128" t="s">
        <v>2</v>
      </c>
      <c r="D1" s="128" t="s">
        <v>35</v>
      </c>
      <c r="E1" s="128" t="s">
        <v>36</v>
      </c>
      <c r="F1" s="128" t="s">
        <v>41</v>
      </c>
      <c r="G1" s="128" t="s">
        <v>42</v>
      </c>
      <c r="H1" s="20"/>
      <c r="I1" s="20"/>
    </row>
    <row r="2" spans="1:9" ht="14.25" customHeight="1" x14ac:dyDescent="0.35">
      <c r="A2" s="130" t="s">
        <v>65</v>
      </c>
      <c r="B2" s="131" t="s">
        <v>50</v>
      </c>
      <c r="C2" s="131">
        <v>41002</v>
      </c>
      <c r="D2" s="131">
        <v>6</v>
      </c>
      <c r="E2" s="131">
        <v>6</v>
      </c>
      <c r="F2" s="131">
        <v>8</v>
      </c>
      <c r="G2" s="131">
        <v>8</v>
      </c>
      <c r="H2" s="20"/>
      <c r="I2" s="20"/>
    </row>
    <row r="3" spans="1:9" ht="14.25" customHeight="1" x14ac:dyDescent="0.35">
      <c r="A3" s="132" t="s">
        <v>231</v>
      </c>
      <c r="B3" s="133" t="s">
        <v>50</v>
      </c>
      <c r="C3" s="133">
        <v>44084</v>
      </c>
      <c r="D3" s="133"/>
      <c r="E3" s="133"/>
      <c r="F3" s="133"/>
      <c r="G3" s="133"/>
      <c r="H3" s="20"/>
      <c r="I3" s="20"/>
    </row>
    <row r="4" spans="1:9" ht="14.25" customHeight="1" x14ac:dyDescent="0.35">
      <c r="A4" s="130" t="s">
        <v>84</v>
      </c>
      <c r="B4" s="131" t="s">
        <v>52</v>
      </c>
      <c r="C4" s="131">
        <v>24001</v>
      </c>
      <c r="D4" s="131">
        <v>1</v>
      </c>
      <c r="E4" s="131">
        <v>1</v>
      </c>
      <c r="F4" s="131">
        <v>2</v>
      </c>
      <c r="G4" s="131">
        <v>2</v>
      </c>
      <c r="H4" s="20"/>
      <c r="I4" s="20"/>
    </row>
    <row r="5" spans="1:9" ht="14.25" customHeight="1" x14ac:dyDescent="0.35">
      <c r="A5" s="132" t="s">
        <v>335</v>
      </c>
      <c r="B5" s="133" t="s">
        <v>48</v>
      </c>
      <c r="C5" s="133">
        <v>11001</v>
      </c>
      <c r="D5" s="133"/>
      <c r="E5" s="133"/>
      <c r="F5" s="133"/>
      <c r="G5" s="133"/>
      <c r="H5" s="20"/>
      <c r="I5" s="20"/>
    </row>
    <row r="6" spans="1:9" ht="14.25" customHeight="1" x14ac:dyDescent="0.35">
      <c r="A6" s="130" t="s">
        <v>306</v>
      </c>
      <c r="B6" s="131" t="s">
        <v>52</v>
      </c>
      <c r="C6" s="131">
        <v>23105</v>
      </c>
      <c r="D6" s="131"/>
      <c r="E6" s="131"/>
      <c r="F6" s="131"/>
      <c r="G6" s="131"/>
      <c r="H6" s="20"/>
      <c r="I6" s="20"/>
    </row>
    <row r="7" spans="1:9" ht="14.25" customHeight="1" x14ac:dyDescent="0.35">
      <c r="A7" s="132" t="s">
        <v>279</v>
      </c>
      <c r="B7" s="133" t="s">
        <v>59</v>
      </c>
      <c r="C7" s="133">
        <v>73001</v>
      </c>
      <c r="D7" s="133"/>
      <c r="E7" s="133"/>
      <c r="F7" s="133"/>
      <c r="G7" s="133"/>
      <c r="H7" s="20"/>
      <c r="I7" s="20"/>
    </row>
    <row r="8" spans="1:9" ht="14.25" customHeight="1" x14ac:dyDescent="0.35">
      <c r="A8" s="130" t="s">
        <v>242</v>
      </c>
      <c r="B8" s="131" t="s">
        <v>55</v>
      </c>
      <c r="C8" s="131">
        <v>38002</v>
      </c>
      <c r="D8" s="131"/>
      <c r="E8" s="131"/>
      <c r="F8" s="131"/>
      <c r="G8" s="131"/>
      <c r="H8" s="20"/>
      <c r="I8" s="20"/>
    </row>
    <row r="9" spans="1:9" ht="14.25" customHeight="1" x14ac:dyDescent="0.35">
      <c r="A9" s="132" t="s">
        <v>48</v>
      </c>
      <c r="B9" s="133" t="s">
        <v>48</v>
      </c>
      <c r="C9" s="133">
        <v>11002</v>
      </c>
      <c r="D9" s="133"/>
      <c r="E9" s="133"/>
      <c r="F9" s="133"/>
      <c r="G9" s="133"/>
      <c r="H9" s="20"/>
      <c r="I9" s="20"/>
    </row>
    <row r="10" spans="1:9" ht="14.25" customHeight="1" x14ac:dyDescent="0.35">
      <c r="A10" s="130" t="s">
        <v>276</v>
      </c>
      <c r="B10" s="131" t="s">
        <v>55</v>
      </c>
      <c r="C10" s="131">
        <v>34002</v>
      </c>
      <c r="D10" s="131">
        <v>2</v>
      </c>
      <c r="E10" s="131">
        <v>2</v>
      </c>
      <c r="F10" s="131">
        <v>2</v>
      </c>
      <c r="G10" s="131">
        <v>2</v>
      </c>
      <c r="H10" s="20"/>
      <c r="I10" s="20"/>
    </row>
    <row r="11" spans="1:9" ht="14.25" customHeight="1" x14ac:dyDescent="0.35">
      <c r="A11" s="132" t="s">
        <v>199</v>
      </c>
      <c r="B11" s="133" t="s">
        <v>55</v>
      </c>
      <c r="C11" s="133">
        <v>37020</v>
      </c>
      <c r="D11" s="133"/>
      <c r="E11" s="133"/>
      <c r="F11" s="133"/>
      <c r="G11" s="133"/>
      <c r="H11" s="20"/>
      <c r="I11" s="20"/>
    </row>
    <row r="12" spans="1:9" ht="14.25" customHeight="1" x14ac:dyDescent="0.35">
      <c r="A12" s="130" t="s">
        <v>304</v>
      </c>
      <c r="B12" s="131" t="s">
        <v>48</v>
      </c>
      <c r="C12" s="131">
        <v>13001</v>
      </c>
      <c r="D12" s="131"/>
      <c r="E12" s="131"/>
      <c r="F12" s="131"/>
      <c r="G12" s="131"/>
      <c r="H12" s="20"/>
      <c r="I12" s="20"/>
    </row>
    <row r="13" spans="1:9" ht="14.25" customHeight="1" x14ac:dyDescent="0.35">
      <c r="A13" s="132" t="s">
        <v>307</v>
      </c>
      <c r="B13" s="133" t="s">
        <v>59</v>
      </c>
      <c r="C13" s="133">
        <v>71002</v>
      </c>
      <c r="D13" s="133">
        <v>1</v>
      </c>
      <c r="E13" s="133">
        <v>1</v>
      </c>
      <c r="F13" s="133">
        <v>1</v>
      </c>
      <c r="G13" s="133">
        <v>1</v>
      </c>
      <c r="H13" s="20"/>
      <c r="I13" s="20"/>
    </row>
    <row r="14" spans="1:9" ht="14.25" customHeight="1" x14ac:dyDescent="0.35">
      <c r="A14" s="130" t="s">
        <v>131</v>
      </c>
      <c r="B14" s="131" t="s">
        <v>52</v>
      </c>
      <c r="C14" s="131">
        <v>23002</v>
      </c>
      <c r="D14" s="131"/>
      <c r="E14" s="131"/>
      <c r="F14" s="131"/>
      <c r="G14" s="131"/>
      <c r="H14" s="20"/>
      <c r="I14" s="20"/>
    </row>
    <row r="15" spans="1:9" ht="14.25" customHeight="1" x14ac:dyDescent="0.35">
      <c r="A15" s="132" t="s">
        <v>177</v>
      </c>
      <c r="B15" s="133" t="s">
        <v>50</v>
      </c>
      <c r="C15" s="133">
        <v>43002</v>
      </c>
      <c r="D15" s="133">
        <v>1</v>
      </c>
      <c r="E15" s="133">
        <v>1</v>
      </c>
      <c r="F15" s="133">
        <v>1</v>
      </c>
      <c r="G15" s="133">
        <v>1</v>
      </c>
      <c r="H15" s="20"/>
      <c r="I15" s="20"/>
    </row>
    <row r="16" spans="1:9" ht="14.25" customHeight="1" x14ac:dyDescent="0.35">
      <c r="A16" s="130" t="s">
        <v>260</v>
      </c>
      <c r="B16" s="131" t="s">
        <v>55</v>
      </c>
      <c r="C16" s="131">
        <v>34003</v>
      </c>
      <c r="D16" s="131">
        <v>1</v>
      </c>
      <c r="E16" s="131">
        <v>1</v>
      </c>
      <c r="F16" s="131">
        <v>2</v>
      </c>
      <c r="G16" s="131">
        <v>2</v>
      </c>
      <c r="H16" s="20"/>
      <c r="I16" s="20"/>
    </row>
    <row r="17" spans="1:9" ht="14.25" customHeight="1" x14ac:dyDescent="0.35">
      <c r="A17" s="132" t="s">
        <v>317</v>
      </c>
      <c r="B17" s="133" t="s">
        <v>48</v>
      </c>
      <c r="C17" s="133">
        <v>13002</v>
      </c>
      <c r="D17" s="133"/>
      <c r="E17" s="133"/>
      <c r="F17" s="133"/>
      <c r="G17" s="133"/>
      <c r="H17" s="20"/>
      <c r="I17" s="20"/>
    </row>
    <row r="18" spans="1:9" ht="14.25" customHeight="1" x14ac:dyDescent="0.35">
      <c r="A18" s="130" t="s">
        <v>125</v>
      </c>
      <c r="B18" s="131" t="s">
        <v>48</v>
      </c>
      <c r="C18" s="131">
        <v>13003</v>
      </c>
      <c r="D18" s="131"/>
      <c r="E18" s="131"/>
      <c r="F18" s="131"/>
      <c r="G18" s="131"/>
      <c r="H18" s="20"/>
      <c r="I18" s="20"/>
    </row>
    <row r="19" spans="1:9" ht="14.25" customHeight="1" x14ac:dyDescent="0.35">
      <c r="A19" s="132" t="s">
        <v>112</v>
      </c>
      <c r="B19" s="133" t="s">
        <v>55</v>
      </c>
      <c r="C19" s="133">
        <v>31003</v>
      </c>
      <c r="D19" s="133"/>
      <c r="E19" s="133"/>
      <c r="F19" s="133"/>
      <c r="G19" s="133"/>
      <c r="H19" s="20"/>
      <c r="I19" s="20"/>
    </row>
    <row r="20" spans="1:9" ht="14.25" customHeight="1" x14ac:dyDescent="0.35">
      <c r="A20" s="130" t="s">
        <v>221</v>
      </c>
      <c r="B20" s="131" t="s">
        <v>48</v>
      </c>
      <c r="C20" s="131">
        <v>13004</v>
      </c>
      <c r="D20" s="131">
        <v>2</v>
      </c>
      <c r="E20" s="131">
        <v>2</v>
      </c>
      <c r="F20" s="131">
        <v>2</v>
      </c>
      <c r="G20" s="131">
        <v>2</v>
      </c>
      <c r="H20" s="20"/>
      <c r="I20" s="20"/>
    </row>
    <row r="21" spans="1:9" ht="14.25" customHeight="1" x14ac:dyDescent="0.35">
      <c r="A21" s="132" t="s">
        <v>128</v>
      </c>
      <c r="B21" s="133" t="s">
        <v>52</v>
      </c>
      <c r="C21" s="133">
        <v>23003</v>
      </c>
      <c r="D21" s="133"/>
      <c r="E21" s="133"/>
      <c r="F21" s="133"/>
      <c r="G21" s="133"/>
      <c r="H21" s="20"/>
      <c r="I21" s="20"/>
    </row>
    <row r="22" spans="1:9" ht="14.25" customHeight="1" x14ac:dyDescent="0.35">
      <c r="A22" s="130" t="s">
        <v>327</v>
      </c>
      <c r="B22" s="131" t="s">
        <v>52</v>
      </c>
      <c r="C22" s="131">
        <v>24007</v>
      </c>
      <c r="D22" s="131"/>
      <c r="E22" s="131"/>
      <c r="F22" s="131"/>
      <c r="G22" s="131"/>
      <c r="H22" s="20"/>
      <c r="I22" s="20"/>
    </row>
    <row r="23" spans="1:9" ht="14.25" customHeight="1" x14ac:dyDescent="0.35">
      <c r="A23" s="132" t="s">
        <v>249</v>
      </c>
      <c r="B23" s="133" t="s">
        <v>52</v>
      </c>
      <c r="C23" s="133">
        <v>24008</v>
      </c>
      <c r="D23" s="133"/>
      <c r="E23" s="133"/>
      <c r="F23" s="133"/>
      <c r="G23" s="133"/>
      <c r="H23" s="20"/>
      <c r="I23" s="20"/>
    </row>
    <row r="24" spans="1:9" ht="14.25" customHeight="1" x14ac:dyDescent="0.35">
      <c r="A24" s="130" t="s">
        <v>235</v>
      </c>
      <c r="B24" s="131" t="s">
        <v>59</v>
      </c>
      <c r="C24" s="131">
        <v>71004</v>
      </c>
      <c r="D24" s="131">
        <v>2</v>
      </c>
      <c r="E24" s="131">
        <v>2</v>
      </c>
      <c r="F24" s="131">
        <v>3</v>
      </c>
      <c r="G24" s="131">
        <v>3</v>
      </c>
      <c r="H24" s="20"/>
      <c r="I24" s="20"/>
    </row>
    <row r="25" spans="1:9" ht="14.25" customHeight="1" x14ac:dyDescent="0.35">
      <c r="A25" s="132" t="s">
        <v>136</v>
      </c>
      <c r="B25" s="133" t="s">
        <v>48</v>
      </c>
      <c r="C25" s="133">
        <v>12002</v>
      </c>
      <c r="D25" s="133">
        <v>2</v>
      </c>
      <c r="E25" s="133">
        <v>2</v>
      </c>
      <c r="F25" s="133">
        <v>2</v>
      </c>
      <c r="G25" s="133">
        <v>2</v>
      </c>
      <c r="H25" s="20"/>
      <c r="I25" s="20"/>
    </row>
    <row r="26" spans="1:9" ht="14.25" customHeight="1" x14ac:dyDescent="0.35">
      <c r="A26" s="130" t="s">
        <v>216</v>
      </c>
      <c r="B26" s="131" t="s">
        <v>50</v>
      </c>
      <c r="C26" s="131">
        <v>42003</v>
      </c>
      <c r="D26" s="131">
        <v>2</v>
      </c>
      <c r="E26" s="131">
        <v>2</v>
      </c>
      <c r="F26" s="131">
        <v>2</v>
      </c>
      <c r="G26" s="131">
        <v>2</v>
      </c>
      <c r="H26" s="20"/>
      <c r="I26" s="20"/>
    </row>
    <row r="27" spans="1:9" ht="14.25" customHeight="1" x14ac:dyDescent="0.35">
      <c r="A27" s="132" t="s">
        <v>259</v>
      </c>
      <c r="B27" s="133" t="s">
        <v>52</v>
      </c>
      <c r="C27" s="133">
        <v>24009</v>
      </c>
      <c r="D27" s="133"/>
      <c r="E27" s="133"/>
      <c r="F27" s="133"/>
      <c r="G27" s="133"/>
      <c r="H27" s="20"/>
      <c r="I27" s="20"/>
    </row>
    <row r="28" spans="1:9" ht="14.25" customHeight="1" x14ac:dyDescent="0.35">
      <c r="A28" s="130" t="s">
        <v>315</v>
      </c>
      <c r="B28" s="131" t="s">
        <v>52</v>
      </c>
      <c r="C28" s="131">
        <v>23009</v>
      </c>
      <c r="D28" s="131"/>
      <c r="E28" s="131"/>
      <c r="F28" s="131"/>
      <c r="G28" s="131"/>
      <c r="H28" s="20"/>
      <c r="I28" s="20"/>
    </row>
    <row r="29" spans="1:9" ht="14.25" customHeight="1" x14ac:dyDescent="0.35">
      <c r="A29" s="132" t="s">
        <v>67</v>
      </c>
      <c r="B29" s="133" t="s">
        <v>50</v>
      </c>
      <c r="C29" s="133">
        <v>46003</v>
      </c>
      <c r="D29" s="133">
        <v>12</v>
      </c>
      <c r="E29" s="133">
        <v>12</v>
      </c>
      <c r="F29" s="133">
        <v>12</v>
      </c>
      <c r="G29" s="133">
        <v>12</v>
      </c>
      <c r="H29" s="20"/>
      <c r="I29" s="20"/>
    </row>
    <row r="30" spans="1:9" ht="14.25" customHeight="1" x14ac:dyDescent="0.35">
      <c r="A30" s="130" t="s">
        <v>109</v>
      </c>
      <c r="B30" s="131" t="s">
        <v>52</v>
      </c>
      <c r="C30" s="131">
        <v>24011</v>
      </c>
      <c r="D30" s="131"/>
      <c r="E30" s="131"/>
      <c r="F30" s="131"/>
      <c r="G30" s="131"/>
      <c r="H30" s="20"/>
      <c r="I30" s="20"/>
    </row>
    <row r="31" spans="1:9" ht="14.25" customHeight="1" x14ac:dyDescent="0.35">
      <c r="A31" s="132" t="s">
        <v>237</v>
      </c>
      <c r="B31" s="133" t="s">
        <v>59</v>
      </c>
      <c r="C31" s="133">
        <v>73006</v>
      </c>
      <c r="D31" s="133"/>
      <c r="E31" s="133"/>
      <c r="F31" s="133"/>
      <c r="G31" s="133"/>
      <c r="H31" s="20"/>
      <c r="I31" s="20"/>
    </row>
    <row r="32" spans="1:9" ht="14.25" customHeight="1" x14ac:dyDescent="0.35">
      <c r="A32" s="130" t="s">
        <v>99</v>
      </c>
      <c r="B32" s="131" t="s">
        <v>55</v>
      </c>
      <c r="C32" s="131">
        <v>31004</v>
      </c>
      <c r="D32" s="131"/>
      <c r="E32" s="131"/>
      <c r="F32" s="131"/>
      <c r="G32" s="131"/>
      <c r="H32" s="20"/>
      <c r="I32" s="20"/>
    </row>
    <row r="33" spans="1:9" ht="14.25" customHeight="1" x14ac:dyDescent="0.35">
      <c r="A33" s="132" t="s">
        <v>329</v>
      </c>
      <c r="B33" s="133" t="s">
        <v>59</v>
      </c>
      <c r="C33" s="133">
        <v>72003</v>
      </c>
      <c r="D33" s="133"/>
      <c r="E33" s="133"/>
      <c r="F33" s="133"/>
      <c r="G33" s="133"/>
      <c r="H33" s="20"/>
      <c r="I33" s="20"/>
    </row>
    <row r="34" spans="1:9" ht="14.25" customHeight="1" x14ac:dyDescent="0.35">
      <c r="A34" s="130" t="s">
        <v>271</v>
      </c>
      <c r="B34" s="131" t="s">
        <v>48</v>
      </c>
      <c r="C34" s="131">
        <v>11004</v>
      </c>
      <c r="D34" s="131"/>
      <c r="E34" s="131"/>
      <c r="F34" s="131"/>
      <c r="G34" s="131"/>
      <c r="H34" s="20"/>
      <c r="I34" s="20"/>
    </row>
    <row r="35" spans="1:9" ht="14.25" customHeight="1" x14ac:dyDescent="0.35">
      <c r="A35" s="132" t="s">
        <v>97</v>
      </c>
      <c r="B35" s="133" t="s">
        <v>48</v>
      </c>
      <c r="C35" s="133">
        <v>12005</v>
      </c>
      <c r="D35" s="133"/>
      <c r="E35" s="133"/>
      <c r="F35" s="133"/>
      <c r="G35" s="133"/>
      <c r="H35" s="20"/>
      <c r="I35" s="20"/>
    </row>
    <row r="36" spans="1:9" ht="14.25" customHeight="1" x14ac:dyDescent="0.35">
      <c r="A36" s="130" t="s">
        <v>224</v>
      </c>
      <c r="B36" s="131" t="s">
        <v>48</v>
      </c>
      <c r="C36" s="131">
        <v>11005</v>
      </c>
      <c r="D36" s="131"/>
      <c r="E36" s="131"/>
      <c r="F36" s="131"/>
      <c r="G36" s="131"/>
      <c r="H36" s="20"/>
      <c r="I36" s="20"/>
    </row>
    <row r="37" spans="1:9" ht="14.25" customHeight="1" x14ac:dyDescent="0.35">
      <c r="A37" s="132" t="s">
        <v>157</v>
      </c>
      <c r="B37" s="133" t="s">
        <v>52</v>
      </c>
      <c r="C37" s="133">
        <v>24014</v>
      </c>
      <c r="D37" s="133"/>
      <c r="E37" s="133"/>
      <c r="F37" s="133"/>
      <c r="G37" s="133"/>
      <c r="H37" s="20"/>
      <c r="I37" s="20"/>
    </row>
    <row r="38" spans="1:9" ht="14.25" customHeight="1" x14ac:dyDescent="0.35">
      <c r="A38" s="130" t="s">
        <v>184</v>
      </c>
      <c r="B38" s="131" t="s">
        <v>48</v>
      </c>
      <c r="C38" s="131">
        <v>12007</v>
      </c>
      <c r="D38" s="131">
        <v>3</v>
      </c>
      <c r="E38" s="131">
        <v>3</v>
      </c>
      <c r="F38" s="131">
        <v>2</v>
      </c>
      <c r="G38" s="131">
        <v>2</v>
      </c>
      <c r="H38" s="20"/>
      <c r="I38" s="20"/>
    </row>
    <row r="39" spans="1:9" ht="14.25" customHeight="1" x14ac:dyDescent="0.35">
      <c r="A39" s="132" t="s">
        <v>170</v>
      </c>
      <c r="B39" s="133" t="s">
        <v>52</v>
      </c>
      <c r="C39" s="133">
        <v>24016</v>
      </c>
      <c r="D39" s="133"/>
      <c r="E39" s="133"/>
      <c r="F39" s="133"/>
      <c r="G39" s="133"/>
      <c r="H39" s="20"/>
      <c r="I39" s="20"/>
    </row>
    <row r="40" spans="1:9" ht="14.25" customHeight="1" x14ac:dyDescent="0.35">
      <c r="A40" s="130" t="s">
        <v>275</v>
      </c>
      <c r="B40" s="131" t="s">
        <v>50</v>
      </c>
      <c r="C40" s="131">
        <v>45059</v>
      </c>
      <c r="D40" s="131">
        <v>3</v>
      </c>
      <c r="E40" s="131">
        <v>3</v>
      </c>
      <c r="F40" s="131">
        <v>2</v>
      </c>
      <c r="G40" s="131">
        <v>2</v>
      </c>
      <c r="H40" s="20"/>
      <c r="I40" s="20"/>
    </row>
    <row r="41" spans="1:9" ht="14.25" customHeight="1" x14ac:dyDescent="0.35">
      <c r="A41" s="132" t="s">
        <v>106</v>
      </c>
      <c r="B41" s="133" t="s">
        <v>48</v>
      </c>
      <c r="C41" s="133">
        <v>11008</v>
      </c>
      <c r="D41" s="133"/>
      <c r="E41" s="133"/>
      <c r="F41" s="133"/>
      <c r="G41" s="133"/>
      <c r="H41" s="20"/>
      <c r="I41" s="20"/>
    </row>
    <row r="42" spans="1:9" ht="14.25" customHeight="1" x14ac:dyDescent="0.35">
      <c r="A42" s="130" t="s">
        <v>294</v>
      </c>
      <c r="B42" s="131" t="s">
        <v>48</v>
      </c>
      <c r="C42" s="131">
        <v>11009</v>
      </c>
      <c r="D42" s="131"/>
      <c r="E42" s="131"/>
      <c r="F42" s="131"/>
      <c r="G42" s="131"/>
      <c r="H42" s="20"/>
      <c r="I42" s="20"/>
    </row>
    <row r="43" spans="1:9" ht="14.25" customHeight="1" x14ac:dyDescent="0.35">
      <c r="A43" s="132" t="s">
        <v>219</v>
      </c>
      <c r="B43" s="133" t="s">
        <v>55</v>
      </c>
      <c r="C43" s="133">
        <v>35002</v>
      </c>
      <c r="D43" s="133"/>
      <c r="E43" s="133"/>
      <c r="F43" s="133"/>
      <c r="G43" s="133"/>
      <c r="H43" s="20"/>
      <c r="I43" s="20"/>
    </row>
    <row r="44" spans="1:9" ht="14.25" customHeight="1" x14ac:dyDescent="0.35">
      <c r="A44" s="130" t="s">
        <v>227</v>
      </c>
      <c r="B44" s="131" t="s">
        <v>59</v>
      </c>
      <c r="C44" s="131">
        <v>72004</v>
      </c>
      <c r="D44" s="131">
        <v>1</v>
      </c>
      <c r="E44" s="131">
        <v>1</v>
      </c>
      <c r="F44" s="131">
        <v>2</v>
      </c>
      <c r="G44" s="131">
        <v>2</v>
      </c>
      <c r="H44" s="20"/>
      <c r="I44" s="20"/>
    </row>
    <row r="45" spans="1:9" ht="14.25" customHeight="1" x14ac:dyDescent="0.35">
      <c r="A45" s="132" t="s">
        <v>54</v>
      </c>
      <c r="B45" s="133" t="s">
        <v>55</v>
      </c>
      <c r="C45" s="133">
        <v>31005</v>
      </c>
      <c r="D45" s="133"/>
      <c r="E45" s="133"/>
      <c r="F45" s="133"/>
      <c r="G45" s="133"/>
      <c r="H45" s="20"/>
      <c r="I45" s="20"/>
    </row>
    <row r="46" spans="1:9" ht="14.25" customHeight="1" x14ac:dyDescent="0.35">
      <c r="A46" s="130" t="s">
        <v>274</v>
      </c>
      <c r="B46" s="131" t="s">
        <v>50</v>
      </c>
      <c r="C46" s="131">
        <v>42004</v>
      </c>
      <c r="D46" s="131">
        <v>2</v>
      </c>
      <c r="E46" s="131">
        <v>2</v>
      </c>
      <c r="F46" s="131">
        <v>2</v>
      </c>
      <c r="G46" s="131">
        <v>2</v>
      </c>
      <c r="H46" s="20"/>
      <c r="I46" s="20"/>
    </row>
    <row r="47" spans="1:9" ht="14.25" customHeight="1" x14ac:dyDescent="0.35">
      <c r="A47" s="132" t="s">
        <v>96</v>
      </c>
      <c r="B47" s="133" t="s">
        <v>55</v>
      </c>
      <c r="C47" s="133">
        <v>31006</v>
      </c>
      <c r="D47" s="133"/>
      <c r="E47" s="133"/>
      <c r="F47" s="133"/>
      <c r="G47" s="133"/>
      <c r="H47" s="20"/>
      <c r="I47" s="20"/>
    </row>
    <row r="48" spans="1:9" ht="14.25" customHeight="1" x14ac:dyDescent="0.35">
      <c r="A48" s="130" t="s">
        <v>268</v>
      </c>
      <c r="B48" s="131" t="s">
        <v>55</v>
      </c>
      <c r="C48" s="131">
        <v>35029</v>
      </c>
      <c r="D48" s="131"/>
      <c r="E48" s="131"/>
      <c r="F48" s="131"/>
      <c r="G48" s="131"/>
      <c r="H48" s="20"/>
      <c r="I48" s="20"/>
    </row>
    <row r="49" spans="1:9" ht="14.25" customHeight="1" x14ac:dyDescent="0.35">
      <c r="A49" s="132" t="s">
        <v>135</v>
      </c>
      <c r="B49" s="133" t="s">
        <v>55</v>
      </c>
      <c r="C49" s="133">
        <v>38008</v>
      </c>
      <c r="D49" s="133"/>
      <c r="E49" s="133"/>
      <c r="F49" s="133"/>
      <c r="G49" s="133"/>
      <c r="H49" s="20"/>
      <c r="I49" s="20"/>
    </row>
    <row r="50" spans="1:9" ht="14.25" customHeight="1" x14ac:dyDescent="0.35">
      <c r="A50" s="130" t="s">
        <v>156</v>
      </c>
      <c r="B50" s="131" t="s">
        <v>55</v>
      </c>
      <c r="C50" s="131">
        <v>34009</v>
      </c>
      <c r="D50" s="131">
        <v>1</v>
      </c>
      <c r="E50" s="131">
        <v>1</v>
      </c>
      <c r="F50" s="131">
        <v>1</v>
      </c>
      <c r="G50" s="131">
        <v>1</v>
      </c>
      <c r="H50" s="20"/>
      <c r="I50" s="20"/>
    </row>
    <row r="51" spans="1:9" ht="14.25" customHeight="1" x14ac:dyDescent="0.35">
      <c r="A51" s="132" t="s">
        <v>62</v>
      </c>
      <c r="B51" s="133" t="s">
        <v>50</v>
      </c>
      <c r="C51" s="133">
        <v>44083</v>
      </c>
      <c r="D51" s="133"/>
      <c r="E51" s="133"/>
      <c r="F51" s="133"/>
      <c r="G51" s="133"/>
      <c r="H51" s="20"/>
      <c r="I51" s="20"/>
    </row>
    <row r="52" spans="1:9" ht="14.25" customHeight="1" x14ac:dyDescent="0.35">
      <c r="A52" s="130" t="s">
        <v>182</v>
      </c>
      <c r="B52" s="131" t="s">
        <v>50</v>
      </c>
      <c r="C52" s="131">
        <v>41011</v>
      </c>
      <c r="D52" s="131">
        <v>4</v>
      </c>
      <c r="E52" s="131">
        <v>4</v>
      </c>
      <c r="F52" s="131">
        <v>4</v>
      </c>
      <c r="G52" s="131">
        <v>4</v>
      </c>
      <c r="H52" s="20"/>
      <c r="I52" s="20"/>
    </row>
    <row r="53" spans="1:9" ht="14.25" customHeight="1" x14ac:dyDescent="0.35">
      <c r="A53" s="132" t="s">
        <v>80</v>
      </c>
      <c r="B53" s="133" t="s">
        <v>50</v>
      </c>
      <c r="C53" s="133">
        <v>42006</v>
      </c>
      <c r="D53" s="133">
        <v>4</v>
      </c>
      <c r="E53" s="133">
        <v>4</v>
      </c>
      <c r="F53" s="133">
        <v>4</v>
      </c>
      <c r="G53" s="133">
        <v>4</v>
      </c>
      <c r="H53" s="20"/>
      <c r="I53" s="20"/>
    </row>
    <row r="54" spans="1:9" ht="14.25" customHeight="1" x14ac:dyDescent="0.35">
      <c r="A54" s="130" t="s">
        <v>168</v>
      </c>
      <c r="B54" s="131" t="s">
        <v>55</v>
      </c>
      <c r="C54" s="131">
        <v>37002</v>
      </c>
      <c r="D54" s="131"/>
      <c r="E54" s="131"/>
      <c r="F54" s="131"/>
      <c r="G54" s="131"/>
      <c r="H54" s="20"/>
      <c r="I54" s="20"/>
    </row>
    <row r="55" spans="1:9" ht="14.25" customHeight="1" x14ac:dyDescent="0.35">
      <c r="A55" s="132" t="s">
        <v>301</v>
      </c>
      <c r="B55" s="133" t="s">
        <v>48</v>
      </c>
      <c r="C55" s="133">
        <v>13006</v>
      </c>
      <c r="D55" s="133"/>
      <c r="E55" s="133"/>
      <c r="F55" s="133"/>
      <c r="G55" s="133"/>
      <c r="H55" s="20"/>
      <c r="I55" s="20"/>
    </row>
    <row r="56" spans="1:9" ht="14.25" customHeight="1" x14ac:dyDescent="0.35">
      <c r="A56" s="130" t="s">
        <v>71</v>
      </c>
      <c r="B56" s="131" t="s">
        <v>50</v>
      </c>
      <c r="C56" s="131">
        <v>44013</v>
      </c>
      <c r="D56" s="131"/>
      <c r="E56" s="131"/>
      <c r="F56" s="131"/>
      <c r="G56" s="131"/>
      <c r="H56" s="20"/>
      <c r="I56" s="20"/>
    </row>
    <row r="57" spans="1:9" ht="14.25" customHeight="1" x14ac:dyDescent="0.35">
      <c r="A57" s="132" t="s">
        <v>309</v>
      </c>
      <c r="B57" s="133" t="s">
        <v>59</v>
      </c>
      <c r="C57" s="133">
        <v>71011</v>
      </c>
      <c r="D57" s="133"/>
      <c r="E57" s="133"/>
      <c r="F57" s="133"/>
      <c r="G57" s="133"/>
      <c r="H57" s="20"/>
      <c r="I57" s="20"/>
    </row>
    <row r="58" spans="1:9" ht="14.25" customHeight="1" x14ac:dyDescent="0.35">
      <c r="A58" s="130" t="s">
        <v>88</v>
      </c>
      <c r="B58" s="131" t="s">
        <v>52</v>
      </c>
      <c r="C58" s="131">
        <v>24020</v>
      </c>
      <c r="D58" s="131"/>
      <c r="E58" s="131"/>
      <c r="F58" s="131"/>
      <c r="G58" s="131"/>
      <c r="H58" s="20"/>
      <c r="I58" s="20"/>
    </row>
    <row r="59" spans="1:9" ht="14.25" customHeight="1" x14ac:dyDescent="0.35">
      <c r="A59" s="132" t="s">
        <v>280</v>
      </c>
      <c r="B59" s="133" t="s">
        <v>55</v>
      </c>
      <c r="C59" s="133">
        <v>32003</v>
      </c>
      <c r="D59" s="133"/>
      <c r="E59" s="133"/>
      <c r="F59" s="133"/>
      <c r="G59" s="133"/>
      <c r="H59" s="20"/>
      <c r="I59" s="20"/>
    </row>
    <row r="60" spans="1:9" ht="14.25" customHeight="1" x14ac:dyDescent="0.35">
      <c r="A60" s="130" t="s">
        <v>85</v>
      </c>
      <c r="B60" s="131" t="s">
        <v>52</v>
      </c>
      <c r="C60" s="131">
        <v>23016</v>
      </c>
      <c r="D60" s="131"/>
      <c r="E60" s="131"/>
      <c r="F60" s="131"/>
      <c r="G60" s="131"/>
      <c r="H60" s="20"/>
      <c r="I60" s="20"/>
    </row>
    <row r="61" spans="1:9" ht="14.25" customHeight="1" x14ac:dyDescent="0.35">
      <c r="A61" s="132" t="s">
        <v>333</v>
      </c>
      <c r="B61" s="133" t="s">
        <v>59</v>
      </c>
      <c r="C61" s="133">
        <v>72041</v>
      </c>
      <c r="D61" s="133"/>
      <c r="E61" s="133"/>
      <c r="F61" s="133"/>
      <c r="G61" s="133"/>
      <c r="H61" s="20"/>
      <c r="I61" s="20"/>
    </row>
    <row r="62" spans="1:9" ht="14.25" customHeight="1" x14ac:dyDescent="0.35">
      <c r="A62" s="130" t="s">
        <v>298</v>
      </c>
      <c r="B62" s="131" t="s">
        <v>52</v>
      </c>
      <c r="C62" s="131">
        <v>23098</v>
      </c>
      <c r="D62" s="131"/>
      <c r="E62" s="131"/>
      <c r="F62" s="131"/>
      <c r="G62" s="131"/>
      <c r="H62" s="20"/>
      <c r="I62" s="20"/>
    </row>
    <row r="63" spans="1:9" ht="14.25" customHeight="1" x14ac:dyDescent="0.35">
      <c r="A63" s="132" t="s">
        <v>140</v>
      </c>
      <c r="B63" s="133" t="s">
        <v>48</v>
      </c>
      <c r="C63" s="133">
        <v>12009</v>
      </c>
      <c r="D63" s="133"/>
      <c r="E63" s="133"/>
      <c r="F63" s="133"/>
      <c r="G63" s="133"/>
      <c r="H63" s="20"/>
      <c r="I63" s="20"/>
    </row>
    <row r="64" spans="1:9" ht="14.25" customHeight="1" x14ac:dyDescent="0.35">
      <c r="A64" s="130" t="s">
        <v>123</v>
      </c>
      <c r="B64" s="131" t="s">
        <v>48</v>
      </c>
      <c r="C64" s="131">
        <v>11013</v>
      </c>
      <c r="D64" s="131"/>
      <c r="E64" s="131"/>
      <c r="F64" s="131"/>
      <c r="G64" s="131"/>
      <c r="H64" s="20"/>
      <c r="I64" s="20"/>
    </row>
    <row r="65" spans="1:9" ht="14.25" customHeight="1" x14ac:dyDescent="0.35">
      <c r="A65" s="132" t="s">
        <v>118</v>
      </c>
      <c r="B65" s="133" t="s">
        <v>50</v>
      </c>
      <c r="C65" s="133">
        <v>43005</v>
      </c>
      <c r="D65" s="133"/>
      <c r="E65" s="133"/>
      <c r="F65" s="133"/>
      <c r="G65" s="133"/>
      <c r="H65" s="20"/>
      <c r="I65" s="20"/>
    </row>
    <row r="66" spans="1:9" ht="14.25" customHeight="1" x14ac:dyDescent="0.35">
      <c r="A66" s="130" t="s">
        <v>116</v>
      </c>
      <c r="B66" s="131" t="s">
        <v>50</v>
      </c>
      <c r="C66" s="131">
        <v>41082</v>
      </c>
      <c r="D66" s="131">
        <v>6</v>
      </c>
      <c r="E66" s="131">
        <v>6</v>
      </c>
      <c r="F66" s="131">
        <v>6</v>
      </c>
      <c r="G66" s="131">
        <v>6</v>
      </c>
      <c r="H66" s="20"/>
      <c r="I66" s="20"/>
    </row>
    <row r="67" spans="1:9" ht="14.25" customHeight="1" x14ac:dyDescent="0.35">
      <c r="A67" s="132" t="s">
        <v>180</v>
      </c>
      <c r="B67" s="133" t="s">
        <v>48</v>
      </c>
      <c r="C67" s="133">
        <v>11016</v>
      </c>
      <c r="D67" s="133"/>
      <c r="E67" s="133"/>
      <c r="F67" s="133"/>
      <c r="G67" s="133"/>
      <c r="H67" s="20"/>
      <c r="I67" s="20"/>
    </row>
    <row r="68" spans="1:9" ht="14.25" customHeight="1" x14ac:dyDescent="0.35">
      <c r="A68" s="130" t="s">
        <v>90</v>
      </c>
      <c r="B68" s="131" t="s">
        <v>50</v>
      </c>
      <c r="C68" s="131">
        <v>44019</v>
      </c>
      <c r="D68" s="131"/>
      <c r="E68" s="131"/>
      <c r="F68" s="131"/>
      <c r="G68" s="131"/>
      <c r="H68" s="20"/>
      <c r="I68" s="20"/>
    </row>
    <row r="69" spans="1:9" ht="14.25" customHeight="1" x14ac:dyDescent="0.35">
      <c r="A69" s="132" t="s">
        <v>209</v>
      </c>
      <c r="B69" s="133" t="s">
        <v>50</v>
      </c>
      <c r="C69" s="133">
        <v>44020</v>
      </c>
      <c r="D69" s="133"/>
      <c r="E69" s="133"/>
      <c r="F69" s="133"/>
      <c r="G69" s="133"/>
      <c r="H69" s="20"/>
      <c r="I69" s="20"/>
    </row>
    <row r="70" spans="1:9" ht="14.25" customHeight="1" x14ac:dyDescent="0.35">
      <c r="A70" s="130" t="s">
        <v>91</v>
      </c>
      <c r="B70" s="131" t="s">
        <v>48</v>
      </c>
      <c r="C70" s="131">
        <v>13008</v>
      </c>
      <c r="D70" s="131"/>
      <c r="E70" s="131"/>
      <c r="F70" s="131"/>
      <c r="G70" s="131"/>
      <c r="H70" s="20"/>
      <c r="I70" s="20"/>
    </row>
    <row r="71" spans="1:9" ht="14.25" customHeight="1" x14ac:dyDescent="0.35">
      <c r="A71" s="132" t="s">
        <v>245</v>
      </c>
      <c r="B71" s="133" t="s">
        <v>52</v>
      </c>
      <c r="C71" s="133">
        <v>24028</v>
      </c>
      <c r="D71" s="133"/>
      <c r="E71" s="133"/>
      <c r="F71" s="133"/>
      <c r="G71" s="133"/>
      <c r="H71" s="20"/>
      <c r="I71" s="20"/>
    </row>
    <row r="72" spans="1:9" ht="14.25" customHeight="1" x14ac:dyDescent="0.35">
      <c r="A72" s="130" t="s">
        <v>95</v>
      </c>
      <c r="B72" s="131" t="s">
        <v>59</v>
      </c>
      <c r="C72" s="131">
        <v>71016</v>
      </c>
      <c r="D72" s="131"/>
      <c r="E72" s="131"/>
      <c r="F72" s="131"/>
      <c r="G72" s="131"/>
      <c r="H72" s="20"/>
      <c r="I72" s="20"/>
    </row>
    <row r="73" spans="1:9" ht="14.25" customHeight="1" x14ac:dyDescent="0.35">
      <c r="A73" s="132" t="s">
        <v>49</v>
      </c>
      <c r="B73" s="133" t="s">
        <v>50</v>
      </c>
      <c r="C73" s="133">
        <v>44021</v>
      </c>
      <c r="D73" s="133">
        <v>4</v>
      </c>
      <c r="E73" s="133">
        <v>4</v>
      </c>
      <c r="F73" s="133">
        <v>1</v>
      </c>
      <c r="G73" s="133">
        <v>1</v>
      </c>
      <c r="H73" s="20"/>
      <c r="I73" s="20"/>
    </row>
    <row r="74" spans="1:9" ht="14.25" customHeight="1" x14ac:dyDescent="0.35">
      <c r="A74" s="130" t="s">
        <v>144</v>
      </c>
      <c r="B74" s="131" t="s">
        <v>50</v>
      </c>
      <c r="C74" s="131">
        <v>41018</v>
      </c>
      <c r="D74" s="131">
        <v>6</v>
      </c>
      <c r="E74" s="131">
        <v>6</v>
      </c>
      <c r="F74" s="131">
        <v>6</v>
      </c>
      <c r="G74" s="131">
        <v>6</v>
      </c>
      <c r="H74" s="20"/>
      <c r="I74" s="20"/>
    </row>
    <row r="75" spans="1:9" ht="14.25" customHeight="1" x14ac:dyDescent="0.35">
      <c r="A75" s="132" t="s">
        <v>323</v>
      </c>
      <c r="B75" s="133" t="s">
        <v>59</v>
      </c>
      <c r="C75" s="133">
        <v>71017</v>
      </c>
      <c r="D75" s="133"/>
      <c r="E75" s="133"/>
      <c r="F75" s="133"/>
      <c r="G75" s="133"/>
      <c r="H75" s="20"/>
      <c r="I75" s="20"/>
    </row>
    <row r="76" spans="1:9" ht="14.25" customHeight="1" x14ac:dyDescent="0.35">
      <c r="A76" s="130" t="s">
        <v>206</v>
      </c>
      <c r="B76" s="131" t="s">
        <v>55</v>
      </c>
      <c r="C76" s="131">
        <v>35005</v>
      </c>
      <c r="D76" s="131"/>
      <c r="E76" s="131"/>
      <c r="F76" s="131"/>
      <c r="G76" s="131"/>
      <c r="H76" s="20"/>
      <c r="I76" s="20"/>
    </row>
    <row r="77" spans="1:9" ht="14.25" customHeight="1" x14ac:dyDescent="0.35">
      <c r="A77" s="132" t="s">
        <v>243</v>
      </c>
      <c r="B77" s="133" t="s">
        <v>52</v>
      </c>
      <c r="C77" s="133">
        <v>24137</v>
      </c>
      <c r="D77" s="133"/>
      <c r="E77" s="133"/>
      <c r="F77" s="133"/>
      <c r="G77" s="133"/>
      <c r="H77" s="20"/>
      <c r="I77" s="20"/>
    </row>
    <row r="78" spans="1:9" ht="14.25" customHeight="1" x14ac:dyDescent="0.35">
      <c r="A78" s="130" t="s">
        <v>107</v>
      </c>
      <c r="B78" s="131" t="s">
        <v>52</v>
      </c>
      <c r="C78" s="131">
        <v>23025</v>
      </c>
      <c r="D78" s="131"/>
      <c r="E78" s="131"/>
      <c r="F78" s="131"/>
      <c r="G78" s="131"/>
      <c r="H78" s="20"/>
      <c r="I78" s="20"/>
    </row>
    <row r="79" spans="1:9" ht="14.25" customHeight="1" x14ac:dyDescent="0.35">
      <c r="A79" s="132" t="s">
        <v>303</v>
      </c>
      <c r="B79" s="133" t="s">
        <v>48</v>
      </c>
      <c r="C79" s="133">
        <v>13010</v>
      </c>
      <c r="D79" s="133"/>
      <c r="E79" s="133"/>
      <c r="F79" s="133"/>
      <c r="G79" s="133"/>
      <c r="H79" s="20"/>
      <c r="I79" s="20"/>
    </row>
    <row r="80" spans="1:9" ht="14.25" customHeight="1" x14ac:dyDescent="0.35">
      <c r="A80" s="130" t="s">
        <v>92</v>
      </c>
      <c r="B80" s="131" t="s">
        <v>52</v>
      </c>
      <c r="C80" s="131">
        <v>24033</v>
      </c>
      <c r="D80" s="131"/>
      <c r="E80" s="131"/>
      <c r="F80" s="131"/>
      <c r="G80" s="131"/>
      <c r="H80" s="20"/>
      <c r="I80" s="20"/>
    </row>
    <row r="81" spans="1:9" ht="14.25" customHeight="1" x14ac:dyDescent="0.35">
      <c r="A81" s="132" t="s">
        <v>223</v>
      </c>
      <c r="B81" s="133" t="s">
        <v>50</v>
      </c>
      <c r="C81" s="133">
        <v>41024</v>
      </c>
      <c r="D81" s="133">
        <v>3</v>
      </c>
      <c r="E81" s="133">
        <v>3</v>
      </c>
      <c r="F81" s="133">
        <v>3</v>
      </c>
      <c r="G81" s="133">
        <v>3</v>
      </c>
      <c r="H81" s="20"/>
      <c r="I81" s="20"/>
    </row>
    <row r="82" spans="1:9" ht="14.25" customHeight="1" x14ac:dyDescent="0.35">
      <c r="A82" s="130" t="s">
        <v>324</v>
      </c>
      <c r="B82" s="131" t="s">
        <v>59</v>
      </c>
      <c r="C82" s="131">
        <v>71020</v>
      </c>
      <c r="D82" s="131"/>
      <c r="E82" s="131"/>
      <c r="F82" s="131"/>
      <c r="G82" s="131"/>
      <c r="H82" s="20"/>
      <c r="I82" s="20"/>
    </row>
    <row r="83" spans="1:9" ht="14.25" customHeight="1" x14ac:dyDescent="0.35">
      <c r="A83" s="132" t="s">
        <v>70</v>
      </c>
      <c r="B83" s="133" t="s">
        <v>52</v>
      </c>
      <c r="C83" s="133">
        <v>23027</v>
      </c>
      <c r="D83" s="133">
        <v>2</v>
      </c>
      <c r="E83" s="133">
        <v>2</v>
      </c>
      <c r="F83" s="133">
        <v>2</v>
      </c>
      <c r="G83" s="133">
        <v>2</v>
      </c>
      <c r="H83" s="20"/>
      <c r="I83" s="20"/>
    </row>
    <row r="84" spans="1:9" ht="14.25" customHeight="1" x14ac:dyDescent="0.35">
      <c r="A84" s="130" t="s">
        <v>127</v>
      </c>
      <c r="B84" s="131" t="s">
        <v>50</v>
      </c>
      <c r="C84" s="131">
        <v>42008</v>
      </c>
      <c r="D84" s="131">
        <v>4</v>
      </c>
      <c r="E84" s="131">
        <v>4</v>
      </c>
      <c r="F84" s="131">
        <v>6</v>
      </c>
      <c r="G84" s="131">
        <v>6</v>
      </c>
      <c r="H84" s="20"/>
      <c r="I84" s="20"/>
    </row>
    <row r="85" spans="1:9" ht="14.25" customHeight="1" x14ac:dyDescent="0.35">
      <c r="A85" s="132" t="s">
        <v>331</v>
      </c>
      <c r="B85" s="133" t="s">
        <v>59</v>
      </c>
      <c r="C85" s="133">
        <v>72037</v>
      </c>
      <c r="D85" s="133"/>
      <c r="E85" s="133"/>
      <c r="F85" s="133"/>
      <c r="G85" s="133"/>
      <c r="H85" s="20"/>
      <c r="I85" s="20"/>
    </row>
    <row r="86" spans="1:9" ht="14.25" customHeight="1" x14ac:dyDescent="0.35">
      <c r="A86" s="130" t="s">
        <v>73</v>
      </c>
      <c r="B86" s="131" t="s">
        <v>55</v>
      </c>
      <c r="C86" s="131">
        <v>34013</v>
      </c>
      <c r="D86" s="131">
        <v>10</v>
      </c>
      <c r="E86" s="131">
        <v>10</v>
      </c>
      <c r="F86" s="131">
        <v>10</v>
      </c>
      <c r="G86" s="131">
        <v>10</v>
      </c>
      <c r="H86" s="20"/>
      <c r="I86" s="20"/>
    </row>
    <row r="87" spans="1:9" ht="14.25" customHeight="1" x14ac:dyDescent="0.35">
      <c r="A87" s="132" t="s">
        <v>58</v>
      </c>
      <c r="B87" s="133" t="s">
        <v>59</v>
      </c>
      <c r="C87" s="133">
        <v>71022</v>
      </c>
      <c r="D87" s="133">
        <v>1</v>
      </c>
      <c r="E87" s="133">
        <v>1</v>
      </c>
      <c r="F87" s="133">
        <v>3</v>
      </c>
      <c r="G87" s="133">
        <v>3</v>
      </c>
      <c r="H87" s="20"/>
      <c r="I87" s="20"/>
    </row>
    <row r="88" spans="1:9" ht="14.25" customHeight="1" x14ac:dyDescent="0.35">
      <c r="A88" s="130" t="s">
        <v>265</v>
      </c>
      <c r="B88" s="131" t="s">
        <v>59</v>
      </c>
      <c r="C88" s="131">
        <v>72038</v>
      </c>
      <c r="D88" s="131">
        <v>2</v>
      </c>
      <c r="E88" s="131">
        <v>2</v>
      </c>
      <c r="F88" s="131">
        <v>2</v>
      </c>
      <c r="G88" s="131">
        <v>2</v>
      </c>
      <c r="H88" s="20"/>
      <c r="I88" s="20"/>
    </row>
    <row r="89" spans="1:9" ht="14.25" customHeight="1" x14ac:dyDescent="0.35">
      <c r="A89" s="132" t="s">
        <v>300</v>
      </c>
      <c r="B89" s="133" t="s">
        <v>59</v>
      </c>
      <c r="C89" s="133">
        <v>73022</v>
      </c>
      <c r="D89" s="133"/>
      <c r="E89" s="133"/>
      <c r="F89" s="133"/>
      <c r="G89" s="133"/>
      <c r="H89" s="20"/>
      <c r="I89" s="20"/>
    </row>
    <row r="90" spans="1:9" ht="14.25" customHeight="1" x14ac:dyDescent="0.35">
      <c r="A90" s="130" t="s">
        <v>108</v>
      </c>
      <c r="B90" s="131" t="s">
        <v>48</v>
      </c>
      <c r="C90" s="131">
        <v>12014</v>
      </c>
      <c r="D90" s="131"/>
      <c r="E90" s="131"/>
      <c r="F90" s="131"/>
      <c r="G90" s="131"/>
      <c r="H90" s="20"/>
      <c r="I90" s="20"/>
    </row>
    <row r="91" spans="1:9" ht="14.25" customHeight="1" x14ac:dyDescent="0.35">
      <c r="A91" s="132" t="s">
        <v>266</v>
      </c>
      <c r="B91" s="133" t="s">
        <v>48</v>
      </c>
      <c r="C91" s="133">
        <v>11018</v>
      </c>
      <c r="D91" s="133"/>
      <c r="E91" s="133"/>
      <c r="F91" s="133"/>
      <c r="G91" s="133"/>
      <c r="H91" s="20"/>
      <c r="I91" s="20"/>
    </row>
    <row r="92" spans="1:9" ht="14.25" customHeight="1" x14ac:dyDescent="0.35">
      <c r="A92" s="130" t="s">
        <v>69</v>
      </c>
      <c r="B92" s="131" t="s">
        <v>52</v>
      </c>
      <c r="C92" s="131">
        <v>24038</v>
      </c>
      <c r="D92" s="131"/>
      <c r="E92" s="131"/>
      <c r="F92" s="131"/>
      <c r="G92" s="131"/>
      <c r="H92" s="20"/>
      <c r="I92" s="20"/>
    </row>
    <row r="93" spans="1:9" ht="14.25" customHeight="1" x14ac:dyDescent="0.35">
      <c r="A93" s="132" t="s">
        <v>83</v>
      </c>
      <c r="B93" s="133" t="s">
        <v>48</v>
      </c>
      <c r="C93" s="133">
        <v>13011</v>
      </c>
      <c r="D93" s="133"/>
      <c r="E93" s="133"/>
      <c r="F93" s="133"/>
      <c r="G93" s="133"/>
      <c r="H93" s="20"/>
      <c r="I93" s="20"/>
    </row>
    <row r="94" spans="1:9" ht="14.25" customHeight="1" x14ac:dyDescent="0.35">
      <c r="A94" s="130" t="s">
        <v>326</v>
      </c>
      <c r="B94" s="131" t="s">
        <v>48</v>
      </c>
      <c r="C94" s="131">
        <v>13012</v>
      </c>
      <c r="D94" s="131"/>
      <c r="E94" s="131"/>
      <c r="F94" s="131"/>
      <c r="G94" s="131"/>
      <c r="H94" s="20"/>
      <c r="I94" s="20"/>
    </row>
    <row r="95" spans="1:9" ht="14.25" customHeight="1" x14ac:dyDescent="0.35">
      <c r="A95" s="132" t="s">
        <v>187</v>
      </c>
      <c r="B95" s="133" t="s">
        <v>59</v>
      </c>
      <c r="C95" s="133">
        <v>71024</v>
      </c>
      <c r="D95" s="133">
        <v>1</v>
      </c>
      <c r="E95" s="133">
        <v>1</v>
      </c>
      <c r="F95" s="133">
        <v>2</v>
      </c>
      <c r="G95" s="133">
        <v>2</v>
      </c>
      <c r="H95" s="20"/>
      <c r="I95" s="20"/>
    </row>
    <row r="96" spans="1:9" ht="14.25" customHeight="1" x14ac:dyDescent="0.35">
      <c r="A96" s="130" t="s">
        <v>272</v>
      </c>
      <c r="B96" s="131" t="s">
        <v>48</v>
      </c>
      <c r="C96" s="131">
        <v>13013</v>
      </c>
      <c r="D96" s="131"/>
      <c r="E96" s="131"/>
      <c r="F96" s="131"/>
      <c r="G96" s="131"/>
      <c r="H96" s="20"/>
      <c r="I96" s="20"/>
    </row>
    <row r="97" spans="1:9" ht="14.25" customHeight="1" x14ac:dyDescent="0.35">
      <c r="A97" s="132" t="s">
        <v>313</v>
      </c>
      <c r="B97" s="133" t="s">
        <v>59</v>
      </c>
      <c r="C97" s="133">
        <v>73028</v>
      </c>
      <c r="D97" s="133"/>
      <c r="E97" s="133"/>
      <c r="F97" s="133"/>
      <c r="G97" s="133"/>
      <c r="H97" s="20"/>
      <c r="I97" s="20"/>
    </row>
    <row r="98" spans="1:9" ht="14.25" customHeight="1" x14ac:dyDescent="0.35">
      <c r="A98" s="130" t="s">
        <v>113</v>
      </c>
      <c r="B98" s="131" t="s">
        <v>50</v>
      </c>
      <c r="C98" s="131">
        <v>41027</v>
      </c>
      <c r="D98" s="131">
        <v>4</v>
      </c>
      <c r="E98" s="131">
        <v>4</v>
      </c>
      <c r="F98" s="131">
        <v>7</v>
      </c>
      <c r="G98" s="131">
        <v>7</v>
      </c>
      <c r="H98" s="20"/>
      <c r="I98" s="20"/>
    </row>
    <row r="99" spans="1:9" ht="14.25" customHeight="1" x14ac:dyDescent="0.35">
      <c r="A99" s="132" t="s">
        <v>190</v>
      </c>
      <c r="B99" s="133" t="s">
        <v>59</v>
      </c>
      <c r="C99" s="133">
        <v>71070</v>
      </c>
      <c r="D99" s="133">
        <v>2</v>
      </c>
      <c r="E99" s="133">
        <v>2</v>
      </c>
      <c r="F99" s="133">
        <v>2</v>
      </c>
      <c r="G99" s="133">
        <v>2</v>
      </c>
      <c r="H99" s="20"/>
      <c r="I99" s="20"/>
    </row>
    <row r="100" spans="1:9" ht="14.25" customHeight="1" x14ac:dyDescent="0.35">
      <c r="A100" s="130" t="s">
        <v>167</v>
      </c>
      <c r="B100" s="131" t="s">
        <v>55</v>
      </c>
      <c r="C100" s="131">
        <v>33039</v>
      </c>
      <c r="D100" s="131"/>
      <c r="E100" s="131"/>
      <c r="F100" s="131"/>
      <c r="G100" s="131"/>
      <c r="H100" s="20"/>
      <c r="I100" s="20"/>
    </row>
    <row r="101" spans="1:9" ht="14.25" customHeight="1" x14ac:dyDescent="0.35">
      <c r="A101" s="132" t="s">
        <v>192</v>
      </c>
      <c r="B101" s="133" t="s">
        <v>52</v>
      </c>
      <c r="C101" s="133">
        <v>24041</v>
      </c>
      <c r="D101" s="133"/>
      <c r="E101" s="133"/>
      <c r="F101" s="133"/>
      <c r="G101" s="133"/>
      <c r="H101" s="20"/>
      <c r="I101" s="20"/>
    </row>
    <row r="102" spans="1:9" ht="14.25" customHeight="1" x14ac:dyDescent="0.35">
      <c r="A102" s="130" t="s">
        <v>153</v>
      </c>
      <c r="B102" s="131" t="s">
        <v>52</v>
      </c>
      <c r="C102" s="131">
        <v>23033</v>
      </c>
      <c r="D102" s="131"/>
      <c r="E102" s="131"/>
      <c r="F102" s="131"/>
      <c r="G102" s="131"/>
      <c r="H102" s="20"/>
      <c r="I102" s="20"/>
    </row>
    <row r="103" spans="1:9" ht="14.25" customHeight="1" x14ac:dyDescent="0.35">
      <c r="A103" s="132" t="s">
        <v>86</v>
      </c>
      <c r="B103" s="133" t="s">
        <v>52</v>
      </c>
      <c r="C103" s="133">
        <v>24043</v>
      </c>
      <c r="D103" s="133"/>
      <c r="E103" s="133"/>
      <c r="F103" s="133"/>
      <c r="G103" s="133"/>
      <c r="H103" s="20"/>
      <c r="I103" s="20"/>
    </row>
    <row r="104" spans="1:9" ht="14.25" customHeight="1" x14ac:dyDescent="0.35">
      <c r="A104" s="130" t="s">
        <v>150</v>
      </c>
      <c r="B104" s="131" t="s">
        <v>55</v>
      </c>
      <c r="C104" s="131">
        <v>36006</v>
      </c>
      <c r="D104" s="131">
        <v>1</v>
      </c>
      <c r="E104" s="131">
        <v>1</v>
      </c>
      <c r="F104" s="131">
        <v>1</v>
      </c>
      <c r="G104" s="131">
        <v>1</v>
      </c>
      <c r="H104" s="20"/>
      <c r="I104" s="20"/>
    </row>
    <row r="105" spans="1:9" ht="14.25" customHeight="1" x14ac:dyDescent="0.35">
      <c r="A105" s="132" t="s">
        <v>185</v>
      </c>
      <c r="B105" s="133" t="s">
        <v>48</v>
      </c>
      <c r="C105" s="133">
        <v>13014</v>
      </c>
      <c r="D105" s="133"/>
      <c r="E105" s="133"/>
      <c r="F105" s="133"/>
      <c r="G105" s="133"/>
      <c r="H105" s="20"/>
      <c r="I105" s="20"/>
    </row>
    <row r="106" spans="1:9" ht="14.25" customHeight="1" x14ac:dyDescent="0.35">
      <c r="A106" s="130" t="s">
        <v>297</v>
      </c>
      <c r="B106" s="131" t="s">
        <v>50</v>
      </c>
      <c r="C106" s="131">
        <v>45062</v>
      </c>
      <c r="D106" s="131"/>
      <c r="E106" s="131"/>
      <c r="F106" s="131">
        <v>1</v>
      </c>
      <c r="G106" s="131">
        <v>1</v>
      </c>
      <c r="H106" s="20"/>
      <c r="I106" s="20"/>
    </row>
    <row r="107" spans="1:9" ht="14.25" customHeight="1" x14ac:dyDescent="0.35">
      <c r="A107" s="132" t="s">
        <v>296</v>
      </c>
      <c r="B107" s="133" t="s">
        <v>59</v>
      </c>
      <c r="C107" s="133">
        <v>72039</v>
      </c>
      <c r="D107" s="133"/>
      <c r="E107" s="133"/>
      <c r="F107" s="133">
        <v>1</v>
      </c>
      <c r="G107" s="133">
        <v>1</v>
      </c>
      <c r="H107" s="20"/>
      <c r="I107" s="20"/>
    </row>
    <row r="108" spans="1:9" ht="14.25" customHeight="1" x14ac:dyDescent="0.35">
      <c r="A108" s="130" t="s">
        <v>261</v>
      </c>
      <c r="B108" s="131" t="s">
        <v>55</v>
      </c>
      <c r="C108" s="131">
        <v>32006</v>
      </c>
      <c r="D108" s="131"/>
      <c r="E108" s="131"/>
      <c r="F108" s="131"/>
      <c r="G108" s="131"/>
      <c r="H108" s="20"/>
      <c r="I108" s="20"/>
    </row>
    <row r="109" spans="1:9" ht="14.25" customHeight="1" x14ac:dyDescent="0.35">
      <c r="A109" s="132" t="s">
        <v>196</v>
      </c>
      <c r="B109" s="133" t="s">
        <v>48</v>
      </c>
      <c r="C109" s="133">
        <v>11021</v>
      </c>
      <c r="D109" s="133"/>
      <c r="E109" s="133"/>
      <c r="F109" s="133"/>
      <c r="G109" s="133"/>
      <c r="H109" s="20"/>
      <c r="I109" s="20"/>
    </row>
    <row r="110" spans="1:9" ht="14.25" customHeight="1" x14ac:dyDescent="0.35">
      <c r="A110" s="130" t="s">
        <v>134</v>
      </c>
      <c r="B110" s="131" t="s">
        <v>52</v>
      </c>
      <c r="C110" s="131">
        <v>24045</v>
      </c>
      <c r="D110" s="131"/>
      <c r="E110" s="131"/>
      <c r="F110" s="131"/>
      <c r="G110" s="131"/>
      <c r="H110" s="20"/>
      <c r="I110" s="20"/>
    </row>
    <row r="111" spans="1:9" ht="14.25" customHeight="1" x14ac:dyDescent="0.35">
      <c r="A111" s="132" t="s">
        <v>173</v>
      </c>
      <c r="B111" s="133" t="s">
        <v>48</v>
      </c>
      <c r="C111" s="133">
        <v>13016</v>
      </c>
      <c r="D111" s="133"/>
      <c r="E111" s="133"/>
      <c r="F111" s="133"/>
      <c r="G111" s="133"/>
      <c r="H111" s="20"/>
      <c r="I111" s="20"/>
    </row>
    <row r="112" spans="1:9" ht="14.25" customHeight="1" x14ac:dyDescent="0.35">
      <c r="A112" s="130" t="s">
        <v>212</v>
      </c>
      <c r="B112" s="131" t="s">
        <v>55</v>
      </c>
      <c r="C112" s="131">
        <v>35006</v>
      </c>
      <c r="D112" s="131"/>
      <c r="E112" s="131"/>
      <c r="F112" s="131"/>
      <c r="G112" s="131"/>
      <c r="H112" s="20"/>
      <c r="I112" s="20"/>
    </row>
    <row r="113" spans="1:9" ht="14.25" customHeight="1" x14ac:dyDescent="0.35">
      <c r="A113" s="132" t="s">
        <v>76</v>
      </c>
      <c r="B113" s="133" t="s">
        <v>55</v>
      </c>
      <c r="C113" s="133">
        <v>33011</v>
      </c>
      <c r="D113" s="133"/>
      <c r="E113" s="133"/>
      <c r="F113" s="133"/>
      <c r="G113" s="133"/>
      <c r="H113" s="20"/>
      <c r="I113" s="20"/>
    </row>
    <row r="114" spans="1:9" ht="14.25" customHeight="1" x14ac:dyDescent="0.35">
      <c r="A114" s="130" t="s">
        <v>263</v>
      </c>
      <c r="B114" s="131" t="s">
        <v>55</v>
      </c>
      <c r="C114" s="131">
        <v>36007</v>
      </c>
      <c r="D114" s="131"/>
      <c r="E114" s="131"/>
      <c r="F114" s="131"/>
      <c r="G114" s="131"/>
      <c r="H114" s="20"/>
      <c r="I114" s="20"/>
    </row>
    <row r="115" spans="1:9" ht="14.25" customHeight="1" x14ac:dyDescent="0.35">
      <c r="A115" s="132" t="s">
        <v>129</v>
      </c>
      <c r="B115" s="133" t="s">
        <v>55</v>
      </c>
      <c r="C115" s="133">
        <v>36008</v>
      </c>
      <c r="D115" s="133"/>
      <c r="E115" s="133"/>
      <c r="F115" s="133"/>
      <c r="G115" s="133"/>
      <c r="H115" s="20"/>
      <c r="I115" s="20"/>
    </row>
    <row r="116" spans="1:9" ht="14.25" customHeight="1" x14ac:dyDescent="0.35">
      <c r="A116" s="130" t="s">
        <v>273</v>
      </c>
      <c r="B116" s="131" t="s">
        <v>55</v>
      </c>
      <c r="C116" s="131">
        <v>31012</v>
      </c>
      <c r="D116" s="131"/>
      <c r="E116" s="131"/>
      <c r="F116" s="131"/>
      <c r="G116" s="131"/>
      <c r="H116" s="20"/>
      <c r="I116" s="20"/>
    </row>
    <row r="117" spans="1:9" ht="14.25" customHeight="1" x14ac:dyDescent="0.35">
      <c r="A117" s="132" t="s">
        <v>163</v>
      </c>
      <c r="B117" s="133" t="s">
        <v>48</v>
      </c>
      <c r="C117" s="133">
        <v>11022</v>
      </c>
      <c r="D117" s="133"/>
      <c r="E117" s="133"/>
      <c r="F117" s="133"/>
      <c r="G117" s="133"/>
      <c r="H117" s="20"/>
      <c r="I117" s="20"/>
    </row>
    <row r="118" spans="1:9" ht="14.25" customHeight="1" x14ac:dyDescent="0.35">
      <c r="A118" s="130" t="s">
        <v>207</v>
      </c>
      <c r="B118" s="131" t="s">
        <v>52</v>
      </c>
      <c r="C118" s="131">
        <v>23038</v>
      </c>
      <c r="D118" s="131"/>
      <c r="E118" s="131"/>
      <c r="F118" s="131"/>
      <c r="G118" s="131"/>
      <c r="H118" s="20"/>
      <c r="I118" s="20"/>
    </row>
    <row r="119" spans="1:9" ht="14.25" customHeight="1" x14ac:dyDescent="0.35">
      <c r="A119" s="132" t="s">
        <v>258</v>
      </c>
      <c r="B119" s="133" t="s">
        <v>52</v>
      </c>
      <c r="C119" s="133">
        <v>23039</v>
      </c>
      <c r="D119" s="133"/>
      <c r="E119" s="133"/>
      <c r="F119" s="133"/>
      <c r="G119" s="133"/>
      <c r="H119" s="20"/>
      <c r="I119" s="20"/>
    </row>
    <row r="120" spans="1:9" ht="14.25" customHeight="1" x14ac:dyDescent="0.35">
      <c r="A120" s="130" t="s">
        <v>312</v>
      </c>
      <c r="B120" s="131" t="s">
        <v>48</v>
      </c>
      <c r="C120" s="131">
        <v>11023</v>
      </c>
      <c r="D120" s="131"/>
      <c r="E120" s="131"/>
      <c r="F120" s="131"/>
      <c r="G120" s="131"/>
      <c r="H120" s="20"/>
      <c r="I120" s="20"/>
    </row>
    <row r="121" spans="1:9" ht="14.25" customHeight="1" x14ac:dyDescent="0.35">
      <c r="A121" s="132" t="s">
        <v>247</v>
      </c>
      <c r="B121" s="133" t="s">
        <v>50</v>
      </c>
      <c r="C121" s="133">
        <v>43007</v>
      </c>
      <c r="D121" s="133"/>
      <c r="E121" s="133"/>
      <c r="F121" s="133"/>
      <c r="G121" s="133"/>
      <c r="H121" s="20"/>
      <c r="I121" s="20"/>
    </row>
    <row r="122" spans="1:9" ht="14.25" customHeight="1" x14ac:dyDescent="0.35">
      <c r="A122" s="130" t="s">
        <v>181</v>
      </c>
      <c r="B122" s="131" t="s">
        <v>48</v>
      </c>
      <c r="C122" s="131">
        <v>13017</v>
      </c>
      <c r="D122" s="131"/>
      <c r="E122" s="131"/>
      <c r="F122" s="131"/>
      <c r="G122" s="131"/>
      <c r="H122" s="20"/>
      <c r="I122" s="20"/>
    </row>
    <row r="123" spans="1:9" ht="14.25" customHeight="1" x14ac:dyDescent="0.35">
      <c r="A123" s="132" t="s">
        <v>176</v>
      </c>
      <c r="B123" s="133" t="s">
        <v>52</v>
      </c>
      <c r="C123" s="133">
        <v>24048</v>
      </c>
      <c r="D123" s="133"/>
      <c r="E123" s="133"/>
      <c r="F123" s="133"/>
      <c r="G123" s="133"/>
      <c r="H123" s="20"/>
      <c r="I123" s="20"/>
    </row>
    <row r="124" spans="1:9" ht="14.25" customHeight="1" x14ac:dyDescent="0.35">
      <c r="A124" s="130" t="s">
        <v>325</v>
      </c>
      <c r="B124" s="131" t="s">
        <v>59</v>
      </c>
      <c r="C124" s="131">
        <v>72018</v>
      </c>
      <c r="D124" s="131"/>
      <c r="E124" s="131"/>
      <c r="F124" s="131"/>
      <c r="G124" s="131"/>
      <c r="H124" s="20"/>
      <c r="I124" s="20"/>
    </row>
    <row r="125" spans="1:9" ht="14.25" customHeight="1" x14ac:dyDescent="0.35">
      <c r="A125" s="132" t="s">
        <v>191</v>
      </c>
      <c r="B125" s="133" t="s">
        <v>50</v>
      </c>
      <c r="C125" s="133">
        <v>45060</v>
      </c>
      <c r="D125" s="133">
        <v>2</v>
      </c>
      <c r="E125" s="133">
        <v>2</v>
      </c>
      <c r="F125" s="133">
        <v>3</v>
      </c>
      <c r="G125" s="133">
        <v>3</v>
      </c>
      <c r="H125" s="20"/>
      <c r="I125" s="20"/>
    </row>
    <row r="126" spans="1:9" ht="14.25" customHeight="1" x14ac:dyDescent="0.35">
      <c r="A126" s="130" t="s">
        <v>103</v>
      </c>
      <c r="B126" s="131" t="s">
        <v>55</v>
      </c>
      <c r="C126" s="131">
        <v>31043</v>
      </c>
      <c r="D126" s="131"/>
      <c r="E126" s="131"/>
      <c r="F126" s="131"/>
      <c r="G126" s="131"/>
      <c r="H126" s="20"/>
      <c r="I126" s="20"/>
    </row>
    <row r="127" spans="1:9" ht="14.25" customHeight="1" x14ac:dyDescent="0.35">
      <c r="A127" s="132" t="s">
        <v>256</v>
      </c>
      <c r="B127" s="133" t="s">
        <v>55</v>
      </c>
      <c r="C127" s="133">
        <v>32010</v>
      </c>
      <c r="D127" s="133"/>
      <c r="E127" s="133"/>
      <c r="F127" s="133"/>
      <c r="G127" s="133"/>
      <c r="H127" s="20"/>
      <c r="I127" s="20"/>
    </row>
    <row r="128" spans="1:9" ht="14.25" customHeight="1" x14ac:dyDescent="0.35">
      <c r="A128" s="130" t="s">
        <v>100</v>
      </c>
      <c r="B128" s="131" t="s">
        <v>55</v>
      </c>
      <c r="C128" s="131">
        <v>38014</v>
      </c>
      <c r="D128" s="131"/>
      <c r="E128" s="131"/>
      <c r="F128" s="131"/>
      <c r="G128" s="131"/>
      <c r="H128" s="20"/>
      <c r="I128" s="20"/>
    </row>
    <row r="129" spans="1:9" ht="14.25" customHeight="1" x14ac:dyDescent="0.35">
      <c r="A129" s="132" t="s">
        <v>288</v>
      </c>
      <c r="B129" s="133" t="s">
        <v>48</v>
      </c>
      <c r="C129" s="133">
        <v>11024</v>
      </c>
      <c r="D129" s="133"/>
      <c r="E129" s="133"/>
      <c r="F129" s="133"/>
      <c r="G129" s="133"/>
      <c r="H129" s="20"/>
      <c r="I129" s="20"/>
    </row>
    <row r="130" spans="1:9" ht="14.25" customHeight="1" x14ac:dyDescent="0.35">
      <c r="A130" s="130" t="s">
        <v>138</v>
      </c>
      <c r="B130" s="131" t="s">
        <v>55</v>
      </c>
      <c r="C130" s="131">
        <v>32011</v>
      </c>
      <c r="D130" s="131"/>
      <c r="E130" s="131"/>
      <c r="F130" s="131"/>
      <c r="G130" s="131"/>
      <c r="H130" s="20"/>
      <c r="I130" s="20"/>
    </row>
    <row r="131" spans="1:9" ht="14.25" customHeight="1" x14ac:dyDescent="0.35">
      <c r="A131" s="132" t="s">
        <v>252</v>
      </c>
      <c r="B131" s="133" t="s">
        <v>52</v>
      </c>
      <c r="C131" s="133">
        <v>24054</v>
      </c>
      <c r="D131" s="133"/>
      <c r="E131" s="133"/>
      <c r="F131" s="133"/>
      <c r="G131" s="133"/>
      <c r="H131" s="20"/>
      <c r="I131" s="20"/>
    </row>
    <row r="132" spans="1:9" ht="14.25" customHeight="1" x14ac:dyDescent="0.35">
      <c r="A132" s="130" t="s">
        <v>117</v>
      </c>
      <c r="B132" s="131" t="s">
        <v>52</v>
      </c>
      <c r="C132" s="131">
        <v>24055</v>
      </c>
      <c r="D132" s="131"/>
      <c r="E132" s="131"/>
      <c r="F132" s="131"/>
      <c r="G132" s="131"/>
      <c r="H132" s="20"/>
      <c r="I132" s="20"/>
    </row>
    <row r="133" spans="1:9" ht="14.25" customHeight="1" x14ac:dyDescent="0.35">
      <c r="A133" s="132" t="s">
        <v>56</v>
      </c>
      <c r="B133" s="133" t="s">
        <v>55</v>
      </c>
      <c r="C133" s="133">
        <v>34022</v>
      </c>
      <c r="D133" s="133">
        <v>4</v>
      </c>
      <c r="E133" s="133">
        <v>4</v>
      </c>
      <c r="F133" s="133">
        <v>4</v>
      </c>
      <c r="G133" s="133">
        <v>4</v>
      </c>
      <c r="H133" s="20"/>
      <c r="I133" s="20"/>
    </row>
    <row r="134" spans="1:9" ht="14.25" customHeight="1" x14ac:dyDescent="0.35">
      <c r="A134" s="130" t="s">
        <v>270</v>
      </c>
      <c r="B134" s="131" t="s">
        <v>52</v>
      </c>
      <c r="C134" s="131">
        <v>23099</v>
      </c>
      <c r="D134" s="131"/>
      <c r="E134" s="131"/>
      <c r="F134" s="131"/>
      <c r="G134" s="131"/>
      <c r="H134" s="20"/>
      <c r="I134" s="20"/>
    </row>
    <row r="135" spans="1:9" ht="14.25" customHeight="1" x14ac:dyDescent="0.35">
      <c r="A135" s="132" t="s">
        <v>122</v>
      </c>
      <c r="B135" s="133" t="s">
        <v>50</v>
      </c>
      <c r="C135" s="133">
        <v>45068</v>
      </c>
      <c r="D135" s="133">
        <v>3</v>
      </c>
      <c r="E135" s="133">
        <v>3</v>
      </c>
      <c r="F135" s="133">
        <v>2</v>
      </c>
      <c r="G135" s="133">
        <v>2</v>
      </c>
      <c r="H135" s="20"/>
      <c r="I135" s="20"/>
    </row>
    <row r="136" spans="1:9" ht="14.25" customHeight="1" x14ac:dyDescent="0.35">
      <c r="A136" s="130" t="s">
        <v>158</v>
      </c>
      <c r="B136" s="131" t="s">
        <v>55</v>
      </c>
      <c r="C136" s="131">
        <v>34023</v>
      </c>
      <c r="D136" s="131">
        <v>1</v>
      </c>
      <c r="E136" s="131">
        <v>1</v>
      </c>
      <c r="F136" s="131">
        <v>3</v>
      </c>
      <c r="G136" s="131">
        <v>3</v>
      </c>
      <c r="H136" s="20"/>
      <c r="I136" s="20"/>
    </row>
    <row r="137" spans="1:9" ht="14.25" customHeight="1" x14ac:dyDescent="0.35">
      <c r="A137" s="132" t="s">
        <v>218</v>
      </c>
      <c r="B137" s="133" t="s">
        <v>48</v>
      </c>
      <c r="C137" s="133">
        <v>13053</v>
      </c>
      <c r="D137" s="133"/>
      <c r="E137" s="133"/>
      <c r="F137" s="133"/>
      <c r="G137" s="133"/>
      <c r="H137" s="20"/>
      <c r="I137" s="20"/>
    </row>
    <row r="138" spans="1:9" ht="14.25" customHeight="1" x14ac:dyDescent="0.35">
      <c r="A138" s="130" t="s">
        <v>155</v>
      </c>
      <c r="B138" s="131" t="s">
        <v>50</v>
      </c>
      <c r="C138" s="131">
        <v>42010</v>
      </c>
      <c r="D138" s="131"/>
      <c r="E138" s="131"/>
      <c r="F138" s="131"/>
      <c r="G138" s="131"/>
      <c r="H138" s="20"/>
      <c r="I138" s="20"/>
    </row>
    <row r="139" spans="1:9" ht="14.25" customHeight="1" x14ac:dyDescent="0.35">
      <c r="A139" s="132" t="s">
        <v>295</v>
      </c>
      <c r="B139" s="133" t="s">
        <v>59</v>
      </c>
      <c r="C139" s="133">
        <v>73042</v>
      </c>
      <c r="D139" s="133"/>
      <c r="E139" s="133"/>
      <c r="F139" s="133"/>
      <c r="G139" s="133"/>
      <c r="H139" s="20"/>
      <c r="I139" s="20"/>
    </row>
    <row r="140" spans="1:9" ht="14.25" customHeight="1" x14ac:dyDescent="0.35">
      <c r="A140" s="130" t="s">
        <v>81</v>
      </c>
      <c r="B140" s="131" t="s">
        <v>52</v>
      </c>
      <c r="C140" s="131">
        <v>24059</v>
      </c>
      <c r="D140" s="131"/>
      <c r="E140" s="131"/>
      <c r="F140" s="131"/>
      <c r="G140" s="131"/>
      <c r="H140" s="20"/>
      <c r="I140" s="20"/>
    </row>
    <row r="141" spans="1:9" ht="14.25" customHeight="1" x14ac:dyDescent="0.35">
      <c r="A141" s="132" t="s">
        <v>253</v>
      </c>
      <c r="B141" s="133" t="s">
        <v>55</v>
      </c>
      <c r="C141" s="133">
        <v>33040</v>
      </c>
      <c r="D141" s="133"/>
      <c r="E141" s="133"/>
      <c r="F141" s="133"/>
      <c r="G141" s="133"/>
      <c r="H141" s="20"/>
      <c r="I141" s="20"/>
    </row>
    <row r="142" spans="1:9" ht="14.25" customHeight="1" x14ac:dyDescent="0.35">
      <c r="A142" s="130" t="s">
        <v>114</v>
      </c>
      <c r="B142" s="131" t="s">
        <v>50</v>
      </c>
      <c r="C142" s="131">
        <v>42011</v>
      </c>
      <c r="D142" s="131">
        <v>5</v>
      </c>
      <c r="E142" s="131">
        <v>5</v>
      </c>
      <c r="F142" s="131">
        <v>7</v>
      </c>
      <c r="G142" s="131">
        <v>7</v>
      </c>
      <c r="H142" s="20"/>
      <c r="I142" s="20"/>
    </row>
    <row r="143" spans="1:9" ht="14.25" customHeight="1" x14ac:dyDescent="0.35">
      <c r="A143" s="132" t="s">
        <v>179</v>
      </c>
      <c r="B143" s="133" t="s">
        <v>50</v>
      </c>
      <c r="C143" s="133">
        <v>41034</v>
      </c>
      <c r="D143" s="133">
        <v>4</v>
      </c>
      <c r="E143" s="133">
        <v>4</v>
      </c>
      <c r="F143" s="133">
        <v>4</v>
      </c>
      <c r="G143" s="133">
        <v>4</v>
      </c>
      <c r="H143" s="20"/>
      <c r="I143" s="20"/>
    </row>
    <row r="144" spans="1:9" ht="14.25" customHeight="1" x14ac:dyDescent="0.35">
      <c r="A144" s="130" t="s">
        <v>171</v>
      </c>
      <c r="B144" s="131" t="s">
        <v>55</v>
      </c>
      <c r="C144" s="131">
        <v>36010</v>
      </c>
      <c r="D144" s="131"/>
      <c r="E144" s="131"/>
      <c r="F144" s="131"/>
      <c r="G144" s="131"/>
      <c r="H144" s="20"/>
      <c r="I144" s="20"/>
    </row>
    <row r="145" spans="1:9" ht="14.25" customHeight="1" x14ac:dyDescent="0.35">
      <c r="A145" s="132" t="s">
        <v>320</v>
      </c>
      <c r="B145" s="133" t="s">
        <v>55</v>
      </c>
      <c r="C145" s="133">
        <v>34025</v>
      </c>
      <c r="D145" s="133"/>
      <c r="E145" s="133"/>
      <c r="F145" s="133"/>
      <c r="G145" s="133"/>
      <c r="H145" s="20"/>
      <c r="I145" s="20"/>
    </row>
    <row r="146" spans="1:9" ht="14.25" customHeight="1" x14ac:dyDescent="0.35">
      <c r="A146" s="130" t="s">
        <v>257</v>
      </c>
      <c r="B146" s="131" t="s">
        <v>52</v>
      </c>
      <c r="C146" s="131">
        <v>23104</v>
      </c>
      <c r="D146" s="131"/>
      <c r="E146" s="131"/>
      <c r="F146" s="131"/>
      <c r="G146" s="131"/>
      <c r="H146" s="20"/>
      <c r="I146" s="20"/>
    </row>
    <row r="147" spans="1:9" ht="14.25" customHeight="1" x14ac:dyDescent="0.35">
      <c r="A147" s="132" t="s">
        <v>308</v>
      </c>
      <c r="B147" s="133" t="s">
        <v>59</v>
      </c>
      <c r="C147" s="133">
        <v>71034</v>
      </c>
      <c r="D147" s="133">
        <v>1</v>
      </c>
      <c r="E147" s="133">
        <v>1</v>
      </c>
      <c r="F147" s="133">
        <v>1</v>
      </c>
      <c r="G147" s="133">
        <v>1</v>
      </c>
      <c r="H147" s="20"/>
      <c r="I147" s="20"/>
    </row>
    <row r="148" spans="1:9" ht="14.25" customHeight="1" x14ac:dyDescent="0.35">
      <c r="A148" s="130" t="s">
        <v>51</v>
      </c>
      <c r="B148" s="131" t="s">
        <v>52</v>
      </c>
      <c r="C148" s="131">
        <v>24062</v>
      </c>
      <c r="D148" s="131"/>
      <c r="E148" s="131"/>
      <c r="F148" s="131"/>
      <c r="G148" s="131"/>
      <c r="H148" s="20"/>
      <c r="I148" s="20"/>
    </row>
    <row r="149" spans="1:9" ht="14.25" customHeight="1" x14ac:dyDescent="0.35">
      <c r="A149" s="132" t="s">
        <v>198</v>
      </c>
      <c r="B149" s="133" t="s">
        <v>55</v>
      </c>
      <c r="C149" s="133">
        <v>36011</v>
      </c>
      <c r="D149" s="133"/>
      <c r="E149" s="133"/>
      <c r="F149" s="133"/>
      <c r="G149" s="133"/>
      <c r="H149" s="20"/>
      <c r="I149" s="20"/>
    </row>
    <row r="150" spans="1:9" ht="14.25" customHeight="1" x14ac:dyDescent="0.35">
      <c r="A150" s="130" t="s">
        <v>334</v>
      </c>
      <c r="B150" s="131" t="s">
        <v>52</v>
      </c>
      <c r="C150" s="131">
        <v>23044</v>
      </c>
      <c r="D150" s="131"/>
      <c r="E150" s="131"/>
      <c r="F150" s="131"/>
      <c r="G150" s="131"/>
      <c r="H150" s="20"/>
      <c r="I150" s="20"/>
    </row>
    <row r="151" spans="1:9" ht="14.25" customHeight="1" x14ac:dyDescent="0.35">
      <c r="A151" s="132" t="s">
        <v>68</v>
      </c>
      <c r="B151" s="133" t="s">
        <v>48</v>
      </c>
      <c r="C151" s="133">
        <v>12021</v>
      </c>
      <c r="D151" s="133"/>
      <c r="E151" s="133"/>
      <c r="F151" s="133"/>
      <c r="G151" s="133"/>
      <c r="H151" s="20"/>
      <c r="I151" s="20"/>
    </row>
    <row r="152" spans="1:9" ht="14.25" customHeight="1" x14ac:dyDescent="0.35">
      <c r="A152" s="130" t="s">
        <v>248</v>
      </c>
      <c r="B152" s="131" t="s">
        <v>50</v>
      </c>
      <c r="C152" s="131">
        <v>45063</v>
      </c>
      <c r="D152" s="131">
        <v>2</v>
      </c>
      <c r="E152" s="131">
        <v>2</v>
      </c>
      <c r="F152" s="131">
        <v>2</v>
      </c>
      <c r="G152" s="131">
        <v>2</v>
      </c>
      <c r="H152" s="20"/>
      <c r="I152" s="20"/>
    </row>
    <row r="153" spans="1:9" ht="14.25" customHeight="1" x14ac:dyDescent="0.35">
      <c r="A153" s="132" t="s">
        <v>82</v>
      </c>
      <c r="B153" s="133" t="s">
        <v>50</v>
      </c>
      <c r="C153" s="133">
        <v>44085</v>
      </c>
      <c r="D153" s="133"/>
      <c r="E153" s="133"/>
      <c r="F153" s="133"/>
      <c r="G153" s="133"/>
      <c r="H153" s="20"/>
      <c r="I153" s="20"/>
    </row>
    <row r="154" spans="1:9" ht="14.25" customHeight="1" x14ac:dyDescent="0.35">
      <c r="A154" s="130" t="s">
        <v>161</v>
      </c>
      <c r="B154" s="131" t="s">
        <v>48</v>
      </c>
      <c r="C154" s="131">
        <v>13019</v>
      </c>
      <c r="D154" s="131"/>
      <c r="E154" s="131"/>
      <c r="F154" s="131"/>
      <c r="G154" s="131"/>
      <c r="H154" s="20"/>
      <c r="I154" s="20"/>
    </row>
    <row r="155" spans="1:9" ht="14.25" customHeight="1" x14ac:dyDescent="0.35">
      <c r="A155" s="132" t="s">
        <v>319</v>
      </c>
      <c r="B155" s="133" t="s">
        <v>52</v>
      </c>
      <c r="C155" s="133">
        <v>23100</v>
      </c>
      <c r="D155" s="133"/>
      <c r="E155" s="133"/>
      <c r="F155" s="133"/>
      <c r="G155" s="133"/>
      <c r="H155" s="20"/>
      <c r="I155" s="20"/>
    </row>
    <row r="156" spans="1:9" ht="14.25" customHeight="1" x14ac:dyDescent="0.35">
      <c r="A156" s="130" t="s">
        <v>254</v>
      </c>
      <c r="B156" s="131" t="s">
        <v>48</v>
      </c>
      <c r="C156" s="131">
        <v>11025</v>
      </c>
      <c r="D156" s="131"/>
      <c r="E156" s="131"/>
      <c r="F156" s="131"/>
      <c r="G156" s="131"/>
      <c r="H156" s="20"/>
      <c r="I156" s="20"/>
    </row>
    <row r="157" spans="1:9" ht="14.25" customHeight="1" x14ac:dyDescent="0.35">
      <c r="A157" s="132" t="s">
        <v>193</v>
      </c>
      <c r="B157" s="133" t="s">
        <v>52</v>
      </c>
      <c r="C157" s="133">
        <v>24133</v>
      </c>
      <c r="D157" s="133"/>
      <c r="E157" s="133"/>
      <c r="F157" s="133"/>
      <c r="G157" s="133"/>
      <c r="H157" s="20"/>
      <c r="I157" s="20"/>
    </row>
    <row r="158" spans="1:9" ht="14.25" customHeight="1" x14ac:dyDescent="0.35">
      <c r="A158" s="130" t="s">
        <v>239</v>
      </c>
      <c r="B158" s="131" t="s">
        <v>55</v>
      </c>
      <c r="C158" s="131">
        <v>32030</v>
      </c>
      <c r="D158" s="131"/>
      <c r="E158" s="131"/>
      <c r="F158" s="131"/>
      <c r="G158" s="131"/>
      <c r="H158" s="20"/>
      <c r="I158" s="20"/>
    </row>
    <row r="159" spans="1:9" ht="14.25" customHeight="1" x14ac:dyDescent="0.35">
      <c r="A159" s="132" t="s">
        <v>233</v>
      </c>
      <c r="B159" s="133" t="s">
        <v>50</v>
      </c>
      <c r="C159" s="133">
        <v>44034</v>
      </c>
      <c r="D159" s="133"/>
      <c r="E159" s="133"/>
      <c r="F159" s="133"/>
      <c r="G159" s="133"/>
      <c r="H159" s="20"/>
      <c r="I159" s="20"/>
    </row>
    <row r="160" spans="1:9" ht="14.25" customHeight="1" x14ac:dyDescent="0.35">
      <c r="A160" s="130" t="s">
        <v>72</v>
      </c>
      <c r="B160" s="131" t="s">
        <v>50</v>
      </c>
      <c r="C160" s="131">
        <v>46014</v>
      </c>
      <c r="D160" s="131">
        <v>1</v>
      </c>
      <c r="E160" s="131">
        <v>1</v>
      </c>
      <c r="F160" s="131">
        <v>2</v>
      </c>
      <c r="G160" s="131">
        <v>2</v>
      </c>
      <c r="H160" s="20"/>
      <c r="I160" s="20"/>
    </row>
    <row r="161" spans="1:9" ht="14.25" customHeight="1" x14ac:dyDescent="0.35">
      <c r="A161" s="132" t="s">
        <v>126</v>
      </c>
      <c r="B161" s="133" t="s">
        <v>59</v>
      </c>
      <c r="C161" s="133">
        <v>72020</v>
      </c>
      <c r="D161" s="133">
        <v>7</v>
      </c>
      <c r="E161" s="133">
        <v>7</v>
      </c>
      <c r="F161" s="133">
        <v>7</v>
      </c>
      <c r="G161" s="133">
        <v>7</v>
      </c>
      <c r="H161" s="20"/>
      <c r="I161" s="20"/>
    </row>
    <row r="162" spans="1:9" ht="14.25" customHeight="1" x14ac:dyDescent="0.35">
      <c r="A162" s="130" t="s">
        <v>283</v>
      </c>
      <c r="B162" s="131" t="s">
        <v>52</v>
      </c>
      <c r="C162" s="131">
        <v>23045</v>
      </c>
      <c r="D162" s="131"/>
      <c r="E162" s="131"/>
      <c r="F162" s="131"/>
      <c r="G162" s="131"/>
      <c r="H162" s="20"/>
      <c r="I162" s="20"/>
    </row>
    <row r="163" spans="1:9" ht="14.25" customHeight="1" x14ac:dyDescent="0.35">
      <c r="A163" s="132" t="s">
        <v>139</v>
      </c>
      <c r="B163" s="133" t="s">
        <v>52</v>
      </c>
      <c r="C163" s="133">
        <v>24066</v>
      </c>
      <c r="D163" s="133"/>
      <c r="E163" s="133"/>
      <c r="F163" s="133"/>
      <c r="G163" s="133"/>
      <c r="H163" s="20"/>
      <c r="I163" s="20"/>
    </row>
    <row r="164" spans="1:9" ht="14.25" customHeight="1" x14ac:dyDescent="0.35">
      <c r="A164" s="130" t="s">
        <v>286</v>
      </c>
      <c r="B164" s="131" t="s">
        <v>59</v>
      </c>
      <c r="C164" s="131">
        <v>71037</v>
      </c>
      <c r="D164" s="131"/>
      <c r="E164" s="131"/>
      <c r="F164" s="131"/>
      <c r="G164" s="131"/>
      <c r="H164" s="20"/>
      <c r="I164" s="20"/>
    </row>
    <row r="165" spans="1:9" ht="14.25" customHeight="1" x14ac:dyDescent="0.35">
      <c r="A165" s="132" t="s">
        <v>244</v>
      </c>
      <c r="B165" s="133" t="s">
        <v>50</v>
      </c>
      <c r="C165" s="133">
        <v>45064</v>
      </c>
      <c r="D165" s="133">
        <v>2</v>
      </c>
      <c r="E165" s="133">
        <v>2</v>
      </c>
      <c r="F165" s="133">
        <v>2</v>
      </c>
      <c r="G165" s="133">
        <v>2</v>
      </c>
      <c r="H165" s="20"/>
      <c r="I165" s="20"/>
    </row>
    <row r="166" spans="1:9" ht="14.25" customHeight="1" x14ac:dyDescent="0.35">
      <c r="A166" s="130" t="s">
        <v>211</v>
      </c>
      <c r="B166" s="131" t="s">
        <v>59</v>
      </c>
      <c r="C166" s="131">
        <v>72021</v>
      </c>
      <c r="D166" s="131"/>
      <c r="E166" s="131"/>
      <c r="F166" s="131">
        <v>3</v>
      </c>
      <c r="G166" s="131">
        <v>3</v>
      </c>
      <c r="H166" s="20"/>
      <c r="I166" s="20"/>
    </row>
    <row r="167" spans="1:9" ht="14.25" customHeight="1" x14ac:dyDescent="0.35">
      <c r="A167" s="132" t="s">
        <v>229</v>
      </c>
      <c r="B167" s="133" t="s">
        <v>59</v>
      </c>
      <c r="C167" s="133">
        <v>73107</v>
      </c>
      <c r="D167" s="133"/>
      <c r="E167" s="133"/>
      <c r="F167" s="133"/>
      <c r="G167" s="133"/>
      <c r="H167" s="20"/>
      <c r="I167" s="20"/>
    </row>
    <row r="168" spans="1:9" ht="14.25" customHeight="1" x14ac:dyDescent="0.35">
      <c r="A168" s="130" t="s">
        <v>278</v>
      </c>
      <c r="B168" s="131" t="s">
        <v>52</v>
      </c>
      <c r="C168" s="131">
        <v>23047</v>
      </c>
      <c r="D168" s="131"/>
      <c r="E168" s="131"/>
      <c r="F168" s="131"/>
      <c r="G168" s="131"/>
      <c r="H168" s="20"/>
      <c r="I168" s="20"/>
    </row>
    <row r="169" spans="1:9" ht="14.25" customHeight="1" x14ac:dyDescent="0.35">
      <c r="A169" s="132" t="s">
        <v>165</v>
      </c>
      <c r="B169" s="133" t="s">
        <v>50</v>
      </c>
      <c r="C169" s="133">
        <v>43010</v>
      </c>
      <c r="D169" s="133"/>
      <c r="E169" s="133"/>
      <c r="F169" s="133"/>
      <c r="G169" s="133"/>
      <c r="H169" s="20"/>
      <c r="I169" s="20"/>
    </row>
    <row r="170" spans="1:9" ht="14.25" customHeight="1" x14ac:dyDescent="0.35">
      <c r="A170" s="130" t="s">
        <v>178</v>
      </c>
      <c r="B170" s="131" t="s">
        <v>48</v>
      </c>
      <c r="C170" s="131">
        <v>11057</v>
      </c>
      <c r="D170" s="131"/>
      <c r="E170" s="131"/>
      <c r="F170" s="131"/>
      <c r="G170" s="131"/>
      <c r="H170" s="20"/>
      <c r="I170" s="20"/>
    </row>
    <row r="171" spans="1:9" ht="14.25" customHeight="1" x14ac:dyDescent="0.35">
      <c r="A171" s="132" t="s">
        <v>53</v>
      </c>
      <c r="B171" s="133" t="s">
        <v>48</v>
      </c>
      <c r="C171" s="133">
        <v>12025</v>
      </c>
      <c r="D171" s="133">
        <v>1</v>
      </c>
      <c r="E171" s="133">
        <v>1</v>
      </c>
      <c r="F171" s="133">
        <v>2</v>
      </c>
      <c r="G171" s="133">
        <v>2</v>
      </c>
      <c r="H171" s="20"/>
      <c r="I171" s="20"/>
    </row>
    <row r="172" spans="1:9" ht="14.25" customHeight="1" x14ac:dyDescent="0.35">
      <c r="A172" s="130" t="s">
        <v>172</v>
      </c>
      <c r="B172" s="131" t="s">
        <v>48</v>
      </c>
      <c r="C172" s="131">
        <v>13021</v>
      </c>
      <c r="D172" s="131"/>
      <c r="E172" s="131"/>
      <c r="F172" s="131"/>
      <c r="G172" s="131"/>
      <c r="H172" s="20"/>
      <c r="I172" s="20"/>
    </row>
    <row r="173" spans="1:9" ht="14.25" customHeight="1" x14ac:dyDescent="0.35">
      <c r="A173" s="132" t="s">
        <v>287</v>
      </c>
      <c r="B173" s="133" t="s">
        <v>52</v>
      </c>
      <c r="C173" s="133">
        <v>23050</v>
      </c>
      <c r="D173" s="133">
        <v>2</v>
      </c>
      <c r="E173" s="133">
        <v>2</v>
      </c>
      <c r="F173" s="133">
        <v>2</v>
      </c>
      <c r="G173" s="133">
        <v>2</v>
      </c>
      <c r="H173" s="20"/>
      <c r="I173" s="20"/>
    </row>
    <row r="174" spans="1:9" ht="14.25" customHeight="1" x14ac:dyDescent="0.35">
      <c r="A174" s="130" t="s">
        <v>130</v>
      </c>
      <c r="B174" s="131" t="s">
        <v>55</v>
      </c>
      <c r="C174" s="131">
        <v>34027</v>
      </c>
      <c r="D174" s="131">
        <v>4</v>
      </c>
      <c r="E174" s="131">
        <v>4</v>
      </c>
      <c r="F174" s="131">
        <v>4</v>
      </c>
      <c r="G174" s="131">
        <v>4</v>
      </c>
      <c r="H174" s="20"/>
      <c r="I174" s="20"/>
    </row>
    <row r="175" spans="1:9" ht="14.25" customHeight="1" x14ac:dyDescent="0.35">
      <c r="A175" s="132" t="s">
        <v>281</v>
      </c>
      <c r="B175" s="133" t="s">
        <v>52</v>
      </c>
      <c r="C175" s="133">
        <v>23052</v>
      </c>
      <c r="D175" s="133">
        <v>2</v>
      </c>
      <c r="E175" s="133">
        <v>2</v>
      </c>
      <c r="F175" s="133">
        <v>2</v>
      </c>
      <c r="G175" s="133">
        <v>2</v>
      </c>
      <c r="H175" s="20"/>
      <c r="I175" s="20"/>
    </row>
    <row r="176" spans="1:9" ht="14.25" customHeight="1" x14ac:dyDescent="0.35">
      <c r="A176" s="130" t="s">
        <v>60</v>
      </c>
      <c r="B176" s="131" t="s">
        <v>50</v>
      </c>
      <c r="C176" s="131">
        <v>44043</v>
      </c>
      <c r="D176" s="131"/>
      <c r="E176" s="131"/>
      <c r="F176" s="131"/>
      <c r="G176" s="131"/>
      <c r="H176" s="20"/>
      <c r="I176" s="20"/>
    </row>
    <row r="177" spans="1:9" ht="14.25" customHeight="1" x14ac:dyDescent="0.35">
      <c r="A177" s="132" t="s">
        <v>197</v>
      </c>
      <c r="B177" s="133" t="s">
        <v>48</v>
      </c>
      <c r="C177" s="133">
        <v>13023</v>
      </c>
      <c r="D177" s="133">
        <v>2</v>
      </c>
      <c r="E177" s="133">
        <v>2</v>
      </c>
      <c r="F177" s="133">
        <v>2</v>
      </c>
      <c r="G177" s="133">
        <v>2</v>
      </c>
      <c r="H177" s="20"/>
      <c r="I177" s="20"/>
    </row>
    <row r="178" spans="1:9" ht="14.25" customHeight="1" x14ac:dyDescent="0.35">
      <c r="A178" s="130" t="s">
        <v>238</v>
      </c>
      <c r="B178" s="131" t="s">
        <v>55</v>
      </c>
      <c r="C178" s="131">
        <v>33016</v>
      </c>
      <c r="D178" s="131"/>
      <c r="E178" s="131"/>
      <c r="F178" s="131"/>
      <c r="G178" s="131"/>
      <c r="H178" s="20"/>
      <c r="I178" s="20"/>
    </row>
    <row r="179" spans="1:9" ht="14.25" customHeight="1" x14ac:dyDescent="0.35">
      <c r="A179" s="132" t="s">
        <v>225</v>
      </c>
      <c r="B179" s="133" t="s">
        <v>55</v>
      </c>
      <c r="C179" s="133">
        <v>35011</v>
      </c>
      <c r="D179" s="133"/>
      <c r="E179" s="133"/>
      <c r="F179" s="133"/>
      <c r="G179" s="133"/>
      <c r="H179" s="20"/>
      <c r="I179" s="20"/>
    </row>
    <row r="180" spans="1:9" ht="14.25" customHeight="1" x14ac:dyDescent="0.35">
      <c r="A180" s="130" t="s">
        <v>145</v>
      </c>
      <c r="B180" s="131" t="s">
        <v>48</v>
      </c>
      <c r="C180" s="131">
        <v>13025</v>
      </c>
      <c r="D180" s="131"/>
      <c r="E180" s="131"/>
      <c r="F180" s="131"/>
      <c r="G180" s="131"/>
      <c r="H180" s="20"/>
      <c r="I180" s="20"/>
    </row>
    <row r="181" spans="1:9" ht="14.25" customHeight="1" x14ac:dyDescent="0.35">
      <c r="A181" s="132" t="s">
        <v>174</v>
      </c>
      <c r="B181" s="133" t="s">
        <v>55</v>
      </c>
      <c r="C181" s="133">
        <v>36012</v>
      </c>
      <c r="D181" s="133"/>
      <c r="E181" s="133"/>
      <c r="F181" s="133"/>
      <c r="G181" s="133"/>
      <c r="H181" s="20"/>
      <c r="I181" s="20"/>
    </row>
    <row r="182" spans="1:9" ht="14.25" customHeight="1" x14ac:dyDescent="0.35">
      <c r="A182" s="130" t="s">
        <v>66</v>
      </c>
      <c r="B182" s="131" t="s">
        <v>48</v>
      </c>
      <c r="C182" s="131">
        <v>11029</v>
      </c>
      <c r="D182" s="131"/>
      <c r="E182" s="131"/>
      <c r="F182" s="131"/>
      <c r="G182" s="131"/>
      <c r="H182" s="20"/>
      <c r="I182" s="20"/>
    </row>
    <row r="183" spans="1:9" ht="14.25" customHeight="1" x14ac:dyDescent="0.35">
      <c r="A183" s="132" t="s">
        <v>75</v>
      </c>
      <c r="B183" s="133" t="s">
        <v>50</v>
      </c>
      <c r="C183" s="133">
        <v>44048</v>
      </c>
      <c r="D183" s="133"/>
      <c r="E183" s="133"/>
      <c r="F183" s="133"/>
      <c r="G183" s="133"/>
      <c r="H183" s="20"/>
      <c r="I183" s="20"/>
    </row>
    <row r="184" spans="1:9" ht="14.25" customHeight="1" x14ac:dyDescent="0.35">
      <c r="A184" s="130" t="s">
        <v>203</v>
      </c>
      <c r="B184" s="131" t="s">
        <v>48</v>
      </c>
      <c r="C184" s="131">
        <v>11030</v>
      </c>
      <c r="D184" s="131"/>
      <c r="E184" s="131"/>
      <c r="F184" s="131"/>
      <c r="G184" s="131"/>
      <c r="H184" s="20"/>
      <c r="I184" s="20"/>
    </row>
    <row r="185" spans="1:9" ht="14.25" customHeight="1" x14ac:dyDescent="0.35">
      <c r="A185" s="132" t="s">
        <v>299</v>
      </c>
      <c r="B185" s="133" t="s">
        <v>59</v>
      </c>
      <c r="C185" s="133">
        <v>71045</v>
      </c>
      <c r="D185" s="133"/>
      <c r="E185" s="133"/>
      <c r="F185" s="133">
        <v>1</v>
      </c>
      <c r="G185" s="133">
        <v>1</v>
      </c>
      <c r="H185" s="20"/>
      <c r="I185" s="20"/>
    </row>
    <row r="186" spans="1:9" ht="14.25" customHeight="1" x14ac:dyDescent="0.35">
      <c r="A186" s="130" t="s">
        <v>152</v>
      </c>
      <c r="B186" s="131" t="s">
        <v>55</v>
      </c>
      <c r="C186" s="131">
        <v>38016</v>
      </c>
      <c r="D186" s="131"/>
      <c r="E186" s="131"/>
      <c r="F186" s="131"/>
      <c r="G186" s="131"/>
      <c r="H186" s="20"/>
      <c r="I186" s="20"/>
    </row>
    <row r="187" spans="1:9" ht="14.25" customHeight="1" x14ac:dyDescent="0.35">
      <c r="A187" s="132" t="s">
        <v>124</v>
      </c>
      <c r="B187" s="133" t="s">
        <v>48</v>
      </c>
      <c r="C187" s="133">
        <v>12026</v>
      </c>
      <c r="D187" s="133"/>
      <c r="E187" s="133"/>
      <c r="F187" s="133"/>
      <c r="G187" s="133"/>
      <c r="H187" s="20"/>
      <c r="I187" s="20"/>
    </row>
    <row r="188" spans="1:9" ht="14.25" customHeight="1" x14ac:dyDescent="0.35">
      <c r="A188" s="130" t="s">
        <v>236</v>
      </c>
      <c r="B188" s="131" t="s">
        <v>50</v>
      </c>
      <c r="C188" s="131">
        <v>41048</v>
      </c>
      <c r="D188" s="131"/>
      <c r="E188" s="131"/>
      <c r="F188" s="131">
        <v>1</v>
      </c>
      <c r="G188" s="131">
        <v>1</v>
      </c>
      <c r="H188" s="20"/>
      <c r="I188" s="20"/>
    </row>
    <row r="189" spans="1:9" ht="14.25" customHeight="1" x14ac:dyDescent="0.35">
      <c r="A189" s="132" t="s">
        <v>330</v>
      </c>
      <c r="B189" s="133" t="s">
        <v>48</v>
      </c>
      <c r="C189" s="133">
        <v>13029</v>
      </c>
      <c r="D189" s="133"/>
      <c r="E189" s="133"/>
      <c r="F189" s="133"/>
      <c r="G189" s="133"/>
      <c r="H189" s="20"/>
      <c r="I189" s="20"/>
    </row>
    <row r="190" spans="1:9" ht="14.25" customHeight="1" x14ac:dyDescent="0.35">
      <c r="A190" s="130" t="s">
        <v>64</v>
      </c>
      <c r="B190" s="131" t="s">
        <v>55</v>
      </c>
      <c r="C190" s="131">
        <v>35013</v>
      </c>
      <c r="D190" s="131"/>
      <c r="E190" s="131"/>
      <c r="F190" s="131"/>
      <c r="G190" s="131"/>
      <c r="H190" s="20"/>
      <c r="I190" s="20"/>
    </row>
    <row r="191" spans="1:9" ht="14.25" customHeight="1" x14ac:dyDescent="0.35">
      <c r="A191" s="132" t="s">
        <v>121</v>
      </c>
      <c r="B191" s="133" t="s">
        <v>50</v>
      </c>
      <c r="C191" s="133">
        <v>44052</v>
      </c>
      <c r="D191" s="133">
        <v>3</v>
      </c>
      <c r="E191" s="133">
        <v>3</v>
      </c>
      <c r="F191" s="133">
        <v>3</v>
      </c>
      <c r="G191" s="133">
        <v>3</v>
      </c>
      <c r="H191" s="20"/>
      <c r="I191" s="20"/>
    </row>
    <row r="192" spans="1:9" ht="14.25" customHeight="1" x14ac:dyDescent="0.35">
      <c r="A192" s="130" t="s">
        <v>79</v>
      </c>
      <c r="B192" s="131" t="s">
        <v>55</v>
      </c>
      <c r="C192" s="131">
        <v>31022</v>
      </c>
      <c r="D192" s="131"/>
      <c r="E192" s="131"/>
      <c r="F192" s="131"/>
      <c r="G192" s="131"/>
      <c r="H192" s="20"/>
      <c r="I192" s="20"/>
    </row>
    <row r="193" spans="1:9" ht="14.25" customHeight="1" x14ac:dyDescent="0.35">
      <c r="A193" s="132" t="s">
        <v>194</v>
      </c>
      <c r="B193" s="133" t="s">
        <v>55</v>
      </c>
      <c r="C193" s="133">
        <v>37010</v>
      </c>
      <c r="D193" s="133">
        <v>2</v>
      </c>
      <c r="E193" s="133">
        <v>2</v>
      </c>
      <c r="F193" s="133">
        <v>2</v>
      </c>
      <c r="G193" s="133">
        <v>2</v>
      </c>
      <c r="H193" s="20"/>
      <c r="I193" s="20"/>
    </row>
    <row r="194" spans="1:9" ht="14.25" customHeight="1" x14ac:dyDescent="0.35">
      <c r="A194" s="130" t="s">
        <v>214</v>
      </c>
      <c r="B194" s="131" t="s">
        <v>52</v>
      </c>
      <c r="C194" s="131">
        <v>23060</v>
      </c>
      <c r="D194" s="131"/>
      <c r="E194" s="131"/>
      <c r="F194" s="131"/>
      <c r="G194" s="131"/>
      <c r="H194" s="20"/>
      <c r="I194" s="20"/>
    </row>
    <row r="195" spans="1:9" ht="14.25" customHeight="1" x14ac:dyDescent="0.35">
      <c r="A195" s="132" t="s">
        <v>110</v>
      </c>
      <c r="B195" s="133" t="s">
        <v>52</v>
      </c>
      <c r="C195" s="133">
        <v>24086</v>
      </c>
      <c r="D195" s="133"/>
      <c r="E195" s="133"/>
      <c r="F195" s="133"/>
      <c r="G195" s="133"/>
      <c r="H195" s="20"/>
      <c r="I195" s="20"/>
    </row>
    <row r="196" spans="1:9" ht="14.25" customHeight="1" x14ac:dyDescent="0.35">
      <c r="A196" s="130" t="s">
        <v>159</v>
      </c>
      <c r="B196" s="131" t="s">
        <v>48</v>
      </c>
      <c r="C196" s="131">
        <v>13031</v>
      </c>
      <c r="D196" s="131">
        <v>2</v>
      </c>
      <c r="E196" s="131">
        <v>2</v>
      </c>
      <c r="F196" s="131">
        <v>2</v>
      </c>
      <c r="G196" s="131">
        <v>2</v>
      </c>
      <c r="H196" s="20"/>
      <c r="I196" s="20"/>
    </row>
    <row r="197" spans="1:9" ht="14.25" customHeight="1" x14ac:dyDescent="0.35">
      <c r="A197" s="132" t="s">
        <v>77</v>
      </c>
      <c r="B197" s="133" t="s">
        <v>50</v>
      </c>
      <c r="C197" s="133">
        <v>45035</v>
      </c>
      <c r="D197" s="133">
        <v>3</v>
      </c>
      <c r="E197" s="133">
        <v>3</v>
      </c>
      <c r="F197" s="133">
        <v>3</v>
      </c>
      <c r="G197" s="133">
        <v>3</v>
      </c>
      <c r="H197" s="20"/>
      <c r="I197" s="20"/>
    </row>
    <row r="198" spans="1:9" ht="14.25" customHeight="1" x14ac:dyDescent="0.35">
      <c r="A198" s="130" t="s">
        <v>200</v>
      </c>
      <c r="B198" s="131" t="s">
        <v>55</v>
      </c>
      <c r="C198" s="131">
        <v>35014</v>
      </c>
      <c r="D198" s="131"/>
      <c r="E198" s="131"/>
      <c r="F198" s="131"/>
      <c r="G198" s="131"/>
      <c r="H198" s="20"/>
      <c r="I198" s="20"/>
    </row>
    <row r="199" spans="1:9" ht="14.25" customHeight="1" x14ac:dyDescent="0.35">
      <c r="A199" s="132" t="s">
        <v>234</v>
      </c>
      <c r="B199" s="133" t="s">
        <v>59</v>
      </c>
      <c r="C199" s="133">
        <v>72042</v>
      </c>
      <c r="D199" s="133"/>
      <c r="E199" s="133"/>
      <c r="F199" s="133"/>
      <c r="G199" s="133"/>
      <c r="H199" s="20"/>
      <c r="I199" s="20"/>
    </row>
    <row r="200" spans="1:9" ht="14.25" customHeight="1" x14ac:dyDescent="0.35">
      <c r="A200" s="130" t="s">
        <v>230</v>
      </c>
      <c r="B200" s="131" t="s">
        <v>52</v>
      </c>
      <c r="C200" s="131">
        <v>23062</v>
      </c>
      <c r="D200" s="131"/>
      <c r="E200" s="131"/>
      <c r="F200" s="131"/>
      <c r="G200" s="131"/>
      <c r="H200" s="20"/>
      <c r="I200" s="20"/>
    </row>
    <row r="201" spans="1:9" ht="14.25" customHeight="1" x14ac:dyDescent="0.35">
      <c r="A201" s="132" t="s">
        <v>293</v>
      </c>
      <c r="B201" s="133" t="s">
        <v>52</v>
      </c>
      <c r="C201" s="133"/>
      <c r="D201" s="133">
        <v>2</v>
      </c>
      <c r="E201" s="133">
        <v>2</v>
      </c>
      <c r="F201" s="133">
        <v>2</v>
      </c>
      <c r="G201" s="133">
        <v>2</v>
      </c>
      <c r="H201" s="20"/>
      <c r="I201" s="20"/>
    </row>
    <row r="202" spans="1:9" ht="14.25" customHeight="1" x14ac:dyDescent="0.35">
      <c r="A202" s="130" t="s">
        <v>232</v>
      </c>
      <c r="B202" s="131" t="s">
        <v>59</v>
      </c>
      <c r="C202" s="131">
        <v>72030</v>
      </c>
      <c r="D202" s="131"/>
      <c r="E202" s="131"/>
      <c r="F202" s="131"/>
      <c r="G202" s="131"/>
      <c r="H202" s="20"/>
      <c r="I202" s="20"/>
    </row>
    <row r="203" spans="1:9" ht="14.25" customHeight="1" x14ac:dyDescent="0.35">
      <c r="A203" s="132" t="s">
        <v>310</v>
      </c>
      <c r="B203" s="133" t="s">
        <v>59</v>
      </c>
      <c r="C203" s="133">
        <v>72043</v>
      </c>
      <c r="D203" s="133"/>
      <c r="E203" s="133"/>
      <c r="F203" s="133"/>
      <c r="G203" s="133"/>
      <c r="H203" s="20"/>
      <c r="I203" s="20"/>
    </row>
    <row r="204" spans="1:9" ht="14.25" customHeight="1" x14ac:dyDescent="0.35">
      <c r="A204" s="130" t="s">
        <v>241</v>
      </c>
      <c r="B204" s="131" t="s">
        <v>52</v>
      </c>
      <c r="C204" s="131">
        <v>23064</v>
      </c>
      <c r="D204" s="131"/>
      <c r="E204" s="131"/>
      <c r="F204" s="131"/>
      <c r="G204" s="131"/>
      <c r="H204" s="20"/>
      <c r="I204" s="20"/>
    </row>
    <row r="205" spans="1:9" ht="14.25" customHeight="1" x14ac:dyDescent="0.35">
      <c r="A205" s="132" t="s">
        <v>251</v>
      </c>
      <c r="B205" s="133" t="s">
        <v>55</v>
      </c>
      <c r="C205" s="133">
        <v>37011</v>
      </c>
      <c r="D205" s="133"/>
      <c r="E205" s="133"/>
      <c r="F205" s="133"/>
      <c r="G205" s="133"/>
      <c r="H205" s="20"/>
      <c r="I205" s="20"/>
    </row>
    <row r="206" spans="1:9" ht="14.25" customHeight="1" x14ac:dyDescent="0.35">
      <c r="A206" s="130" t="s">
        <v>98</v>
      </c>
      <c r="B206" s="131" t="s">
        <v>55</v>
      </c>
      <c r="C206" s="131">
        <v>33021</v>
      </c>
      <c r="D206" s="131"/>
      <c r="E206" s="131"/>
      <c r="F206" s="131"/>
      <c r="G206" s="131"/>
      <c r="H206" s="20"/>
      <c r="I206" s="20"/>
    </row>
    <row r="207" spans="1:9" ht="14.25" customHeight="1" x14ac:dyDescent="0.35">
      <c r="A207" s="132" t="s">
        <v>282</v>
      </c>
      <c r="B207" s="133" t="s">
        <v>48</v>
      </c>
      <c r="C207" s="133">
        <v>12029</v>
      </c>
      <c r="D207" s="133">
        <v>1</v>
      </c>
      <c r="E207" s="133">
        <v>1</v>
      </c>
      <c r="F207" s="133">
        <v>1</v>
      </c>
      <c r="G207" s="133">
        <v>1</v>
      </c>
      <c r="H207" s="20"/>
      <c r="I207" s="20"/>
    </row>
    <row r="208" spans="1:9" ht="14.25" customHeight="1" x14ac:dyDescent="0.35">
      <c r="A208" s="130" t="s">
        <v>94</v>
      </c>
      <c r="B208" s="131" t="s">
        <v>48</v>
      </c>
      <c r="C208" s="131">
        <v>12041</v>
      </c>
      <c r="D208" s="131">
        <v>5</v>
      </c>
      <c r="E208" s="131">
        <v>5</v>
      </c>
      <c r="F208" s="131">
        <v>8</v>
      </c>
      <c r="G208" s="131">
        <v>8</v>
      </c>
      <c r="H208" s="20"/>
      <c r="I208" s="20"/>
    </row>
    <row r="209" spans="1:9" ht="14.25" customHeight="1" x14ac:dyDescent="0.35">
      <c r="A209" s="132" t="s">
        <v>284</v>
      </c>
      <c r="B209" s="133" t="s">
        <v>48</v>
      </c>
      <c r="C209" s="133">
        <v>11035</v>
      </c>
      <c r="D209" s="133"/>
      <c r="E209" s="133"/>
      <c r="F209" s="133"/>
      <c r="G209" s="133"/>
      <c r="H209" s="20"/>
      <c r="I209" s="20"/>
    </row>
    <row r="210" spans="1:9" ht="14.25" customHeight="1" x14ac:dyDescent="0.35">
      <c r="A210" s="130" t="s">
        <v>277</v>
      </c>
      <c r="B210" s="131" t="s">
        <v>48</v>
      </c>
      <c r="C210" s="131">
        <v>13035</v>
      </c>
      <c r="D210" s="131"/>
      <c r="E210" s="131"/>
      <c r="F210" s="131"/>
      <c r="G210" s="131"/>
      <c r="H210" s="20"/>
      <c r="I210" s="20"/>
    </row>
    <row r="211" spans="1:9" ht="14.25" customHeight="1" x14ac:dyDescent="0.35">
      <c r="A211" s="132" t="s">
        <v>204</v>
      </c>
      <c r="B211" s="133" t="s">
        <v>48</v>
      </c>
      <c r="C211" s="133">
        <v>13036</v>
      </c>
      <c r="D211" s="133"/>
      <c r="E211" s="133"/>
      <c r="F211" s="133"/>
      <c r="G211" s="133"/>
      <c r="H211" s="20"/>
      <c r="I211" s="20"/>
    </row>
    <row r="212" spans="1:9" ht="14.25" customHeight="1" x14ac:dyDescent="0.35">
      <c r="A212" s="130" t="s">
        <v>332</v>
      </c>
      <c r="B212" s="131" t="s">
        <v>59</v>
      </c>
      <c r="C212" s="131">
        <v>73066</v>
      </c>
      <c r="D212" s="131"/>
      <c r="E212" s="131"/>
      <c r="F212" s="131"/>
      <c r="G212" s="131"/>
      <c r="H212" s="20"/>
      <c r="I212" s="20"/>
    </row>
    <row r="213" spans="1:9" ht="14.25" customHeight="1" x14ac:dyDescent="0.35">
      <c r="A213" s="132" t="s">
        <v>267</v>
      </c>
      <c r="B213" s="133" t="s">
        <v>48</v>
      </c>
      <c r="C213" s="133">
        <v>13037</v>
      </c>
      <c r="D213" s="133"/>
      <c r="E213" s="133"/>
      <c r="F213" s="133"/>
      <c r="G213" s="133"/>
      <c r="H213" s="20"/>
      <c r="I213" s="20"/>
    </row>
    <row r="214" spans="1:9" ht="14.25" customHeight="1" x14ac:dyDescent="0.35">
      <c r="A214" s="130" t="s">
        <v>63</v>
      </c>
      <c r="B214" s="131" t="s">
        <v>55</v>
      </c>
      <c r="C214" s="131">
        <v>36015</v>
      </c>
      <c r="D214" s="131"/>
      <c r="E214" s="131"/>
      <c r="F214" s="131"/>
      <c r="G214" s="131"/>
      <c r="H214" s="20"/>
      <c r="I214" s="20"/>
    </row>
    <row r="215" spans="1:9" ht="14.25" customHeight="1" x14ac:dyDescent="0.35">
      <c r="A215" s="132" t="s">
        <v>141</v>
      </c>
      <c r="B215" s="133" t="s">
        <v>50</v>
      </c>
      <c r="C215" s="133">
        <v>45041</v>
      </c>
      <c r="D215" s="133">
        <v>4</v>
      </c>
      <c r="E215" s="133">
        <v>4</v>
      </c>
      <c r="F215" s="133">
        <v>5</v>
      </c>
      <c r="G215" s="133">
        <v>5</v>
      </c>
      <c r="H215" s="20"/>
      <c r="I215" s="20"/>
    </row>
    <row r="216" spans="1:9" ht="14.25" customHeight="1" x14ac:dyDescent="0.35">
      <c r="A216" s="130" t="s">
        <v>328</v>
      </c>
      <c r="B216" s="131" t="s">
        <v>52</v>
      </c>
      <c r="C216" s="131">
        <v>23097</v>
      </c>
      <c r="D216" s="131"/>
      <c r="E216" s="131"/>
      <c r="F216" s="131"/>
      <c r="G216" s="131"/>
      <c r="H216" s="20"/>
      <c r="I216" s="20"/>
    </row>
    <row r="217" spans="1:9" ht="14.25" customHeight="1" x14ac:dyDescent="0.35">
      <c r="A217" s="132" t="s">
        <v>78</v>
      </c>
      <c r="B217" s="133" t="s">
        <v>52</v>
      </c>
      <c r="C217" s="133">
        <v>24094</v>
      </c>
      <c r="D217" s="133"/>
      <c r="E217" s="133"/>
      <c r="F217" s="133"/>
      <c r="G217" s="133"/>
      <c r="H217" s="20"/>
      <c r="I217" s="20"/>
    </row>
    <row r="218" spans="1:9" ht="14.25" customHeight="1" x14ac:dyDescent="0.35">
      <c r="A218" s="130" t="s">
        <v>160</v>
      </c>
      <c r="B218" s="131" t="s">
        <v>48</v>
      </c>
      <c r="C218" s="131">
        <v>11037</v>
      </c>
      <c r="D218" s="131">
        <v>4</v>
      </c>
      <c r="E218" s="131">
        <v>4</v>
      </c>
      <c r="F218" s="131">
        <v>5</v>
      </c>
      <c r="G218" s="131">
        <v>5</v>
      </c>
      <c r="H218" s="20"/>
      <c r="I218" s="20"/>
    </row>
    <row r="219" spans="1:9" ht="14.25" customHeight="1" x14ac:dyDescent="0.35">
      <c r="A219" s="132" t="s">
        <v>169</v>
      </c>
      <c r="B219" s="133" t="s">
        <v>48</v>
      </c>
      <c r="C219" s="133">
        <v>11038</v>
      </c>
      <c r="D219" s="133"/>
      <c r="E219" s="133"/>
      <c r="F219" s="133"/>
      <c r="G219" s="133"/>
      <c r="H219" s="20"/>
      <c r="I219" s="20"/>
    </row>
    <row r="220" spans="1:9" ht="14.25" customHeight="1" x14ac:dyDescent="0.35">
      <c r="A220" s="130" t="s">
        <v>292</v>
      </c>
      <c r="B220" s="131" t="s">
        <v>52</v>
      </c>
      <c r="C220" s="131">
        <v>24134</v>
      </c>
      <c r="D220" s="131"/>
      <c r="E220" s="131"/>
      <c r="F220" s="131"/>
      <c r="G220" s="131"/>
      <c r="H220" s="20"/>
      <c r="I220" s="20"/>
    </row>
    <row r="221" spans="1:9" ht="14.25" customHeight="1" x14ac:dyDescent="0.35">
      <c r="A221" s="132" t="s">
        <v>311</v>
      </c>
      <c r="B221" s="133" t="s">
        <v>48</v>
      </c>
      <c r="C221" s="133">
        <v>11039</v>
      </c>
      <c r="D221" s="133"/>
      <c r="E221" s="133"/>
      <c r="F221" s="133"/>
      <c r="G221" s="133"/>
      <c r="H221" s="20"/>
      <c r="I221" s="20"/>
    </row>
    <row r="222" spans="1:9" ht="14.25" customHeight="1" x14ac:dyDescent="0.35">
      <c r="A222" s="130" t="s">
        <v>188</v>
      </c>
      <c r="B222" s="131" t="s">
        <v>48</v>
      </c>
      <c r="C222" s="131">
        <v>11040</v>
      </c>
      <c r="D222" s="131"/>
      <c r="E222" s="131"/>
      <c r="F222" s="131"/>
      <c r="G222" s="131"/>
      <c r="H222" s="20"/>
      <c r="I222" s="20"/>
    </row>
    <row r="223" spans="1:9" ht="14.25" customHeight="1" x14ac:dyDescent="0.35">
      <c r="A223" s="132" t="s">
        <v>220</v>
      </c>
      <c r="B223" s="133" t="s">
        <v>52</v>
      </c>
      <c r="C223" s="133">
        <v>23101</v>
      </c>
      <c r="D223" s="133"/>
      <c r="E223" s="133"/>
      <c r="F223" s="133"/>
      <c r="G223" s="133"/>
      <c r="H223" s="20"/>
      <c r="I223" s="20"/>
    </row>
    <row r="224" spans="1:9" ht="14.25" customHeight="1" x14ac:dyDescent="0.35">
      <c r="A224" s="130" t="s">
        <v>226</v>
      </c>
      <c r="B224" s="131" t="s">
        <v>50</v>
      </c>
      <c r="C224" s="131">
        <v>46020</v>
      </c>
      <c r="D224" s="131">
        <v>2</v>
      </c>
      <c r="E224" s="131">
        <v>2</v>
      </c>
      <c r="F224" s="131">
        <v>2</v>
      </c>
      <c r="G224" s="131">
        <v>2</v>
      </c>
      <c r="H224" s="20"/>
      <c r="I224" s="20"/>
    </row>
    <row r="225" spans="1:9" ht="14.25" customHeight="1" x14ac:dyDescent="0.35">
      <c r="A225" s="132" t="s">
        <v>183</v>
      </c>
      <c r="B225" s="133" t="s">
        <v>48</v>
      </c>
      <c r="C225" s="133">
        <v>12035</v>
      </c>
      <c r="D225" s="133"/>
      <c r="E225" s="133"/>
      <c r="F225" s="133"/>
      <c r="G225" s="133"/>
      <c r="H225" s="20"/>
      <c r="I225" s="20"/>
    </row>
    <row r="226" spans="1:9" ht="14.25" customHeight="1" x14ac:dyDescent="0.35">
      <c r="A226" s="130" t="s">
        <v>250</v>
      </c>
      <c r="B226" s="131" t="s">
        <v>50</v>
      </c>
      <c r="C226" s="131">
        <v>43014</v>
      </c>
      <c r="D226" s="131"/>
      <c r="E226" s="131"/>
      <c r="F226" s="131"/>
      <c r="G226" s="131"/>
      <c r="H226" s="20"/>
      <c r="I226" s="20"/>
    </row>
    <row r="227" spans="1:9" ht="14.25" customHeight="1" x14ac:dyDescent="0.35">
      <c r="A227" s="132" t="s">
        <v>202</v>
      </c>
      <c r="B227" s="133" t="s">
        <v>50</v>
      </c>
      <c r="C227" s="133">
        <v>41063</v>
      </c>
      <c r="D227" s="133">
        <v>4</v>
      </c>
      <c r="E227" s="133">
        <v>4</v>
      </c>
      <c r="F227" s="133">
        <v>3</v>
      </c>
      <c r="G227" s="133">
        <v>3</v>
      </c>
      <c r="H227" s="20"/>
      <c r="I227" s="20"/>
    </row>
    <row r="228" spans="1:9" ht="14.25" customHeight="1" x14ac:dyDescent="0.35">
      <c r="A228" s="130" t="s">
        <v>148</v>
      </c>
      <c r="B228" s="131" t="s">
        <v>50</v>
      </c>
      <c r="C228" s="131">
        <v>44064</v>
      </c>
      <c r="D228" s="131"/>
      <c r="E228" s="131"/>
      <c r="F228" s="131"/>
      <c r="G228" s="131"/>
      <c r="H228" s="20"/>
      <c r="I228" s="20"/>
    </row>
    <row r="229" spans="1:9" ht="14.25" customHeight="1" x14ac:dyDescent="0.35">
      <c r="A229" s="132" t="s">
        <v>57</v>
      </c>
      <c r="B229" s="133" t="s">
        <v>50</v>
      </c>
      <c r="C229" s="133">
        <v>46021</v>
      </c>
      <c r="D229" s="133">
        <v>4</v>
      </c>
      <c r="E229" s="133">
        <v>4</v>
      </c>
      <c r="F229" s="133">
        <v>6</v>
      </c>
      <c r="G229" s="133">
        <v>6</v>
      </c>
      <c r="H229" s="20"/>
      <c r="I229" s="20"/>
    </row>
    <row r="230" spans="1:9" ht="14.25" customHeight="1" x14ac:dyDescent="0.35">
      <c r="A230" s="130" t="s">
        <v>132</v>
      </c>
      <c r="B230" s="131" t="s">
        <v>52</v>
      </c>
      <c r="C230" s="131">
        <v>23077</v>
      </c>
      <c r="D230" s="131">
        <v>6</v>
      </c>
      <c r="E230" s="131">
        <v>6</v>
      </c>
      <c r="F230" s="131">
        <v>6</v>
      </c>
      <c r="G230" s="131">
        <v>6</v>
      </c>
      <c r="H230" s="20"/>
      <c r="I230" s="20"/>
    </row>
    <row r="231" spans="1:9" ht="14.25" customHeight="1" x14ac:dyDescent="0.35">
      <c r="A231" s="132" t="s">
        <v>189</v>
      </c>
      <c r="B231" s="133" t="s">
        <v>59</v>
      </c>
      <c r="C231" s="133">
        <v>71053</v>
      </c>
      <c r="D231" s="133"/>
      <c r="E231" s="133"/>
      <c r="F231" s="133"/>
      <c r="G231" s="133"/>
      <c r="H231" s="20"/>
      <c r="I231" s="20"/>
    </row>
    <row r="232" spans="1:9" ht="14.25" customHeight="1" x14ac:dyDescent="0.35">
      <c r="A232" s="130" t="s">
        <v>314</v>
      </c>
      <c r="B232" s="131" t="s">
        <v>55</v>
      </c>
      <c r="C232" s="131">
        <v>34043</v>
      </c>
      <c r="D232" s="131"/>
      <c r="E232" s="131"/>
      <c r="F232" s="131"/>
      <c r="G232" s="131"/>
      <c r="H232" s="20"/>
      <c r="I232" s="20"/>
    </row>
    <row r="233" spans="1:9" ht="14.25" customHeight="1" x14ac:dyDescent="0.35">
      <c r="A233" s="132" t="s">
        <v>336</v>
      </c>
      <c r="B233" s="133" t="s">
        <v>48</v>
      </c>
      <c r="C233" s="133">
        <v>11044</v>
      </c>
      <c r="D233" s="133"/>
      <c r="E233" s="133"/>
      <c r="F233" s="133"/>
      <c r="G233" s="133"/>
      <c r="H233" s="20"/>
      <c r="I233" s="20"/>
    </row>
    <row r="234" spans="1:9" ht="14.25" customHeight="1" x14ac:dyDescent="0.35">
      <c r="A234" s="130" t="s">
        <v>154</v>
      </c>
      <c r="B234" s="131" t="s">
        <v>55</v>
      </c>
      <c r="C234" s="131">
        <v>36019</v>
      </c>
      <c r="D234" s="131"/>
      <c r="E234" s="131"/>
      <c r="F234" s="131"/>
      <c r="G234" s="131"/>
      <c r="H234" s="20"/>
      <c r="I234" s="20"/>
    </row>
    <row r="235" spans="1:9" ht="14.25" customHeight="1" x14ac:dyDescent="0.35">
      <c r="A235" s="132" t="s">
        <v>208</v>
      </c>
      <c r="B235" s="133" t="s">
        <v>52</v>
      </c>
      <c r="C235" s="133">
        <v>23081</v>
      </c>
      <c r="D235" s="133"/>
      <c r="E235" s="133"/>
      <c r="F235" s="133"/>
      <c r="G235" s="133"/>
      <c r="H235" s="20"/>
      <c r="I235" s="20"/>
    </row>
    <row r="236" spans="1:9" ht="14.25" customHeight="1" x14ac:dyDescent="0.35">
      <c r="A236" s="130" t="s">
        <v>285</v>
      </c>
      <c r="B236" s="131" t="s">
        <v>50</v>
      </c>
      <c r="C236" s="131">
        <v>46024</v>
      </c>
      <c r="D236" s="131">
        <v>2</v>
      </c>
      <c r="E236" s="131">
        <v>2</v>
      </c>
      <c r="F236" s="131">
        <v>2</v>
      </c>
      <c r="G236" s="131">
        <v>2</v>
      </c>
      <c r="H236" s="20"/>
      <c r="I236" s="20"/>
    </row>
    <row r="237" spans="1:9" ht="14.25" customHeight="1" x14ac:dyDescent="0.35">
      <c r="A237" s="132" t="s">
        <v>166</v>
      </c>
      <c r="B237" s="133" t="s">
        <v>50</v>
      </c>
      <c r="C237" s="133">
        <v>46025</v>
      </c>
      <c r="D237" s="133">
        <v>4</v>
      </c>
      <c r="E237" s="133">
        <v>4</v>
      </c>
      <c r="F237" s="133">
        <v>3</v>
      </c>
      <c r="G237" s="133">
        <v>3</v>
      </c>
      <c r="H237" s="20"/>
      <c r="I237" s="20"/>
    </row>
    <row r="238" spans="1:9" ht="14.25" customHeight="1" x14ac:dyDescent="0.35">
      <c r="A238" s="130" t="s">
        <v>217</v>
      </c>
      <c r="B238" s="131" t="s">
        <v>52</v>
      </c>
      <c r="C238" s="131">
        <v>23086</v>
      </c>
      <c r="D238" s="131"/>
      <c r="E238" s="131"/>
      <c r="F238" s="131"/>
      <c r="G238" s="131"/>
      <c r="H238" s="20"/>
      <c r="I238" s="20"/>
    </row>
    <row r="239" spans="1:9" ht="14.25" customHeight="1" x14ac:dyDescent="0.35">
      <c r="A239" s="132" t="s">
        <v>87</v>
      </c>
      <c r="B239" s="133" t="s">
        <v>52</v>
      </c>
      <c r="C239" s="133">
        <v>24104</v>
      </c>
      <c r="D239" s="133"/>
      <c r="E239" s="133"/>
      <c r="F239" s="133"/>
      <c r="G239" s="133"/>
      <c r="H239" s="20"/>
      <c r="I239" s="20"/>
    </row>
    <row r="240" spans="1:9" ht="14.25" customHeight="1" x14ac:dyDescent="0.35">
      <c r="A240" s="130" t="s">
        <v>147</v>
      </c>
      <c r="B240" s="131" t="s">
        <v>59</v>
      </c>
      <c r="C240" s="131">
        <v>71057</v>
      </c>
      <c r="D240" s="131"/>
      <c r="E240" s="131"/>
      <c r="F240" s="131"/>
      <c r="G240" s="131"/>
      <c r="H240" s="20"/>
      <c r="I240" s="20"/>
    </row>
    <row r="241" spans="1:9" ht="14.25" customHeight="1" x14ac:dyDescent="0.35">
      <c r="A241" s="132" t="s">
        <v>102</v>
      </c>
      <c r="B241" s="133" t="s">
        <v>55</v>
      </c>
      <c r="C241" s="133">
        <v>37015</v>
      </c>
      <c r="D241" s="133"/>
      <c r="E241" s="133"/>
      <c r="F241" s="133"/>
      <c r="G241" s="133"/>
      <c r="H241" s="20"/>
      <c r="I241" s="20"/>
    </row>
    <row r="242" spans="1:9" ht="14.25" customHeight="1" x14ac:dyDescent="0.35">
      <c r="A242" s="130" t="s">
        <v>302</v>
      </c>
      <c r="B242" s="131" t="s">
        <v>52</v>
      </c>
      <c r="C242" s="131">
        <v>24135</v>
      </c>
      <c r="D242" s="131">
        <v>1</v>
      </c>
      <c r="E242" s="131">
        <v>1</v>
      </c>
      <c r="F242" s="131">
        <v>1</v>
      </c>
      <c r="G242" s="131">
        <v>1</v>
      </c>
      <c r="H242" s="20"/>
      <c r="I242" s="20"/>
    </row>
    <row r="243" spans="1:9" ht="14.25" customHeight="1" x14ac:dyDescent="0.35">
      <c r="A243" s="132" t="s">
        <v>104</v>
      </c>
      <c r="B243" s="133" t="s">
        <v>52</v>
      </c>
      <c r="C243" s="133">
        <v>24107</v>
      </c>
      <c r="D243" s="133"/>
      <c r="E243" s="133"/>
      <c r="F243" s="133"/>
      <c r="G243" s="133"/>
      <c r="H243" s="20"/>
      <c r="I243" s="20"/>
    </row>
    <row r="244" spans="1:9" ht="14.25" customHeight="1" x14ac:dyDescent="0.35">
      <c r="A244" s="130" t="s">
        <v>133</v>
      </c>
      <c r="B244" s="131" t="s">
        <v>59</v>
      </c>
      <c r="C244" s="131">
        <v>73083</v>
      </c>
      <c r="D244" s="131"/>
      <c r="E244" s="131"/>
      <c r="F244" s="131"/>
      <c r="G244" s="131"/>
      <c r="H244" s="20"/>
      <c r="I244" s="20"/>
    </row>
    <row r="245" spans="1:9" ht="14.25" customHeight="1" x14ac:dyDescent="0.35">
      <c r="A245" s="132" t="s">
        <v>93</v>
      </c>
      <c r="B245" s="133" t="s">
        <v>55</v>
      </c>
      <c r="C245" s="133">
        <v>31033</v>
      </c>
      <c r="D245" s="133"/>
      <c r="E245" s="133"/>
      <c r="F245" s="133"/>
      <c r="G245" s="133"/>
      <c r="H245" s="20"/>
      <c r="I245" s="20"/>
    </row>
    <row r="246" spans="1:9" ht="14.25" customHeight="1" x14ac:dyDescent="0.35">
      <c r="A246" s="130" t="s">
        <v>215</v>
      </c>
      <c r="B246" s="131" t="s">
        <v>52</v>
      </c>
      <c r="C246" s="131">
        <v>24109</v>
      </c>
      <c r="D246" s="131"/>
      <c r="E246" s="131"/>
      <c r="F246" s="131"/>
      <c r="G246" s="131"/>
      <c r="H246" s="20"/>
      <c r="I246" s="20"/>
    </row>
    <row r="247" spans="1:9" ht="14.25" customHeight="1" x14ac:dyDescent="0.35">
      <c r="A247" s="132" t="s">
        <v>61</v>
      </c>
      <c r="B247" s="133" t="s">
        <v>48</v>
      </c>
      <c r="C247" s="133">
        <v>13040</v>
      </c>
      <c r="D247" s="133">
        <v>11</v>
      </c>
      <c r="E247" s="133">
        <v>11</v>
      </c>
      <c r="F247" s="133">
        <v>11</v>
      </c>
      <c r="G247" s="133">
        <v>11</v>
      </c>
      <c r="H247" s="20"/>
      <c r="I247" s="20"/>
    </row>
    <row r="248" spans="1:9" ht="14.25" customHeight="1" x14ac:dyDescent="0.35">
      <c r="A248" s="130" t="s">
        <v>175</v>
      </c>
      <c r="B248" s="131" t="s">
        <v>55</v>
      </c>
      <c r="C248" s="131">
        <v>38025</v>
      </c>
      <c r="D248" s="131"/>
      <c r="E248" s="131"/>
      <c r="F248" s="131"/>
      <c r="G248" s="131"/>
      <c r="H248" s="20"/>
      <c r="I248" s="20"/>
    </row>
    <row r="249" spans="1:9" ht="14.25" customHeight="1" x14ac:dyDescent="0.35">
      <c r="A249" s="132" t="s">
        <v>74</v>
      </c>
      <c r="B249" s="133" t="s">
        <v>52</v>
      </c>
      <c r="C249" s="133">
        <v>23088</v>
      </c>
      <c r="D249" s="133"/>
      <c r="E249" s="133"/>
      <c r="F249" s="133"/>
      <c r="G249" s="133"/>
      <c r="H249" s="20"/>
      <c r="I249" s="20"/>
    </row>
    <row r="250" spans="1:9" ht="14.25" customHeight="1" x14ac:dyDescent="0.35">
      <c r="A250" s="130" t="s">
        <v>240</v>
      </c>
      <c r="B250" s="131" t="s">
        <v>55</v>
      </c>
      <c r="C250" s="131">
        <v>33041</v>
      </c>
      <c r="D250" s="131"/>
      <c r="E250" s="131"/>
      <c r="F250" s="131"/>
      <c r="G250" s="131"/>
      <c r="H250" s="20"/>
      <c r="I250" s="20"/>
    </row>
    <row r="251" spans="1:9" ht="14.25" customHeight="1" x14ac:dyDescent="0.35">
      <c r="A251" s="132" t="s">
        <v>318</v>
      </c>
      <c r="B251" s="133" t="s">
        <v>59</v>
      </c>
      <c r="C251" s="133">
        <v>73109</v>
      </c>
      <c r="D251" s="133"/>
      <c r="E251" s="133"/>
      <c r="F251" s="133"/>
      <c r="G251" s="133"/>
      <c r="H251" s="20"/>
      <c r="I251" s="20"/>
    </row>
    <row r="252" spans="1:9" ht="14.25" customHeight="1" x14ac:dyDescent="0.35">
      <c r="A252" s="130" t="s">
        <v>195</v>
      </c>
      <c r="B252" s="131" t="s">
        <v>48</v>
      </c>
      <c r="C252" s="131">
        <v>13044</v>
      </c>
      <c r="D252" s="131">
        <v>2</v>
      </c>
      <c r="E252" s="131">
        <v>2</v>
      </c>
      <c r="F252" s="131">
        <v>2</v>
      </c>
      <c r="G252" s="131">
        <v>2</v>
      </c>
      <c r="H252" s="20"/>
      <c r="I252" s="20"/>
    </row>
    <row r="253" spans="1:9" ht="14.25" customHeight="1" x14ac:dyDescent="0.35">
      <c r="A253" s="132" t="s">
        <v>264</v>
      </c>
      <c r="B253" s="133" t="s">
        <v>48</v>
      </c>
      <c r="C253" s="133">
        <v>13046</v>
      </c>
      <c r="D253" s="133">
        <v>2</v>
      </c>
      <c r="E253" s="133">
        <v>2</v>
      </c>
      <c r="F253" s="133">
        <v>2</v>
      </c>
      <c r="G253" s="133">
        <v>2</v>
      </c>
      <c r="H253" s="20"/>
      <c r="I253" s="20"/>
    </row>
    <row r="254" spans="1:9" ht="14.25" customHeight="1" x14ac:dyDescent="0.35">
      <c r="A254" s="130" t="s">
        <v>262</v>
      </c>
      <c r="B254" s="131" t="s">
        <v>50</v>
      </c>
      <c r="C254" s="131">
        <v>42023</v>
      </c>
      <c r="D254" s="131">
        <v>2</v>
      </c>
      <c r="E254" s="131">
        <v>2</v>
      </c>
      <c r="F254" s="131">
        <v>2</v>
      </c>
      <c r="G254" s="131">
        <v>2</v>
      </c>
      <c r="H254" s="20"/>
      <c r="I254" s="20"/>
    </row>
    <row r="255" spans="1:9" ht="14.25" customHeight="1" x14ac:dyDescent="0.35">
      <c r="A255" s="132" t="s">
        <v>146</v>
      </c>
      <c r="B255" s="133" t="s">
        <v>55</v>
      </c>
      <c r="C255" s="133">
        <v>34040</v>
      </c>
      <c r="D255" s="133">
        <v>4</v>
      </c>
      <c r="E255" s="133">
        <v>4</v>
      </c>
      <c r="F255" s="133">
        <v>3</v>
      </c>
      <c r="G255" s="133">
        <v>3</v>
      </c>
      <c r="H255" s="20"/>
      <c r="I255" s="20"/>
    </row>
    <row r="256" spans="1:9" ht="14.25" customHeight="1" x14ac:dyDescent="0.35">
      <c r="A256" s="130" t="s">
        <v>322</v>
      </c>
      <c r="B256" s="131" t="s">
        <v>59</v>
      </c>
      <c r="C256" s="131">
        <v>73098</v>
      </c>
      <c r="D256" s="131"/>
      <c r="E256" s="131"/>
      <c r="F256" s="131"/>
      <c r="G256" s="131"/>
      <c r="H256" s="20"/>
      <c r="I256" s="20"/>
    </row>
    <row r="257" spans="1:9" ht="14.25" customHeight="1" x14ac:dyDescent="0.35">
      <c r="A257" s="132" t="s">
        <v>162</v>
      </c>
      <c r="B257" s="133" t="s">
        <v>52</v>
      </c>
      <c r="C257" s="133">
        <v>23102</v>
      </c>
      <c r="D257" s="133"/>
      <c r="E257" s="133"/>
      <c r="F257" s="133"/>
      <c r="G257" s="133"/>
      <c r="H257" s="20"/>
      <c r="I257" s="20"/>
    </row>
    <row r="258" spans="1:9" ht="14.25" customHeight="1" x14ac:dyDescent="0.35">
      <c r="A258" s="130" t="s">
        <v>222</v>
      </c>
      <c r="B258" s="131" t="s">
        <v>55</v>
      </c>
      <c r="C258" s="131">
        <v>33029</v>
      </c>
      <c r="D258" s="131"/>
      <c r="E258" s="131"/>
      <c r="F258" s="131"/>
      <c r="G258" s="131"/>
      <c r="H258" s="20"/>
      <c r="I258" s="20"/>
    </row>
    <row r="259" spans="1:9" ht="14.25" customHeight="1" x14ac:dyDescent="0.35">
      <c r="A259" s="132" t="s">
        <v>101</v>
      </c>
      <c r="B259" s="133" t="s">
        <v>48</v>
      </c>
      <c r="C259" s="133">
        <v>13049</v>
      </c>
      <c r="D259" s="133"/>
      <c r="E259" s="133"/>
      <c r="F259" s="133"/>
      <c r="G259" s="133"/>
      <c r="H259" s="20"/>
      <c r="I259" s="20"/>
    </row>
    <row r="260" spans="1:9" ht="14.25" customHeight="1" x14ac:dyDescent="0.35">
      <c r="A260" s="130" t="s">
        <v>89</v>
      </c>
      <c r="B260" s="131" t="s">
        <v>50</v>
      </c>
      <c r="C260" s="131">
        <v>42025</v>
      </c>
      <c r="D260" s="131"/>
      <c r="E260" s="131"/>
      <c r="F260" s="131"/>
      <c r="G260" s="131"/>
      <c r="H260" s="20"/>
      <c r="I260" s="20"/>
    </row>
    <row r="261" spans="1:9" ht="14.25" customHeight="1" x14ac:dyDescent="0.35">
      <c r="A261" s="132" t="s">
        <v>143</v>
      </c>
      <c r="B261" s="133" t="s">
        <v>55</v>
      </c>
      <c r="C261" s="133">
        <v>34041</v>
      </c>
      <c r="D261" s="133">
        <v>3</v>
      </c>
      <c r="E261" s="133">
        <v>3</v>
      </c>
      <c r="F261" s="133">
        <v>3</v>
      </c>
      <c r="G261" s="133">
        <v>3</v>
      </c>
      <c r="H261" s="20"/>
      <c r="I261" s="20"/>
    </row>
    <row r="262" spans="1:9" ht="14.25" customHeight="1" x14ac:dyDescent="0.35">
      <c r="A262" s="130" t="s">
        <v>213</v>
      </c>
      <c r="B262" s="131" t="s">
        <v>52</v>
      </c>
      <c r="C262" s="131">
        <v>23103</v>
      </c>
      <c r="D262" s="131"/>
      <c r="E262" s="131"/>
      <c r="F262" s="131"/>
      <c r="G262" s="131"/>
      <c r="H262" s="20"/>
      <c r="I262" s="20"/>
    </row>
    <row r="263" spans="1:9" ht="14.25" customHeight="1" x14ac:dyDescent="0.35">
      <c r="A263" s="132" t="s">
        <v>205</v>
      </c>
      <c r="B263" s="133" t="s">
        <v>50</v>
      </c>
      <c r="C263" s="133">
        <v>42026</v>
      </c>
      <c r="D263" s="133">
        <v>3</v>
      </c>
      <c r="E263" s="133">
        <v>3</v>
      </c>
      <c r="F263" s="133">
        <v>3</v>
      </c>
      <c r="G263" s="133">
        <v>3</v>
      </c>
      <c r="H263" s="20"/>
      <c r="I263" s="20"/>
    </row>
    <row r="264" spans="1:9" ht="14.25" customHeight="1" x14ac:dyDescent="0.35">
      <c r="A264" s="130" t="s">
        <v>201</v>
      </c>
      <c r="B264" s="131" t="s">
        <v>55</v>
      </c>
      <c r="C264" s="131">
        <v>37017</v>
      </c>
      <c r="D264" s="131"/>
      <c r="E264" s="131"/>
      <c r="F264" s="131"/>
      <c r="G264" s="131"/>
      <c r="H264" s="20"/>
      <c r="I264" s="20"/>
    </row>
    <row r="265" spans="1:9" ht="14.25" customHeight="1" x14ac:dyDescent="0.35">
      <c r="A265" s="132" t="s">
        <v>151</v>
      </c>
      <c r="B265" s="133" t="s">
        <v>48</v>
      </c>
      <c r="C265" s="133">
        <v>11050</v>
      </c>
      <c r="D265" s="133"/>
      <c r="E265" s="133"/>
      <c r="F265" s="133"/>
      <c r="G265" s="133"/>
      <c r="H265" s="20"/>
      <c r="I265" s="20"/>
    </row>
    <row r="266" spans="1:9" ht="14.25" customHeight="1" x14ac:dyDescent="0.35">
      <c r="A266" s="130" t="s">
        <v>142</v>
      </c>
      <c r="B266" s="131" t="s">
        <v>48</v>
      </c>
      <c r="C266" s="131">
        <v>12040</v>
      </c>
      <c r="D266" s="131"/>
      <c r="E266" s="131"/>
      <c r="F266" s="131"/>
      <c r="G266" s="131"/>
      <c r="H266" s="20"/>
      <c r="I266" s="20"/>
    </row>
    <row r="267" spans="1:9" ht="14.25" customHeight="1" x14ac:dyDescent="0.35">
      <c r="A267" s="132" t="s">
        <v>115</v>
      </c>
      <c r="B267" s="133" t="s">
        <v>55</v>
      </c>
      <c r="C267" s="133">
        <v>37018</v>
      </c>
      <c r="D267" s="133"/>
      <c r="E267" s="133"/>
      <c r="F267" s="133"/>
      <c r="G267" s="133"/>
      <c r="H267" s="20"/>
      <c r="I267" s="20"/>
    </row>
    <row r="268" spans="1:9" ht="14.25" customHeight="1" x14ac:dyDescent="0.35">
      <c r="A268" s="130" t="s">
        <v>210</v>
      </c>
      <c r="B268" s="131" t="s">
        <v>48</v>
      </c>
      <c r="C268" s="131">
        <v>11052</v>
      </c>
      <c r="D268" s="131"/>
      <c r="E268" s="131"/>
      <c r="F268" s="131"/>
      <c r="G268" s="131"/>
      <c r="H268" s="20"/>
      <c r="I268" s="20"/>
    </row>
    <row r="269" spans="1:9" ht="14.25" customHeight="1" x14ac:dyDescent="0.35">
      <c r="A269" s="132" t="s">
        <v>246</v>
      </c>
      <c r="B269" s="133" t="s">
        <v>50</v>
      </c>
      <c r="C269" s="133">
        <v>45061</v>
      </c>
      <c r="D269" s="133"/>
      <c r="E269" s="133"/>
      <c r="F269" s="133">
        <v>2</v>
      </c>
      <c r="G269" s="133">
        <v>2</v>
      </c>
      <c r="H269" s="20"/>
      <c r="I269" s="20"/>
    </row>
    <row r="270" spans="1:9" ht="14.25" customHeight="1" x14ac:dyDescent="0.35">
      <c r="A270" s="130" t="s">
        <v>290</v>
      </c>
      <c r="B270" s="131" t="s">
        <v>48</v>
      </c>
      <c r="C270" s="131">
        <v>11053</v>
      </c>
      <c r="D270" s="131">
        <v>2</v>
      </c>
      <c r="E270" s="131">
        <v>2</v>
      </c>
      <c r="F270" s="131">
        <v>2</v>
      </c>
      <c r="G270" s="131">
        <v>2</v>
      </c>
      <c r="H270" s="20"/>
      <c r="I270" s="20"/>
    </row>
    <row r="271" spans="1:9" ht="14.25" customHeight="1" x14ac:dyDescent="0.35">
      <c r="A271" s="132" t="s">
        <v>305</v>
      </c>
      <c r="B271" s="133" t="s">
        <v>48</v>
      </c>
      <c r="C271" s="133">
        <v>11054</v>
      </c>
      <c r="D271" s="133"/>
      <c r="E271" s="133"/>
      <c r="F271" s="133"/>
      <c r="G271" s="133"/>
      <c r="H271" s="20"/>
      <c r="I271" s="20"/>
    </row>
    <row r="272" spans="1:9" ht="14.25" customHeight="1" x14ac:dyDescent="0.35">
      <c r="A272" s="130" t="s">
        <v>105</v>
      </c>
      <c r="B272" s="131" t="s">
        <v>52</v>
      </c>
      <c r="C272" s="131">
        <v>23094</v>
      </c>
      <c r="D272" s="131"/>
      <c r="E272" s="131"/>
      <c r="F272" s="131"/>
      <c r="G272" s="131"/>
      <c r="H272" s="20"/>
      <c r="I272" s="20"/>
    </row>
    <row r="273" spans="1:9" ht="14.25" customHeight="1" x14ac:dyDescent="0.35">
      <c r="A273" s="132" t="s">
        <v>164</v>
      </c>
      <c r="B273" s="133" t="s">
        <v>55</v>
      </c>
      <c r="C273" s="133">
        <v>31040</v>
      </c>
      <c r="D273" s="133"/>
      <c r="E273" s="133"/>
      <c r="F273" s="133"/>
      <c r="G273" s="133"/>
      <c r="H273" s="20"/>
      <c r="I273" s="20"/>
    </row>
    <row r="274" spans="1:9" ht="14.25" customHeight="1" x14ac:dyDescent="0.35">
      <c r="A274" s="130" t="s">
        <v>228</v>
      </c>
      <c r="B274" s="131" t="s">
        <v>50</v>
      </c>
      <c r="C274" s="131">
        <v>42028</v>
      </c>
      <c r="D274" s="131">
        <v>2</v>
      </c>
      <c r="E274" s="131">
        <v>2</v>
      </c>
      <c r="F274" s="131">
        <v>2</v>
      </c>
      <c r="G274" s="131">
        <v>2</v>
      </c>
      <c r="H274" s="20"/>
      <c r="I274" s="20"/>
    </row>
    <row r="275" spans="1:9" ht="14.25" customHeight="1" x14ac:dyDescent="0.35">
      <c r="A275" s="132" t="s">
        <v>269</v>
      </c>
      <c r="B275" s="133" t="s">
        <v>50</v>
      </c>
      <c r="C275" s="133">
        <v>43018</v>
      </c>
      <c r="D275" s="133"/>
      <c r="E275" s="133"/>
      <c r="F275" s="133"/>
      <c r="G275" s="133"/>
      <c r="H275" s="20"/>
      <c r="I275" s="20"/>
    </row>
    <row r="276" spans="1:9" ht="14.25" customHeight="1" x14ac:dyDescent="0.35">
      <c r="A276" s="130" t="s">
        <v>119</v>
      </c>
      <c r="B276" s="131" t="s">
        <v>52</v>
      </c>
      <c r="C276" s="131">
        <v>23096</v>
      </c>
      <c r="D276" s="131"/>
      <c r="E276" s="131"/>
      <c r="F276" s="131"/>
      <c r="G276" s="131"/>
      <c r="H276" s="20"/>
      <c r="I276" s="20"/>
    </row>
    <row r="277" spans="1:9" ht="14.25" customHeight="1" x14ac:dyDescent="0.35">
      <c r="A277" s="132" t="s">
        <v>291</v>
      </c>
      <c r="B277" s="133" t="s">
        <v>48</v>
      </c>
      <c r="C277" s="133">
        <v>11055</v>
      </c>
      <c r="D277" s="133">
        <v>2</v>
      </c>
      <c r="E277" s="133">
        <v>2</v>
      </c>
      <c r="F277" s="133">
        <v>2</v>
      </c>
      <c r="G277" s="133">
        <v>2</v>
      </c>
      <c r="H277" s="20"/>
      <c r="I277" s="20"/>
    </row>
    <row r="278" spans="1:9" ht="14.25" customHeight="1" x14ac:dyDescent="0.35">
      <c r="A278" s="130" t="s">
        <v>289</v>
      </c>
      <c r="B278" s="131" t="s">
        <v>59</v>
      </c>
      <c r="C278" s="131">
        <v>71066</v>
      </c>
      <c r="D278" s="131">
        <v>1</v>
      </c>
      <c r="E278" s="131">
        <v>1</v>
      </c>
      <c r="F278" s="131">
        <v>1</v>
      </c>
      <c r="G278" s="131">
        <v>1</v>
      </c>
      <c r="H278" s="20"/>
      <c r="I278" s="20"/>
    </row>
    <row r="279" spans="1:9" ht="14.25" customHeight="1" x14ac:dyDescent="0.35">
      <c r="A279" s="132" t="s">
        <v>137</v>
      </c>
      <c r="B279" s="133" t="s">
        <v>55</v>
      </c>
      <c r="C279" s="133">
        <v>33037</v>
      </c>
      <c r="D279" s="133"/>
      <c r="E279" s="133"/>
      <c r="F279" s="133"/>
      <c r="G279" s="133"/>
      <c r="H279" s="20"/>
      <c r="I279" s="20"/>
    </row>
    <row r="280" spans="1:9" ht="14.25" customHeight="1" x14ac:dyDescent="0.35">
      <c r="A280" s="130" t="s">
        <v>120</v>
      </c>
      <c r="B280" s="131" t="s">
        <v>50</v>
      </c>
      <c r="C280" s="131">
        <v>41081</v>
      </c>
      <c r="D280" s="131">
        <v>4</v>
      </c>
      <c r="E280" s="131">
        <v>4</v>
      </c>
      <c r="F280" s="131">
        <v>5</v>
      </c>
      <c r="G280" s="131">
        <v>5</v>
      </c>
      <c r="H280" s="20"/>
      <c r="I280" s="20"/>
    </row>
    <row r="281" spans="1:9" ht="14.25" customHeight="1" x14ac:dyDescent="0.35">
      <c r="A281" s="132" t="s">
        <v>255</v>
      </c>
      <c r="B281" s="133" t="s">
        <v>52</v>
      </c>
      <c r="C281" s="133">
        <v>24130</v>
      </c>
      <c r="D281" s="133"/>
      <c r="E281" s="133"/>
      <c r="F281" s="133"/>
      <c r="G281" s="133"/>
      <c r="H281" s="20"/>
      <c r="I281" s="20"/>
    </row>
    <row r="282" spans="1:9" ht="14.25" customHeight="1" x14ac:dyDescent="0.35">
      <c r="A282" s="130" t="s">
        <v>316</v>
      </c>
      <c r="B282" s="131" t="s">
        <v>55</v>
      </c>
      <c r="C282" s="131">
        <v>31042</v>
      </c>
      <c r="D282" s="131"/>
      <c r="E282" s="131"/>
      <c r="F282" s="131"/>
      <c r="G282" s="131"/>
      <c r="H282" s="20"/>
      <c r="I282" s="20"/>
    </row>
    <row r="283" spans="1:9" ht="14.25" customHeight="1" x14ac:dyDescent="0.35">
      <c r="A283" s="132" t="s">
        <v>111</v>
      </c>
      <c r="B283" s="133" t="s">
        <v>50</v>
      </c>
      <c r="C283" s="133">
        <v>44081</v>
      </c>
      <c r="D283" s="133"/>
      <c r="E283" s="133"/>
      <c r="F283" s="133"/>
      <c r="G283" s="133"/>
      <c r="H283" s="20"/>
      <c r="I283" s="20"/>
    </row>
    <row r="284" spans="1:9" ht="14.25" customHeight="1" x14ac:dyDescent="0.35">
      <c r="A284" s="130" t="s">
        <v>321</v>
      </c>
      <c r="B284" s="131" t="s">
        <v>59</v>
      </c>
      <c r="C284" s="131">
        <v>71067</v>
      </c>
      <c r="D284" s="131"/>
      <c r="E284" s="131"/>
      <c r="F284" s="131"/>
      <c r="G284" s="131"/>
      <c r="H284" s="20"/>
      <c r="I284" s="20"/>
    </row>
    <row r="285" spans="1:9" ht="14.25" customHeight="1" x14ac:dyDescent="0.35">
      <c r="A285" s="132" t="s">
        <v>149</v>
      </c>
      <c r="B285" s="133" t="s">
        <v>50</v>
      </c>
      <c r="C285" s="133">
        <v>45065</v>
      </c>
      <c r="D285" s="133">
        <v>2</v>
      </c>
      <c r="E285" s="133">
        <v>2</v>
      </c>
      <c r="F285" s="133">
        <v>2</v>
      </c>
      <c r="G285" s="133">
        <v>2</v>
      </c>
      <c r="H285" s="20"/>
      <c r="I285" s="20"/>
    </row>
    <row r="286" spans="1:9" ht="14.25" customHeight="1" x14ac:dyDescent="0.35">
      <c r="A286" s="130" t="s">
        <v>186</v>
      </c>
      <c r="B286" s="131" t="s">
        <v>55</v>
      </c>
      <c r="C286" s="131">
        <v>34042</v>
      </c>
      <c r="D286" s="131"/>
      <c r="E286" s="131"/>
      <c r="F286" s="131"/>
      <c r="G286" s="131"/>
      <c r="H286" s="20"/>
      <c r="I286" s="20"/>
    </row>
    <row r="287" spans="1:9" ht="14.25" customHeight="1" x14ac:dyDescent="0.35">
      <c r="A287" s="132"/>
      <c r="B287" s="133"/>
      <c r="C287" s="133"/>
      <c r="D287" s="133">
        <f t="shared" ref="D287:G287" si="0">SUM(D2:D286)</f>
        <v>228</v>
      </c>
      <c r="E287" s="133">
        <f t="shared" si="0"/>
        <v>228</v>
      </c>
      <c r="F287" s="133">
        <f t="shared" si="0"/>
        <v>257</v>
      </c>
      <c r="G287" s="133">
        <f t="shared" si="0"/>
        <v>257</v>
      </c>
      <c r="H287" s="20"/>
      <c r="I287" s="20"/>
    </row>
    <row r="288" spans="1:9" ht="14.25" customHeight="1" x14ac:dyDescent="0.35">
      <c r="A288" s="20"/>
      <c r="B288" s="20"/>
      <c r="C288" s="20"/>
      <c r="D288" s="20"/>
      <c r="E288" s="20"/>
      <c r="F288" s="20"/>
      <c r="G288" s="20"/>
      <c r="H288" s="20"/>
      <c r="I288" s="20"/>
    </row>
    <row r="289" spans="1:9" ht="14.25" customHeight="1" x14ac:dyDescent="0.35">
      <c r="A289" s="20"/>
      <c r="B289" s="20"/>
      <c r="C289" s="20"/>
      <c r="D289" s="20"/>
      <c r="E289" s="20"/>
      <c r="F289" s="20"/>
      <c r="G289" s="20"/>
      <c r="H289" s="20"/>
      <c r="I289" s="20"/>
    </row>
    <row r="290" spans="1:9" ht="14.25" customHeight="1" x14ac:dyDescent="0.35">
      <c r="A290" s="20"/>
      <c r="B290" s="20"/>
      <c r="C290" s="20"/>
      <c r="D290" s="20"/>
      <c r="E290" s="20"/>
      <c r="F290" s="20"/>
      <c r="G290" s="20"/>
      <c r="H290" s="20"/>
      <c r="I290" s="20"/>
    </row>
    <row r="291" spans="1:9" ht="14.25" customHeight="1" x14ac:dyDescent="0.35">
      <c r="A291" s="20"/>
      <c r="B291" s="20"/>
      <c r="C291" s="20"/>
      <c r="D291" s="20"/>
      <c r="E291" s="20"/>
      <c r="F291" s="20"/>
      <c r="G291" s="20"/>
      <c r="H291" s="20"/>
      <c r="I291" s="20"/>
    </row>
    <row r="292" spans="1:9" ht="14.25" customHeight="1" x14ac:dyDescent="0.35">
      <c r="A292" s="20"/>
      <c r="B292" s="20"/>
      <c r="C292" s="20"/>
      <c r="D292" s="20"/>
      <c r="E292" s="20"/>
      <c r="F292" s="20"/>
      <c r="G292" s="20"/>
      <c r="H292" s="20"/>
      <c r="I292" s="20"/>
    </row>
    <row r="293" spans="1:9" ht="14.25" customHeight="1" x14ac:dyDescent="0.35">
      <c r="A293" s="20"/>
      <c r="B293" s="20"/>
      <c r="C293" s="20"/>
      <c r="D293" s="20"/>
      <c r="E293" s="20"/>
      <c r="F293" s="20"/>
      <c r="G293" s="20"/>
      <c r="H293" s="20"/>
      <c r="I293" s="20"/>
    </row>
    <row r="294" spans="1:9" ht="14.25" customHeight="1" x14ac:dyDescent="0.35">
      <c r="A294" s="20"/>
      <c r="B294" s="20"/>
      <c r="C294" s="20"/>
      <c r="D294" s="20"/>
      <c r="E294" s="20"/>
      <c r="F294" s="20"/>
      <c r="G294" s="20"/>
      <c r="H294" s="20"/>
      <c r="I294" s="20"/>
    </row>
    <row r="295" spans="1:9" ht="14.25" customHeight="1" x14ac:dyDescent="0.35">
      <c r="A295" s="20"/>
      <c r="B295" s="20"/>
      <c r="C295" s="20"/>
      <c r="D295" s="20"/>
      <c r="E295" s="20"/>
      <c r="F295" s="20"/>
      <c r="G295" s="20"/>
      <c r="H295" s="20"/>
      <c r="I295" s="20"/>
    </row>
    <row r="296" spans="1:9" ht="14.25" customHeight="1" x14ac:dyDescent="0.35">
      <c r="A296" s="20"/>
      <c r="B296" s="20"/>
      <c r="C296" s="20"/>
      <c r="D296" s="20"/>
      <c r="E296" s="20"/>
      <c r="F296" s="20"/>
      <c r="G296" s="20"/>
      <c r="H296" s="20"/>
      <c r="I296" s="20"/>
    </row>
    <row r="297" spans="1:9" ht="14.25" customHeight="1" x14ac:dyDescent="0.35">
      <c r="A297" s="20"/>
      <c r="B297" s="20"/>
      <c r="C297" s="20"/>
      <c r="D297" s="20"/>
      <c r="E297" s="20"/>
      <c r="F297" s="20"/>
      <c r="G297" s="20"/>
      <c r="H297" s="20"/>
      <c r="I297" s="20"/>
    </row>
    <row r="298" spans="1:9" ht="14.25" customHeight="1" x14ac:dyDescent="0.35">
      <c r="A298" s="20"/>
      <c r="B298" s="20"/>
      <c r="C298" s="20"/>
      <c r="D298" s="20"/>
      <c r="E298" s="20"/>
      <c r="F298" s="20"/>
      <c r="G298" s="20"/>
      <c r="H298" s="20"/>
      <c r="I298" s="20"/>
    </row>
    <row r="299" spans="1:9" ht="14.25" customHeight="1" x14ac:dyDescent="0.35">
      <c r="A299" s="20"/>
      <c r="B299" s="20"/>
      <c r="C299" s="20"/>
      <c r="D299" s="20"/>
      <c r="E299" s="20"/>
      <c r="F299" s="20"/>
      <c r="G299" s="20"/>
      <c r="H299" s="20"/>
      <c r="I299" s="20"/>
    </row>
    <row r="300" spans="1:9" ht="14.25" customHeight="1" x14ac:dyDescent="0.35">
      <c r="A300" s="20"/>
      <c r="B300" s="20"/>
      <c r="C300" s="20"/>
      <c r="D300" s="20"/>
      <c r="E300" s="20"/>
      <c r="F300" s="20"/>
      <c r="G300" s="20"/>
      <c r="H300" s="20"/>
      <c r="I300" s="20"/>
    </row>
    <row r="301" spans="1:9" ht="14.25" customHeight="1" x14ac:dyDescent="0.35">
      <c r="A301" s="20"/>
      <c r="B301" s="20"/>
      <c r="C301" s="20"/>
      <c r="D301" s="20"/>
      <c r="E301" s="20"/>
      <c r="F301" s="20"/>
      <c r="G301" s="20"/>
      <c r="H301" s="20"/>
      <c r="I301" s="20"/>
    </row>
    <row r="302" spans="1:9" ht="14.25" customHeight="1" x14ac:dyDescent="0.35">
      <c r="A302" s="20"/>
      <c r="B302" s="20"/>
      <c r="C302" s="20"/>
      <c r="D302" s="20"/>
      <c r="E302" s="20"/>
      <c r="F302" s="20"/>
      <c r="G302" s="20"/>
      <c r="H302" s="20"/>
      <c r="I302" s="20"/>
    </row>
    <row r="303" spans="1:9" ht="14.25" customHeight="1" x14ac:dyDescent="0.35">
      <c r="A303" s="20"/>
      <c r="B303" s="20"/>
      <c r="C303" s="20"/>
      <c r="D303" s="20"/>
      <c r="E303" s="20"/>
      <c r="F303" s="20"/>
      <c r="G303" s="20"/>
      <c r="H303" s="20"/>
      <c r="I303" s="20"/>
    </row>
    <row r="304" spans="1:9" ht="14.25" customHeight="1" x14ac:dyDescent="0.35">
      <c r="A304" s="20"/>
      <c r="B304" s="20"/>
      <c r="C304" s="20"/>
      <c r="D304" s="20"/>
      <c r="E304" s="20"/>
      <c r="F304" s="20"/>
      <c r="G304" s="20"/>
      <c r="H304" s="20"/>
      <c r="I304" s="20"/>
    </row>
    <row r="305" spans="1:9" ht="14.25" customHeight="1" x14ac:dyDescent="0.35">
      <c r="A305" s="20"/>
      <c r="B305" s="20"/>
      <c r="C305" s="20"/>
      <c r="D305" s="20"/>
      <c r="E305" s="20"/>
      <c r="F305" s="20"/>
      <c r="G305" s="20"/>
      <c r="H305" s="20"/>
      <c r="I305" s="20"/>
    </row>
    <row r="306" spans="1:9" ht="14.25" customHeight="1" x14ac:dyDescent="0.35">
      <c r="A306" s="20"/>
      <c r="B306" s="20"/>
      <c r="C306" s="20"/>
      <c r="D306" s="20"/>
      <c r="E306" s="20"/>
      <c r="F306" s="20"/>
      <c r="G306" s="20"/>
      <c r="H306" s="20"/>
      <c r="I306" s="20"/>
    </row>
    <row r="307" spans="1:9" ht="14.25" customHeight="1" x14ac:dyDescent="0.35">
      <c r="A307" s="20"/>
      <c r="B307" s="20"/>
      <c r="C307" s="20"/>
      <c r="D307" s="20"/>
      <c r="E307" s="20"/>
      <c r="F307" s="20"/>
      <c r="G307" s="20"/>
      <c r="H307" s="20"/>
      <c r="I307" s="20"/>
    </row>
    <row r="308" spans="1:9" ht="14.25" customHeight="1" x14ac:dyDescent="0.35">
      <c r="A308" s="20"/>
      <c r="B308" s="20"/>
      <c r="C308" s="20"/>
      <c r="D308" s="20"/>
      <c r="E308" s="20"/>
      <c r="F308" s="20"/>
      <c r="G308" s="20"/>
      <c r="H308" s="20"/>
      <c r="I308" s="20"/>
    </row>
    <row r="309" spans="1:9" ht="14.25" customHeight="1" x14ac:dyDescent="0.35">
      <c r="A309" s="20"/>
      <c r="B309" s="20"/>
      <c r="C309" s="20"/>
      <c r="D309" s="20"/>
      <c r="E309" s="20"/>
      <c r="F309" s="20"/>
      <c r="G309" s="20"/>
      <c r="H309" s="20"/>
      <c r="I309" s="20"/>
    </row>
    <row r="310" spans="1:9" ht="14.25" customHeight="1" x14ac:dyDescent="0.35">
      <c r="A310" s="20"/>
      <c r="B310" s="20"/>
      <c r="C310" s="20"/>
      <c r="D310" s="20"/>
      <c r="E310" s="20"/>
      <c r="F310" s="20"/>
      <c r="G310" s="20"/>
      <c r="H310" s="20"/>
      <c r="I310" s="20"/>
    </row>
    <row r="311" spans="1:9" ht="14.25" customHeight="1" x14ac:dyDescent="0.35">
      <c r="A311" s="20"/>
      <c r="B311" s="20"/>
      <c r="C311" s="20"/>
      <c r="D311" s="20"/>
      <c r="E311" s="20"/>
      <c r="F311" s="20"/>
      <c r="G311" s="20"/>
      <c r="H311" s="20"/>
      <c r="I311" s="20"/>
    </row>
    <row r="312" spans="1:9" ht="14.25" customHeight="1" x14ac:dyDescent="0.35">
      <c r="A312" s="20"/>
      <c r="B312" s="20"/>
      <c r="C312" s="20"/>
      <c r="D312" s="20"/>
      <c r="E312" s="20"/>
      <c r="F312" s="20"/>
      <c r="G312" s="20"/>
      <c r="H312" s="20"/>
      <c r="I312" s="20"/>
    </row>
    <row r="313" spans="1:9" ht="14.25" customHeight="1" x14ac:dyDescent="0.35">
      <c r="A313" s="20"/>
      <c r="B313" s="20"/>
      <c r="C313" s="20"/>
      <c r="D313" s="20"/>
      <c r="E313" s="20"/>
      <c r="F313" s="20"/>
      <c r="G313" s="20"/>
      <c r="H313" s="20"/>
      <c r="I313" s="20"/>
    </row>
    <row r="314" spans="1:9" ht="14.25" customHeight="1" x14ac:dyDescent="0.35">
      <c r="A314" s="20"/>
      <c r="B314" s="20"/>
      <c r="C314" s="20"/>
      <c r="D314" s="20"/>
      <c r="E314" s="20"/>
      <c r="F314" s="20"/>
      <c r="G314" s="20"/>
      <c r="H314" s="20"/>
      <c r="I314" s="20"/>
    </row>
    <row r="315" spans="1:9" ht="14.25" customHeight="1" x14ac:dyDescent="0.35">
      <c r="A315" s="20"/>
      <c r="B315" s="20"/>
      <c r="C315" s="20"/>
      <c r="D315" s="20"/>
      <c r="E315" s="20"/>
      <c r="F315" s="20"/>
      <c r="G315" s="20"/>
      <c r="H315" s="20"/>
      <c r="I315" s="20"/>
    </row>
    <row r="316" spans="1:9" ht="14.25" customHeight="1" x14ac:dyDescent="0.35">
      <c r="A316" s="20"/>
      <c r="B316" s="20"/>
      <c r="C316" s="20"/>
      <c r="D316" s="20"/>
      <c r="E316" s="20"/>
      <c r="F316" s="20"/>
      <c r="G316" s="20"/>
      <c r="H316" s="20"/>
      <c r="I316" s="20"/>
    </row>
    <row r="317" spans="1:9" ht="14.25" customHeight="1" x14ac:dyDescent="0.35">
      <c r="A317" s="20"/>
      <c r="B317" s="20"/>
      <c r="C317" s="20"/>
      <c r="D317" s="20"/>
      <c r="E317" s="20"/>
      <c r="F317" s="20"/>
      <c r="G317" s="20"/>
      <c r="H317" s="20"/>
      <c r="I317" s="20"/>
    </row>
    <row r="318" spans="1:9" ht="14.25" customHeight="1" x14ac:dyDescent="0.35">
      <c r="A318" s="20"/>
      <c r="B318" s="20"/>
      <c r="C318" s="20"/>
      <c r="D318" s="20"/>
      <c r="E318" s="20"/>
      <c r="F318" s="20"/>
      <c r="G318" s="20"/>
      <c r="H318" s="20"/>
      <c r="I318" s="20"/>
    </row>
    <row r="319" spans="1:9" ht="14.25" customHeight="1" x14ac:dyDescent="0.35">
      <c r="A319" s="20"/>
      <c r="B319" s="20"/>
      <c r="C319" s="20"/>
      <c r="D319" s="20"/>
      <c r="E319" s="20"/>
      <c r="F319" s="20"/>
      <c r="G319" s="20"/>
      <c r="H319" s="20"/>
      <c r="I319" s="20"/>
    </row>
    <row r="320" spans="1:9" ht="14.25" customHeight="1" x14ac:dyDescent="0.35">
      <c r="A320" s="20"/>
      <c r="B320" s="20"/>
      <c r="C320" s="20"/>
      <c r="D320" s="20"/>
      <c r="E320" s="20"/>
      <c r="F320" s="20"/>
      <c r="G320" s="20"/>
      <c r="H320" s="20"/>
      <c r="I320" s="20"/>
    </row>
    <row r="321" spans="1:9" ht="14.25" customHeight="1" x14ac:dyDescent="0.35">
      <c r="A321" s="20"/>
      <c r="B321" s="20"/>
      <c r="C321" s="20"/>
      <c r="D321" s="20"/>
      <c r="E321" s="20"/>
      <c r="F321" s="20"/>
      <c r="G321" s="20"/>
      <c r="H321" s="20"/>
      <c r="I321" s="20"/>
    </row>
    <row r="322" spans="1:9" ht="14.25" customHeight="1" x14ac:dyDescent="0.35">
      <c r="A322" s="20"/>
      <c r="B322" s="20"/>
      <c r="C322" s="20"/>
      <c r="D322" s="20"/>
      <c r="E322" s="20"/>
      <c r="F322" s="20"/>
      <c r="G322" s="20"/>
      <c r="H322" s="20"/>
      <c r="I322" s="20"/>
    </row>
    <row r="323" spans="1:9" ht="14.25" customHeight="1" x14ac:dyDescent="0.35">
      <c r="A323" s="20"/>
      <c r="B323" s="20"/>
      <c r="C323" s="20"/>
      <c r="D323" s="20"/>
      <c r="E323" s="20"/>
      <c r="F323" s="20"/>
      <c r="G323" s="20"/>
      <c r="H323" s="20"/>
      <c r="I323" s="20"/>
    </row>
    <row r="324" spans="1:9" ht="14.25" customHeight="1" x14ac:dyDescent="0.35">
      <c r="A324" s="20"/>
      <c r="B324" s="20"/>
      <c r="C324" s="20"/>
      <c r="D324" s="20"/>
      <c r="E324" s="20"/>
      <c r="F324" s="20"/>
      <c r="G324" s="20"/>
      <c r="H324" s="20"/>
      <c r="I324" s="20"/>
    </row>
    <row r="325" spans="1:9" ht="14.25" customHeight="1" x14ac:dyDescent="0.35">
      <c r="A325" s="20"/>
      <c r="B325" s="20"/>
      <c r="C325" s="20"/>
      <c r="D325" s="20"/>
      <c r="E325" s="20"/>
      <c r="F325" s="20"/>
      <c r="G325" s="20"/>
      <c r="H325" s="20"/>
      <c r="I325" s="20"/>
    </row>
    <row r="326" spans="1:9" ht="14.25" customHeight="1" x14ac:dyDescent="0.35">
      <c r="A326" s="20"/>
      <c r="B326" s="20"/>
      <c r="C326" s="20"/>
      <c r="D326" s="20"/>
      <c r="E326" s="20"/>
      <c r="F326" s="20"/>
      <c r="G326" s="20"/>
      <c r="H326" s="20"/>
      <c r="I326" s="20"/>
    </row>
    <row r="327" spans="1:9" ht="14.25" customHeight="1" x14ac:dyDescent="0.35">
      <c r="A327" s="20"/>
      <c r="B327" s="20"/>
      <c r="C327" s="20"/>
      <c r="D327" s="20"/>
      <c r="E327" s="20"/>
      <c r="F327" s="20"/>
      <c r="G327" s="20"/>
      <c r="H327" s="20"/>
      <c r="I327" s="20"/>
    </row>
    <row r="328" spans="1:9" ht="14.25" customHeight="1" x14ac:dyDescent="0.35">
      <c r="A328" s="20"/>
      <c r="B328" s="20"/>
      <c r="C328" s="20"/>
      <c r="D328" s="20"/>
      <c r="E328" s="20"/>
      <c r="F328" s="20"/>
      <c r="G328" s="20"/>
      <c r="H328" s="20"/>
      <c r="I328" s="20"/>
    </row>
    <row r="329" spans="1:9" ht="14.25" customHeight="1" x14ac:dyDescent="0.35">
      <c r="A329" s="20"/>
      <c r="B329" s="20"/>
      <c r="C329" s="20"/>
      <c r="D329" s="20"/>
      <c r="E329" s="20"/>
      <c r="F329" s="20"/>
      <c r="G329" s="20"/>
      <c r="H329" s="20"/>
      <c r="I329" s="20"/>
    </row>
    <row r="330" spans="1:9" ht="14.25" customHeight="1" x14ac:dyDescent="0.35">
      <c r="A330" s="20"/>
      <c r="B330" s="20"/>
      <c r="C330" s="20"/>
      <c r="D330" s="20"/>
      <c r="E330" s="20"/>
      <c r="F330" s="20"/>
      <c r="G330" s="20"/>
      <c r="H330" s="20"/>
      <c r="I330" s="20"/>
    </row>
    <row r="331" spans="1:9" ht="14.25" customHeight="1" x14ac:dyDescent="0.35">
      <c r="A331" s="20"/>
      <c r="B331" s="20"/>
      <c r="C331" s="20"/>
      <c r="D331" s="20"/>
      <c r="E331" s="20"/>
      <c r="F331" s="20"/>
      <c r="G331" s="20"/>
      <c r="H331" s="20"/>
      <c r="I331" s="20"/>
    </row>
    <row r="332" spans="1:9" ht="14.25" customHeight="1" x14ac:dyDescent="0.35">
      <c r="A332" s="20"/>
      <c r="B332" s="20"/>
      <c r="C332" s="20"/>
      <c r="D332" s="20"/>
      <c r="E332" s="20"/>
      <c r="F332" s="20"/>
      <c r="G332" s="20"/>
      <c r="H332" s="20"/>
      <c r="I332" s="20"/>
    </row>
    <row r="333" spans="1:9" ht="14.25" customHeight="1" x14ac:dyDescent="0.35">
      <c r="A333" s="20"/>
      <c r="B333" s="20"/>
      <c r="C333" s="20"/>
      <c r="D333" s="20"/>
      <c r="E333" s="20"/>
      <c r="F333" s="20"/>
      <c r="G333" s="20"/>
      <c r="H333" s="20"/>
      <c r="I333" s="20"/>
    </row>
    <row r="334" spans="1:9" ht="14.25" customHeight="1" x14ac:dyDescent="0.35">
      <c r="A334" s="20"/>
      <c r="B334" s="20"/>
      <c r="C334" s="20"/>
      <c r="D334" s="20"/>
      <c r="E334" s="20"/>
      <c r="F334" s="20"/>
      <c r="G334" s="20"/>
      <c r="H334" s="20"/>
      <c r="I334" s="20"/>
    </row>
    <row r="335" spans="1:9" ht="14.25" customHeight="1" x14ac:dyDescent="0.35">
      <c r="A335" s="20"/>
      <c r="B335" s="20"/>
      <c r="C335" s="20"/>
      <c r="D335" s="20"/>
      <c r="E335" s="20"/>
      <c r="F335" s="20"/>
      <c r="G335" s="20"/>
      <c r="H335" s="20"/>
      <c r="I335" s="20"/>
    </row>
    <row r="336" spans="1:9" ht="14.25" customHeight="1" x14ac:dyDescent="0.35">
      <c r="A336" s="20"/>
      <c r="B336" s="20"/>
      <c r="C336" s="20"/>
      <c r="D336" s="20"/>
      <c r="E336" s="20"/>
      <c r="F336" s="20"/>
      <c r="G336" s="20"/>
      <c r="H336" s="20"/>
      <c r="I336" s="20"/>
    </row>
    <row r="337" spans="1:9" ht="14.25" customHeight="1" x14ac:dyDescent="0.35">
      <c r="A337" s="20"/>
      <c r="B337" s="20"/>
      <c r="C337" s="20"/>
      <c r="D337" s="20"/>
      <c r="E337" s="20"/>
      <c r="F337" s="20"/>
      <c r="G337" s="20"/>
      <c r="H337" s="20"/>
      <c r="I337" s="20"/>
    </row>
    <row r="338" spans="1:9" ht="14.25" customHeight="1" x14ac:dyDescent="0.35">
      <c r="A338" s="20"/>
      <c r="B338" s="20"/>
      <c r="C338" s="20"/>
      <c r="D338" s="20"/>
      <c r="E338" s="20"/>
      <c r="F338" s="20"/>
      <c r="G338" s="20"/>
      <c r="H338" s="20"/>
      <c r="I338" s="20"/>
    </row>
    <row r="339" spans="1:9" ht="14.25" customHeight="1" x14ac:dyDescent="0.35">
      <c r="A339" s="20"/>
      <c r="B339" s="20"/>
      <c r="C339" s="20"/>
      <c r="D339" s="20"/>
      <c r="E339" s="20"/>
      <c r="F339" s="20"/>
      <c r="G339" s="20"/>
      <c r="H339" s="20"/>
      <c r="I339" s="20"/>
    </row>
    <row r="340" spans="1:9" ht="14.25" customHeight="1" x14ac:dyDescent="0.35">
      <c r="A340" s="20"/>
      <c r="B340" s="20"/>
      <c r="C340" s="20"/>
      <c r="D340" s="20"/>
      <c r="E340" s="20"/>
      <c r="F340" s="20"/>
      <c r="G340" s="20"/>
      <c r="H340" s="20"/>
      <c r="I340" s="20"/>
    </row>
    <row r="341" spans="1:9" ht="14.25" customHeight="1" x14ac:dyDescent="0.35">
      <c r="A341" s="20"/>
      <c r="B341" s="20"/>
      <c r="C341" s="20"/>
      <c r="D341" s="20"/>
      <c r="E341" s="20"/>
      <c r="F341" s="20"/>
      <c r="G341" s="20"/>
      <c r="H341" s="20"/>
      <c r="I341" s="20"/>
    </row>
    <row r="342" spans="1:9" ht="14.25" customHeight="1" x14ac:dyDescent="0.35">
      <c r="A342" s="20"/>
      <c r="B342" s="20"/>
      <c r="C342" s="20"/>
      <c r="D342" s="20"/>
      <c r="E342" s="20"/>
      <c r="F342" s="20"/>
      <c r="G342" s="20"/>
      <c r="H342" s="20"/>
      <c r="I342" s="20"/>
    </row>
    <row r="343" spans="1:9" ht="14.25" customHeight="1" x14ac:dyDescent="0.35">
      <c r="A343" s="20"/>
      <c r="B343" s="20"/>
      <c r="C343" s="20"/>
      <c r="D343" s="20"/>
      <c r="E343" s="20"/>
      <c r="F343" s="20"/>
      <c r="G343" s="20"/>
      <c r="H343" s="20"/>
      <c r="I343" s="20"/>
    </row>
    <row r="344" spans="1:9" ht="14.25" customHeight="1" x14ac:dyDescent="0.35">
      <c r="A344" s="20"/>
      <c r="B344" s="20"/>
      <c r="C344" s="20"/>
      <c r="D344" s="20"/>
      <c r="E344" s="20"/>
      <c r="F344" s="20"/>
      <c r="G344" s="20"/>
      <c r="H344" s="20"/>
      <c r="I344" s="20"/>
    </row>
    <row r="345" spans="1:9" ht="14.25" customHeight="1" x14ac:dyDescent="0.35">
      <c r="A345" s="20"/>
      <c r="B345" s="20"/>
      <c r="C345" s="20"/>
      <c r="D345" s="20"/>
      <c r="E345" s="20"/>
      <c r="F345" s="20"/>
      <c r="G345" s="20"/>
      <c r="H345" s="20"/>
      <c r="I345" s="20"/>
    </row>
    <row r="346" spans="1:9" ht="14.25" customHeight="1" x14ac:dyDescent="0.35">
      <c r="A346" s="20"/>
      <c r="B346" s="20"/>
      <c r="C346" s="20"/>
      <c r="D346" s="20"/>
      <c r="E346" s="20"/>
      <c r="F346" s="20"/>
      <c r="G346" s="20"/>
      <c r="H346" s="20"/>
      <c r="I346" s="20"/>
    </row>
    <row r="347" spans="1:9" ht="14.25" customHeight="1" x14ac:dyDescent="0.35">
      <c r="A347" s="20"/>
      <c r="B347" s="20"/>
      <c r="C347" s="20"/>
      <c r="D347" s="20"/>
      <c r="E347" s="20"/>
      <c r="F347" s="20"/>
      <c r="G347" s="20"/>
      <c r="H347" s="20"/>
      <c r="I347" s="20"/>
    </row>
    <row r="348" spans="1:9" ht="14.25" customHeight="1" x14ac:dyDescent="0.35">
      <c r="A348" s="20"/>
      <c r="B348" s="20"/>
      <c r="C348" s="20"/>
      <c r="D348" s="20"/>
      <c r="E348" s="20"/>
      <c r="F348" s="20"/>
      <c r="G348" s="20"/>
      <c r="H348" s="20"/>
      <c r="I348" s="20"/>
    </row>
    <row r="349" spans="1:9" ht="14.25" customHeight="1" x14ac:dyDescent="0.35">
      <c r="A349" s="20"/>
      <c r="B349" s="20"/>
      <c r="C349" s="20"/>
      <c r="D349" s="20"/>
      <c r="E349" s="20"/>
      <c r="F349" s="20"/>
      <c r="G349" s="20"/>
      <c r="H349" s="20"/>
      <c r="I349" s="20"/>
    </row>
    <row r="350" spans="1:9" ht="14.25" customHeight="1" x14ac:dyDescent="0.35">
      <c r="A350" s="20"/>
      <c r="B350" s="20"/>
      <c r="C350" s="20"/>
      <c r="D350" s="20"/>
      <c r="E350" s="20"/>
      <c r="F350" s="20"/>
      <c r="G350" s="20"/>
      <c r="H350" s="20"/>
      <c r="I350" s="20"/>
    </row>
    <row r="351" spans="1:9" ht="14.25" customHeight="1" x14ac:dyDescent="0.35">
      <c r="A351" s="20"/>
      <c r="B351" s="20"/>
      <c r="C351" s="20"/>
      <c r="D351" s="20"/>
      <c r="E351" s="20"/>
      <c r="F351" s="20"/>
      <c r="G351" s="20"/>
      <c r="H351" s="20"/>
      <c r="I351" s="20"/>
    </row>
    <row r="352" spans="1:9" ht="14.25" customHeight="1" x14ac:dyDescent="0.35">
      <c r="A352" s="20"/>
      <c r="B352" s="20"/>
      <c r="C352" s="20"/>
      <c r="D352" s="20"/>
      <c r="E352" s="20"/>
      <c r="F352" s="20"/>
      <c r="G352" s="20"/>
      <c r="H352" s="20"/>
      <c r="I352" s="20"/>
    </row>
    <row r="353" spans="1:9" ht="14.25" customHeight="1" x14ac:dyDescent="0.35">
      <c r="A353" s="20"/>
      <c r="B353" s="20"/>
      <c r="C353" s="20"/>
      <c r="D353" s="20"/>
      <c r="E353" s="20"/>
      <c r="F353" s="20"/>
      <c r="G353" s="20"/>
      <c r="H353" s="20"/>
      <c r="I353" s="20"/>
    </row>
    <row r="354" spans="1:9" ht="14.25" customHeight="1" x14ac:dyDescent="0.35">
      <c r="A354" s="20"/>
      <c r="B354" s="20"/>
      <c r="C354" s="20"/>
      <c r="D354" s="20"/>
      <c r="E354" s="20"/>
      <c r="F354" s="20"/>
      <c r="G354" s="20"/>
      <c r="H354" s="20"/>
      <c r="I354" s="20"/>
    </row>
    <row r="355" spans="1:9" ht="14.25" customHeight="1" x14ac:dyDescent="0.35">
      <c r="A355" s="20"/>
      <c r="B355" s="20"/>
      <c r="C355" s="20"/>
      <c r="D355" s="20"/>
      <c r="E355" s="20"/>
      <c r="F355" s="20"/>
      <c r="G355" s="20"/>
      <c r="H355" s="20"/>
      <c r="I355" s="20"/>
    </row>
    <row r="356" spans="1:9" ht="14.25" customHeight="1" x14ac:dyDescent="0.35">
      <c r="A356" s="20"/>
      <c r="B356" s="20"/>
      <c r="C356" s="20"/>
      <c r="D356" s="20"/>
      <c r="E356" s="20"/>
      <c r="F356" s="20"/>
      <c r="G356" s="20"/>
      <c r="H356" s="20"/>
      <c r="I356" s="20"/>
    </row>
    <row r="357" spans="1:9" ht="14.25" customHeight="1" x14ac:dyDescent="0.35">
      <c r="A357" s="20"/>
      <c r="B357" s="20"/>
      <c r="C357" s="20"/>
      <c r="D357" s="20"/>
      <c r="E357" s="20"/>
      <c r="F357" s="20"/>
      <c r="G357" s="20"/>
      <c r="H357" s="20"/>
      <c r="I357" s="20"/>
    </row>
    <row r="358" spans="1:9" ht="14.25" customHeight="1" x14ac:dyDescent="0.35">
      <c r="A358" s="20"/>
      <c r="B358" s="20"/>
      <c r="C358" s="20"/>
      <c r="D358" s="20"/>
      <c r="E358" s="20"/>
      <c r="F358" s="20"/>
      <c r="G358" s="20"/>
      <c r="H358" s="20"/>
      <c r="I358" s="20"/>
    </row>
    <row r="359" spans="1:9" ht="14.25" customHeight="1" x14ac:dyDescent="0.35">
      <c r="A359" s="20"/>
      <c r="B359" s="20"/>
      <c r="C359" s="20"/>
      <c r="D359" s="20"/>
      <c r="E359" s="20"/>
      <c r="F359" s="20"/>
      <c r="G359" s="20"/>
      <c r="H359" s="20"/>
      <c r="I359" s="20"/>
    </row>
    <row r="360" spans="1:9" ht="14.25" customHeight="1" x14ac:dyDescent="0.35">
      <c r="A360" s="20"/>
      <c r="B360" s="20"/>
      <c r="C360" s="20"/>
      <c r="D360" s="20"/>
      <c r="E360" s="20"/>
      <c r="F360" s="20"/>
      <c r="G360" s="20"/>
      <c r="H360" s="20"/>
      <c r="I360" s="20"/>
    </row>
    <row r="361" spans="1:9" ht="14.25" customHeight="1" x14ac:dyDescent="0.35">
      <c r="A361" s="20"/>
      <c r="B361" s="20"/>
      <c r="C361" s="20"/>
      <c r="D361" s="20"/>
      <c r="E361" s="20"/>
      <c r="F361" s="20"/>
      <c r="G361" s="20"/>
      <c r="H361" s="20"/>
      <c r="I361" s="20"/>
    </row>
    <row r="362" spans="1:9" ht="14.25" customHeight="1" x14ac:dyDescent="0.35">
      <c r="A362" s="20"/>
      <c r="B362" s="20"/>
      <c r="C362" s="20"/>
      <c r="D362" s="20"/>
      <c r="E362" s="20"/>
      <c r="F362" s="20"/>
      <c r="G362" s="20"/>
      <c r="H362" s="20"/>
      <c r="I362" s="20"/>
    </row>
    <row r="363" spans="1:9" ht="14.25" customHeight="1" x14ac:dyDescent="0.35">
      <c r="A363" s="20"/>
      <c r="B363" s="20"/>
      <c r="C363" s="20"/>
      <c r="D363" s="20"/>
      <c r="E363" s="20"/>
      <c r="F363" s="20"/>
      <c r="G363" s="20"/>
      <c r="H363" s="20"/>
      <c r="I363" s="20"/>
    </row>
    <row r="364" spans="1:9" ht="14.25" customHeight="1" x14ac:dyDescent="0.35">
      <c r="A364" s="20"/>
      <c r="B364" s="20"/>
      <c r="C364" s="20"/>
      <c r="D364" s="20"/>
      <c r="E364" s="20"/>
      <c r="F364" s="20"/>
      <c r="G364" s="20"/>
      <c r="H364" s="20"/>
      <c r="I364" s="20"/>
    </row>
    <row r="365" spans="1:9" ht="14.25" customHeight="1" x14ac:dyDescent="0.35">
      <c r="A365" s="20"/>
      <c r="B365" s="20"/>
      <c r="C365" s="20"/>
      <c r="D365" s="20"/>
      <c r="E365" s="20"/>
      <c r="F365" s="20"/>
      <c r="G365" s="20"/>
      <c r="H365" s="20"/>
      <c r="I365" s="20"/>
    </row>
    <row r="366" spans="1:9" ht="14.25" customHeight="1" x14ac:dyDescent="0.35">
      <c r="A366" s="20"/>
      <c r="B366" s="20"/>
      <c r="C366" s="20"/>
      <c r="D366" s="20"/>
      <c r="E366" s="20"/>
      <c r="F366" s="20"/>
      <c r="G366" s="20"/>
      <c r="H366" s="20"/>
      <c r="I366" s="20"/>
    </row>
    <row r="367" spans="1:9" ht="14.25" customHeight="1" x14ac:dyDescent="0.35">
      <c r="A367" s="20"/>
      <c r="B367" s="20"/>
      <c r="C367" s="20"/>
      <c r="D367" s="20"/>
      <c r="E367" s="20"/>
      <c r="F367" s="20"/>
      <c r="G367" s="20"/>
      <c r="H367" s="20"/>
      <c r="I367" s="20"/>
    </row>
    <row r="368" spans="1:9" ht="14.25" customHeight="1" x14ac:dyDescent="0.35">
      <c r="A368" s="20"/>
      <c r="B368" s="20"/>
      <c r="C368" s="20"/>
      <c r="D368" s="20"/>
      <c r="E368" s="20"/>
      <c r="F368" s="20"/>
      <c r="G368" s="20"/>
      <c r="H368" s="20"/>
      <c r="I368" s="20"/>
    </row>
    <row r="369" spans="1:9" ht="14.25" customHeight="1" x14ac:dyDescent="0.35">
      <c r="A369" s="20"/>
      <c r="B369" s="20"/>
      <c r="C369" s="20"/>
      <c r="D369" s="20"/>
      <c r="E369" s="20"/>
      <c r="F369" s="20"/>
      <c r="G369" s="20"/>
      <c r="H369" s="20"/>
      <c r="I369" s="20"/>
    </row>
    <row r="370" spans="1:9" ht="14.25" customHeight="1" x14ac:dyDescent="0.35">
      <c r="A370" s="20"/>
      <c r="B370" s="20"/>
      <c r="C370" s="20"/>
      <c r="D370" s="20"/>
      <c r="E370" s="20"/>
      <c r="F370" s="20"/>
      <c r="G370" s="20"/>
      <c r="H370" s="20"/>
      <c r="I370" s="20"/>
    </row>
    <row r="371" spans="1:9" ht="14.25" customHeight="1" x14ac:dyDescent="0.35">
      <c r="A371" s="20"/>
      <c r="B371" s="20"/>
      <c r="C371" s="20"/>
      <c r="D371" s="20"/>
      <c r="E371" s="20"/>
      <c r="F371" s="20"/>
      <c r="G371" s="20"/>
      <c r="H371" s="20"/>
      <c r="I371" s="20"/>
    </row>
    <row r="372" spans="1:9" ht="14.25" customHeight="1" x14ac:dyDescent="0.35">
      <c r="A372" s="20"/>
      <c r="B372" s="20"/>
      <c r="C372" s="20"/>
      <c r="D372" s="20"/>
      <c r="E372" s="20"/>
      <c r="F372" s="20"/>
      <c r="G372" s="20"/>
      <c r="H372" s="20"/>
      <c r="I372" s="20"/>
    </row>
    <row r="373" spans="1:9" ht="14.25" customHeight="1" x14ac:dyDescent="0.35">
      <c r="A373" s="20"/>
      <c r="B373" s="20"/>
      <c r="C373" s="20"/>
      <c r="D373" s="20"/>
      <c r="E373" s="20"/>
      <c r="F373" s="20"/>
      <c r="G373" s="20"/>
      <c r="H373" s="20"/>
      <c r="I373" s="20"/>
    </row>
    <row r="374" spans="1:9" ht="14.25" customHeight="1" x14ac:dyDescent="0.35">
      <c r="A374" s="20"/>
      <c r="B374" s="20"/>
      <c r="C374" s="20"/>
      <c r="D374" s="20"/>
      <c r="E374" s="20"/>
      <c r="F374" s="20"/>
      <c r="G374" s="20"/>
      <c r="H374" s="20"/>
      <c r="I374" s="20"/>
    </row>
    <row r="375" spans="1:9" ht="14.25" customHeight="1" x14ac:dyDescent="0.35">
      <c r="A375" s="20"/>
      <c r="B375" s="20"/>
      <c r="C375" s="20"/>
      <c r="D375" s="20"/>
      <c r="E375" s="20"/>
      <c r="F375" s="20"/>
      <c r="G375" s="20"/>
      <c r="H375" s="20"/>
      <c r="I375" s="20"/>
    </row>
    <row r="376" spans="1:9" ht="14.25" customHeight="1" x14ac:dyDescent="0.35">
      <c r="A376" s="20"/>
      <c r="B376" s="20"/>
      <c r="C376" s="20"/>
      <c r="D376" s="20"/>
      <c r="E376" s="20"/>
      <c r="F376" s="20"/>
      <c r="G376" s="20"/>
      <c r="H376" s="20"/>
      <c r="I376" s="20"/>
    </row>
    <row r="377" spans="1:9" ht="14.25" customHeight="1" x14ac:dyDescent="0.35">
      <c r="A377" s="20"/>
      <c r="B377" s="20"/>
      <c r="C377" s="20"/>
      <c r="D377" s="20"/>
      <c r="E377" s="20"/>
      <c r="F377" s="20"/>
      <c r="G377" s="20"/>
      <c r="H377" s="20"/>
      <c r="I377" s="20"/>
    </row>
    <row r="378" spans="1:9" ht="14.25" customHeight="1" x14ac:dyDescent="0.35">
      <c r="A378" s="20"/>
      <c r="B378" s="20"/>
      <c r="C378" s="20"/>
      <c r="D378" s="20"/>
      <c r="E378" s="20"/>
      <c r="F378" s="20"/>
      <c r="G378" s="20"/>
      <c r="H378" s="20"/>
      <c r="I378" s="20"/>
    </row>
    <row r="379" spans="1:9" ht="14.25" customHeight="1" x14ac:dyDescent="0.35">
      <c r="A379" s="20"/>
      <c r="B379" s="20"/>
      <c r="C379" s="20"/>
      <c r="D379" s="20"/>
      <c r="E379" s="20"/>
      <c r="F379" s="20"/>
      <c r="G379" s="20"/>
      <c r="H379" s="20"/>
      <c r="I379" s="20"/>
    </row>
    <row r="380" spans="1:9" ht="14.25" customHeight="1" x14ac:dyDescent="0.35">
      <c r="A380" s="20"/>
      <c r="B380" s="20"/>
      <c r="C380" s="20"/>
      <c r="D380" s="20"/>
      <c r="E380" s="20"/>
      <c r="F380" s="20"/>
      <c r="G380" s="20"/>
      <c r="H380" s="20"/>
      <c r="I380" s="20"/>
    </row>
    <row r="381" spans="1:9" ht="14.25" customHeight="1" x14ac:dyDescent="0.35">
      <c r="A381" s="20"/>
      <c r="B381" s="20"/>
      <c r="C381" s="20"/>
      <c r="D381" s="20"/>
      <c r="E381" s="20"/>
      <c r="F381" s="20"/>
      <c r="G381" s="20"/>
      <c r="H381" s="20"/>
      <c r="I381" s="20"/>
    </row>
    <row r="382" spans="1:9" ht="14.25" customHeight="1" x14ac:dyDescent="0.35">
      <c r="A382" s="20"/>
      <c r="B382" s="20"/>
      <c r="C382" s="20"/>
      <c r="D382" s="20"/>
      <c r="E382" s="20"/>
      <c r="F382" s="20"/>
      <c r="G382" s="20"/>
      <c r="H382" s="20"/>
      <c r="I382" s="20"/>
    </row>
    <row r="383" spans="1:9" ht="14.25" customHeight="1" x14ac:dyDescent="0.35">
      <c r="A383" s="20"/>
      <c r="B383" s="20"/>
      <c r="C383" s="20"/>
      <c r="D383" s="20"/>
      <c r="E383" s="20"/>
      <c r="F383" s="20"/>
      <c r="G383" s="20"/>
      <c r="H383" s="20"/>
      <c r="I383" s="20"/>
    </row>
    <row r="384" spans="1:9" ht="14.25" customHeight="1" x14ac:dyDescent="0.35">
      <c r="A384" s="20"/>
      <c r="B384" s="20"/>
      <c r="C384" s="20"/>
      <c r="D384" s="20"/>
      <c r="E384" s="20"/>
      <c r="F384" s="20"/>
      <c r="G384" s="20"/>
      <c r="H384" s="20"/>
      <c r="I384" s="20"/>
    </row>
    <row r="385" spans="1:9" ht="14.25" customHeight="1" x14ac:dyDescent="0.35">
      <c r="A385" s="20"/>
      <c r="B385" s="20"/>
      <c r="C385" s="20"/>
      <c r="D385" s="20"/>
      <c r="E385" s="20"/>
      <c r="F385" s="20"/>
      <c r="G385" s="20"/>
      <c r="H385" s="20"/>
      <c r="I385" s="20"/>
    </row>
    <row r="386" spans="1:9" ht="14.25" customHeight="1" x14ac:dyDescent="0.35">
      <c r="A386" s="20"/>
      <c r="B386" s="20"/>
      <c r="C386" s="20"/>
      <c r="D386" s="20"/>
      <c r="E386" s="20"/>
      <c r="F386" s="20"/>
      <c r="G386" s="20"/>
      <c r="H386" s="20"/>
      <c r="I386" s="20"/>
    </row>
    <row r="387" spans="1:9" ht="14.25" customHeight="1" x14ac:dyDescent="0.35">
      <c r="A387" s="20"/>
      <c r="B387" s="20"/>
      <c r="C387" s="20"/>
      <c r="D387" s="20"/>
      <c r="E387" s="20"/>
      <c r="F387" s="20"/>
      <c r="G387" s="20"/>
      <c r="H387" s="20"/>
      <c r="I387" s="20"/>
    </row>
    <row r="388" spans="1:9" ht="14.25" customHeight="1" x14ac:dyDescent="0.35">
      <c r="A388" s="20"/>
      <c r="B388" s="20"/>
      <c r="C388" s="20"/>
      <c r="D388" s="20"/>
      <c r="E388" s="20"/>
      <c r="F388" s="20"/>
      <c r="G388" s="20"/>
      <c r="H388" s="20"/>
      <c r="I388" s="20"/>
    </row>
    <row r="389" spans="1:9" ht="14.25" customHeight="1" x14ac:dyDescent="0.35">
      <c r="A389" s="20"/>
      <c r="B389" s="20"/>
      <c r="C389" s="20"/>
      <c r="D389" s="20"/>
      <c r="E389" s="20"/>
      <c r="F389" s="20"/>
      <c r="G389" s="20"/>
      <c r="H389" s="20"/>
      <c r="I389" s="20"/>
    </row>
    <row r="390" spans="1:9" ht="14.25" customHeight="1" x14ac:dyDescent="0.35">
      <c r="A390" s="20"/>
      <c r="B390" s="20"/>
      <c r="C390" s="20"/>
      <c r="D390" s="20"/>
      <c r="E390" s="20"/>
      <c r="F390" s="20"/>
      <c r="G390" s="20"/>
      <c r="H390" s="20"/>
      <c r="I390" s="20"/>
    </row>
    <row r="391" spans="1:9" ht="14.25" customHeight="1" x14ac:dyDescent="0.35">
      <c r="A391" s="20"/>
      <c r="B391" s="20"/>
      <c r="C391" s="20"/>
      <c r="D391" s="20"/>
      <c r="E391" s="20"/>
      <c r="F391" s="20"/>
      <c r="G391" s="20"/>
      <c r="H391" s="20"/>
      <c r="I391" s="20"/>
    </row>
    <row r="392" spans="1:9" ht="14.25" customHeight="1" x14ac:dyDescent="0.35">
      <c r="A392" s="20"/>
      <c r="B392" s="20"/>
      <c r="C392" s="20"/>
      <c r="D392" s="20"/>
      <c r="E392" s="20"/>
      <c r="F392" s="20"/>
      <c r="G392" s="20"/>
      <c r="H392" s="20"/>
      <c r="I392" s="20"/>
    </row>
    <row r="393" spans="1:9" ht="14.25" customHeight="1" x14ac:dyDescent="0.35">
      <c r="A393" s="20"/>
      <c r="B393" s="20"/>
      <c r="C393" s="20"/>
      <c r="D393" s="20"/>
      <c r="E393" s="20"/>
      <c r="F393" s="20"/>
      <c r="G393" s="20"/>
      <c r="H393" s="20"/>
      <c r="I393" s="20"/>
    </row>
    <row r="394" spans="1:9" ht="14.25" customHeight="1" x14ac:dyDescent="0.35">
      <c r="A394" s="20"/>
      <c r="B394" s="20"/>
      <c r="C394" s="20"/>
      <c r="D394" s="20"/>
      <c r="E394" s="20"/>
      <c r="F394" s="20"/>
      <c r="G394" s="20"/>
      <c r="H394" s="20"/>
      <c r="I394" s="20"/>
    </row>
    <row r="395" spans="1:9" ht="14.25" customHeight="1" x14ac:dyDescent="0.35">
      <c r="A395" s="20"/>
      <c r="B395" s="20"/>
      <c r="C395" s="20"/>
      <c r="D395" s="20"/>
      <c r="E395" s="20"/>
      <c r="F395" s="20"/>
      <c r="G395" s="20"/>
      <c r="H395" s="20"/>
      <c r="I395" s="20"/>
    </row>
    <row r="396" spans="1:9" ht="14.25" customHeight="1" x14ac:dyDescent="0.35">
      <c r="A396" s="20"/>
      <c r="B396" s="20"/>
      <c r="C396" s="20"/>
      <c r="D396" s="20"/>
      <c r="E396" s="20"/>
      <c r="F396" s="20"/>
      <c r="G396" s="20"/>
      <c r="H396" s="20"/>
      <c r="I396" s="20"/>
    </row>
    <row r="397" spans="1:9" ht="14.25" customHeight="1" x14ac:dyDescent="0.35">
      <c r="A397" s="20"/>
      <c r="B397" s="20"/>
      <c r="C397" s="20"/>
      <c r="D397" s="20"/>
      <c r="E397" s="20"/>
      <c r="F397" s="20"/>
      <c r="G397" s="20"/>
      <c r="H397" s="20"/>
      <c r="I397" s="20"/>
    </row>
    <row r="398" spans="1:9" ht="14.25" customHeight="1" x14ac:dyDescent="0.35">
      <c r="A398" s="20"/>
      <c r="B398" s="20"/>
      <c r="C398" s="20"/>
      <c r="D398" s="20"/>
      <c r="E398" s="20"/>
      <c r="F398" s="20"/>
      <c r="G398" s="20"/>
      <c r="H398" s="20"/>
      <c r="I398" s="20"/>
    </row>
    <row r="399" spans="1:9" ht="14.25" customHeight="1" x14ac:dyDescent="0.35">
      <c r="A399" s="20"/>
      <c r="B399" s="20"/>
      <c r="C399" s="20"/>
      <c r="D399" s="20"/>
      <c r="E399" s="20"/>
      <c r="F399" s="20"/>
      <c r="G399" s="20"/>
      <c r="H399" s="20"/>
      <c r="I399" s="20"/>
    </row>
    <row r="400" spans="1:9" ht="14.25" customHeight="1" x14ac:dyDescent="0.35">
      <c r="A400" s="20"/>
      <c r="B400" s="20"/>
      <c r="C400" s="20"/>
      <c r="D400" s="20"/>
      <c r="E400" s="20"/>
      <c r="F400" s="20"/>
      <c r="G400" s="20"/>
      <c r="H400" s="20"/>
      <c r="I400" s="20"/>
    </row>
    <row r="401" spans="1:9" ht="14.25" customHeight="1" x14ac:dyDescent="0.35">
      <c r="A401" s="20"/>
      <c r="B401" s="20"/>
      <c r="C401" s="20"/>
      <c r="D401" s="20"/>
      <c r="E401" s="20"/>
      <c r="F401" s="20"/>
      <c r="G401" s="20"/>
      <c r="H401" s="20"/>
      <c r="I401" s="20"/>
    </row>
    <row r="402" spans="1:9" ht="14.25" customHeight="1" x14ac:dyDescent="0.35">
      <c r="A402" s="20"/>
      <c r="B402" s="20"/>
      <c r="C402" s="20"/>
      <c r="D402" s="20"/>
      <c r="E402" s="20"/>
      <c r="F402" s="20"/>
      <c r="G402" s="20"/>
      <c r="H402" s="20"/>
      <c r="I402" s="20"/>
    </row>
    <row r="403" spans="1:9" ht="14.25" customHeight="1" x14ac:dyDescent="0.35">
      <c r="A403" s="20"/>
      <c r="B403" s="20"/>
      <c r="C403" s="20"/>
      <c r="D403" s="20"/>
      <c r="E403" s="20"/>
      <c r="F403" s="20"/>
      <c r="G403" s="20"/>
      <c r="H403" s="20"/>
      <c r="I403" s="20"/>
    </row>
    <row r="404" spans="1:9" ht="14.25" customHeight="1" x14ac:dyDescent="0.35">
      <c r="A404" s="20"/>
      <c r="B404" s="20"/>
      <c r="C404" s="20"/>
      <c r="D404" s="20"/>
      <c r="E404" s="20"/>
      <c r="F404" s="20"/>
      <c r="G404" s="20"/>
      <c r="H404" s="20"/>
      <c r="I404" s="20"/>
    </row>
    <row r="405" spans="1:9" ht="14.25" customHeight="1" x14ac:dyDescent="0.35">
      <c r="A405" s="20"/>
      <c r="B405" s="20"/>
      <c r="C405" s="20"/>
      <c r="D405" s="20"/>
      <c r="E405" s="20"/>
      <c r="F405" s="20"/>
      <c r="G405" s="20"/>
      <c r="H405" s="20"/>
      <c r="I405" s="20"/>
    </row>
    <row r="406" spans="1:9" ht="14.25" customHeight="1" x14ac:dyDescent="0.35">
      <c r="A406" s="20"/>
      <c r="B406" s="20"/>
      <c r="C406" s="20"/>
      <c r="D406" s="20"/>
      <c r="E406" s="20"/>
      <c r="F406" s="20"/>
      <c r="G406" s="20"/>
      <c r="H406" s="20"/>
      <c r="I406" s="20"/>
    </row>
    <row r="407" spans="1:9" ht="14.25" customHeight="1" x14ac:dyDescent="0.35">
      <c r="A407" s="20"/>
      <c r="B407" s="20"/>
      <c r="C407" s="20"/>
      <c r="D407" s="20"/>
      <c r="E407" s="20"/>
      <c r="F407" s="20"/>
      <c r="G407" s="20"/>
      <c r="H407" s="20"/>
      <c r="I407" s="20"/>
    </row>
    <row r="408" spans="1:9" ht="14.25" customHeight="1" x14ac:dyDescent="0.35">
      <c r="A408" s="20"/>
      <c r="B408" s="20"/>
      <c r="C408" s="20"/>
      <c r="D408" s="20"/>
      <c r="E408" s="20"/>
      <c r="F408" s="20"/>
      <c r="G408" s="20"/>
      <c r="H408" s="20"/>
      <c r="I408" s="20"/>
    </row>
    <row r="409" spans="1:9" ht="14.25" customHeight="1" x14ac:dyDescent="0.35">
      <c r="A409" s="20"/>
      <c r="B409" s="20"/>
      <c r="C409" s="20"/>
      <c r="D409" s="20"/>
      <c r="E409" s="20"/>
      <c r="F409" s="20"/>
      <c r="G409" s="20"/>
      <c r="H409" s="20"/>
      <c r="I409" s="20"/>
    </row>
    <row r="410" spans="1:9" ht="14.25" customHeight="1" x14ac:dyDescent="0.35">
      <c r="A410" s="20"/>
      <c r="B410" s="20"/>
      <c r="C410" s="20"/>
      <c r="D410" s="20"/>
      <c r="E410" s="20"/>
      <c r="F410" s="20"/>
      <c r="G410" s="20"/>
      <c r="H410" s="20"/>
      <c r="I410" s="20"/>
    </row>
    <row r="411" spans="1:9" ht="14.25" customHeight="1" x14ac:dyDescent="0.35">
      <c r="A411" s="20"/>
      <c r="B411" s="20"/>
      <c r="C411" s="20"/>
      <c r="D411" s="20"/>
      <c r="E411" s="20"/>
      <c r="F411" s="20"/>
      <c r="G411" s="20"/>
      <c r="H411" s="20"/>
      <c r="I411" s="20"/>
    </row>
    <row r="412" spans="1:9" ht="14.25" customHeight="1" x14ac:dyDescent="0.35">
      <c r="A412" s="20"/>
      <c r="B412" s="20"/>
      <c r="C412" s="20"/>
      <c r="D412" s="20"/>
      <c r="E412" s="20"/>
      <c r="F412" s="20"/>
      <c r="G412" s="20"/>
      <c r="H412" s="20"/>
      <c r="I412" s="20"/>
    </row>
    <row r="413" spans="1:9" ht="14.25" customHeight="1" x14ac:dyDescent="0.35">
      <c r="A413" s="20"/>
      <c r="B413" s="20"/>
      <c r="C413" s="20"/>
      <c r="D413" s="20"/>
      <c r="E413" s="20"/>
      <c r="F413" s="20"/>
      <c r="G413" s="20"/>
      <c r="H413" s="20"/>
      <c r="I413" s="20"/>
    </row>
    <row r="414" spans="1:9" ht="14.25" customHeight="1" x14ac:dyDescent="0.35">
      <c r="A414" s="20"/>
      <c r="B414" s="20"/>
      <c r="C414" s="20"/>
      <c r="D414" s="20"/>
      <c r="E414" s="20"/>
      <c r="F414" s="20"/>
      <c r="G414" s="20"/>
      <c r="H414" s="20"/>
      <c r="I414" s="20"/>
    </row>
    <row r="415" spans="1:9" ht="14.25" customHeight="1" x14ac:dyDescent="0.35">
      <c r="A415" s="20"/>
      <c r="B415" s="20"/>
      <c r="C415" s="20"/>
      <c r="D415" s="20"/>
      <c r="E415" s="20"/>
      <c r="F415" s="20"/>
      <c r="G415" s="20"/>
      <c r="H415" s="20"/>
      <c r="I415" s="20"/>
    </row>
    <row r="416" spans="1:9" ht="14.25" customHeight="1" x14ac:dyDescent="0.35">
      <c r="A416" s="20"/>
      <c r="B416" s="20"/>
      <c r="C416" s="20"/>
      <c r="D416" s="20"/>
      <c r="E416" s="20"/>
      <c r="F416" s="20"/>
      <c r="G416" s="20"/>
      <c r="H416" s="20"/>
      <c r="I416" s="20"/>
    </row>
    <row r="417" spans="1:9" ht="14.25" customHeight="1" x14ac:dyDescent="0.35">
      <c r="A417" s="20"/>
      <c r="B417" s="20"/>
      <c r="C417" s="20"/>
      <c r="D417" s="20"/>
      <c r="E417" s="20"/>
      <c r="F417" s="20"/>
      <c r="G417" s="20"/>
      <c r="H417" s="20"/>
      <c r="I417" s="20"/>
    </row>
    <row r="418" spans="1:9" ht="14.25" customHeight="1" x14ac:dyDescent="0.35">
      <c r="A418" s="20"/>
      <c r="B418" s="20"/>
      <c r="C418" s="20"/>
      <c r="D418" s="20"/>
      <c r="E418" s="20"/>
      <c r="F418" s="20"/>
      <c r="G418" s="20"/>
      <c r="H418" s="20"/>
      <c r="I418" s="20"/>
    </row>
    <row r="419" spans="1:9" ht="14.25" customHeight="1" x14ac:dyDescent="0.35">
      <c r="A419" s="20"/>
      <c r="B419" s="20"/>
      <c r="C419" s="20"/>
      <c r="D419" s="20"/>
      <c r="E419" s="20"/>
      <c r="F419" s="20"/>
      <c r="G419" s="20"/>
      <c r="H419" s="20"/>
      <c r="I419" s="20"/>
    </row>
    <row r="420" spans="1:9" ht="14.25" customHeight="1" x14ac:dyDescent="0.35">
      <c r="A420" s="20"/>
      <c r="B420" s="20"/>
      <c r="C420" s="20"/>
      <c r="D420" s="20"/>
      <c r="E420" s="20"/>
      <c r="F420" s="20"/>
      <c r="G420" s="20"/>
      <c r="H420" s="20"/>
      <c r="I420" s="20"/>
    </row>
    <row r="421" spans="1:9" ht="14.25" customHeight="1" x14ac:dyDescent="0.35">
      <c r="A421" s="20"/>
      <c r="B421" s="20"/>
      <c r="C421" s="20"/>
      <c r="D421" s="20"/>
      <c r="E421" s="20"/>
      <c r="F421" s="20"/>
      <c r="G421" s="20"/>
      <c r="H421" s="20"/>
      <c r="I421" s="20"/>
    </row>
    <row r="422" spans="1:9" ht="14.25" customHeight="1" x14ac:dyDescent="0.35">
      <c r="A422" s="20"/>
      <c r="B422" s="20"/>
      <c r="C422" s="20"/>
      <c r="D422" s="20"/>
      <c r="E422" s="20"/>
      <c r="F422" s="20"/>
      <c r="G422" s="20"/>
      <c r="H422" s="20"/>
      <c r="I422" s="20"/>
    </row>
    <row r="423" spans="1:9" ht="14.25" customHeight="1" x14ac:dyDescent="0.35">
      <c r="A423" s="20"/>
      <c r="B423" s="20"/>
      <c r="C423" s="20"/>
      <c r="D423" s="20"/>
      <c r="E423" s="20"/>
      <c r="F423" s="20"/>
      <c r="G423" s="20"/>
      <c r="H423" s="20"/>
      <c r="I423" s="20"/>
    </row>
    <row r="424" spans="1:9" ht="14.25" customHeight="1" x14ac:dyDescent="0.35">
      <c r="A424" s="20"/>
      <c r="B424" s="20"/>
      <c r="C424" s="20"/>
      <c r="D424" s="20"/>
      <c r="E424" s="20"/>
      <c r="F424" s="20"/>
      <c r="G424" s="20"/>
      <c r="H424" s="20"/>
      <c r="I424" s="20"/>
    </row>
    <row r="425" spans="1:9" ht="14.25" customHeight="1" x14ac:dyDescent="0.35">
      <c r="A425" s="20"/>
      <c r="B425" s="20"/>
      <c r="C425" s="20"/>
      <c r="D425" s="20"/>
      <c r="E425" s="20"/>
      <c r="F425" s="20"/>
      <c r="G425" s="20"/>
      <c r="H425" s="20"/>
      <c r="I425" s="20"/>
    </row>
    <row r="426" spans="1:9" ht="14.25" customHeight="1" x14ac:dyDescent="0.35">
      <c r="A426" s="20"/>
      <c r="B426" s="20"/>
      <c r="C426" s="20"/>
      <c r="D426" s="20"/>
      <c r="E426" s="20"/>
      <c r="F426" s="20"/>
      <c r="G426" s="20"/>
      <c r="H426" s="20"/>
      <c r="I426" s="20"/>
    </row>
    <row r="427" spans="1:9" ht="14.25" customHeight="1" x14ac:dyDescent="0.35">
      <c r="A427" s="20"/>
      <c r="B427" s="20"/>
      <c r="C427" s="20"/>
      <c r="D427" s="20"/>
      <c r="E427" s="20"/>
      <c r="F427" s="20"/>
      <c r="G427" s="20"/>
      <c r="H427" s="20"/>
      <c r="I427" s="20"/>
    </row>
    <row r="428" spans="1:9" ht="14.25" customHeight="1" x14ac:dyDescent="0.35">
      <c r="A428" s="20"/>
      <c r="B428" s="20"/>
      <c r="C428" s="20"/>
      <c r="D428" s="20"/>
      <c r="E428" s="20"/>
      <c r="F428" s="20"/>
      <c r="G428" s="20"/>
      <c r="H428" s="20"/>
      <c r="I428" s="20"/>
    </row>
    <row r="429" spans="1:9" ht="14.25" customHeight="1" x14ac:dyDescent="0.35">
      <c r="A429" s="20"/>
      <c r="B429" s="20"/>
      <c r="C429" s="20"/>
      <c r="D429" s="20"/>
      <c r="E429" s="20"/>
      <c r="F429" s="20"/>
      <c r="G429" s="20"/>
      <c r="H429" s="20"/>
      <c r="I429" s="20"/>
    </row>
    <row r="430" spans="1:9" ht="14.25" customHeight="1" x14ac:dyDescent="0.35">
      <c r="A430" s="20"/>
      <c r="B430" s="20"/>
      <c r="C430" s="20"/>
      <c r="D430" s="20"/>
      <c r="E430" s="20"/>
      <c r="F430" s="20"/>
      <c r="G430" s="20"/>
      <c r="H430" s="20"/>
      <c r="I430" s="20"/>
    </row>
    <row r="431" spans="1:9" ht="14.25" customHeight="1" x14ac:dyDescent="0.35">
      <c r="A431" s="20"/>
      <c r="B431" s="20"/>
      <c r="C431" s="20"/>
      <c r="D431" s="20"/>
      <c r="E431" s="20"/>
      <c r="F431" s="20"/>
      <c r="G431" s="20"/>
      <c r="H431" s="20"/>
      <c r="I431" s="20"/>
    </row>
    <row r="432" spans="1:9" ht="14.25" customHeight="1" x14ac:dyDescent="0.35">
      <c r="A432" s="20"/>
      <c r="B432" s="20"/>
      <c r="C432" s="20"/>
      <c r="D432" s="20"/>
      <c r="E432" s="20"/>
      <c r="F432" s="20"/>
      <c r="G432" s="20"/>
      <c r="H432" s="20"/>
      <c r="I432" s="20"/>
    </row>
    <row r="433" spans="1:9" ht="14.25" customHeight="1" x14ac:dyDescent="0.35">
      <c r="A433" s="20"/>
      <c r="B433" s="20"/>
      <c r="C433" s="20"/>
      <c r="D433" s="20"/>
      <c r="E433" s="20"/>
      <c r="F433" s="20"/>
      <c r="G433" s="20"/>
      <c r="H433" s="20"/>
      <c r="I433" s="20"/>
    </row>
    <row r="434" spans="1:9" ht="14.25" customHeight="1" x14ac:dyDescent="0.35">
      <c r="A434" s="20"/>
      <c r="B434" s="20"/>
      <c r="C434" s="20"/>
      <c r="D434" s="20"/>
      <c r="E434" s="20"/>
      <c r="F434" s="20"/>
      <c r="G434" s="20"/>
      <c r="H434" s="20"/>
      <c r="I434" s="20"/>
    </row>
    <row r="435" spans="1:9" ht="14.25" customHeight="1" x14ac:dyDescent="0.35">
      <c r="A435" s="20"/>
      <c r="B435" s="20"/>
      <c r="C435" s="20"/>
      <c r="D435" s="20"/>
      <c r="E435" s="20"/>
      <c r="F435" s="20"/>
      <c r="G435" s="20"/>
      <c r="H435" s="20"/>
      <c r="I435" s="20"/>
    </row>
    <row r="436" spans="1:9" ht="14.25" customHeight="1" x14ac:dyDescent="0.35">
      <c r="A436" s="20"/>
      <c r="B436" s="20"/>
      <c r="C436" s="20"/>
      <c r="D436" s="20"/>
      <c r="E436" s="20"/>
      <c r="F436" s="20"/>
      <c r="G436" s="20"/>
      <c r="H436" s="20"/>
      <c r="I436" s="20"/>
    </row>
    <row r="437" spans="1:9" ht="14.25" customHeight="1" x14ac:dyDescent="0.35">
      <c r="A437" s="20"/>
      <c r="B437" s="20"/>
      <c r="C437" s="20"/>
      <c r="D437" s="20"/>
      <c r="E437" s="20"/>
      <c r="F437" s="20"/>
      <c r="G437" s="20"/>
      <c r="H437" s="20"/>
      <c r="I437" s="20"/>
    </row>
    <row r="438" spans="1:9" ht="14.25" customHeight="1" x14ac:dyDescent="0.35">
      <c r="A438" s="20"/>
      <c r="B438" s="20"/>
      <c r="C438" s="20"/>
      <c r="D438" s="20"/>
      <c r="E438" s="20"/>
      <c r="F438" s="20"/>
      <c r="G438" s="20"/>
      <c r="H438" s="20"/>
      <c r="I438" s="20"/>
    </row>
    <row r="439" spans="1:9" ht="14.25" customHeight="1" x14ac:dyDescent="0.35">
      <c r="A439" s="20"/>
      <c r="B439" s="20"/>
      <c r="C439" s="20"/>
      <c r="D439" s="20"/>
      <c r="E439" s="20"/>
      <c r="F439" s="20"/>
      <c r="G439" s="20"/>
      <c r="H439" s="20"/>
      <c r="I439" s="20"/>
    </row>
    <row r="440" spans="1:9" ht="14.25" customHeight="1" x14ac:dyDescent="0.35">
      <c r="A440" s="20"/>
      <c r="B440" s="20"/>
      <c r="C440" s="20"/>
      <c r="D440" s="20"/>
      <c r="E440" s="20"/>
      <c r="F440" s="20"/>
      <c r="G440" s="20"/>
      <c r="H440" s="20"/>
      <c r="I440" s="20"/>
    </row>
    <row r="441" spans="1:9" ht="14.25" customHeight="1" x14ac:dyDescent="0.35">
      <c r="A441" s="20"/>
      <c r="B441" s="20"/>
      <c r="C441" s="20"/>
      <c r="D441" s="20"/>
      <c r="E441" s="20"/>
      <c r="F441" s="20"/>
      <c r="G441" s="20"/>
      <c r="H441" s="20"/>
      <c r="I441" s="20"/>
    </row>
    <row r="442" spans="1:9" ht="14.25" customHeight="1" x14ac:dyDescent="0.35">
      <c r="A442" s="20"/>
      <c r="B442" s="20"/>
      <c r="C442" s="20"/>
      <c r="D442" s="20"/>
      <c r="E442" s="20"/>
      <c r="F442" s="20"/>
      <c r="G442" s="20"/>
      <c r="H442" s="20"/>
      <c r="I442" s="20"/>
    </row>
    <row r="443" spans="1:9" ht="14.25" customHeight="1" x14ac:dyDescent="0.35">
      <c r="A443" s="20"/>
      <c r="B443" s="20"/>
      <c r="C443" s="20"/>
      <c r="D443" s="20"/>
      <c r="E443" s="20"/>
      <c r="F443" s="20"/>
      <c r="G443" s="20"/>
      <c r="H443" s="20"/>
      <c r="I443" s="20"/>
    </row>
    <row r="444" spans="1:9" ht="14.25" customHeight="1" x14ac:dyDescent="0.35">
      <c r="A444" s="20"/>
      <c r="B444" s="20"/>
      <c r="C444" s="20"/>
      <c r="D444" s="20"/>
      <c r="E444" s="20"/>
      <c r="F444" s="20"/>
      <c r="G444" s="20"/>
      <c r="H444" s="20"/>
      <c r="I444" s="20"/>
    </row>
    <row r="445" spans="1:9" ht="14.25" customHeight="1" x14ac:dyDescent="0.35">
      <c r="A445" s="20"/>
      <c r="B445" s="20"/>
      <c r="C445" s="20"/>
      <c r="D445" s="20"/>
      <c r="E445" s="20"/>
      <c r="F445" s="20"/>
      <c r="G445" s="20"/>
      <c r="H445" s="20"/>
      <c r="I445" s="20"/>
    </row>
    <row r="446" spans="1:9" ht="14.25" customHeight="1" x14ac:dyDescent="0.35">
      <c r="A446" s="20"/>
      <c r="B446" s="20"/>
      <c r="C446" s="20"/>
      <c r="D446" s="20"/>
      <c r="E446" s="20"/>
      <c r="F446" s="20"/>
      <c r="G446" s="20"/>
      <c r="H446" s="20"/>
      <c r="I446" s="20"/>
    </row>
    <row r="447" spans="1:9" ht="14.25" customHeight="1" x14ac:dyDescent="0.35">
      <c r="A447" s="20"/>
      <c r="B447" s="20"/>
      <c r="C447" s="20"/>
      <c r="D447" s="20"/>
      <c r="E447" s="20"/>
      <c r="F447" s="20"/>
      <c r="G447" s="20"/>
      <c r="H447" s="20"/>
      <c r="I447" s="20"/>
    </row>
    <row r="448" spans="1:9" ht="14.25" customHeight="1" x14ac:dyDescent="0.35">
      <c r="A448" s="20"/>
      <c r="B448" s="20"/>
      <c r="C448" s="20"/>
      <c r="D448" s="20"/>
      <c r="E448" s="20"/>
      <c r="F448" s="20"/>
      <c r="G448" s="20"/>
      <c r="H448" s="20"/>
      <c r="I448" s="20"/>
    </row>
    <row r="449" spans="1:9" ht="14.25" customHeight="1" x14ac:dyDescent="0.35">
      <c r="A449" s="20"/>
      <c r="B449" s="20"/>
      <c r="C449" s="20"/>
      <c r="D449" s="20"/>
      <c r="E449" s="20"/>
      <c r="F449" s="20"/>
      <c r="G449" s="20"/>
      <c r="H449" s="20"/>
      <c r="I449" s="20"/>
    </row>
    <row r="450" spans="1:9" ht="14.25" customHeight="1" x14ac:dyDescent="0.35">
      <c r="A450" s="20"/>
      <c r="B450" s="20"/>
      <c r="C450" s="20"/>
      <c r="D450" s="20"/>
      <c r="E450" s="20"/>
      <c r="F450" s="20"/>
      <c r="G450" s="20"/>
      <c r="H450" s="20"/>
      <c r="I450" s="20"/>
    </row>
    <row r="451" spans="1:9" ht="14.25" customHeight="1" x14ac:dyDescent="0.35">
      <c r="A451" s="20"/>
      <c r="B451" s="20"/>
      <c r="C451" s="20"/>
      <c r="D451" s="20"/>
      <c r="E451" s="20"/>
      <c r="F451" s="20"/>
      <c r="G451" s="20"/>
      <c r="H451" s="20"/>
      <c r="I451" s="20"/>
    </row>
    <row r="452" spans="1:9" ht="14.25" customHeight="1" x14ac:dyDescent="0.35">
      <c r="A452" s="20"/>
      <c r="B452" s="20"/>
      <c r="C452" s="20"/>
      <c r="D452" s="20"/>
      <c r="E452" s="20"/>
      <c r="F452" s="20"/>
      <c r="G452" s="20"/>
      <c r="H452" s="20"/>
      <c r="I452" s="20"/>
    </row>
    <row r="453" spans="1:9" ht="14.25" customHeight="1" x14ac:dyDescent="0.35">
      <c r="A453" s="20"/>
      <c r="B453" s="20"/>
      <c r="C453" s="20"/>
      <c r="D453" s="20"/>
      <c r="E453" s="20"/>
      <c r="F453" s="20"/>
      <c r="G453" s="20"/>
      <c r="H453" s="20"/>
      <c r="I453" s="20"/>
    </row>
    <row r="454" spans="1:9" ht="14.25" customHeight="1" x14ac:dyDescent="0.35">
      <c r="A454" s="20"/>
      <c r="B454" s="20"/>
      <c r="C454" s="20"/>
      <c r="D454" s="20"/>
      <c r="E454" s="20"/>
      <c r="F454" s="20"/>
      <c r="G454" s="20"/>
      <c r="H454" s="20"/>
      <c r="I454" s="20"/>
    </row>
    <row r="455" spans="1:9" ht="14.25" customHeight="1" x14ac:dyDescent="0.35">
      <c r="A455" s="20"/>
      <c r="B455" s="20"/>
      <c r="C455" s="20"/>
      <c r="D455" s="20"/>
      <c r="E455" s="20"/>
      <c r="F455" s="20"/>
      <c r="G455" s="20"/>
      <c r="H455" s="20"/>
      <c r="I455" s="20"/>
    </row>
    <row r="456" spans="1:9" ht="14.25" customHeight="1" x14ac:dyDescent="0.35">
      <c r="A456" s="20"/>
      <c r="B456" s="20"/>
      <c r="C456" s="20"/>
      <c r="D456" s="20"/>
      <c r="E456" s="20"/>
      <c r="F456" s="20"/>
      <c r="G456" s="20"/>
      <c r="H456" s="20"/>
      <c r="I456" s="20"/>
    </row>
    <row r="457" spans="1:9" ht="14.25" customHeight="1" x14ac:dyDescent="0.35">
      <c r="A457" s="20"/>
      <c r="B457" s="20"/>
      <c r="C457" s="20"/>
      <c r="D457" s="20"/>
      <c r="E457" s="20"/>
      <c r="F457" s="20"/>
      <c r="G457" s="20"/>
      <c r="H457" s="20"/>
      <c r="I457" s="20"/>
    </row>
    <row r="458" spans="1:9" ht="14.25" customHeight="1" x14ac:dyDescent="0.35">
      <c r="A458" s="20"/>
      <c r="B458" s="20"/>
      <c r="C458" s="20"/>
      <c r="D458" s="20"/>
      <c r="E458" s="20"/>
      <c r="F458" s="20"/>
      <c r="G458" s="20"/>
      <c r="H458" s="20"/>
      <c r="I458" s="20"/>
    </row>
    <row r="459" spans="1:9" ht="14.25" customHeight="1" x14ac:dyDescent="0.35">
      <c r="A459" s="20"/>
      <c r="B459" s="20"/>
      <c r="C459" s="20"/>
      <c r="D459" s="20"/>
      <c r="E459" s="20"/>
      <c r="F459" s="20"/>
      <c r="G459" s="20"/>
      <c r="H459" s="20"/>
      <c r="I459" s="20"/>
    </row>
    <row r="460" spans="1:9" ht="14.25" customHeight="1" x14ac:dyDescent="0.35">
      <c r="A460" s="20"/>
      <c r="B460" s="20"/>
      <c r="C460" s="20"/>
      <c r="D460" s="20"/>
      <c r="E460" s="20"/>
      <c r="F460" s="20"/>
      <c r="G460" s="20"/>
      <c r="H460" s="20"/>
      <c r="I460" s="20"/>
    </row>
    <row r="461" spans="1:9" ht="14.25" customHeight="1" x14ac:dyDescent="0.35">
      <c r="A461" s="20"/>
      <c r="B461" s="20"/>
      <c r="C461" s="20"/>
      <c r="D461" s="20"/>
      <c r="E461" s="20"/>
      <c r="F461" s="20"/>
      <c r="G461" s="20"/>
      <c r="H461" s="20"/>
      <c r="I461" s="20"/>
    </row>
    <row r="462" spans="1:9" ht="14.25" customHeight="1" x14ac:dyDescent="0.35">
      <c r="A462" s="20"/>
      <c r="B462" s="20"/>
      <c r="C462" s="20"/>
      <c r="D462" s="20"/>
      <c r="E462" s="20"/>
      <c r="F462" s="20"/>
      <c r="G462" s="20"/>
      <c r="H462" s="20"/>
      <c r="I462" s="20"/>
    </row>
    <row r="463" spans="1:9" ht="14.25" customHeight="1" x14ac:dyDescent="0.35">
      <c r="A463" s="20"/>
      <c r="B463" s="20"/>
      <c r="C463" s="20"/>
      <c r="D463" s="20"/>
      <c r="E463" s="20"/>
      <c r="F463" s="20"/>
      <c r="G463" s="20"/>
      <c r="H463" s="20"/>
      <c r="I463" s="20"/>
    </row>
    <row r="464" spans="1:9" ht="14.25" customHeight="1" x14ac:dyDescent="0.35">
      <c r="A464" s="20"/>
      <c r="B464" s="20"/>
      <c r="C464" s="20"/>
      <c r="D464" s="20"/>
      <c r="E464" s="20"/>
      <c r="F464" s="20"/>
      <c r="G464" s="20"/>
      <c r="H464" s="20"/>
      <c r="I464" s="20"/>
    </row>
    <row r="465" spans="1:9" ht="14.25" customHeight="1" x14ac:dyDescent="0.35">
      <c r="A465" s="20"/>
      <c r="B465" s="20"/>
      <c r="C465" s="20"/>
      <c r="D465" s="20"/>
      <c r="E465" s="20"/>
      <c r="F465" s="20"/>
      <c r="G465" s="20"/>
      <c r="H465" s="20"/>
      <c r="I465" s="20"/>
    </row>
    <row r="466" spans="1:9" ht="14.25" customHeight="1" x14ac:dyDescent="0.35">
      <c r="A466" s="20"/>
      <c r="B466" s="20"/>
      <c r="C466" s="20"/>
      <c r="D466" s="20"/>
      <c r="E466" s="20"/>
      <c r="F466" s="20"/>
      <c r="G466" s="20"/>
      <c r="H466" s="20"/>
      <c r="I466" s="20"/>
    </row>
    <row r="467" spans="1:9" ht="14.25" customHeight="1" x14ac:dyDescent="0.35">
      <c r="A467" s="20"/>
      <c r="B467" s="20"/>
      <c r="C467" s="20"/>
      <c r="D467" s="20"/>
      <c r="E467" s="20"/>
      <c r="F467" s="20"/>
      <c r="G467" s="20"/>
      <c r="H467" s="20"/>
      <c r="I467" s="20"/>
    </row>
    <row r="468" spans="1:9" ht="14.25" customHeight="1" x14ac:dyDescent="0.35">
      <c r="A468" s="20"/>
      <c r="B468" s="20"/>
      <c r="C468" s="20"/>
      <c r="D468" s="20"/>
      <c r="E468" s="20"/>
      <c r="F468" s="20"/>
      <c r="G468" s="20"/>
      <c r="H468" s="20"/>
      <c r="I468" s="20"/>
    </row>
    <row r="469" spans="1:9" ht="14.25" customHeight="1" x14ac:dyDescent="0.35">
      <c r="A469" s="20"/>
      <c r="B469" s="20"/>
      <c r="C469" s="20"/>
      <c r="D469" s="20"/>
      <c r="E469" s="20"/>
      <c r="F469" s="20"/>
      <c r="G469" s="20"/>
      <c r="H469" s="20"/>
      <c r="I469" s="20"/>
    </row>
    <row r="470" spans="1:9" ht="14.25" customHeight="1" x14ac:dyDescent="0.35">
      <c r="A470" s="20"/>
      <c r="B470" s="20"/>
      <c r="C470" s="20"/>
      <c r="D470" s="20"/>
      <c r="E470" s="20"/>
      <c r="F470" s="20"/>
      <c r="G470" s="20"/>
      <c r="H470" s="20"/>
      <c r="I470" s="20"/>
    </row>
    <row r="471" spans="1:9" ht="14.25" customHeight="1" x14ac:dyDescent="0.35">
      <c r="A471" s="20"/>
      <c r="B471" s="20"/>
      <c r="C471" s="20"/>
      <c r="D471" s="20"/>
      <c r="E471" s="20"/>
      <c r="F471" s="20"/>
      <c r="G471" s="20"/>
      <c r="H471" s="20"/>
      <c r="I471" s="20"/>
    </row>
    <row r="472" spans="1:9" ht="14.25" customHeight="1" x14ac:dyDescent="0.35">
      <c r="A472" s="20"/>
      <c r="B472" s="20"/>
      <c r="C472" s="20"/>
      <c r="D472" s="20"/>
      <c r="E472" s="20"/>
      <c r="F472" s="20"/>
      <c r="G472" s="20"/>
      <c r="H472" s="20"/>
      <c r="I472" s="20"/>
    </row>
    <row r="473" spans="1:9" ht="14.25" customHeight="1" x14ac:dyDescent="0.35">
      <c r="A473" s="20"/>
      <c r="B473" s="20"/>
      <c r="C473" s="20"/>
      <c r="D473" s="20"/>
      <c r="E473" s="20"/>
      <c r="F473" s="20"/>
      <c r="G473" s="20"/>
      <c r="H473" s="20"/>
      <c r="I473" s="20"/>
    </row>
    <row r="474" spans="1:9" ht="14.25" customHeight="1" x14ac:dyDescent="0.35">
      <c r="A474" s="20"/>
      <c r="B474" s="20"/>
      <c r="C474" s="20"/>
      <c r="D474" s="20"/>
      <c r="E474" s="20"/>
      <c r="F474" s="20"/>
      <c r="G474" s="20"/>
      <c r="H474" s="20"/>
      <c r="I474" s="20"/>
    </row>
    <row r="475" spans="1:9" ht="14.25" customHeight="1" x14ac:dyDescent="0.35">
      <c r="A475" s="20"/>
      <c r="B475" s="20"/>
      <c r="C475" s="20"/>
      <c r="D475" s="20"/>
      <c r="E475" s="20"/>
      <c r="F475" s="20"/>
      <c r="G475" s="20"/>
      <c r="H475" s="20"/>
      <c r="I475" s="20"/>
    </row>
    <row r="476" spans="1:9" ht="14.25" customHeight="1" x14ac:dyDescent="0.35">
      <c r="A476" s="20"/>
      <c r="B476" s="20"/>
      <c r="C476" s="20"/>
      <c r="D476" s="20"/>
      <c r="E476" s="20"/>
      <c r="F476" s="20"/>
      <c r="G476" s="20"/>
      <c r="H476" s="20"/>
      <c r="I476" s="20"/>
    </row>
    <row r="477" spans="1:9" ht="14.25" customHeight="1" x14ac:dyDescent="0.35">
      <c r="A477" s="20"/>
      <c r="B477" s="20"/>
      <c r="C477" s="20"/>
      <c r="D477" s="20"/>
      <c r="E477" s="20"/>
      <c r="F477" s="20"/>
      <c r="G477" s="20"/>
      <c r="H477" s="20"/>
      <c r="I477" s="20"/>
    </row>
    <row r="478" spans="1:9" ht="14.25" customHeight="1" x14ac:dyDescent="0.35">
      <c r="A478" s="20"/>
      <c r="B478" s="20"/>
      <c r="C478" s="20"/>
      <c r="D478" s="20"/>
      <c r="E478" s="20"/>
      <c r="F478" s="20"/>
      <c r="G478" s="20"/>
      <c r="H478" s="20"/>
      <c r="I478" s="20"/>
    </row>
    <row r="479" spans="1:9" ht="14.25" customHeight="1" x14ac:dyDescent="0.35">
      <c r="A479" s="20"/>
      <c r="B479" s="20"/>
      <c r="C479" s="20"/>
      <c r="D479" s="20"/>
      <c r="E479" s="20"/>
      <c r="F479" s="20"/>
      <c r="G479" s="20"/>
      <c r="H479" s="20"/>
      <c r="I479" s="20"/>
    </row>
    <row r="480" spans="1:9" ht="14.25" customHeight="1" x14ac:dyDescent="0.35">
      <c r="A480" s="20"/>
      <c r="B480" s="20"/>
      <c r="C480" s="20"/>
      <c r="D480" s="20"/>
      <c r="E480" s="20"/>
      <c r="F480" s="20"/>
      <c r="G480" s="20"/>
      <c r="H480" s="20"/>
      <c r="I480" s="20"/>
    </row>
    <row r="481" spans="1:9" ht="14.25" customHeight="1" x14ac:dyDescent="0.35">
      <c r="A481" s="20"/>
      <c r="B481" s="20"/>
      <c r="C481" s="20"/>
      <c r="D481" s="20"/>
      <c r="E481" s="20"/>
      <c r="F481" s="20"/>
      <c r="G481" s="20"/>
      <c r="H481" s="20"/>
      <c r="I481" s="20"/>
    </row>
    <row r="482" spans="1:9" ht="14.25" customHeight="1" x14ac:dyDescent="0.35">
      <c r="A482" s="20"/>
      <c r="B482" s="20"/>
      <c r="C482" s="20"/>
      <c r="D482" s="20"/>
      <c r="E482" s="20"/>
      <c r="F482" s="20"/>
      <c r="G482" s="20"/>
      <c r="H482" s="20"/>
      <c r="I482" s="20"/>
    </row>
    <row r="483" spans="1:9" ht="14.25" customHeight="1" x14ac:dyDescent="0.35">
      <c r="A483" s="20"/>
      <c r="B483" s="20"/>
      <c r="C483" s="20"/>
      <c r="D483" s="20"/>
      <c r="E483" s="20"/>
      <c r="F483" s="20"/>
      <c r="G483" s="20"/>
      <c r="H483" s="20"/>
      <c r="I483" s="20"/>
    </row>
    <row r="484" spans="1:9" ht="14.25" customHeight="1" x14ac:dyDescent="0.35">
      <c r="A484" s="20"/>
      <c r="B484" s="20"/>
      <c r="C484" s="20"/>
      <c r="D484" s="20"/>
      <c r="E484" s="20"/>
      <c r="F484" s="20"/>
      <c r="G484" s="20"/>
      <c r="H484" s="20"/>
      <c r="I484" s="20"/>
    </row>
    <row r="485" spans="1:9" ht="14.25" customHeight="1" x14ac:dyDescent="0.35">
      <c r="A485" s="20"/>
      <c r="B485" s="20"/>
      <c r="C485" s="20"/>
      <c r="D485" s="20"/>
      <c r="E485" s="20"/>
      <c r="F485" s="20"/>
      <c r="G485" s="20"/>
      <c r="H485" s="20"/>
      <c r="I485" s="20"/>
    </row>
    <row r="486" spans="1:9" ht="14.25" customHeight="1" x14ac:dyDescent="0.35">
      <c r="A486" s="20"/>
      <c r="B486" s="20"/>
      <c r="C486" s="20"/>
      <c r="D486" s="20"/>
      <c r="E486" s="20"/>
      <c r="F486" s="20"/>
      <c r="G486" s="20"/>
      <c r="H486" s="20"/>
      <c r="I486" s="20"/>
    </row>
    <row r="487" spans="1:9" ht="14.25" customHeight="1" x14ac:dyDescent="0.35">
      <c r="A487" s="20"/>
      <c r="B487" s="20"/>
      <c r="C487" s="20"/>
      <c r="D487" s="20"/>
      <c r="E487" s="20"/>
      <c r="F487" s="20"/>
      <c r="G487" s="20"/>
      <c r="H487" s="20"/>
      <c r="I487" s="20"/>
    </row>
    <row r="488" spans="1:9" ht="14.25" customHeight="1" x14ac:dyDescent="0.35">
      <c r="A488" s="20"/>
      <c r="B488" s="20"/>
      <c r="C488" s="20"/>
      <c r="D488" s="20"/>
      <c r="E488" s="20"/>
      <c r="F488" s="20"/>
      <c r="G488" s="20"/>
      <c r="H488" s="20"/>
      <c r="I488" s="20"/>
    </row>
    <row r="489" spans="1:9" ht="14.25" customHeight="1" x14ac:dyDescent="0.35">
      <c r="A489" s="20"/>
      <c r="B489" s="20"/>
      <c r="C489" s="20"/>
      <c r="D489" s="20"/>
      <c r="E489" s="20"/>
      <c r="F489" s="20"/>
      <c r="G489" s="20"/>
      <c r="H489" s="20"/>
      <c r="I489" s="20"/>
    </row>
    <row r="490" spans="1:9" ht="14.25" customHeight="1" x14ac:dyDescent="0.35">
      <c r="A490" s="20"/>
      <c r="B490" s="20"/>
      <c r="C490" s="20"/>
      <c r="D490" s="20"/>
      <c r="E490" s="20"/>
      <c r="F490" s="20"/>
      <c r="G490" s="20"/>
      <c r="H490" s="20"/>
      <c r="I490" s="20"/>
    </row>
    <row r="491" spans="1:9" ht="14.25" customHeight="1" x14ac:dyDescent="0.35">
      <c r="A491" s="20"/>
      <c r="B491" s="20"/>
      <c r="C491" s="20"/>
      <c r="D491" s="20"/>
      <c r="E491" s="20"/>
      <c r="F491" s="20"/>
      <c r="G491" s="20"/>
      <c r="H491" s="20"/>
      <c r="I491" s="20"/>
    </row>
    <row r="492" spans="1:9" ht="14.25" customHeight="1" x14ac:dyDescent="0.35">
      <c r="A492" s="20"/>
      <c r="B492" s="20"/>
      <c r="C492" s="20"/>
      <c r="D492" s="20"/>
      <c r="E492" s="20"/>
      <c r="F492" s="20"/>
      <c r="G492" s="20"/>
      <c r="H492" s="20"/>
      <c r="I492" s="20"/>
    </row>
    <row r="493" spans="1:9" ht="14.25" customHeight="1" x14ac:dyDescent="0.35">
      <c r="A493" s="20"/>
      <c r="B493" s="20"/>
      <c r="C493" s="20"/>
      <c r="D493" s="20"/>
      <c r="E493" s="20"/>
      <c r="F493" s="20"/>
      <c r="G493" s="20"/>
      <c r="H493" s="20"/>
      <c r="I493" s="20"/>
    </row>
    <row r="494" spans="1:9" ht="14.25" customHeight="1" x14ac:dyDescent="0.35">
      <c r="A494" s="20"/>
      <c r="B494" s="20"/>
      <c r="C494" s="20"/>
      <c r="D494" s="20"/>
      <c r="E494" s="20"/>
      <c r="F494" s="20"/>
      <c r="G494" s="20"/>
      <c r="H494" s="20"/>
      <c r="I494" s="20"/>
    </row>
    <row r="495" spans="1:9" ht="14.25" customHeight="1" x14ac:dyDescent="0.35">
      <c r="A495" s="20"/>
      <c r="B495" s="20"/>
      <c r="C495" s="20"/>
      <c r="D495" s="20"/>
      <c r="E495" s="20"/>
      <c r="F495" s="20"/>
      <c r="G495" s="20"/>
      <c r="H495" s="20"/>
      <c r="I495" s="20"/>
    </row>
    <row r="496" spans="1:9" ht="14.25" customHeight="1" x14ac:dyDescent="0.35">
      <c r="A496" s="20"/>
      <c r="B496" s="20"/>
      <c r="C496" s="20"/>
      <c r="D496" s="20"/>
      <c r="E496" s="20"/>
      <c r="F496" s="20"/>
      <c r="G496" s="20"/>
      <c r="H496" s="20"/>
      <c r="I496" s="20"/>
    </row>
    <row r="497" spans="1:9" ht="14.25" customHeight="1" x14ac:dyDescent="0.35">
      <c r="A497" s="20"/>
      <c r="B497" s="20"/>
      <c r="C497" s="20"/>
      <c r="D497" s="20"/>
      <c r="E497" s="20"/>
      <c r="F497" s="20"/>
      <c r="G497" s="20"/>
      <c r="H497" s="20"/>
      <c r="I497" s="20"/>
    </row>
    <row r="498" spans="1:9" ht="14.25" customHeight="1" x14ac:dyDescent="0.35">
      <c r="A498" s="20"/>
      <c r="B498" s="20"/>
      <c r="C498" s="20"/>
      <c r="D498" s="20"/>
      <c r="E498" s="20"/>
      <c r="F498" s="20"/>
      <c r="G498" s="20"/>
      <c r="H498" s="20"/>
      <c r="I498" s="20"/>
    </row>
    <row r="499" spans="1:9" ht="14.25" customHeight="1" x14ac:dyDescent="0.35">
      <c r="A499" s="20"/>
      <c r="B499" s="20"/>
      <c r="C499" s="20"/>
      <c r="D499" s="20"/>
      <c r="E499" s="20"/>
      <c r="F499" s="20"/>
      <c r="G499" s="20"/>
      <c r="H499" s="20"/>
      <c r="I499" s="20"/>
    </row>
    <row r="500" spans="1:9" ht="14.25" customHeight="1" x14ac:dyDescent="0.35">
      <c r="A500" s="20"/>
      <c r="B500" s="20"/>
      <c r="C500" s="20"/>
      <c r="D500" s="20"/>
      <c r="E500" s="20"/>
      <c r="F500" s="20"/>
      <c r="G500" s="20"/>
      <c r="H500" s="20"/>
      <c r="I500" s="20"/>
    </row>
    <row r="501" spans="1:9" ht="14.25" customHeight="1" x14ac:dyDescent="0.35">
      <c r="A501" s="20"/>
      <c r="B501" s="20"/>
      <c r="C501" s="20"/>
      <c r="D501" s="20"/>
      <c r="E501" s="20"/>
      <c r="F501" s="20"/>
      <c r="G501" s="20"/>
      <c r="H501" s="20"/>
      <c r="I501" s="20"/>
    </row>
    <row r="502" spans="1:9" ht="14.25" customHeight="1" x14ac:dyDescent="0.35">
      <c r="A502" s="20"/>
      <c r="B502" s="20"/>
      <c r="C502" s="20"/>
      <c r="D502" s="20"/>
      <c r="E502" s="20"/>
      <c r="F502" s="20"/>
      <c r="G502" s="20"/>
      <c r="H502" s="20"/>
      <c r="I502" s="20"/>
    </row>
    <row r="503" spans="1:9" ht="14.25" customHeight="1" x14ac:dyDescent="0.35">
      <c r="A503" s="20"/>
      <c r="B503" s="20"/>
      <c r="C503" s="20"/>
      <c r="D503" s="20"/>
      <c r="E503" s="20"/>
      <c r="F503" s="20"/>
      <c r="G503" s="20"/>
      <c r="H503" s="20"/>
      <c r="I503" s="20"/>
    </row>
    <row r="504" spans="1:9" ht="14.25" customHeight="1" x14ac:dyDescent="0.35">
      <c r="A504" s="20"/>
      <c r="B504" s="20"/>
      <c r="C504" s="20"/>
      <c r="D504" s="20"/>
      <c r="E504" s="20"/>
      <c r="F504" s="20"/>
      <c r="G504" s="20"/>
      <c r="H504" s="20"/>
      <c r="I504" s="20"/>
    </row>
    <row r="505" spans="1:9" ht="14.25" customHeight="1" x14ac:dyDescent="0.35">
      <c r="A505" s="20"/>
      <c r="B505" s="20"/>
      <c r="C505" s="20"/>
      <c r="D505" s="20"/>
      <c r="E505" s="20"/>
      <c r="F505" s="20"/>
      <c r="G505" s="20"/>
      <c r="H505" s="20"/>
      <c r="I505" s="20"/>
    </row>
    <row r="506" spans="1:9" ht="14.25" customHeight="1" x14ac:dyDescent="0.35">
      <c r="A506" s="20"/>
      <c r="B506" s="20"/>
      <c r="C506" s="20"/>
      <c r="D506" s="20"/>
      <c r="E506" s="20"/>
      <c r="F506" s="20"/>
      <c r="G506" s="20"/>
      <c r="H506" s="20"/>
      <c r="I506" s="20"/>
    </row>
    <row r="507" spans="1:9" ht="14.25" customHeight="1" x14ac:dyDescent="0.35">
      <c r="A507" s="20"/>
      <c r="B507" s="20"/>
      <c r="C507" s="20"/>
      <c r="D507" s="20"/>
      <c r="E507" s="20"/>
      <c r="F507" s="20"/>
      <c r="G507" s="20"/>
      <c r="H507" s="20"/>
      <c r="I507" s="20"/>
    </row>
    <row r="508" spans="1:9" ht="14.25" customHeight="1" x14ac:dyDescent="0.35">
      <c r="A508" s="20"/>
      <c r="B508" s="20"/>
      <c r="C508" s="20"/>
      <c r="D508" s="20"/>
      <c r="E508" s="20"/>
      <c r="F508" s="20"/>
      <c r="G508" s="20"/>
      <c r="H508" s="20"/>
      <c r="I508" s="20"/>
    </row>
    <row r="509" spans="1:9" ht="14.25" customHeight="1" x14ac:dyDescent="0.35">
      <c r="A509" s="20"/>
      <c r="B509" s="20"/>
      <c r="C509" s="20"/>
      <c r="D509" s="20"/>
      <c r="E509" s="20"/>
      <c r="F509" s="20"/>
      <c r="G509" s="20"/>
      <c r="H509" s="20"/>
      <c r="I509" s="20"/>
    </row>
    <row r="510" spans="1:9" ht="14.25" customHeight="1" x14ac:dyDescent="0.35">
      <c r="A510" s="20"/>
      <c r="B510" s="20"/>
      <c r="C510" s="20"/>
      <c r="D510" s="20"/>
      <c r="E510" s="20"/>
      <c r="F510" s="20"/>
      <c r="G510" s="20"/>
      <c r="H510" s="20"/>
      <c r="I510" s="20"/>
    </row>
    <row r="511" spans="1:9" ht="14.25" customHeight="1" x14ac:dyDescent="0.35">
      <c r="A511" s="20"/>
      <c r="B511" s="20"/>
      <c r="C511" s="20"/>
      <c r="D511" s="20"/>
      <c r="E511" s="20"/>
      <c r="F511" s="20"/>
      <c r="G511" s="20"/>
      <c r="H511" s="20"/>
      <c r="I511" s="20"/>
    </row>
    <row r="512" spans="1:9" ht="14.25" customHeight="1" x14ac:dyDescent="0.35">
      <c r="A512" s="20"/>
      <c r="B512" s="20"/>
      <c r="C512" s="20"/>
      <c r="D512" s="20"/>
      <c r="E512" s="20"/>
      <c r="F512" s="20"/>
      <c r="G512" s="20"/>
      <c r="H512" s="20"/>
      <c r="I512" s="20"/>
    </row>
    <row r="513" spans="1:9" ht="14.25" customHeight="1" x14ac:dyDescent="0.35">
      <c r="A513" s="20"/>
      <c r="B513" s="20"/>
      <c r="C513" s="20"/>
      <c r="D513" s="20"/>
      <c r="E513" s="20"/>
      <c r="F513" s="20"/>
      <c r="G513" s="20"/>
      <c r="H513" s="20"/>
      <c r="I513" s="20"/>
    </row>
    <row r="514" spans="1:9" ht="14.25" customHeight="1" x14ac:dyDescent="0.35">
      <c r="A514" s="20"/>
      <c r="B514" s="20"/>
      <c r="C514" s="20"/>
      <c r="D514" s="20"/>
      <c r="E514" s="20"/>
      <c r="F514" s="20"/>
      <c r="G514" s="20"/>
      <c r="H514" s="20"/>
      <c r="I514" s="20"/>
    </row>
    <row r="515" spans="1:9" ht="14.25" customHeight="1" x14ac:dyDescent="0.35">
      <c r="A515" s="20"/>
      <c r="B515" s="20"/>
      <c r="C515" s="20"/>
      <c r="D515" s="20"/>
      <c r="E515" s="20"/>
      <c r="F515" s="20"/>
      <c r="G515" s="20"/>
      <c r="H515" s="20"/>
      <c r="I515" s="20"/>
    </row>
    <row r="516" spans="1:9" ht="14.25" customHeight="1" x14ac:dyDescent="0.35">
      <c r="A516" s="20"/>
      <c r="B516" s="20"/>
      <c r="C516" s="20"/>
      <c r="D516" s="20"/>
      <c r="E516" s="20"/>
      <c r="F516" s="20"/>
      <c r="G516" s="20"/>
      <c r="H516" s="20"/>
      <c r="I516" s="20"/>
    </row>
    <row r="517" spans="1:9" ht="14.25" customHeight="1" x14ac:dyDescent="0.35">
      <c r="A517" s="20"/>
      <c r="B517" s="20"/>
      <c r="C517" s="20"/>
      <c r="D517" s="20"/>
      <c r="E517" s="20"/>
      <c r="F517" s="20"/>
      <c r="G517" s="20"/>
      <c r="H517" s="20"/>
      <c r="I517" s="20"/>
    </row>
    <row r="518" spans="1:9" ht="14.25" customHeight="1" x14ac:dyDescent="0.35">
      <c r="A518" s="20"/>
      <c r="B518" s="20"/>
      <c r="C518" s="20"/>
      <c r="D518" s="20"/>
      <c r="E518" s="20"/>
      <c r="F518" s="20"/>
      <c r="G518" s="20"/>
      <c r="H518" s="20"/>
      <c r="I518" s="20"/>
    </row>
    <row r="519" spans="1:9" ht="14.25" customHeight="1" x14ac:dyDescent="0.35">
      <c r="A519" s="20"/>
      <c r="B519" s="20"/>
      <c r="C519" s="20"/>
      <c r="D519" s="20"/>
      <c r="E519" s="20"/>
      <c r="F519" s="20"/>
      <c r="G519" s="20"/>
      <c r="H519" s="20"/>
      <c r="I519" s="20"/>
    </row>
    <row r="520" spans="1:9" ht="14.25" customHeight="1" x14ac:dyDescent="0.35">
      <c r="A520" s="20"/>
      <c r="B520" s="20"/>
      <c r="C520" s="20"/>
      <c r="D520" s="20"/>
      <c r="E520" s="20"/>
      <c r="F520" s="20"/>
      <c r="G520" s="20"/>
      <c r="H520" s="20"/>
      <c r="I520" s="20"/>
    </row>
    <row r="521" spans="1:9" ht="14.25" customHeight="1" x14ac:dyDescent="0.35">
      <c r="A521" s="20"/>
      <c r="B521" s="20"/>
      <c r="C521" s="20"/>
      <c r="D521" s="20"/>
      <c r="E521" s="20"/>
      <c r="F521" s="20"/>
      <c r="G521" s="20"/>
      <c r="H521" s="20"/>
      <c r="I521" s="20"/>
    </row>
    <row r="522" spans="1:9" ht="14.25" customHeight="1" x14ac:dyDescent="0.35">
      <c r="A522" s="20"/>
      <c r="B522" s="20"/>
      <c r="C522" s="20"/>
      <c r="D522" s="20"/>
      <c r="E522" s="20"/>
      <c r="F522" s="20"/>
      <c r="G522" s="20"/>
      <c r="H522" s="20"/>
      <c r="I522" s="20"/>
    </row>
    <row r="523" spans="1:9" ht="14.25" customHeight="1" x14ac:dyDescent="0.35">
      <c r="A523" s="20"/>
      <c r="B523" s="20"/>
      <c r="C523" s="20"/>
      <c r="D523" s="20"/>
      <c r="E523" s="20"/>
      <c r="F523" s="20"/>
      <c r="G523" s="20"/>
      <c r="H523" s="20"/>
      <c r="I523" s="20"/>
    </row>
    <row r="524" spans="1:9" ht="14.25" customHeight="1" x14ac:dyDescent="0.35">
      <c r="A524" s="20"/>
      <c r="B524" s="20"/>
      <c r="C524" s="20"/>
      <c r="D524" s="20"/>
      <c r="E524" s="20"/>
      <c r="F524" s="20"/>
      <c r="G524" s="20"/>
      <c r="H524" s="20"/>
      <c r="I524" s="20"/>
    </row>
    <row r="525" spans="1:9" ht="14.25" customHeight="1" x14ac:dyDescent="0.35">
      <c r="A525" s="20"/>
      <c r="B525" s="20"/>
      <c r="C525" s="20"/>
      <c r="D525" s="20"/>
      <c r="E525" s="20"/>
      <c r="F525" s="20"/>
      <c r="G525" s="20"/>
      <c r="H525" s="20"/>
      <c r="I525" s="20"/>
    </row>
    <row r="526" spans="1:9" ht="14.25" customHeight="1" x14ac:dyDescent="0.35">
      <c r="A526" s="20"/>
      <c r="B526" s="20"/>
      <c r="C526" s="20"/>
      <c r="D526" s="20"/>
      <c r="E526" s="20"/>
      <c r="F526" s="20"/>
      <c r="G526" s="20"/>
      <c r="H526" s="20"/>
      <c r="I526" s="20"/>
    </row>
    <row r="527" spans="1:9" ht="14.25" customHeight="1" x14ac:dyDescent="0.35">
      <c r="A527" s="20"/>
      <c r="B527" s="20"/>
      <c r="C527" s="20"/>
      <c r="D527" s="20"/>
      <c r="E527" s="20"/>
      <c r="F527" s="20"/>
      <c r="G527" s="20"/>
      <c r="H527" s="20"/>
      <c r="I527" s="20"/>
    </row>
    <row r="528" spans="1:9" ht="14.25" customHeight="1" x14ac:dyDescent="0.35">
      <c r="A528" s="20"/>
      <c r="B528" s="20"/>
      <c r="C528" s="20"/>
      <c r="D528" s="20"/>
      <c r="E528" s="20"/>
      <c r="F528" s="20"/>
      <c r="G528" s="20"/>
      <c r="H528" s="20"/>
      <c r="I528" s="20"/>
    </row>
    <row r="529" spans="1:9" ht="14.25" customHeight="1" x14ac:dyDescent="0.35">
      <c r="A529" s="20"/>
      <c r="B529" s="20"/>
      <c r="C529" s="20"/>
      <c r="D529" s="20"/>
      <c r="E529" s="20"/>
      <c r="F529" s="20"/>
      <c r="G529" s="20"/>
      <c r="H529" s="20"/>
      <c r="I529" s="20"/>
    </row>
    <row r="530" spans="1:9" ht="14.25" customHeight="1" x14ac:dyDescent="0.35">
      <c r="A530" s="20"/>
      <c r="B530" s="20"/>
      <c r="C530" s="20"/>
      <c r="D530" s="20"/>
      <c r="E530" s="20"/>
      <c r="F530" s="20"/>
      <c r="G530" s="20"/>
      <c r="H530" s="20"/>
      <c r="I530" s="20"/>
    </row>
    <row r="531" spans="1:9" ht="14.25" customHeight="1" x14ac:dyDescent="0.35">
      <c r="A531" s="20"/>
      <c r="B531" s="20"/>
      <c r="C531" s="20"/>
      <c r="D531" s="20"/>
      <c r="E531" s="20"/>
      <c r="F531" s="20"/>
      <c r="G531" s="20"/>
      <c r="H531" s="20"/>
      <c r="I531" s="20"/>
    </row>
    <row r="532" spans="1:9" ht="14.25" customHeight="1" x14ac:dyDescent="0.35">
      <c r="A532" s="20"/>
      <c r="B532" s="20"/>
      <c r="C532" s="20"/>
      <c r="D532" s="20"/>
      <c r="E532" s="20"/>
      <c r="F532" s="20"/>
      <c r="G532" s="20"/>
      <c r="H532" s="20"/>
      <c r="I532" s="20"/>
    </row>
    <row r="533" spans="1:9" ht="14.25" customHeight="1" x14ac:dyDescent="0.35">
      <c r="A533" s="20"/>
      <c r="B533" s="20"/>
      <c r="C533" s="20"/>
      <c r="D533" s="20"/>
      <c r="E533" s="20"/>
      <c r="F533" s="20"/>
      <c r="G533" s="20"/>
      <c r="H533" s="20"/>
      <c r="I533" s="20"/>
    </row>
    <row r="534" spans="1:9" ht="14.25" customHeight="1" x14ac:dyDescent="0.35">
      <c r="A534" s="20"/>
      <c r="B534" s="20"/>
      <c r="C534" s="20"/>
      <c r="D534" s="20"/>
      <c r="E534" s="20"/>
      <c r="F534" s="20"/>
      <c r="G534" s="20"/>
      <c r="H534" s="20"/>
      <c r="I534" s="20"/>
    </row>
    <row r="535" spans="1:9" ht="14.25" customHeight="1" x14ac:dyDescent="0.35">
      <c r="A535" s="20"/>
      <c r="B535" s="20"/>
      <c r="C535" s="20"/>
      <c r="D535" s="20"/>
      <c r="E535" s="20"/>
      <c r="F535" s="20"/>
      <c r="G535" s="20"/>
      <c r="H535" s="20"/>
      <c r="I535" s="20"/>
    </row>
    <row r="536" spans="1:9" ht="14.25" customHeight="1" x14ac:dyDescent="0.35">
      <c r="A536" s="20"/>
      <c r="B536" s="20"/>
      <c r="C536" s="20"/>
      <c r="D536" s="20"/>
      <c r="E536" s="20"/>
      <c r="F536" s="20"/>
      <c r="G536" s="20"/>
      <c r="H536" s="20"/>
      <c r="I536" s="20"/>
    </row>
    <row r="537" spans="1:9" ht="14.25" customHeight="1" x14ac:dyDescent="0.35">
      <c r="A537" s="20"/>
      <c r="B537" s="20"/>
      <c r="C537" s="20"/>
      <c r="D537" s="20"/>
      <c r="E537" s="20"/>
      <c r="F537" s="20"/>
      <c r="G537" s="20"/>
      <c r="H537" s="20"/>
      <c r="I537" s="20"/>
    </row>
    <row r="538" spans="1:9" ht="14.25" customHeight="1" x14ac:dyDescent="0.35">
      <c r="A538" s="20"/>
      <c r="B538" s="20"/>
      <c r="C538" s="20"/>
      <c r="D538" s="20"/>
      <c r="E538" s="20"/>
      <c r="F538" s="20"/>
      <c r="G538" s="20"/>
      <c r="H538" s="20"/>
      <c r="I538" s="20"/>
    </row>
    <row r="539" spans="1:9" ht="14.25" customHeight="1" x14ac:dyDescent="0.35">
      <c r="A539" s="20"/>
      <c r="B539" s="20"/>
      <c r="C539" s="20"/>
      <c r="D539" s="20"/>
      <c r="E539" s="20"/>
      <c r="F539" s="20"/>
      <c r="G539" s="20"/>
      <c r="H539" s="20"/>
      <c r="I539" s="20"/>
    </row>
    <row r="540" spans="1:9" ht="14.25" customHeight="1" x14ac:dyDescent="0.35">
      <c r="A540" s="20"/>
      <c r="B540" s="20"/>
      <c r="C540" s="20"/>
      <c r="D540" s="20"/>
      <c r="E540" s="20"/>
      <c r="F540" s="20"/>
      <c r="G540" s="20"/>
      <c r="H540" s="20"/>
      <c r="I540" s="20"/>
    </row>
    <row r="541" spans="1:9" ht="14.25" customHeight="1" x14ac:dyDescent="0.35">
      <c r="A541" s="20"/>
      <c r="B541" s="20"/>
      <c r="C541" s="20"/>
      <c r="D541" s="20"/>
      <c r="E541" s="20"/>
      <c r="F541" s="20"/>
      <c r="G541" s="20"/>
      <c r="H541" s="20"/>
      <c r="I541" s="20"/>
    </row>
    <row r="542" spans="1:9" ht="14.25" customHeight="1" x14ac:dyDescent="0.35">
      <c r="A542" s="20"/>
      <c r="B542" s="20"/>
      <c r="C542" s="20"/>
      <c r="D542" s="20"/>
      <c r="E542" s="20"/>
      <c r="F542" s="20"/>
      <c r="G542" s="20"/>
      <c r="H542" s="20"/>
      <c r="I542" s="20"/>
    </row>
    <row r="543" spans="1:9" ht="14.25" customHeight="1" x14ac:dyDescent="0.35">
      <c r="A543" s="20"/>
      <c r="B543" s="20"/>
      <c r="C543" s="20"/>
      <c r="D543" s="20"/>
      <c r="E543" s="20"/>
      <c r="F543" s="20"/>
      <c r="G543" s="20"/>
      <c r="H543" s="20"/>
      <c r="I543" s="20"/>
    </row>
    <row r="544" spans="1:9" ht="14.25" customHeight="1" x14ac:dyDescent="0.35">
      <c r="A544" s="20"/>
      <c r="B544" s="20"/>
      <c r="C544" s="20"/>
      <c r="D544" s="20"/>
      <c r="E544" s="20"/>
      <c r="F544" s="20"/>
      <c r="G544" s="20"/>
      <c r="H544" s="20"/>
      <c r="I544" s="20"/>
    </row>
    <row r="545" spans="1:9" ht="14.25" customHeight="1" x14ac:dyDescent="0.35">
      <c r="A545" s="20"/>
      <c r="B545" s="20"/>
      <c r="C545" s="20"/>
      <c r="D545" s="20"/>
      <c r="E545" s="20"/>
      <c r="F545" s="20"/>
      <c r="G545" s="20"/>
      <c r="H545" s="20"/>
      <c r="I545" s="20"/>
    </row>
    <row r="546" spans="1:9" ht="14.25" customHeight="1" x14ac:dyDescent="0.35">
      <c r="A546" s="20"/>
      <c r="B546" s="20"/>
      <c r="C546" s="20"/>
      <c r="D546" s="20"/>
      <c r="E546" s="20"/>
      <c r="F546" s="20"/>
      <c r="G546" s="20"/>
      <c r="H546" s="20"/>
      <c r="I546" s="20"/>
    </row>
    <row r="547" spans="1:9" ht="14.25" customHeight="1" x14ac:dyDescent="0.35">
      <c r="A547" s="20"/>
      <c r="B547" s="20"/>
      <c r="C547" s="20"/>
      <c r="D547" s="20"/>
      <c r="E547" s="20"/>
      <c r="F547" s="20"/>
      <c r="G547" s="20"/>
      <c r="H547" s="20"/>
      <c r="I547" s="20"/>
    </row>
    <row r="548" spans="1:9" ht="14.25" customHeight="1" x14ac:dyDescent="0.35">
      <c r="A548" s="20"/>
      <c r="B548" s="20"/>
      <c r="C548" s="20"/>
      <c r="D548" s="20"/>
      <c r="E548" s="20"/>
      <c r="F548" s="20"/>
      <c r="G548" s="20"/>
      <c r="H548" s="20"/>
      <c r="I548" s="20"/>
    </row>
    <row r="549" spans="1:9" ht="14.25" customHeight="1" x14ac:dyDescent="0.35">
      <c r="A549" s="20"/>
      <c r="B549" s="20"/>
      <c r="C549" s="20"/>
      <c r="D549" s="20"/>
      <c r="E549" s="20"/>
      <c r="F549" s="20"/>
      <c r="G549" s="20"/>
      <c r="H549" s="20"/>
      <c r="I549" s="20"/>
    </row>
    <row r="550" spans="1:9" ht="14.25" customHeight="1" x14ac:dyDescent="0.35">
      <c r="A550" s="20"/>
      <c r="B550" s="20"/>
      <c r="C550" s="20"/>
      <c r="D550" s="20"/>
      <c r="E550" s="20"/>
      <c r="F550" s="20"/>
      <c r="G550" s="20"/>
      <c r="H550" s="20"/>
      <c r="I550" s="20"/>
    </row>
    <row r="551" spans="1:9" ht="14.25" customHeight="1" x14ac:dyDescent="0.35">
      <c r="A551" s="20"/>
      <c r="B551" s="20"/>
      <c r="C551" s="20"/>
      <c r="D551" s="20"/>
      <c r="E551" s="20"/>
      <c r="F551" s="20"/>
      <c r="G551" s="20"/>
      <c r="H551" s="20"/>
      <c r="I551" s="20"/>
    </row>
    <row r="552" spans="1:9" ht="14.25" customHeight="1" x14ac:dyDescent="0.35">
      <c r="A552" s="20"/>
      <c r="B552" s="20"/>
      <c r="C552" s="20"/>
      <c r="D552" s="20"/>
      <c r="E552" s="20"/>
      <c r="F552" s="20"/>
      <c r="G552" s="20"/>
      <c r="H552" s="20"/>
      <c r="I552" s="20"/>
    </row>
    <row r="553" spans="1:9" ht="14.25" customHeight="1" x14ac:dyDescent="0.35">
      <c r="A553" s="20"/>
      <c r="B553" s="20"/>
      <c r="C553" s="20"/>
      <c r="D553" s="20"/>
      <c r="E553" s="20"/>
      <c r="F553" s="20"/>
      <c r="G553" s="20"/>
      <c r="H553" s="20"/>
      <c r="I553" s="20"/>
    </row>
    <row r="554" spans="1:9" ht="14.25" customHeight="1" x14ac:dyDescent="0.35">
      <c r="A554" s="20"/>
      <c r="B554" s="20"/>
      <c r="C554" s="20"/>
      <c r="D554" s="20"/>
      <c r="E554" s="20"/>
      <c r="F554" s="20"/>
      <c r="G554" s="20"/>
      <c r="H554" s="20"/>
      <c r="I554" s="20"/>
    </row>
    <row r="555" spans="1:9" ht="14.25" customHeight="1" x14ac:dyDescent="0.35">
      <c r="A555" s="20"/>
      <c r="B555" s="20"/>
      <c r="C555" s="20"/>
      <c r="D555" s="20"/>
      <c r="E555" s="20"/>
      <c r="F555" s="20"/>
      <c r="G555" s="20"/>
      <c r="H555" s="20"/>
      <c r="I555" s="20"/>
    </row>
    <row r="556" spans="1:9" ht="14.25" customHeight="1" x14ac:dyDescent="0.35">
      <c r="A556" s="20"/>
      <c r="B556" s="20"/>
      <c r="C556" s="20"/>
      <c r="D556" s="20"/>
      <c r="E556" s="20"/>
      <c r="F556" s="20"/>
      <c r="G556" s="20"/>
      <c r="H556" s="20"/>
      <c r="I556" s="20"/>
    </row>
    <row r="557" spans="1:9" ht="14.25" customHeight="1" x14ac:dyDescent="0.35">
      <c r="A557" s="20"/>
      <c r="B557" s="20"/>
      <c r="C557" s="20"/>
      <c r="D557" s="20"/>
      <c r="E557" s="20"/>
      <c r="F557" s="20"/>
      <c r="G557" s="20"/>
      <c r="H557" s="20"/>
      <c r="I557" s="20"/>
    </row>
    <row r="558" spans="1:9" ht="14.25" customHeight="1" x14ac:dyDescent="0.35">
      <c r="A558" s="20"/>
      <c r="B558" s="20"/>
      <c r="C558" s="20"/>
      <c r="D558" s="20"/>
      <c r="E558" s="20"/>
      <c r="F558" s="20"/>
      <c r="G558" s="20"/>
      <c r="H558" s="20"/>
      <c r="I558" s="20"/>
    </row>
    <row r="559" spans="1:9" ht="14.25" customHeight="1" x14ac:dyDescent="0.35">
      <c r="A559" s="20"/>
      <c r="B559" s="20"/>
      <c r="C559" s="20"/>
      <c r="D559" s="20"/>
      <c r="E559" s="20"/>
      <c r="F559" s="20"/>
      <c r="G559" s="20"/>
      <c r="H559" s="20"/>
      <c r="I559" s="20"/>
    </row>
    <row r="560" spans="1:9" ht="14.25" customHeight="1" x14ac:dyDescent="0.35">
      <c r="A560" s="20"/>
      <c r="B560" s="20"/>
      <c r="C560" s="20"/>
      <c r="D560" s="20"/>
      <c r="E560" s="20"/>
      <c r="F560" s="20"/>
      <c r="G560" s="20"/>
      <c r="H560" s="20"/>
      <c r="I560" s="20"/>
    </row>
    <row r="561" spans="1:9" ht="14.25" customHeight="1" x14ac:dyDescent="0.35">
      <c r="A561" s="20"/>
      <c r="B561" s="20"/>
      <c r="C561" s="20"/>
      <c r="D561" s="20"/>
      <c r="E561" s="20"/>
      <c r="F561" s="20"/>
      <c r="G561" s="20"/>
      <c r="H561" s="20"/>
      <c r="I561" s="20"/>
    </row>
    <row r="562" spans="1:9" ht="14.25" customHeight="1" x14ac:dyDescent="0.35">
      <c r="A562" s="20"/>
      <c r="B562" s="20"/>
      <c r="C562" s="20"/>
      <c r="D562" s="20"/>
      <c r="E562" s="20"/>
      <c r="F562" s="20"/>
      <c r="G562" s="20"/>
      <c r="H562" s="20"/>
      <c r="I562" s="20"/>
    </row>
    <row r="563" spans="1:9" ht="14.25" customHeight="1" x14ac:dyDescent="0.35">
      <c r="A563" s="20"/>
      <c r="B563" s="20"/>
      <c r="C563" s="20"/>
      <c r="D563" s="20"/>
      <c r="E563" s="20"/>
      <c r="F563" s="20"/>
      <c r="G563" s="20"/>
      <c r="H563" s="20"/>
      <c r="I563" s="20"/>
    </row>
    <row r="564" spans="1:9" ht="14.25" customHeight="1" x14ac:dyDescent="0.35">
      <c r="A564" s="20"/>
      <c r="B564" s="20"/>
      <c r="C564" s="20"/>
      <c r="D564" s="20"/>
      <c r="E564" s="20"/>
      <c r="F564" s="20"/>
      <c r="G564" s="20"/>
      <c r="H564" s="20"/>
      <c r="I564" s="20"/>
    </row>
    <row r="565" spans="1:9" ht="14.25" customHeight="1" x14ac:dyDescent="0.35">
      <c r="A565" s="20"/>
      <c r="B565" s="20"/>
      <c r="C565" s="20"/>
      <c r="D565" s="20"/>
      <c r="E565" s="20"/>
      <c r="F565" s="20"/>
      <c r="G565" s="20"/>
      <c r="H565" s="20"/>
      <c r="I565" s="20"/>
    </row>
    <row r="566" spans="1:9" ht="14.25" customHeight="1" x14ac:dyDescent="0.35">
      <c r="A566" s="20"/>
      <c r="B566" s="20"/>
      <c r="C566" s="20"/>
      <c r="D566" s="20"/>
      <c r="E566" s="20"/>
      <c r="F566" s="20"/>
      <c r="G566" s="20"/>
      <c r="H566" s="20"/>
      <c r="I566" s="20"/>
    </row>
    <row r="567" spans="1:9" ht="14.25" customHeight="1" x14ac:dyDescent="0.35">
      <c r="A567" s="20"/>
      <c r="B567" s="20"/>
      <c r="C567" s="20"/>
      <c r="D567" s="20"/>
      <c r="E567" s="20"/>
      <c r="F567" s="20"/>
      <c r="G567" s="20"/>
      <c r="H567" s="20"/>
      <c r="I567" s="20"/>
    </row>
    <row r="568" spans="1:9" ht="14.25" customHeight="1" x14ac:dyDescent="0.35">
      <c r="A568" s="20"/>
      <c r="B568" s="20"/>
      <c r="C568" s="20"/>
      <c r="D568" s="20"/>
      <c r="E568" s="20"/>
      <c r="F568" s="20"/>
      <c r="G568" s="20"/>
      <c r="H568" s="20"/>
      <c r="I568" s="20"/>
    </row>
    <row r="569" spans="1:9" ht="14.25" customHeight="1" x14ac:dyDescent="0.35">
      <c r="A569" s="20"/>
      <c r="B569" s="20"/>
      <c r="C569" s="20"/>
      <c r="D569" s="20"/>
      <c r="E569" s="20"/>
      <c r="F569" s="20"/>
      <c r="G569" s="20"/>
      <c r="H569" s="20"/>
      <c r="I569" s="20"/>
    </row>
    <row r="570" spans="1:9" ht="14.25" customHeight="1" x14ac:dyDescent="0.35">
      <c r="A570" s="20"/>
      <c r="B570" s="20"/>
      <c r="C570" s="20"/>
      <c r="D570" s="20"/>
      <c r="E570" s="20"/>
      <c r="F570" s="20"/>
      <c r="G570" s="20"/>
      <c r="H570" s="20"/>
      <c r="I570" s="20"/>
    </row>
    <row r="571" spans="1:9" ht="14.25" customHeight="1" x14ac:dyDescent="0.35">
      <c r="A571" s="20"/>
      <c r="B571" s="20"/>
      <c r="C571" s="20"/>
      <c r="D571" s="20"/>
      <c r="E571" s="20"/>
      <c r="F571" s="20"/>
      <c r="G571" s="20"/>
      <c r="H571" s="20"/>
      <c r="I571" s="20"/>
    </row>
    <row r="572" spans="1:9" ht="14.25" customHeight="1" x14ac:dyDescent="0.35">
      <c r="A572" s="20"/>
      <c r="B572" s="20"/>
      <c r="C572" s="20"/>
      <c r="D572" s="20"/>
      <c r="E572" s="20"/>
      <c r="F572" s="20"/>
      <c r="G572" s="20"/>
      <c r="H572" s="20"/>
      <c r="I572" s="20"/>
    </row>
    <row r="573" spans="1:9" ht="14.25" customHeight="1" x14ac:dyDescent="0.35">
      <c r="A573" s="20"/>
      <c r="B573" s="20"/>
      <c r="C573" s="20"/>
      <c r="D573" s="20"/>
      <c r="E573" s="20"/>
      <c r="F573" s="20"/>
      <c r="G573" s="20"/>
      <c r="H573" s="20"/>
      <c r="I573" s="20"/>
    </row>
    <row r="574" spans="1:9" ht="14.25" customHeight="1" x14ac:dyDescent="0.35">
      <c r="A574" s="20"/>
      <c r="B574" s="20"/>
      <c r="C574" s="20"/>
      <c r="D574" s="20"/>
      <c r="E574" s="20"/>
      <c r="F574" s="20"/>
      <c r="G574" s="20"/>
      <c r="H574" s="20"/>
      <c r="I574" s="20"/>
    </row>
    <row r="575" spans="1:9" ht="14.25" customHeight="1" x14ac:dyDescent="0.35">
      <c r="A575" s="20"/>
      <c r="B575" s="20"/>
      <c r="C575" s="20"/>
      <c r="D575" s="20"/>
      <c r="E575" s="20"/>
      <c r="F575" s="20"/>
      <c r="G575" s="20"/>
      <c r="H575" s="20"/>
      <c r="I575" s="20"/>
    </row>
    <row r="576" spans="1:9" ht="14.25" customHeight="1" x14ac:dyDescent="0.35">
      <c r="A576" s="20"/>
      <c r="B576" s="20"/>
      <c r="C576" s="20"/>
      <c r="D576" s="20"/>
      <c r="E576" s="20"/>
      <c r="F576" s="20"/>
      <c r="G576" s="20"/>
      <c r="H576" s="20"/>
      <c r="I576" s="20"/>
    </row>
    <row r="577" spans="1:9" ht="14.25" customHeight="1" x14ac:dyDescent="0.35">
      <c r="A577" s="20"/>
      <c r="B577" s="20"/>
      <c r="C577" s="20"/>
      <c r="D577" s="20"/>
      <c r="E577" s="20"/>
      <c r="F577" s="20"/>
      <c r="G577" s="20"/>
      <c r="H577" s="20"/>
      <c r="I577" s="20"/>
    </row>
    <row r="578" spans="1:9" ht="14.25" customHeight="1" x14ac:dyDescent="0.35">
      <c r="A578" s="20"/>
      <c r="B578" s="20"/>
      <c r="C578" s="20"/>
      <c r="D578" s="20"/>
      <c r="E578" s="20"/>
      <c r="F578" s="20"/>
      <c r="G578" s="20"/>
      <c r="H578" s="20"/>
      <c r="I578" s="20"/>
    </row>
    <row r="579" spans="1:9" ht="14.25" customHeight="1" x14ac:dyDescent="0.35">
      <c r="A579" s="20"/>
      <c r="B579" s="20"/>
      <c r="C579" s="20"/>
      <c r="D579" s="20"/>
      <c r="E579" s="20"/>
      <c r="F579" s="20"/>
      <c r="G579" s="20"/>
      <c r="H579" s="20"/>
      <c r="I579" s="20"/>
    </row>
    <row r="580" spans="1:9" ht="14.25" customHeight="1" x14ac:dyDescent="0.35">
      <c r="A580" s="20"/>
      <c r="B580" s="20"/>
      <c r="C580" s="20"/>
      <c r="D580" s="20"/>
      <c r="E580" s="20"/>
      <c r="F580" s="20"/>
      <c r="G580" s="20"/>
      <c r="H580" s="20"/>
      <c r="I580" s="20"/>
    </row>
    <row r="581" spans="1:9" ht="14.25" customHeight="1" x14ac:dyDescent="0.35">
      <c r="A581" s="20"/>
      <c r="B581" s="20"/>
      <c r="C581" s="20"/>
      <c r="D581" s="20"/>
      <c r="E581" s="20"/>
      <c r="F581" s="20"/>
      <c r="G581" s="20"/>
      <c r="H581" s="20"/>
      <c r="I581" s="20"/>
    </row>
    <row r="582" spans="1:9" ht="14.25" customHeight="1" x14ac:dyDescent="0.35">
      <c r="A582" s="20"/>
      <c r="B582" s="20"/>
      <c r="C582" s="20"/>
      <c r="D582" s="20"/>
      <c r="E582" s="20"/>
      <c r="F582" s="20"/>
      <c r="G582" s="20"/>
      <c r="H582" s="20"/>
      <c r="I582" s="20"/>
    </row>
    <row r="583" spans="1:9" ht="14.25" customHeight="1" x14ac:dyDescent="0.35">
      <c r="A583" s="20"/>
      <c r="B583" s="20"/>
      <c r="C583" s="20"/>
      <c r="D583" s="20"/>
      <c r="E583" s="20"/>
      <c r="F583" s="20"/>
      <c r="G583" s="20"/>
      <c r="H583" s="20"/>
      <c r="I583" s="20"/>
    </row>
    <row r="584" spans="1:9" ht="14.25" customHeight="1" x14ac:dyDescent="0.35">
      <c r="A584" s="20"/>
      <c r="B584" s="20"/>
      <c r="C584" s="20"/>
      <c r="D584" s="20"/>
      <c r="E584" s="20"/>
      <c r="F584" s="20"/>
      <c r="G584" s="20"/>
      <c r="H584" s="20"/>
      <c r="I584" s="20"/>
    </row>
    <row r="585" spans="1:9" ht="14.25" customHeight="1" x14ac:dyDescent="0.35">
      <c r="A585" s="20"/>
      <c r="B585" s="20"/>
      <c r="C585" s="20"/>
      <c r="D585" s="20"/>
      <c r="E585" s="20"/>
      <c r="F585" s="20"/>
      <c r="G585" s="20"/>
      <c r="H585" s="20"/>
      <c r="I585" s="20"/>
    </row>
    <row r="586" spans="1:9" ht="14.25" customHeight="1" x14ac:dyDescent="0.35">
      <c r="A586" s="20"/>
      <c r="B586" s="20"/>
      <c r="C586" s="20"/>
      <c r="D586" s="20"/>
      <c r="E586" s="20"/>
      <c r="F586" s="20"/>
      <c r="G586" s="20"/>
      <c r="H586" s="20"/>
      <c r="I586" s="20"/>
    </row>
    <row r="587" spans="1:9" ht="14.25" customHeight="1" x14ac:dyDescent="0.35">
      <c r="A587" s="20"/>
      <c r="B587" s="20"/>
      <c r="C587" s="20"/>
      <c r="D587" s="20"/>
      <c r="E587" s="20"/>
      <c r="F587" s="20"/>
      <c r="G587" s="20"/>
      <c r="H587" s="20"/>
      <c r="I587" s="20"/>
    </row>
    <row r="588" spans="1:9" ht="14.25" customHeight="1" x14ac:dyDescent="0.35">
      <c r="A588" s="20"/>
      <c r="B588" s="20"/>
      <c r="C588" s="20"/>
      <c r="D588" s="20"/>
      <c r="E588" s="20"/>
      <c r="F588" s="20"/>
      <c r="G588" s="20"/>
      <c r="H588" s="20"/>
      <c r="I588" s="20"/>
    </row>
    <row r="589" spans="1:9" ht="14.25" customHeight="1" x14ac:dyDescent="0.35">
      <c r="A589" s="20"/>
      <c r="B589" s="20"/>
      <c r="C589" s="20"/>
      <c r="D589" s="20"/>
      <c r="E589" s="20"/>
      <c r="F589" s="20"/>
      <c r="G589" s="20"/>
      <c r="H589" s="20"/>
      <c r="I589" s="20"/>
    </row>
    <row r="590" spans="1:9" ht="14.25" customHeight="1" x14ac:dyDescent="0.35">
      <c r="A590" s="20"/>
      <c r="B590" s="20"/>
      <c r="C590" s="20"/>
      <c r="D590" s="20"/>
      <c r="E590" s="20"/>
      <c r="F590" s="20"/>
      <c r="G590" s="20"/>
      <c r="H590" s="20"/>
      <c r="I590" s="20"/>
    </row>
    <row r="591" spans="1:9" ht="14.25" customHeight="1" x14ac:dyDescent="0.35">
      <c r="A591" s="20"/>
      <c r="B591" s="20"/>
      <c r="C591" s="20"/>
      <c r="D591" s="20"/>
      <c r="E591" s="20"/>
      <c r="F591" s="20"/>
      <c r="G591" s="20"/>
      <c r="H591" s="20"/>
      <c r="I591" s="20"/>
    </row>
    <row r="592" spans="1:9" ht="14.25" customHeight="1" x14ac:dyDescent="0.35">
      <c r="A592" s="20"/>
      <c r="B592" s="20"/>
      <c r="C592" s="20"/>
      <c r="D592" s="20"/>
      <c r="E592" s="20"/>
      <c r="F592" s="20"/>
      <c r="G592" s="20"/>
      <c r="H592" s="20"/>
      <c r="I592" s="20"/>
    </row>
    <row r="593" spans="1:9" ht="14.25" customHeight="1" x14ac:dyDescent="0.35">
      <c r="A593" s="20"/>
      <c r="B593" s="20"/>
      <c r="C593" s="20"/>
      <c r="D593" s="20"/>
      <c r="E593" s="20"/>
      <c r="F593" s="20"/>
      <c r="G593" s="20"/>
      <c r="H593" s="20"/>
      <c r="I593" s="20"/>
    </row>
    <row r="594" spans="1:9" ht="14.25" customHeight="1" x14ac:dyDescent="0.35">
      <c r="A594" s="20"/>
      <c r="B594" s="20"/>
      <c r="C594" s="20"/>
      <c r="D594" s="20"/>
      <c r="E594" s="20"/>
      <c r="F594" s="20"/>
      <c r="G594" s="20"/>
      <c r="H594" s="20"/>
      <c r="I594" s="20"/>
    </row>
    <row r="595" spans="1:9" ht="14.25" customHeight="1" x14ac:dyDescent="0.35">
      <c r="A595" s="20"/>
      <c r="B595" s="20"/>
      <c r="C595" s="20"/>
      <c r="D595" s="20"/>
      <c r="E595" s="20"/>
      <c r="F595" s="20"/>
      <c r="G595" s="20"/>
      <c r="H595" s="20"/>
      <c r="I595" s="20"/>
    </row>
    <row r="596" spans="1:9" ht="14.25" customHeight="1" x14ac:dyDescent="0.35">
      <c r="A596" s="20"/>
      <c r="B596" s="20"/>
      <c r="C596" s="20"/>
      <c r="D596" s="20"/>
      <c r="E596" s="20"/>
      <c r="F596" s="20"/>
      <c r="G596" s="20"/>
      <c r="H596" s="20"/>
      <c r="I596" s="20"/>
    </row>
    <row r="597" spans="1:9" ht="14.25" customHeight="1" x14ac:dyDescent="0.35">
      <c r="A597" s="20"/>
      <c r="B597" s="20"/>
      <c r="C597" s="20"/>
      <c r="D597" s="20"/>
      <c r="E597" s="20"/>
      <c r="F597" s="20"/>
      <c r="G597" s="20"/>
      <c r="H597" s="20"/>
      <c r="I597" s="20"/>
    </row>
    <row r="598" spans="1:9" ht="14.25" customHeight="1" x14ac:dyDescent="0.35">
      <c r="A598" s="20"/>
      <c r="B598" s="20"/>
      <c r="C598" s="20"/>
      <c r="D598" s="20"/>
      <c r="E598" s="20"/>
      <c r="F598" s="20"/>
      <c r="G598" s="20"/>
      <c r="H598" s="20"/>
      <c r="I598" s="20"/>
    </row>
    <row r="599" spans="1:9" ht="14.25" customHeight="1" x14ac:dyDescent="0.35">
      <c r="A599" s="20"/>
      <c r="B599" s="20"/>
      <c r="C599" s="20"/>
      <c r="D599" s="20"/>
      <c r="E599" s="20"/>
      <c r="F599" s="20"/>
      <c r="G599" s="20"/>
      <c r="H599" s="20"/>
      <c r="I599" s="20"/>
    </row>
    <row r="600" spans="1:9" ht="14.25" customHeight="1" x14ac:dyDescent="0.35">
      <c r="A600" s="20"/>
      <c r="B600" s="20"/>
      <c r="C600" s="20"/>
      <c r="D600" s="20"/>
      <c r="E600" s="20"/>
      <c r="F600" s="20"/>
      <c r="G600" s="20"/>
      <c r="H600" s="20"/>
      <c r="I600" s="20"/>
    </row>
    <row r="601" spans="1:9" ht="14.25" customHeight="1" x14ac:dyDescent="0.35">
      <c r="A601" s="20"/>
      <c r="B601" s="20"/>
      <c r="C601" s="20"/>
      <c r="D601" s="20"/>
      <c r="E601" s="20"/>
      <c r="F601" s="20"/>
      <c r="G601" s="20"/>
      <c r="H601" s="20"/>
      <c r="I601" s="20"/>
    </row>
    <row r="602" spans="1:9" ht="14.25" customHeight="1" x14ac:dyDescent="0.35">
      <c r="A602" s="20"/>
      <c r="B602" s="20"/>
      <c r="C602" s="20"/>
      <c r="D602" s="20"/>
      <c r="E602" s="20"/>
      <c r="F602" s="20"/>
      <c r="G602" s="20"/>
      <c r="H602" s="20"/>
      <c r="I602" s="20"/>
    </row>
    <row r="603" spans="1:9" ht="14.25" customHeight="1" x14ac:dyDescent="0.35">
      <c r="A603" s="20"/>
      <c r="B603" s="20"/>
      <c r="C603" s="20"/>
      <c r="D603" s="20"/>
      <c r="E603" s="20"/>
      <c r="F603" s="20"/>
      <c r="G603" s="20"/>
      <c r="H603" s="20"/>
      <c r="I603" s="20"/>
    </row>
    <row r="604" spans="1:9" ht="14.25" customHeight="1" x14ac:dyDescent="0.35">
      <c r="A604" s="20"/>
      <c r="B604" s="20"/>
      <c r="C604" s="20"/>
      <c r="D604" s="20"/>
      <c r="E604" s="20"/>
      <c r="F604" s="20"/>
      <c r="G604" s="20"/>
      <c r="H604" s="20"/>
      <c r="I604" s="20"/>
    </row>
    <row r="605" spans="1:9" ht="14.25" customHeight="1" x14ac:dyDescent="0.35">
      <c r="A605" s="20"/>
      <c r="B605" s="20"/>
      <c r="C605" s="20"/>
      <c r="D605" s="20"/>
      <c r="E605" s="20"/>
      <c r="F605" s="20"/>
      <c r="G605" s="20"/>
      <c r="H605" s="20"/>
      <c r="I605" s="20"/>
    </row>
    <row r="606" spans="1:9" ht="14.25" customHeight="1" x14ac:dyDescent="0.35">
      <c r="A606" s="20"/>
      <c r="B606" s="20"/>
      <c r="C606" s="20"/>
      <c r="D606" s="20"/>
      <c r="E606" s="20"/>
      <c r="F606" s="20"/>
      <c r="G606" s="20"/>
      <c r="H606" s="20"/>
      <c r="I606" s="20"/>
    </row>
    <row r="607" spans="1:9" ht="14.25" customHeight="1" x14ac:dyDescent="0.35">
      <c r="A607" s="20"/>
      <c r="B607" s="20"/>
      <c r="C607" s="20"/>
      <c r="D607" s="20"/>
      <c r="E607" s="20"/>
      <c r="F607" s="20"/>
      <c r="G607" s="20"/>
      <c r="H607" s="20"/>
      <c r="I607" s="20"/>
    </row>
    <row r="608" spans="1:9" ht="14.25" customHeight="1" x14ac:dyDescent="0.35">
      <c r="A608" s="20"/>
      <c r="B608" s="20"/>
      <c r="C608" s="20"/>
      <c r="D608" s="20"/>
      <c r="E608" s="20"/>
      <c r="F608" s="20"/>
      <c r="G608" s="20"/>
      <c r="H608" s="20"/>
      <c r="I608" s="20"/>
    </row>
    <row r="609" spans="1:9" ht="14.25" customHeight="1" x14ac:dyDescent="0.35">
      <c r="A609" s="20"/>
      <c r="B609" s="20"/>
      <c r="C609" s="20"/>
      <c r="D609" s="20"/>
      <c r="E609" s="20"/>
      <c r="F609" s="20"/>
      <c r="G609" s="20"/>
      <c r="H609" s="20"/>
      <c r="I609" s="20"/>
    </row>
    <row r="610" spans="1:9" ht="14.25" customHeight="1" x14ac:dyDescent="0.35">
      <c r="A610" s="20"/>
      <c r="B610" s="20"/>
      <c r="C610" s="20"/>
      <c r="D610" s="20"/>
      <c r="E610" s="20"/>
      <c r="F610" s="20"/>
      <c r="G610" s="20"/>
      <c r="H610" s="20"/>
      <c r="I610" s="20"/>
    </row>
    <row r="611" spans="1:9" ht="14.25" customHeight="1" x14ac:dyDescent="0.35">
      <c r="A611" s="20"/>
      <c r="B611" s="20"/>
      <c r="C611" s="20"/>
      <c r="D611" s="20"/>
      <c r="E611" s="20"/>
      <c r="F611" s="20"/>
      <c r="G611" s="20"/>
      <c r="H611" s="20"/>
      <c r="I611" s="20"/>
    </row>
    <row r="612" spans="1:9" ht="14.25" customHeight="1" x14ac:dyDescent="0.35">
      <c r="A612" s="20"/>
      <c r="B612" s="20"/>
      <c r="C612" s="20"/>
      <c r="D612" s="20"/>
      <c r="E612" s="20"/>
      <c r="F612" s="20"/>
      <c r="G612" s="20"/>
      <c r="H612" s="20"/>
      <c r="I612" s="20"/>
    </row>
    <row r="613" spans="1:9" ht="14.25" customHeight="1" x14ac:dyDescent="0.35">
      <c r="A613" s="20"/>
      <c r="B613" s="20"/>
      <c r="C613" s="20"/>
      <c r="D613" s="20"/>
      <c r="E613" s="20"/>
      <c r="F613" s="20"/>
      <c r="G613" s="20"/>
      <c r="H613" s="20"/>
      <c r="I613" s="20"/>
    </row>
    <row r="614" spans="1:9" ht="14.25" customHeight="1" x14ac:dyDescent="0.35">
      <c r="A614" s="20"/>
      <c r="B614" s="20"/>
      <c r="C614" s="20"/>
      <c r="D614" s="20"/>
      <c r="E614" s="20"/>
      <c r="F614" s="20"/>
      <c r="G614" s="20"/>
      <c r="H614" s="20"/>
      <c r="I614" s="20"/>
    </row>
    <row r="615" spans="1:9" ht="14.25" customHeight="1" x14ac:dyDescent="0.35">
      <c r="A615" s="20"/>
      <c r="B615" s="20"/>
      <c r="C615" s="20"/>
      <c r="D615" s="20"/>
      <c r="E615" s="20"/>
      <c r="F615" s="20"/>
      <c r="G615" s="20"/>
      <c r="H615" s="20"/>
      <c r="I615" s="20"/>
    </row>
    <row r="616" spans="1:9" ht="14.25" customHeight="1" x14ac:dyDescent="0.35">
      <c r="A616" s="20"/>
      <c r="B616" s="20"/>
      <c r="C616" s="20"/>
      <c r="D616" s="20"/>
      <c r="E616" s="20"/>
      <c r="F616" s="20"/>
      <c r="G616" s="20"/>
      <c r="H616" s="20"/>
      <c r="I616" s="20"/>
    </row>
    <row r="617" spans="1:9" ht="14.25" customHeight="1" x14ac:dyDescent="0.35">
      <c r="A617" s="20"/>
      <c r="B617" s="20"/>
      <c r="C617" s="20"/>
      <c r="D617" s="20"/>
      <c r="E617" s="20"/>
      <c r="F617" s="20"/>
      <c r="G617" s="20"/>
      <c r="H617" s="20"/>
      <c r="I617" s="20"/>
    </row>
    <row r="618" spans="1:9" ht="14.25" customHeight="1" x14ac:dyDescent="0.35">
      <c r="A618" s="20"/>
      <c r="B618" s="20"/>
      <c r="C618" s="20"/>
      <c r="D618" s="20"/>
      <c r="E618" s="20"/>
      <c r="F618" s="20"/>
      <c r="G618" s="20"/>
      <c r="H618" s="20"/>
      <c r="I618" s="20"/>
    </row>
    <row r="619" spans="1:9" ht="14.25" customHeight="1" x14ac:dyDescent="0.35">
      <c r="A619" s="20"/>
      <c r="B619" s="20"/>
      <c r="C619" s="20"/>
      <c r="D619" s="20"/>
      <c r="E619" s="20"/>
      <c r="F619" s="20"/>
      <c r="G619" s="20"/>
      <c r="H619" s="20"/>
      <c r="I619" s="20"/>
    </row>
    <row r="620" spans="1:9" ht="14.25" customHeight="1" x14ac:dyDescent="0.35">
      <c r="A620" s="20"/>
      <c r="B620" s="20"/>
      <c r="C620" s="20"/>
      <c r="D620" s="20"/>
      <c r="E620" s="20"/>
      <c r="F620" s="20"/>
      <c r="G620" s="20"/>
      <c r="H620" s="20"/>
      <c r="I620" s="20"/>
    </row>
    <row r="621" spans="1:9" ht="14.25" customHeight="1" x14ac:dyDescent="0.35">
      <c r="A621" s="20"/>
      <c r="B621" s="20"/>
      <c r="C621" s="20"/>
      <c r="D621" s="20"/>
      <c r="E621" s="20"/>
      <c r="F621" s="20"/>
      <c r="G621" s="20"/>
      <c r="H621" s="20"/>
      <c r="I621" s="20"/>
    </row>
    <row r="622" spans="1:9" ht="14.25" customHeight="1" x14ac:dyDescent="0.35">
      <c r="A622" s="20"/>
      <c r="B622" s="20"/>
      <c r="C622" s="20"/>
      <c r="D622" s="20"/>
      <c r="E622" s="20"/>
      <c r="F622" s="20"/>
      <c r="G622" s="20"/>
      <c r="H622" s="20"/>
      <c r="I622" s="20"/>
    </row>
    <row r="623" spans="1:9" ht="14.25" customHeight="1" x14ac:dyDescent="0.35">
      <c r="A623" s="20"/>
      <c r="B623" s="20"/>
      <c r="C623" s="20"/>
      <c r="D623" s="20"/>
      <c r="E623" s="20"/>
      <c r="F623" s="20"/>
      <c r="G623" s="20"/>
      <c r="H623" s="20"/>
      <c r="I623" s="20"/>
    </row>
    <row r="624" spans="1:9" ht="14.25" customHeight="1" x14ac:dyDescent="0.35">
      <c r="A624" s="20"/>
      <c r="B624" s="20"/>
      <c r="C624" s="20"/>
      <c r="D624" s="20"/>
      <c r="E624" s="20"/>
      <c r="F624" s="20"/>
      <c r="G624" s="20"/>
      <c r="H624" s="20"/>
      <c r="I624" s="20"/>
    </row>
    <row r="625" spans="1:9" ht="14.25" customHeight="1" x14ac:dyDescent="0.35">
      <c r="A625" s="20"/>
      <c r="B625" s="20"/>
      <c r="C625" s="20"/>
      <c r="D625" s="20"/>
      <c r="E625" s="20"/>
      <c r="F625" s="20"/>
      <c r="G625" s="20"/>
      <c r="H625" s="20"/>
      <c r="I625" s="20"/>
    </row>
    <row r="626" spans="1:9" ht="14.25" customHeight="1" x14ac:dyDescent="0.35">
      <c r="A626" s="20"/>
      <c r="B626" s="20"/>
      <c r="C626" s="20"/>
      <c r="D626" s="20"/>
      <c r="E626" s="20"/>
      <c r="F626" s="20"/>
      <c r="G626" s="20"/>
      <c r="H626" s="20"/>
      <c r="I626" s="20"/>
    </row>
    <row r="627" spans="1:9" ht="14.25" customHeight="1" x14ac:dyDescent="0.35">
      <c r="A627" s="20"/>
      <c r="B627" s="20"/>
      <c r="C627" s="20"/>
      <c r="D627" s="20"/>
      <c r="E627" s="20"/>
      <c r="F627" s="20"/>
      <c r="G627" s="20"/>
      <c r="H627" s="20"/>
      <c r="I627" s="20"/>
    </row>
    <row r="628" spans="1:9" ht="14.25" customHeight="1" x14ac:dyDescent="0.35">
      <c r="A628" s="20"/>
      <c r="B628" s="20"/>
      <c r="C628" s="20"/>
      <c r="D628" s="20"/>
      <c r="E628" s="20"/>
      <c r="F628" s="20"/>
      <c r="G628" s="20"/>
      <c r="H628" s="20"/>
      <c r="I628" s="20"/>
    </row>
    <row r="629" spans="1:9" ht="14.25" customHeight="1" x14ac:dyDescent="0.35">
      <c r="A629" s="20"/>
      <c r="B629" s="20"/>
      <c r="C629" s="20"/>
      <c r="D629" s="20"/>
      <c r="E629" s="20"/>
      <c r="F629" s="20"/>
      <c r="G629" s="20"/>
      <c r="H629" s="20"/>
      <c r="I629" s="20"/>
    </row>
    <row r="630" spans="1:9" ht="14.25" customHeight="1" x14ac:dyDescent="0.35">
      <c r="A630" s="20"/>
      <c r="B630" s="20"/>
      <c r="C630" s="20"/>
      <c r="D630" s="20"/>
      <c r="E630" s="20"/>
      <c r="F630" s="20"/>
      <c r="G630" s="20"/>
      <c r="H630" s="20"/>
      <c r="I630" s="20"/>
    </row>
    <row r="631" spans="1:9" ht="14.25" customHeight="1" x14ac:dyDescent="0.35">
      <c r="A631" s="20"/>
      <c r="B631" s="20"/>
      <c r="C631" s="20"/>
      <c r="D631" s="20"/>
      <c r="E631" s="20"/>
      <c r="F631" s="20"/>
      <c r="G631" s="20"/>
      <c r="H631" s="20"/>
      <c r="I631" s="20"/>
    </row>
    <row r="632" spans="1:9" ht="14.25" customHeight="1" x14ac:dyDescent="0.35">
      <c r="A632" s="20"/>
      <c r="B632" s="20"/>
      <c r="C632" s="20"/>
      <c r="D632" s="20"/>
      <c r="E632" s="20"/>
      <c r="F632" s="20"/>
      <c r="G632" s="20"/>
      <c r="H632" s="20"/>
      <c r="I632" s="20"/>
    </row>
    <row r="633" spans="1:9" ht="14.25" customHeight="1" x14ac:dyDescent="0.35">
      <c r="A633" s="20"/>
      <c r="B633" s="20"/>
      <c r="C633" s="20"/>
      <c r="D633" s="20"/>
      <c r="E633" s="20"/>
      <c r="F633" s="20"/>
      <c r="G633" s="20"/>
      <c r="H633" s="20"/>
      <c r="I633" s="20"/>
    </row>
    <row r="634" spans="1:9" ht="14.25" customHeight="1" x14ac:dyDescent="0.35">
      <c r="A634" s="20"/>
      <c r="B634" s="20"/>
      <c r="C634" s="20"/>
      <c r="D634" s="20"/>
      <c r="E634" s="20"/>
      <c r="F634" s="20"/>
      <c r="G634" s="20"/>
      <c r="H634" s="20"/>
      <c r="I634" s="20"/>
    </row>
    <row r="635" spans="1:9" ht="14.25" customHeight="1" x14ac:dyDescent="0.35">
      <c r="A635" s="20"/>
      <c r="B635" s="20"/>
      <c r="C635" s="20"/>
      <c r="D635" s="20"/>
      <c r="E635" s="20"/>
      <c r="F635" s="20"/>
      <c r="G635" s="20"/>
      <c r="H635" s="20"/>
      <c r="I635" s="20"/>
    </row>
    <row r="636" spans="1:9" ht="14.25" customHeight="1" x14ac:dyDescent="0.35">
      <c r="A636" s="20"/>
      <c r="B636" s="20"/>
      <c r="C636" s="20"/>
      <c r="D636" s="20"/>
      <c r="E636" s="20"/>
      <c r="F636" s="20"/>
      <c r="G636" s="20"/>
      <c r="H636" s="20"/>
      <c r="I636" s="20"/>
    </row>
    <row r="637" spans="1:9" ht="14.25" customHeight="1" x14ac:dyDescent="0.35">
      <c r="A637" s="20"/>
      <c r="B637" s="20"/>
      <c r="C637" s="20"/>
      <c r="D637" s="20"/>
      <c r="E637" s="20"/>
      <c r="F637" s="20"/>
      <c r="G637" s="20"/>
      <c r="H637" s="20"/>
      <c r="I637" s="20"/>
    </row>
    <row r="638" spans="1:9" ht="14.25" customHeight="1" x14ac:dyDescent="0.35">
      <c r="A638" s="20"/>
      <c r="B638" s="20"/>
      <c r="C638" s="20"/>
      <c r="D638" s="20"/>
      <c r="E638" s="20"/>
      <c r="F638" s="20"/>
      <c r="G638" s="20"/>
      <c r="H638" s="20"/>
      <c r="I638" s="20"/>
    </row>
    <row r="639" spans="1:9" ht="14.25" customHeight="1" x14ac:dyDescent="0.35">
      <c r="A639" s="20"/>
      <c r="B639" s="20"/>
      <c r="C639" s="20"/>
      <c r="D639" s="20"/>
      <c r="E639" s="20"/>
      <c r="F639" s="20"/>
      <c r="G639" s="20"/>
      <c r="H639" s="20"/>
      <c r="I639" s="20"/>
    </row>
    <row r="640" spans="1:9" ht="14.25" customHeight="1" x14ac:dyDescent="0.35">
      <c r="A640" s="20"/>
      <c r="B640" s="20"/>
      <c r="C640" s="20"/>
      <c r="D640" s="20"/>
      <c r="E640" s="20"/>
      <c r="F640" s="20"/>
      <c r="G640" s="20"/>
      <c r="H640" s="20"/>
      <c r="I640" s="20"/>
    </row>
    <row r="641" spans="1:9" ht="14.25" customHeight="1" x14ac:dyDescent="0.35">
      <c r="A641" s="20"/>
      <c r="B641" s="20"/>
      <c r="C641" s="20"/>
      <c r="D641" s="20"/>
      <c r="E641" s="20"/>
      <c r="F641" s="20"/>
      <c r="G641" s="20"/>
      <c r="H641" s="20"/>
      <c r="I641" s="20"/>
    </row>
    <row r="642" spans="1:9" ht="14.25" customHeight="1" x14ac:dyDescent="0.35">
      <c r="A642" s="20"/>
      <c r="B642" s="20"/>
      <c r="C642" s="20"/>
      <c r="D642" s="20"/>
      <c r="E642" s="20"/>
      <c r="F642" s="20"/>
      <c r="G642" s="20"/>
      <c r="H642" s="20"/>
      <c r="I642" s="20"/>
    </row>
    <row r="643" spans="1:9" ht="14.25" customHeight="1" x14ac:dyDescent="0.35">
      <c r="A643" s="20"/>
      <c r="B643" s="20"/>
      <c r="C643" s="20"/>
      <c r="D643" s="20"/>
      <c r="E643" s="20"/>
      <c r="F643" s="20"/>
      <c r="G643" s="20"/>
      <c r="H643" s="20"/>
      <c r="I643" s="20"/>
    </row>
    <row r="644" spans="1:9" ht="14.25" customHeight="1" x14ac:dyDescent="0.35">
      <c r="A644" s="20"/>
      <c r="B644" s="20"/>
      <c r="C644" s="20"/>
      <c r="D644" s="20"/>
      <c r="E644" s="20"/>
      <c r="F644" s="20"/>
      <c r="G644" s="20"/>
      <c r="H644" s="20"/>
      <c r="I644" s="20"/>
    </row>
    <row r="645" spans="1:9" ht="14.25" customHeight="1" x14ac:dyDescent="0.35">
      <c r="A645" s="20"/>
      <c r="B645" s="20"/>
      <c r="C645" s="20"/>
      <c r="D645" s="20"/>
      <c r="E645" s="20"/>
      <c r="F645" s="20"/>
      <c r="G645" s="20"/>
      <c r="H645" s="20"/>
      <c r="I645" s="20"/>
    </row>
    <row r="646" spans="1:9" ht="14.25" customHeight="1" x14ac:dyDescent="0.35">
      <c r="A646" s="20"/>
      <c r="B646" s="20"/>
      <c r="C646" s="20"/>
      <c r="D646" s="20"/>
      <c r="E646" s="20"/>
      <c r="F646" s="20"/>
      <c r="G646" s="20"/>
      <c r="H646" s="20"/>
      <c r="I646" s="20"/>
    </row>
    <row r="647" spans="1:9" ht="14.25" customHeight="1" x14ac:dyDescent="0.35">
      <c r="A647" s="20"/>
      <c r="B647" s="20"/>
      <c r="C647" s="20"/>
      <c r="D647" s="20"/>
      <c r="E647" s="20"/>
      <c r="F647" s="20"/>
      <c r="G647" s="20"/>
      <c r="H647" s="20"/>
      <c r="I647" s="20"/>
    </row>
    <row r="648" spans="1:9" ht="14.25" customHeight="1" x14ac:dyDescent="0.35">
      <c r="A648" s="20"/>
      <c r="B648" s="20"/>
      <c r="C648" s="20"/>
      <c r="D648" s="20"/>
      <c r="E648" s="20"/>
      <c r="F648" s="20"/>
      <c r="G648" s="20"/>
      <c r="H648" s="20"/>
      <c r="I648" s="20"/>
    </row>
    <row r="649" spans="1:9" ht="14.25" customHeight="1" x14ac:dyDescent="0.35">
      <c r="A649" s="20"/>
      <c r="B649" s="20"/>
      <c r="C649" s="20"/>
      <c r="D649" s="20"/>
      <c r="E649" s="20"/>
      <c r="F649" s="20"/>
      <c r="G649" s="20"/>
      <c r="H649" s="20"/>
      <c r="I649" s="20"/>
    </row>
    <row r="650" spans="1:9" ht="14.25" customHeight="1" x14ac:dyDescent="0.35">
      <c r="A650" s="20"/>
      <c r="B650" s="20"/>
      <c r="C650" s="20"/>
      <c r="D650" s="20"/>
      <c r="E650" s="20"/>
      <c r="F650" s="20"/>
      <c r="G650" s="20"/>
      <c r="H650" s="20"/>
      <c r="I650" s="20"/>
    </row>
    <row r="651" spans="1:9" ht="14.25" customHeight="1" x14ac:dyDescent="0.35">
      <c r="A651" s="20"/>
      <c r="B651" s="20"/>
      <c r="C651" s="20"/>
      <c r="D651" s="20"/>
      <c r="E651" s="20"/>
      <c r="F651" s="20"/>
      <c r="G651" s="20"/>
      <c r="H651" s="20"/>
      <c r="I651" s="20"/>
    </row>
    <row r="652" spans="1:9" ht="14.25" customHeight="1" x14ac:dyDescent="0.35">
      <c r="A652" s="20"/>
      <c r="B652" s="20"/>
      <c r="C652" s="20"/>
      <c r="D652" s="20"/>
      <c r="E652" s="20"/>
      <c r="F652" s="20"/>
      <c r="G652" s="20"/>
      <c r="H652" s="20"/>
      <c r="I652" s="20"/>
    </row>
    <row r="653" spans="1:9" ht="14.25" customHeight="1" x14ac:dyDescent="0.35">
      <c r="A653" s="20"/>
      <c r="B653" s="20"/>
      <c r="C653" s="20"/>
      <c r="D653" s="20"/>
      <c r="E653" s="20"/>
      <c r="F653" s="20"/>
      <c r="G653" s="20"/>
      <c r="H653" s="20"/>
      <c r="I653" s="20"/>
    </row>
    <row r="654" spans="1:9" ht="14.25" customHeight="1" x14ac:dyDescent="0.35">
      <c r="A654" s="20"/>
      <c r="B654" s="20"/>
      <c r="C654" s="20"/>
      <c r="D654" s="20"/>
      <c r="E654" s="20"/>
      <c r="F654" s="20"/>
      <c r="G654" s="20"/>
      <c r="H654" s="20"/>
      <c r="I654" s="20"/>
    </row>
    <row r="655" spans="1:9" ht="14.25" customHeight="1" x14ac:dyDescent="0.35">
      <c r="A655" s="20"/>
      <c r="B655" s="20"/>
      <c r="C655" s="20"/>
      <c r="D655" s="20"/>
      <c r="E655" s="20"/>
      <c r="F655" s="20"/>
      <c r="G655" s="20"/>
      <c r="H655" s="20"/>
      <c r="I655" s="20"/>
    </row>
    <row r="656" spans="1:9" ht="14.25" customHeight="1" x14ac:dyDescent="0.35">
      <c r="A656" s="20"/>
      <c r="B656" s="20"/>
      <c r="C656" s="20"/>
      <c r="D656" s="20"/>
      <c r="E656" s="20"/>
      <c r="F656" s="20"/>
      <c r="G656" s="20"/>
      <c r="H656" s="20"/>
      <c r="I656" s="20"/>
    </row>
    <row r="657" spans="1:9" ht="14.25" customHeight="1" x14ac:dyDescent="0.35">
      <c r="A657" s="20"/>
      <c r="B657" s="20"/>
      <c r="C657" s="20"/>
      <c r="D657" s="20"/>
      <c r="E657" s="20"/>
      <c r="F657" s="20"/>
      <c r="G657" s="20"/>
      <c r="H657" s="20"/>
      <c r="I657" s="20"/>
    </row>
    <row r="658" spans="1:9" ht="14.25" customHeight="1" x14ac:dyDescent="0.35">
      <c r="A658" s="20"/>
      <c r="B658" s="20"/>
      <c r="C658" s="20"/>
      <c r="D658" s="20"/>
      <c r="E658" s="20"/>
      <c r="F658" s="20"/>
      <c r="G658" s="20"/>
      <c r="H658" s="20"/>
      <c r="I658" s="20"/>
    </row>
    <row r="659" spans="1:9" ht="14.25" customHeight="1" x14ac:dyDescent="0.35">
      <c r="A659" s="20"/>
      <c r="B659" s="20"/>
      <c r="C659" s="20"/>
      <c r="D659" s="20"/>
      <c r="E659" s="20"/>
      <c r="F659" s="20"/>
      <c r="G659" s="20"/>
      <c r="H659" s="20"/>
      <c r="I659" s="20"/>
    </row>
    <row r="660" spans="1:9" ht="14.25" customHeight="1" x14ac:dyDescent="0.35">
      <c r="A660" s="20"/>
      <c r="B660" s="20"/>
      <c r="C660" s="20"/>
      <c r="D660" s="20"/>
      <c r="E660" s="20"/>
      <c r="F660" s="20"/>
      <c r="G660" s="20"/>
      <c r="H660" s="20"/>
      <c r="I660" s="20"/>
    </row>
    <row r="661" spans="1:9" ht="14.25" customHeight="1" x14ac:dyDescent="0.35">
      <c r="A661" s="20"/>
      <c r="B661" s="20"/>
      <c r="C661" s="20"/>
      <c r="D661" s="20"/>
      <c r="E661" s="20"/>
      <c r="F661" s="20"/>
      <c r="G661" s="20"/>
      <c r="H661" s="20"/>
      <c r="I661" s="20"/>
    </row>
    <row r="662" spans="1:9" ht="14.25" customHeight="1" x14ac:dyDescent="0.35">
      <c r="A662" s="20"/>
      <c r="B662" s="20"/>
      <c r="C662" s="20"/>
      <c r="D662" s="20"/>
      <c r="E662" s="20"/>
      <c r="F662" s="20"/>
      <c r="G662" s="20"/>
      <c r="H662" s="20"/>
      <c r="I662" s="20"/>
    </row>
    <row r="663" spans="1:9" ht="14.25" customHeight="1" x14ac:dyDescent="0.35">
      <c r="A663" s="20"/>
      <c r="B663" s="20"/>
      <c r="C663" s="20"/>
      <c r="D663" s="20"/>
      <c r="E663" s="20"/>
      <c r="F663" s="20"/>
      <c r="G663" s="20"/>
      <c r="H663" s="20"/>
      <c r="I663" s="20"/>
    </row>
    <row r="664" spans="1:9" ht="14.25" customHeight="1" x14ac:dyDescent="0.35">
      <c r="A664" s="20"/>
      <c r="B664" s="20"/>
      <c r="C664" s="20"/>
      <c r="D664" s="20"/>
      <c r="E664" s="20"/>
      <c r="F664" s="20"/>
      <c r="G664" s="20"/>
      <c r="H664" s="20"/>
      <c r="I664" s="20"/>
    </row>
    <row r="665" spans="1:9" ht="14.25" customHeight="1" x14ac:dyDescent="0.35">
      <c r="A665" s="20"/>
      <c r="B665" s="20"/>
      <c r="C665" s="20"/>
      <c r="D665" s="20"/>
      <c r="E665" s="20"/>
      <c r="F665" s="20"/>
      <c r="G665" s="20"/>
      <c r="H665" s="20"/>
      <c r="I665" s="20"/>
    </row>
    <row r="666" spans="1:9" ht="14.25" customHeight="1" x14ac:dyDescent="0.35">
      <c r="A666" s="20"/>
      <c r="B666" s="20"/>
      <c r="C666" s="20"/>
      <c r="D666" s="20"/>
      <c r="E666" s="20"/>
      <c r="F666" s="20"/>
      <c r="G666" s="20"/>
      <c r="H666" s="20"/>
      <c r="I666" s="20"/>
    </row>
    <row r="667" spans="1:9" ht="14.25" customHeight="1" x14ac:dyDescent="0.35">
      <c r="A667" s="20"/>
      <c r="B667" s="20"/>
      <c r="C667" s="20"/>
      <c r="D667" s="20"/>
      <c r="E667" s="20"/>
      <c r="F667" s="20"/>
      <c r="G667" s="20"/>
      <c r="H667" s="20"/>
      <c r="I667" s="20"/>
    </row>
    <row r="668" spans="1:9" ht="14.25" customHeight="1" x14ac:dyDescent="0.35">
      <c r="A668" s="20"/>
      <c r="B668" s="20"/>
      <c r="C668" s="20"/>
      <c r="D668" s="20"/>
      <c r="E668" s="20"/>
      <c r="F668" s="20"/>
      <c r="G668" s="20"/>
      <c r="H668" s="20"/>
      <c r="I668" s="20"/>
    </row>
    <row r="669" spans="1:9" ht="14.25" customHeight="1" x14ac:dyDescent="0.35">
      <c r="A669" s="20"/>
      <c r="B669" s="20"/>
      <c r="C669" s="20"/>
      <c r="D669" s="20"/>
      <c r="E669" s="20"/>
      <c r="F669" s="20"/>
      <c r="G669" s="20"/>
      <c r="H669" s="20"/>
      <c r="I669" s="20"/>
    </row>
    <row r="670" spans="1:9" ht="14.25" customHeight="1" x14ac:dyDescent="0.35">
      <c r="A670" s="20"/>
      <c r="B670" s="20"/>
      <c r="C670" s="20"/>
      <c r="D670" s="20"/>
      <c r="E670" s="20"/>
      <c r="F670" s="20"/>
      <c r="G670" s="20"/>
      <c r="H670" s="20"/>
      <c r="I670" s="20"/>
    </row>
    <row r="671" spans="1:9" ht="14.25" customHeight="1" x14ac:dyDescent="0.35">
      <c r="A671" s="20"/>
      <c r="B671" s="20"/>
      <c r="C671" s="20"/>
      <c r="D671" s="20"/>
      <c r="E671" s="20"/>
      <c r="F671" s="20"/>
      <c r="G671" s="20"/>
      <c r="H671" s="20"/>
      <c r="I671" s="20"/>
    </row>
    <row r="672" spans="1:9" ht="14.25" customHeight="1" x14ac:dyDescent="0.35">
      <c r="A672" s="20"/>
      <c r="B672" s="20"/>
      <c r="C672" s="20"/>
      <c r="D672" s="20"/>
      <c r="E672" s="20"/>
      <c r="F672" s="20"/>
      <c r="G672" s="20"/>
      <c r="H672" s="20"/>
      <c r="I672" s="20"/>
    </row>
    <row r="673" spans="1:9" ht="14.25" customHeight="1" x14ac:dyDescent="0.35">
      <c r="A673" s="20"/>
      <c r="B673" s="20"/>
      <c r="C673" s="20"/>
      <c r="D673" s="20"/>
      <c r="E673" s="20"/>
      <c r="F673" s="20"/>
      <c r="G673" s="20"/>
      <c r="H673" s="20"/>
      <c r="I673" s="20"/>
    </row>
    <row r="674" spans="1:9" ht="14.25" customHeight="1" x14ac:dyDescent="0.35">
      <c r="A674" s="20"/>
      <c r="B674" s="20"/>
      <c r="C674" s="20"/>
      <c r="D674" s="20"/>
      <c r="E674" s="20"/>
      <c r="F674" s="20"/>
      <c r="G674" s="20"/>
      <c r="H674" s="20"/>
      <c r="I674" s="20"/>
    </row>
    <row r="675" spans="1:9" ht="14.25" customHeight="1" x14ac:dyDescent="0.35">
      <c r="A675" s="20"/>
      <c r="B675" s="20"/>
      <c r="C675" s="20"/>
      <c r="D675" s="20"/>
      <c r="E675" s="20"/>
      <c r="F675" s="20"/>
      <c r="G675" s="20"/>
      <c r="H675" s="20"/>
      <c r="I675" s="20"/>
    </row>
    <row r="676" spans="1:9" ht="14.25" customHeight="1" x14ac:dyDescent="0.35">
      <c r="A676" s="20"/>
      <c r="B676" s="20"/>
      <c r="C676" s="20"/>
      <c r="D676" s="20"/>
      <c r="E676" s="20"/>
      <c r="F676" s="20"/>
      <c r="G676" s="20"/>
      <c r="H676" s="20"/>
      <c r="I676" s="20"/>
    </row>
    <row r="677" spans="1:9" ht="14.25" customHeight="1" x14ac:dyDescent="0.35">
      <c r="A677" s="20"/>
      <c r="B677" s="20"/>
      <c r="C677" s="20"/>
      <c r="D677" s="20"/>
      <c r="E677" s="20"/>
      <c r="F677" s="20"/>
      <c r="G677" s="20"/>
      <c r="H677" s="20"/>
      <c r="I677" s="20"/>
    </row>
    <row r="678" spans="1:9" ht="14.25" customHeight="1" x14ac:dyDescent="0.35">
      <c r="A678" s="20"/>
      <c r="B678" s="20"/>
      <c r="C678" s="20"/>
      <c r="D678" s="20"/>
      <c r="E678" s="20"/>
      <c r="F678" s="20"/>
      <c r="G678" s="20"/>
      <c r="H678" s="20"/>
      <c r="I678" s="20"/>
    </row>
    <row r="679" spans="1:9" ht="14.25" customHeight="1" x14ac:dyDescent="0.35">
      <c r="A679" s="20"/>
      <c r="B679" s="20"/>
      <c r="C679" s="20"/>
      <c r="D679" s="20"/>
      <c r="E679" s="20"/>
      <c r="F679" s="20"/>
      <c r="G679" s="20"/>
      <c r="H679" s="20"/>
      <c r="I679" s="20"/>
    </row>
    <row r="680" spans="1:9" ht="14.25" customHeight="1" x14ac:dyDescent="0.35">
      <c r="A680" s="20"/>
      <c r="B680" s="20"/>
      <c r="C680" s="20"/>
      <c r="D680" s="20"/>
      <c r="E680" s="20"/>
      <c r="F680" s="20"/>
      <c r="G680" s="20"/>
      <c r="H680" s="20"/>
      <c r="I680" s="20"/>
    </row>
    <row r="681" spans="1:9" ht="14.25" customHeight="1" x14ac:dyDescent="0.35">
      <c r="A681" s="20"/>
      <c r="B681" s="20"/>
      <c r="C681" s="20"/>
      <c r="D681" s="20"/>
      <c r="E681" s="20"/>
      <c r="F681" s="20"/>
      <c r="G681" s="20"/>
      <c r="H681" s="20"/>
      <c r="I681" s="20"/>
    </row>
    <row r="682" spans="1:9" ht="14.25" customHeight="1" x14ac:dyDescent="0.35">
      <c r="A682" s="20"/>
      <c r="B682" s="20"/>
      <c r="C682" s="20"/>
      <c r="D682" s="20"/>
      <c r="E682" s="20"/>
      <c r="F682" s="20"/>
      <c r="G682" s="20"/>
      <c r="H682" s="20"/>
      <c r="I682" s="20"/>
    </row>
    <row r="683" spans="1:9" ht="14.25" customHeight="1" x14ac:dyDescent="0.35">
      <c r="A683" s="20"/>
      <c r="B683" s="20"/>
      <c r="C683" s="20"/>
      <c r="D683" s="20"/>
      <c r="E683" s="20"/>
      <c r="F683" s="20"/>
      <c r="G683" s="20"/>
      <c r="H683" s="20"/>
      <c r="I683" s="20"/>
    </row>
    <row r="684" spans="1:9" ht="14.25" customHeight="1" x14ac:dyDescent="0.35">
      <c r="A684" s="20"/>
      <c r="B684" s="20"/>
      <c r="C684" s="20"/>
      <c r="D684" s="20"/>
      <c r="E684" s="20"/>
      <c r="F684" s="20"/>
      <c r="G684" s="20"/>
      <c r="H684" s="20"/>
      <c r="I684" s="20"/>
    </row>
    <row r="685" spans="1:9" ht="14.25" customHeight="1" x14ac:dyDescent="0.35">
      <c r="A685" s="20"/>
      <c r="B685" s="20"/>
      <c r="C685" s="20"/>
      <c r="D685" s="20"/>
      <c r="E685" s="20"/>
      <c r="F685" s="20"/>
      <c r="G685" s="20"/>
      <c r="H685" s="20"/>
      <c r="I685" s="20"/>
    </row>
    <row r="686" spans="1:9" ht="14.25" customHeight="1" x14ac:dyDescent="0.35">
      <c r="A686" s="20"/>
      <c r="B686" s="20"/>
      <c r="C686" s="20"/>
      <c r="D686" s="20"/>
      <c r="E686" s="20"/>
      <c r="F686" s="20"/>
      <c r="G686" s="20"/>
      <c r="H686" s="20"/>
      <c r="I686" s="20"/>
    </row>
    <row r="687" spans="1:9" ht="14.25" customHeight="1" x14ac:dyDescent="0.35">
      <c r="A687" s="20"/>
      <c r="B687" s="20"/>
      <c r="C687" s="20"/>
      <c r="D687" s="20"/>
      <c r="E687" s="20"/>
      <c r="F687" s="20"/>
      <c r="G687" s="20"/>
      <c r="H687" s="20"/>
      <c r="I687" s="20"/>
    </row>
    <row r="688" spans="1:9" ht="14.25" customHeight="1" x14ac:dyDescent="0.35">
      <c r="A688" s="20"/>
      <c r="B688" s="20"/>
      <c r="C688" s="20"/>
      <c r="D688" s="20"/>
      <c r="E688" s="20"/>
      <c r="F688" s="20"/>
      <c r="G688" s="20"/>
      <c r="H688" s="20"/>
      <c r="I688" s="20"/>
    </row>
    <row r="689" spans="1:9" ht="14.25" customHeight="1" x14ac:dyDescent="0.35">
      <c r="A689" s="20"/>
      <c r="B689" s="20"/>
      <c r="C689" s="20"/>
      <c r="D689" s="20"/>
      <c r="E689" s="20"/>
      <c r="F689" s="20"/>
      <c r="G689" s="20"/>
      <c r="H689" s="20"/>
      <c r="I689" s="20"/>
    </row>
    <row r="690" spans="1:9" ht="14.25" customHeight="1" x14ac:dyDescent="0.35">
      <c r="A690" s="20"/>
      <c r="B690" s="20"/>
      <c r="C690" s="20"/>
      <c r="D690" s="20"/>
      <c r="E690" s="20"/>
      <c r="F690" s="20"/>
      <c r="G690" s="20"/>
      <c r="H690" s="20"/>
      <c r="I690" s="20"/>
    </row>
    <row r="691" spans="1:9" ht="14.25" customHeight="1" x14ac:dyDescent="0.35">
      <c r="A691" s="20"/>
      <c r="B691" s="20"/>
      <c r="C691" s="20"/>
      <c r="D691" s="20"/>
      <c r="E691" s="20"/>
      <c r="F691" s="20"/>
      <c r="G691" s="20"/>
      <c r="H691" s="20"/>
      <c r="I691" s="20"/>
    </row>
    <row r="692" spans="1:9" ht="14.25" customHeight="1" x14ac:dyDescent="0.35">
      <c r="A692" s="20"/>
      <c r="B692" s="20"/>
      <c r="C692" s="20"/>
      <c r="D692" s="20"/>
      <c r="E692" s="20"/>
      <c r="F692" s="20"/>
      <c r="G692" s="20"/>
      <c r="H692" s="20"/>
      <c r="I692" s="20"/>
    </row>
    <row r="693" spans="1:9" ht="14.25" customHeight="1" x14ac:dyDescent="0.35">
      <c r="A693" s="20"/>
      <c r="B693" s="20"/>
      <c r="C693" s="20"/>
      <c r="D693" s="20"/>
      <c r="E693" s="20"/>
      <c r="F693" s="20"/>
      <c r="G693" s="20"/>
      <c r="H693" s="20"/>
      <c r="I693" s="20"/>
    </row>
    <row r="694" spans="1:9" ht="14.25" customHeight="1" x14ac:dyDescent="0.35">
      <c r="A694" s="20"/>
      <c r="B694" s="20"/>
      <c r="C694" s="20"/>
      <c r="D694" s="20"/>
      <c r="E694" s="20"/>
      <c r="F694" s="20"/>
      <c r="G694" s="20"/>
      <c r="H694" s="20"/>
      <c r="I694" s="20"/>
    </row>
    <row r="695" spans="1:9" ht="14.25" customHeight="1" x14ac:dyDescent="0.35">
      <c r="A695" s="20"/>
      <c r="B695" s="20"/>
      <c r="C695" s="20"/>
      <c r="D695" s="20"/>
      <c r="E695" s="20"/>
      <c r="F695" s="20"/>
      <c r="G695" s="20"/>
      <c r="H695" s="20"/>
      <c r="I695" s="20"/>
    </row>
    <row r="696" spans="1:9" ht="14.25" customHeight="1" x14ac:dyDescent="0.35">
      <c r="A696" s="20"/>
      <c r="B696" s="20"/>
      <c r="C696" s="20"/>
      <c r="D696" s="20"/>
      <c r="E696" s="20"/>
      <c r="F696" s="20"/>
      <c r="G696" s="20"/>
      <c r="H696" s="20"/>
      <c r="I696" s="20"/>
    </row>
    <row r="697" spans="1:9" ht="14.25" customHeight="1" x14ac:dyDescent="0.35">
      <c r="A697" s="20"/>
      <c r="B697" s="20"/>
      <c r="C697" s="20"/>
      <c r="D697" s="20"/>
      <c r="E697" s="20"/>
      <c r="F697" s="20"/>
      <c r="G697" s="20"/>
      <c r="H697" s="20"/>
      <c r="I697" s="20"/>
    </row>
    <row r="698" spans="1:9" ht="14.25" customHeight="1" x14ac:dyDescent="0.35">
      <c r="A698" s="20"/>
      <c r="B698" s="20"/>
      <c r="C698" s="20"/>
      <c r="D698" s="20"/>
      <c r="E698" s="20"/>
      <c r="F698" s="20"/>
      <c r="G698" s="20"/>
      <c r="H698" s="20"/>
      <c r="I698" s="20"/>
    </row>
    <row r="699" spans="1:9" ht="14.25" customHeight="1" x14ac:dyDescent="0.35">
      <c r="A699" s="20"/>
      <c r="B699" s="20"/>
      <c r="C699" s="20"/>
      <c r="D699" s="20"/>
      <c r="E699" s="20"/>
      <c r="F699" s="20"/>
      <c r="G699" s="20"/>
      <c r="H699" s="20"/>
      <c r="I699" s="20"/>
    </row>
    <row r="700" spans="1:9" ht="14.25" customHeight="1" x14ac:dyDescent="0.35">
      <c r="A700" s="20"/>
      <c r="B700" s="20"/>
      <c r="C700" s="20"/>
      <c r="D700" s="20"/>
      <c r="E700" s="20"/>
      <c r="F700" s="20"/>
      <c r="G700" s="20"/>
      <c r="H700" s="20"/>
      <c r="I700" s="20"/>
    </row>
    <row r="701" spans="1:9" ht="14.25" customHeight="1" x14ac:dyDescent="0.35">
      <c r="A701" s="20"/>
      <c r="B701" s="20"/>
      <c r="C701" s="20"/>
      <c r="D701" s="20"/>
      <c r="E701" s="20"/>
      <c r="F701" s="20"/>
      <c r="G701" s="20"/>
      <c r="H701" s="20"/>
      <c r="I701" s="20"/>
    </row>
    <row r="702" spans="1:9" ht="14.25" customHeight="1" x14ac:dyDescent="0.35">
      <c r="A702" s="20"/>
      <c r="B702" s="20"/>
      <c r="C702" s="20"/>
      <c r="D702" s="20"/>
      <c r="E702" s="20"/>
      <c r="F702" s="20"/>
      <c r="G702" s="20"/>
      <c r="H702" s="20"/>
      <c r="I702" s="20"/>
    </row>
    <row r="703" spans="1:9" ht="14.25" customHeight="1" x14ac:dyDescent="0.35">
      <c r="A703" s="20"/>
      <c r="B703" s="20"/>
      <c r="C703" s="20"/>
      <c r="D703" s="20"/>
      <c r="E703" s="20"/>
      <c r="F703" s="20"/>
      <c r="G703" s="20"/>
      <c r="H703" s="20"/>
      <c r="I703" s="20"/>
    </row>
    <row r="704" spans="1:9" ht="14.25" customHeight="1" x14ac:dyDescent="0.35">
      <c r="A704" s="20"/>
      <c r="B704" s="20"/>
      <c r="C704" s="20"/>
      <c r="D704" s="20"/>
      <c r="E704" s="20"/>
      <c r="F704" s="20"/>
      <c r="G704" s="20"/>
      <c r="H704" s="20"/>
      <c r="I704" s="20"/>
    </row>
    <row r="705" spans="1:9" ht="14.25" customHeight="1" x14ac:dyDescent="0.35">
      <c r="A705" s="20"/>
      <c r="B705" s="20"/>
      <c r="C705" s="20"/>
      <c r="D705" s="20"/>
      <c r="E705" s="20"/>
      <c r="F705" s="20"/>
      <c r="G705" s="20"/>
      <c r="H705" s="20"/>
      <c r="I705" s="20"/>
    </row>
    <row r="706" spans="1:9" ht="14.25" customHeight="1" x14ac:dyDescent="0.35">
      <c r="A706" s="20"/>
      <c r="B706" s="20"/>
      <c r="C706" s="20"/>
      <c r="D706" s="20"/>
      <c r="E706" s="20"/>
      <c r="F706" s="20"/>
      <c r="G706" s="20"/>
      <c r="H706" s="20"/>
      <c r="I706" s="20"/>
    </row>
    <row r="707" spans="1:9" ht="14.25" customHeight="1" x14ac:dyDescent="0.35">
      <c r="A707" s="20"/>
      <c r="B707" s="20"/>
      <c r="C707" s="20"/>
      <c r="D707" s="20"/>
      <c r="E707" s="20"/>
      <c r="F707" s="20"/>
      <c r="G707" s="20"/>
      <c r="H707" s="20"/>
      <c r="I707" s="20"/>
    </row>
    <row r="708" spans="1:9" ht="14.25" customHeight="1" x14ac:dyDescent="0.35">
      <c r="A708" s="20"/>
      <c r="B708" s="20"/>
      <c r="C708" s="20"/>
      <c r="D708" s="20"/>
      <c r="E708" s="20"/>
      <c r="F708" s="20"/>
      <c r="G708" s="20"/>
      <c r="H708" s="20"/>
      <c r="I708" s="20"/>
    </row>
    <row r="709" spans="1:9" ht="14.25" customHeight="1" x14ac:dyDescent="0.35">
      <c r="A709" s="20"/>
      <c r="B709" s="20"/>
      <c r="C709" s="20"/>
      <c r="D709" s="20"/>
      <c r="E709" s="20"/>
      <c r="F709" s="20"/>
      <c r="G709" s="20"/>
      <c r="H709" s="20"/>
      <c r="I709" s="20"/>
    </row>
    <row r="710" spans="1:9" ht="14.25" customHeight="1" x14ac:dyDescent="0.35">
      <c r="A710" s="20"/>
      <c r="B710" s="20"/>
      <c r="C710" s="20"/>
      <c r="D710" s="20"/>
      <c r="E710" s="20"/>
      <c r="F710" s="20"/>
      <c r="G710" s="20"/>
      <c r="H710" s="20"/>
      <c r="I710" s="20"/>
    </row>
    <row r="711" spans="1:9" ht="14.25" customHeight="1" x14ac:dyDescent="0.35">
      <c r="A711" s="20"/>
      <c r="B711" s="20"/>
      <c r="C711" s="20"/>
      <c r="D711" s="20"/>
      <c r="E711" s="20"/>
      <c r="F711" s="20"/>
      <c r="G711" s="20"/>
      <c r="H711" s="20"/>
      <c r="I711" s="20"/>
    </row>
    <row r="712" spans="1:9" ht="14.25" customHeight="1" x14ac:dyDescent="0.35">
      <c r="A712" s="20"/>
      <c r="B712" s="20"/>
      <c r="C712" s="20"/>
      <c r="D712" s="20"/>
      <c r="E712" s="20"/>
      <c r="F712" s="20"/>
      <c r="G712" s="20"/>
      <c r="H712" s="20"/>
      <c r="I712" s="20"/>
    </row>
    <row r="713" spans="1:9" ht="14.25" customHeight="1" x14ac:dyDescent="0.35">
      <c r="A713" s="20"/>
      <c r="B713" s="20"/>
      <c r="C713" s="20"/>
      <c r="D713" s="20"/>
      <c r="E713" s="20"/>
      <c r="F713" s="20"/>
      <c r="G713" s="20"/>
      <c r="H713" s="20"/>
      <c r="I713" s="20"/>
    </row>
    <row r="714" spans="1:9" ht="14.25" customHeight="1" x14ac:dyDescent="0.35">
      <c r="A714" s="20"/>
      <c r="B714" s="20"/>
      <c r="C714" s="20"/>
      <c r="D714" s="20"/>
      <c r="E714" s="20"/>
      <c r="F714" s="20"/>
      <c r="G714" s="20"/>
      <c r="H714" s="20"/>
      <c r="I714" s="20"/>
    </row>
    <row r="715" spans="1:9" ht="14.25" customHeight="1" x14ac:dyDescent="0.35">
      <c r="A715" s="20"/>
      <c r="B715" s="20"/>
      <c r="C715" s="20"/>
      <c r="D715" s="20"/>
      <c r="E715" s="20"/>
      <c r="F715" s="20"/>
      <c r="G715" s="20"/>
      <c r="H715" s="20"/>
      <c r="I715" s="20"/>
    </row>
    <row r="716" spans="1:9" ht="14.25" customHeight="1" x14ac:dyDescent="0.35">
      <c r="A716" s="20"/>
      <c r="B716" s="20"/>
      <c r="C716" s="20"/>
      <c r="D716" s="20"/>
      <c r="E716" s="20"/>
      <c r="F716" s="20"/>
      <c r="G716" s="20"/>
      <c r="H716" s="20"/>
      <c r="I716" s="20"/>
    </row>
    <row r="717" spans="1:9" ht="14.25" customHeight="1" x14ac:dyDescent="0.35">
      <c r="A717" s="20"/>
      <c r="B717" s="20"/>
      <c r="C717" s="20"/>
      <c r="D717" s="20"/>
      <c r="E717" s="20"/>
      <c r="F717" s="20"/>
      <c r="G717" s="20"/>
      <c r="H717" s="20"/>
      <c r="I717" s="20"/>
    </row>
    <row r="718" spans="1:9" ht="14.25" customHeight="1" x14ac:dyDescent="0.35">
      <c r="A718" s="20"/>
      <c r="B718" s="20"/>
      <c r="C718" s="20"/>
      <c r="D718" s="20"/>
      <c r="E718" s="20"/>
      <c r="F718" s="20"/>
      <c r="G718" s="20"/>
      <c r="H718" s="20"/>
      <c r="I718" s="20"/>
    </row>
    <row r="719" spans="1:9" ht="14.25" customHeight="1" x14ac:dyDescent="0.35">
      <c r="A719" s="20"/>
      <c r="B719" s="20"/>
      <c r="C719" s="20"/>
      <c r="D719" s="20"/>
      <c r="E719" s="20"/>
      <c r="F719" s="20"/>
      <c r="G719" s="20"/>
      <c r="H719" s="20"/>
      <c r="I719" s="20"/>
    </row>
    <row r="720" spans="1:9" ht="14.25" customHeight="1" x14ac:dyDescent="0.35">
      <c r="A720" s="20"/>
      <c r="B720" s="20"/>
      <c r="C720" s="20"/>
      <c r="D720" s="20"/>
      <c r="E720" s="20"/>
      <c r="F720" s="20"/>
      <c r="G720" s="20"/>
      <c r="H720" s="20"/>
      <c r="I720" s="20"/>
    </row>
    <row r="721" spans="1:9" ht="14.25" customHeight="1" x14ac:dyDescent="0.35">
      <c r="A721" s="20"/>
      <c r="B721" s="20"/>
      <c r="C721" s="20"/>
      <c r="D721" s="20"/>
      <c r="E721" s="20"/>
      <c r="F721" s="20"/>
      <c r="G721" s="20"/>
      <c r="H721" s="20"/>
      <c r="I721" s="20"/>
    </row>
    <row r="722" spans="1:9" ht="14.25" customHeight="1" x14ac:dyDescent="0.35">
      <c r="A722" s="20"/>
      <c r="B722" s="20"/>
      <c r="C722" s="20"/>
      <c r="D722" s="20"/>
      <c r="E722" s="20"/>
      <c r="F722" s="20"/>
      <c r="G722" s="20"/>
      <c r="H722" s="20"/>
      <c r="I722" s="20"/>
    </row>
    <row r="723" spans="1:9" ht="14.25" customHeight="1" x14ac:dyDescent="0.35">
      <c r="A723" s="20"/>
      <c r="B723" s="20"/>
      <c r="C723" s="20"/>
      <c r="D723" s="20"/>
      <c r="E723" s="20"/>
      <c r="F723" s="20"/>
      <c r="G723" s="20"/>
      <c r="H723" s="20"/>
      <c r="I723" s="20"/>
    </row>
    <row r="724" spans="1:9" ht="14.25" customHeight="1" x14ac:dyDescent="0.35">
      <c r="A724" s="20"/>
      <c r="B724" s="20"/>
      <c r="C724" s="20"/>
      <c r="D724" s="20"/>
      <c r="E724" s="20"/>
      <c r="F724" s="20"/>
      <c r="G724" s="20"/>
      <c r="H724" s="20"/>
      <c r="I724" s="20"/>
    </row>
    <row r="725" spans="1:9" ht="14.25" customHeight="1" x14ac:dyDescent="0.35">
      <c r="A725" s="20"/>
      <c r="B725" s="20"/>
      <c r="C725" s="20"/>
      <c r="D725" s="20"/>
      <c r="E725" s="20"/>
      <c r="F725" s="20"/>
      <c r="G725" s="20"/>
      <c r="H725" s="20"/>
      <c r="I725" s="20"/>
    </row>
    <row r="726" spans="1:9" ht="14.25" customHeight="1" x14ac:dyDescent="0.35">
      <c r="A726" s="20"/>
      <c r="B726" s="20"/>
      <c r="C726" s="20"/>
      <c r="D726" s="20"/>
      <c r="E726" s="20"/>
      <c r="F726" s="20"/>
      <c r="G726" s="20"/>
      <c r="H726" s="20"/>
      <c r="I726" s="20"/>
    </row>
    <row r="727" spans="1:9" ht="14.25" customHeight="1" x14ac:dyDescent="0.35">
      <c r="A727" s="20"/>
      <c r="B727" s="20"/>
      <c r="C727" s="20"/>
      <c r="D727" s="20"/>
      <c r="E727" s="20"/>
      <c r="F727" s="20"/>
      <c r="G727" s="20"/>
      <c r="H727" s="20"/>
      <c r="I727" s="20"/>
    </row>
    <row r="728" spans="1:9" ht="14.25" customHeight="1" x14ac:dyDescent="0.35">
      <c r="A728" s="20"/>
      <c r="B728" s="20"/>
      <c r="C728" s="20"/>
      <c r="D728" s="20"/>
      <c r="E728" s="20"/>
      <c r="F728" s="20"/>
      <c r="G728" s="20"/>
      <c r="H728" s="20"/>
      <c r="I728" s="20"/>
    </row>
    <row r="729" spans="1:9" ht="14.25" customHeight="1" x14ac:dyDescent="0.35">
      <c r="A729" s="20"/>
      <c r="B729" s="20"/>
      <c r="C729" s="20"/>
      <c r="D729" s="20"/>
      <c r="E729" s="20"/>
      <c r="F729" s="20"/>
      <c r="G729" s="20"/>
      <c r="H729" s="20"/>
      <c r="I729" s="20"/>
    </row>
    <row r="730" spans="1:9" ht="14.25" customHeight="1" x14ac:dyDescent="0.35">
      <c r="A730" s="20"/>
      <c r="B730" s="20"/>
      <c r="C730" s="20"/>
      <c r="D730" s="20"/>
      <c r="E730" s="20"/>
      <c r="F730" s="20"/>
      <c r="G730" s="20"/>
      <c r="H730" s="20"/>
      <c r="I730" s="20"/>
    </row>
    <row r="731" spans="1:9" ht="14.25" customHeight="1" x14ac:dyDescent="0.35">
      <c r="A731" s="20"/>
      <c r="B731" s="20"/>
      <c r="C731" s="20"/>
      <c r="D731" s="20"/>
      <c r="E731" s="20"/>
      <c r="F731" s="20"/>
      <c r="G731" s="20"/>
      <c r="H731" s="20"/>
      <c r="I731" s="20"/>
    </row>
    <row r="732" spans="1:9" ht="14.25" customHeight="1" x14ac:dyDescent="0.35">
      <c r="A732" s="20"/>
      <c r="B732" s="20"/>
      <c r="C732" s="20"/>
      <c r="D732" s="20"/>
      <c r="E732" s="20"/>
      <c r="F732" s="20"/>
      <c r="G732" s="20"/>
      <c r="H732" s="20"/>
      <c r="I732" s="20"/>
    </row>
    <row r="733" spans="1:9" ht="14.25" customHeight="1" x14ac:dyDescent="0.35">
      <c r="A733" s="20"/>
      <c r="B733" s="20"/>
      <c r="C733" s="20"/>
      <c r="D733" s="20"/>
      <c r="E733" s="20"/>
      <c r="F733" s="20"/>
      <c r="G733" s="20"/>
      <c r="H733" s="20"/>
      <c r="I733" s="20"/>
    </row>
    <row r="734" spans="1:9" ht="14.25" customHeight="1" x14ac:dyDescent="0.35">
      <c r="A734" s="20"/>
      <c r="B734" s="20"/>
      <c r="C734" s="20"/>
      <c r="D734" s="20"/>
      <c r="E734" s="20"/>
      <c r="F734" s="20"/>
      <c r="G734" s="20"/>
      <c r="H734" s="20"/>
      <c r="I734" s="20"/>
    </row>
    <row r="735" spans="1:9" ht="14.25" customHeight="1" x14ac:dyDescent="0.35">
      <c r="A735" s="20"/>
      <c r="B735" s="20"/>
      <c r="C735" s="20"/>
      <c r="D735" s="20"/>
      <c r="E735" s="20"/>
      <c r="F735" s="20"/>
      <c r="G735" s="20"/>
      <c r="H735" s="20"/>
      <c r="I735" s="20"/>
    </row>
    <row r="736" spans="1:9" ht="14.25" customHeight="1" x14ac:dyDescent="0.35">
      <c r="A736" s="20"/>
      <c r="B736" s="20"/>
      <c r="C736" s="20"/>
      <c r="D736" s="20"/>
      <c r="E736" s="20"/>
      <c r="F736" s="20"/>
      <c r="G736" s="20"/>
      <c r="H736" s="20"/>
      <c r="I736" s="20"/>
    </row>
    <row r="737" spans="1:9" ht="14.25" customHeight="1" x14ac:dyDescent="0.35">
      <c r="A737" s="20"/>
      <c r="B737" s="20"/>
      <c r="C737" s="20"/>
      <c r="D737" s="20"/>
      <c r="E737" s="20"/>
      <c r="F737" s="20"/>
      <c r="G737" s="20"/>
      <c r="H737" s="20"/>
      <c r="I737" s="20"/>
    </row>
    <row r="738" spans="1:9" ht="14.25" customHeight="1" x14ac:dyDescent="0.35">
      <c r="A738" s="20"/>
      <c r="B738" s="20"/>
      <c r="C738" s="20"/>
      <c r="D738" s="20"/>
      <c r="E738" s="20"/>
      <c r="F738" s="20"/>
      <c r="G738" s="20"/>
      <c r="H738" s="20"/>
      <c r="I738" s="20"/>
    </row>
    <row r="739" spans="1:9" ht="14.25" customHeight="1" x14ac:dyDescent="0.35">
      <c r="A739" s="20"/>
      <c r="B739" s="20"/>
      <c r="C739" s="20"/>
      <c r="D739" s="20"/>
      <c r="E739" s="20"/>
      <c r="F739" s="20"/>
      <c r="G739" s="20"/>
      <c r="H739" s="20"/>
      <c r="I739" s="20"/>
    </row>
    <row r="740" spans="1:9" ht="14.25" customHeight="1" x14ac:dyDescent="0.35">
      <c r="A740" s="20"/>
      <c r="B740" s="20"/>
      <c r="C740" s="20"/>
      <c r="D740" s="20"/>
      <c r="E740" s="20"/>
      <c r="F740" s="20"/>
      <c r="G740" s="20"/>
      <c r="H740" s="20"/>
      <c r="I740" s="20"/>
    </row>
    <row r="741" spans="1:9" ht="14.25" customHeight="1" x14ac:dyDescent="0.35">
      <c r="A741" s="20"/>
      <c r="B741" s="20"/>
      <c r="C741" s="20"/>
      <c r="D741" s="20"/>
      <c r="E741" s="20"/>
      <c r="F741" s="20"/>
      <c r="G741" s="20"/>
      <c r="H741" s="20"/>
      <c r="I741" s="20"/>
    </row>
    <row r="742" spans="1:9" ht="14.25" customHeight="1" x14ac:dyDescent="0.35">
      <c r="A742" s="20"/>
      <c r="B742" s="20"/>
      <c r="C742" s="20"/>
      <c r="D742" s="20"/>
      <c r="E742" s="20"/>
      <c r="F742" s="20"/>
      <c r="G742" s="20"/>
      <c r="H742" s="20"/>
      <c r="I742" s="20"/>
    </row>
    <row r="743" spans="1:9" ht="14.25" customHeight="1" x14ac:dyDescent="0.35">
      <c r="A743" s="20"/>
      <c r="B743" s="20"/>
      <c r="C743" s="20"/>
      <c r="D743" s="20"/>
      <c r="E743" s="20"/>
      <c r="F743" s="20"/>
      <c r="G743" s="20"/>
      <c r="H743" s="20"/>
      <c r="I743" s="20"/>
    </row>
    <row r="744" spans="1:9" ht="14.25" customHeight="1" x14ac:dyDescent="0.35">
      <c r="A744" s="20"/>
      <c r="B744" s="20"/>
      <c r="C744" s="20"/>
      <c r="D744" s="20"/>
      <c r="E744" s="20"/>
      <c r="F744" s="20"/>
      <c r="G744" s="20"/>
      <c r="H744" s="20"/>
      <c r="I744" s="20"/>
    </row>
    <row r="745" spans="1:9" ht="14.25" customHeight="1" x14ac:dyDescent="0.35">
      <c r="A745" s="20"/>
      <c r="B745" s="20"/>
      <c r="C745" s="20"/>
      <c r="D745" s="20"/>
      <c r="E745" s="20"/>
      <c r="F745" s="20"/>
      <c r="G745" s="20"/>
      <c r="H745" s="20"/>
      <c r="I745" s="20"/>
    </row>
    <row r="746" spans="1:9" ht="14.25" customHeight="1" x14ac:dyDescent="0.35">
      <c r="A746" s="20"/>
      <c r="B746" s="20"/>
      <c r="C746" s="20"/>
      <c r="D746" s="20"/>
      <c r="E746" s="20"/>
      <c r="F746" s="20"/>
      <c r="G746" s="20"/>
      <c r="H746" s="20"/>
      <c r="I746" s="20"/>
    </row>
    <row r="747" spans="1:9" ht="14.25" customHeight="1" x14ac:dyDescent="0.35">
      <c r="A747" s="20"/>
      <c r="B747" s="20"/>
      <c r="C747" s="20"/>
      <c r="D747" s="20"/>
      <c r="E747" s="20"/>
      <c r="F747" s="20"/>
      <c r="G747" s="20"/>
      <c r="H747" s="20"/>
      <c r="I747" s="20"/>
    </row>
    <row r="748" spans="1:9" ht="14.25" customHeight="1" x14ac:dyDescent="0.35">
      <c r="A748" s="20"/>
      <c r="B748" s="20"/>
      <c r="C748" s="20"/>
      <c r="D748" s="20"/>
      <c r="E748" s="20"/>
      <c r="F748" s="20"/>
      <c r="G748" s="20"/>
      <c r="H748" s="20"/>
      <c r="I748" s="20"/>
    </row>
    <row r="749" spans="1:9" ht="14.25" customHeight="1" x14ac:dyDescent="0.35">
      <c r="A749" s="20"/>
      <c r="B749" s="20"/>
      <c r="C749" s="20"/>
      <c r="D749" s="20"/>
      <c r="E749" s="20"/>
      <c r="F749" s="20"/>
      <c r="G749" s="20"/>
      <c r="H749" s="20"/>
      <c r="I749" s="20"/>
    </row>
    <row r="750" spans="1:9" ht="14.25" customHeight="1" x14ac:dyDescent="0.35">
      <c r="A750" s="20"/>
      <c r="B750" s="20"/>
      <c r="C750" s="20"/>
      <c r="D750" s="20"/>
      <c r="E750" s="20"/>
      <c r="F750" s="20"/>
      <c r="G750" s="20"/>
      <c r="H750" s="20"/>
      <c r="I750" s="20"/>
    </row>
    <row r="751" spans="1:9" ht="14.25" customHeight="1" x14ac:dyDescent="0.35">
      <c r="A751" s="20"/>
      <c r="B751" s="20"/>
      <c r="C751" s="20"/>
      <c r="D751" s="20"/>
      <c r="E751" s="20"/>
      <c r="F751" s="20"/>
      <c r="G751" s="20"/>
      <c r="H751" s="20"/>
      <c r="I751" s="20"/>
    </row>
    <row r="752" spans="1:9" ht="14.25" customHeight="1" x14ac:dyDescent="0.35">
      <c r="A752" s="20"/>
      <c r="B752" s="20"/>
      <c r="C752" s="20"/>
      <c r="D752" s="20"/>
      <c r="E752" s="20"/>
      <c r="F752" s="20"/>
      <c r="G752" s="20"/>
      <c r="H752" s="20"/>
      <c r="I752" s="20"/>
    </row>
    <row r="753" spans="1:9" ht="14.25" customHeight="1" x14ac:dyDescent="0.35">
      <c r="A753" s="20"/>
      <c r="B753" s="20"/>
      <c r="C753" s="20"/>
      <c r="D753" s="20"/>
      <c r="E753" s="20"/>
      <c r="F753" s="20"/>
      <c r="G753" s="20"/>
      <c r="H753" s="20"/>
      <c r="I753" s="20"/>
    </row>
    <row r="754" spans="1:9" ht="14.25" customHeight="1" x14ac:dyDescent="0.35">
      <c r="A754" s="20"/>
      <c r="B754" s="20"/>
      <c r="C754" s="20"/>
      <c r="D754" s="20"/>
      <c r="E754" s="20"/>
      <c r="F754" s="20"/>
      <c r="G754" s="20"/>
      <c r="H754" s="20"/>
      <c r="I754" s="20"/>
    </row>
    <row r="755" spans="1:9" ht="14.25" customHeight="1" x14ac:dyDescent="0.35">
      <c r="A755" s="20"/>
      <c r="B755" s="20"/>
      <c r="C755" s="20"/>
      <c r="D755" s="20"/>
      <c r="E755" s="20"/>
      <c r="F755" s="20"/>
      <c r="G755" s="20"/>
      <c r="H755" s="20"/>
      <c r="I755" s="20"/>
    </row>
    <row r="756" spans="1:9" ht="14.25" customHeight="1" x14ac:dyDescent="0.35">
      <c r="A756" s="20"/>
      <c r="B756" s="20"/>
      <c r="C756" s="20"/>
      <c r="D756" s="20"/>
      <c r="E756" s="20"/>
      <c r="F756" s="20"/>
      <c r="G756" s="20"/>
      <c r="H756" s="20"/>
      <c r="I756" s="20"/>
    </row>
    <row r="757" spans="1:9" ht="14.25" customHeight="1" x14ac:dyDescent="0.35">
      <c r="A757" s="20"/>
      <c r="B757" s="20"/>
      <c r="C757" s="20"/>
      <c r="D757" s="20"/>
      <c r="E757" s="20"/>
      <c r="F757" s="20"/>
      <c r="G757" s="20"/>
      <c r="H757" s="20"/>
      <c r="I757" s="20"/>
    </row>
    <row r="758" spans="1:9" ht="14.25" customHeight="1" x14ac:dyDescent="0.35">
      <c r="A758" s="20"/>
      <c r="B758" s="20"/>
      <c r="C758" s="20"/>
      <c r="D758" s="20"/>
      <c r="E758" s="20"/>
      <c r="F758" s="20"/>
      <c r="G758" s="20"/>
      <c r="H758" s="20"/>
      <c r="I758" s="20"/>
    </row>
    <row r="759" spans="1:9" ht="14.25" customHeight="1" x14ac:dyDescent="0.35">
      <c r="A759" s="20"/>
      <c r="B759" s="20"/>
      <c r="C759" s="20"/>
      <c r="D759" s="20"/>
      <c r="E759" s="20"/>
      <c r="F759" s="20"/>
      <c r="G759" s="20"/>
      <c r="H759" s="20"/>
      <c r="I759" s="20"/>
    </row>
    <row r="760" spans="1:9" ht="14.25" customHeight="1" x14ac:dyDescent="0.35">
      <c r="A760" s="20"/>
      <c r="B760" s="20"/>
      <c r="C760" s="20"/>
      <c r="D760" s="20"/>
      <c r="E760" s="20"/>
      <c r="F760" s="20"/>
      <c r="G760" s="20"/>
      <c r="H760" s="20"/>
      <c r="I760" s="20"/>
    </row>
    <row r="761" spans="1:9" ht="14.25" customHeight="1" x14ac:dyDescent="0.35">
      <c r="A761" s="20"/>
      <c r="B761" s="20"/>
      <c r="C761" s="20"/>
      <c r="D761" s="20"/>
      <c r="E761" s="20"/>
      <c r="F761" s="20"/>
      <c r="G761" s="20"/>
      <c r="H761" s="20"/>
      <c r="I761" s="20"/>
    </row>
    <row r="762" spans="1:9" ht="14.25" customHeight="1" x14ac:dyDescent="0.35">
      <c r="A762" s="20"/>
      <c r="B762" s="20"/>
      <c r="C762" s="20"/>
      <c r="D762" s="20"/>
      <c r="E762" s="20"/>
      <c r="F762" s="20"/>
      <c r="G762" s="20"/>
      <c r="H762" s="20"/>
      <c r="I762" s="20"/>
    </row>
    <row r="763" spans="1:9" ht="14.25" customHeight="1" x14ac:dyDescent="0.35">
      <c r="A763" s="20"/>
      <c r="B763" s="20"/>
      <c r="C763" s="20"/>
      <c r="D763" s="20"/>
      <c r="E763" s="20"/>
      <c r="F763" s="20"/>
      <c r="G763" s="20"/>
      <c r="H763" s="20"/>
      <c r="I763" s="20"/>
    </row>
    <row r="764" spans="1:9" ht="14.25" customHeight="1" x14ac:dyDescent="0.35">
      <c r="A764" s="20"/>
      <c r="B764" s="20"/>
      <c r="C764" s="20"/>
      <c r="D764" s="20"/>
      <c r="E764" s="20"/>
      <c r="F764" s="20"/>
      <c r="G764" s="20"/>
      <c r="H764" s="20"/>
      <c r="I764" s="20"/>
    </row>
    <row r="765" spans="1:9" ht="14.25" customHeight="1" x14ac:dyDescent="0.35">
      <c r="A765" s="20"/>
      <c r="B765" s="20"/>
      <c r="C765" s="20"/>
      <c r="D765" s="20"/>
      <c r="E765" s="20"/>
      <c r="F765" s="20"/>
      <c r="G765" s="20"/>
      <c r="H765" s="20"/>
      <c r="I765" s="20"/>
    </row>
    <row r="766" spans="1:9" ht="14.25" customHeight="1" x14ac:dyDescent="0.35">
      <c r="A766" s="20"/>
      <c r="B766" s="20"/>
      <c r="C766" s="20"/>
      <c r="D766" s="20"/>
      <c r="E766" s="20"/>
      <c r="F766" s="20"/>
      <c r="G766" s="20"/>
      <c r="H766" s="20"/>
      <c r="I766" s="20"/>
    </row>
    <row r="767" spans="1:9" ht="14.25" customHeight="1" x14ac:dyDescent="0.35">
      <c r="A767" s="20"/>
      <c r="B767" s="20"/>
      <c r="C767" s="20"/>
      <c r="D767" s="20"/>
      <c r="E767" s="20"/>
      <c r="F767" s="20"/>
      <c r="G767" s="20"/>
      <c r="H767" s="20"/>
      <c r="I767" s="20"/>
    </row>
    <row r="768" spans="1:9" ht="14.25" customHeight="1" x14ac:dyDescent="0.35">
      <c r="A768" s="20"/>
      <c r="B768" s="20"/>
      <c r="C768" s="20"/>
      <c r="D768" s="20"/>
      <c r="E768" s="20"/>
      <c r="F768" s="20"/>
      <c r="G768" s="20"/>
      <c r="H768" s="20"/>
      <c r="I768" s="20"/>
    </row>
    <row r="769" spans="1:9" ht="14.25" customHeight="1" x14ac:dyDescent="0.35">
      <c r="A769" s="20"/>
      <c r="B769" s="20"/>
      <c r="C769" s="20"/>
      <c r="D769" s="20"/>
      <c r="E769" s="20"/>
      <c r="F769" s="20"/>
      <c r="G769" s="20"/>
      <c r="H769" s="20"/>
      <c r="I769" s="20"/>
    </row>
    <row r="770" spans="1:9" ht="14.25" customHeight="1" x14ac:dyDescent="0.35">
      <c r="A770" s="20"/>
      <c r="B770" s="20"/>
      <c r="C770" s="20"/>
      <c r="D770" s="20"/>
      <c r="E770" s="20"/>
      <c r="F770" s="20"/>
      <c r="G770" s="20"/>
      <c r="H770" s="20"/>
      <c r="I770" s="20"/>
    </row>
    <row r="771" spans="1:9" ht="14.25" customHeight="1" x14ac:dyDescent="0.35">
      <c r="A771" s="20"/>
      <c r="B771" s="20"/>
      <c r="C771" s="20"/>
      <c r="D771" s="20"/>
      <c r="E771" s="20"/>
      <c r="F771" s="20"/>
      <c r="G771" s="20"/>
      <c r="H771" s="20"/>
      <c r="I771" s="20"/>
    </row>
    <row r="772" spans="1:9" ht="14.25" customHeight="1" x14ac:dyDescent="0.35">
      <c r="A772" s="20"/>
      <c r="B772" s="20"/>
      <c r="C772" s="20"/>
      <c r="D772" s="20"/>
      <c r="E772" s="20"/>
      <c r="F772" s="20"/>
      <c r="G772" s="20"/>
      <c r="H772" s="20"/>
      <c r="I772" s="20"/>
    </row>
    <row r="773" spans="1:9" ht="14.25" customHeight="1" x14ac:dyDescent="0.35">
      <c r="A773" s="20"/>
      <c r="B773" s="20"/>
      <c r="C773" s="20"/>
      <c r="D773" s="20"/>
      <c r="E773" s="20"/>
      <c r="F773" s="20"/>
      <c r="G773" s="20"/>
      <c r="H773" s="20"/>
      <c r="I773" s="20"/>
    </row>
    <row r="774" spans="1:9" ht="14.25" customHeight="1" x14ac:dyDescent="0.35">
      <c r="A774" s="20"/>
      <c r="B774" s="20"/>
      <c r="C774" s="20"/>
      <c r="D774" s="20"/>
      <c r="E774" s="20"/>
      <c r="F774" s="20"/>
      <c r="G774" s="20"/>
      <c r="H774" s="20"/>
      <c r="I774" s="20"/>
    </row>
    <row r="775" spans="1:9" ht="14.25" customHeight="1" x14ac:dyDescent="0.35">
      <c r="A775" s="20"/>
      <c r="B775" s="20"/>
      <c r="C775" s="20"/>
      <c r="D775" s="20"/>
      <c r="E775" s="20"/>
      <c r="F775" s="20"/>
      <c r="G775" s="20"/>
      <c r="H775" s="20"/>
      <c r="I775" s="20"/>
    </row>
    <row r="776" spans="1:9" ht="14.25" customHeight="1" x14ac:dyDescent="0.35">
      <c r="A776" s="20"/>
      <c r="B776" s="20"/>
      <c r="C776" s="20"/>
      <c r="D776" s="20"/>
      <c r="E776" s="20"/>
      <c r="F776" s="20"/>
      <c r="G776" s="20"/>
      <c r="H776" s="20"/>
      <c r="I776" s="20"/>
    </row>
    <row r="777" spans="1:9" ht="14.25" customHeight="1" x14ac:dyDescent="0.35">
      <c r="A777" s="20"/>
      <c r="B777" s="20"/>
      <c r="C777" s="20"/>
      <c r="D777" s="20"/>
      <c r="E777" s="20"/>
      <c r="F777" s="20"/>
      <c r="G777" s="20"/>
      <c r="H777" s="20"/>
      <c r="I777" s="20"/>
    </row>
    <row r="778" spans="1:9" ht="14.25" customHeight="1" x14ac:dyDescent="0.35">
      <c r="A778" s="20"/>
      <c r="B778" s="20"/>
      <c r="C778" s="20"/>
      <c r="D778" s="20"/>
      <c r="E778" s="20"/>
      <c r="F778" s="20"/>
      <c r="G778" s="20"/>
      <c r="H778" s="20"/>
      <c r="I778" s="20"/>
    </row>
    <row r="779" spans="1:9" ht="14.25" customHeight="1" x14ac:dyDescent="0.35">
      <c r="A779" s="20"/>
      <c r="B779" s="20"/>
      <c r="C779" s="20"/>
      <c r="D779" s="20"/>
      <c r="E779" s="20"/>
      <c r="F779" s="20"/>
      <c r="G779" s="20"/>
      <c r="H779" s="20"/>
      <c r="I779" s="20"/>
    </row>
    <row r="780" spans="1:9" ht="14.25" customHeight="1" x14ac:dyDescent="0.35">
      <c r="A780" s="20"/>
      <c r="B780" s="20"/>
      <c r="C780" s="20"/>
      <c r="D780" s="20"/>
      <c r="E780" s="20"/>
      <c r="F780" s="20"/>
      <c r="G780" s="20"/>
      <c r="H780" s="20"/>
      <c r="I780" s="20"/>
    </row>
    <row r="781" spans="1:9" ht="14.25" customHeight="1" x14ac:dyDescent="0.35">
      <c r="A781" s="20"/>
      <c r="B781" s="20"/>
      <c r="C781" s="20"/>
      <c r="D781" s="20"/>
      <c r="E781" s="20"/>
      <c r="F781" s="20"/>
      <c r="G781" s="20"/>
      <c r="H781" s="20"/>
      <c r="I781" s="20"/>
    </row>
    <row r="782" spans="1:9" ht="14.25" customHeight="1" x14ac:dyDescent="0.35">
      <c r="A782" s="20"/>
      <c r="B782" s="20"/>
      <c r="C782" s="20"/>
      <c r="D782" s="20"/>
      <c r="E782" s="20"/>
      <c r="F782" s="20"/>
      <c r="G782" s="20"/>
      <c r="H782" s="20"/>
      <c r="I782" s="20"/>
    </row>
    <row r="783" spans="1:9" ht="14.25" customHeight="1" x14ac:dyDescent="0.35">
      <c r="A783" s="20"/>
      <c r="B783" s="20"/>
      <c r="C783" s="20"/>
      <c r="D783" s="20"/>
      <c r="E783" s="20"/>
      <c r="F783" s="20"/>
      <c r="G783" s="20"/>
      <c r="H783" s="20"/>
      <c r="I783" s="20"/>
    </row>
    <row r="784" spans="1:9" ht="14.25" customHeight="1" x14ac:dyDescent="0.35">
      <c r="A784" s="20"/>
      <c r="B784" s="20"/>
      <c r="C784" s="20"/>
      <c r="D784" s="20"/>
      <c r="E784" s="20"/>
      <c r="F784" s="20"/>
      <c r="G784" s="20"/>
      <c r="H784" s="20"/>
      <c r="I784" s="20"/>
    </row>
    <row r="785" spans="1:9" ht="14.25" customHeight="1" x14ac:dyDescent="0.35">
      <c r="A785" s="20"/>
      <c r="B785" s="20"/>
      <c r="C785" s="20"/>
      <c r="D785" s="20"/>
      <c r="E785" s="20"/>
      <c r="F785" s="20"/>
      <c r="G785" s="20"/>
      <c r="H785" s="20"/>
      <c r="I785" s="20"/>
    </row>
    <row r="786" spans="1:9" ht="14.25" customHeight="1" x14ac:dyDescent="0.35">
      <c r="A786" s="20"/>
      <c r="B786" s="20"/>
      <c r="C786" s="20"/>
      <c r="D786" s="20"/>
      <c r="E786" s="20"/>
      <c r="F786" s="20"/>
      <c r="G786" s="20"/>
      <c r="H786" s="20"/>
      <c r="I786" s="20"/>
    </row>
    <row r="787" spans="1:9" ht="14.25" customHeight="1" x14ac:dyDescent="0.35">
      <c r="A787" s="20"/>
      <c r="B787" s="20"/>
      <c r="C787" s="20"/>
      <c r="D787" s="20"/>
      <c r="E787" s="20"/>
      <c r="F787" s="20"/>
      <c r="G787" s="20"/>
      <c r="H787" s="20"/>
      <c r="I787" s="20"/>
    </row>
    <row r="788" spans="1:9" ht="14.25" customHeight="1" x14ac:dyDescent="0.35">
      <c r="A788" s="20"/>
      <c r="B788" s="20"/>
      <c r="C788" s="20"/>
      <c r="D788" s="20"/>
      <c r="E788" s="20"/>
      <c r="F788" s="20"/>
      <c r="G788" s="20"/>
      <c r="H788" s="20"/>
      <c r="I788" s="20"/>
    </row>
    <row r="789" spans="1:9" ht="14.25" customHeight="1" x14ac:dyDescent="0.35">
      <c r="A789" s="20"/>
      <c r="B789" s="20"/>
      <c r="C789" s="20"/>
      <c r="D789" s="20"/>
      <c r="E789" s="20"/>
      <c r="F789" s="20"/>
      <c r="G789" s="20"/>
      <c r="H789" s="20"/>
      <c r="I789" s="20"/>
    </row>
    <row r="790" spans="1:9" ht="14.25" customHeight="1" x14ac:dyDescent="0.35">
      <c r="A790" s="20"/>
      <c r="B790" s="20"/>
      <c r="C790" s="20"/>
      <c r="D790" s="20"/>
      <c r="E790" s="20"/>
      <c r="F790" s="20"/>
      <c r="G790" s="20"/>
      <c r="H790" s="20"/>
      <c r="I790" s="20"/>
    </row>
    <row r="791" spans="1:9" ht="14.25" customHeight="1" x14ac:dyDescent="0.35">
      <c r="A791" s="20"/>
      <c r="B791" s="20"/>
      <c r="C791" s="20"/>
      <c r="D791" s="20"/>
      <c r="E791" s="20"/>
      <c r="F791" s="20"/>
      <c r="G791" s="20"/>
      <c r="H791" s="20"/>
      <c r="I791" s="20"/>
    </row>
    <row r="792" spans="1:9" ht="14.25" customHeight="1" x14ac:dyDescent="0.35">
      <c r="A792" s="20"/>
      <c r="B792" s="20"/>
      <c r="C792" s="20"/>
      <c r="D792" s="20"/>
      <c r="E792" s="20"/>
      <c r="F792" s="20"/>
      <c r="G792" s="20"/>
      <c r="H792" s="20"/>
      <c r="I792" s="20"/>
    </row>
    <row r="793" spans="1:9" ht="14.25" customHeight="1" x14ac:dyDescent="0.35">
      <c r="A793" s="20"/>
      <c r="B793" s="20"/>
      <c r="C793" s="20"/>
      <c r="D793" s="20"/>
      <c r="E793" s="20"/>
      <c r="F793" s="20"/>
      <c r="G793" s="20"/>
      <c r="H793" s="20"/>
      <c r="I793" s="20"/>
    </row>
    <row r="794" spans="1:9" ht="14.25" customHeight="1" x14ac:dyDescent="0.35">
      <c r="A794" s="20"/>
      <c r="B794" s="20"/>
      <c r="C794" s="20"/>
      <c r="D794" s="20"/>
      <c r="E794" s="20"/>
      <c r="F794" s="20"/>
      <c r="G794" s="20"/>
      <c r="H794" s="20"/>
      <c r="I794" s="20"/>
    </row>
    <row r="795" spans="1:9" ht="14.25" customHeight="1" x14ac:dyDescent="0.35">
      <c r="A795" s="20"/>
      <c r="B795" s="20"/>
      <c r="C795" s="20"/>
      <c r="D795" s="20"/>
      <c r="E795" s="20"/>
      <c r="F795" s="20"/>
      <c r="G795" s="20"/>
      <c r="H795" s="20"/>
      <c r="I795" s="20"/>
    </row>
    <row r="796" spans="1:9" ht="14.25" customHeight="1" x14ac:dyDescent="0.35">
      <c r="A796" s="20"/>
      <c r="B796" s="20"/>
      <c r="C796" s="20"/>
      <c r="D796" s="20"/>
      <c r="E796" s="20"/>
      <c r="F796" s="20"/>
      <c r="G796" s="20"/>
      <c r="H796" s="20"/>
      <c r="I796" s="20"/>
    </row>
    <row r="797" spans="1:9" ht="14.25" customHeight="1" x14ac:dyDescent="0.35">
      <c r="A797" s="20"/>
      <c r="B797" s="20"/>
      <c r="C797" s="20"/>
      <c r="D797" s="20"/>
      <c r="E797" s="20"/>
      <c r="F797" s="20"/>
      <c r="G797" s="20"/>
      <c r="H797" s="20"/>
      <c r="I797" s="20"/>
    </row>
    <row r="798" spans="1:9" ht="14.25" customHeight="1" x14ac:dyDescent="0.35">
      <c r="A798" s="20"/>
      <c r="B798" s="20"/>
      <c r="C798" s="20"/>
      <c r="D798" s="20"/>
      <c r="E798" s="20"/>
      <c r="F798" s="20"/>
      <c r="G798" s="20"/>
      <c r="H798" s="20"/>
      <c r="I798" s="20"/>
    </row>
    <row r="799" spans="1:9" ht="14.25" customHeight="1" x14ac:dyDescent="0.35">
      <c r="A799" s="20"/>
      <c r="B799" s="20"/>
      <c r="C799" s="20"/>
      <c r="D799" s="20"/>
      <c r="E799" s="20"/>
      <c r="F799" s="20"/>
      <c r="G799" s="20"/>
      <c r="H799" s="20"/>
      <c r="I799" s="20"/>
    </row>
    <row r="800" spans="1:9" ht="14.25" customHeight="1" x14ac:dyDescent="0.35">
      <c r="A800" s="20"/>
      <c r="B800" s="20"/>
      <c r="C800" s="20"/>
      <c r="D800" s="20"/>
      <c r="E800" s="20"/>
      <c r="F800" s="20"/>
      <c r="G800" s="20"/>
      <c r="H800" s="20"/>
      <c r="I800" s="20"/>
    </row>
    <row r="801" spans="1:9" ht="14.25" customHeight="1" x14ac:dyDescent="0.35">
      <c r="A801" s="20"/>
      <c r="B801" s="20"/>
      <c r="C801" s="20"/>
      <c r="D801" s="20"/>
      <c r="E801" s="20"/>
      <c r="F801" s="20"/>
      <c r="G801" s="20"/>
      <c r="H801" s="20"/>
      <c r="I801" s="20"/>
    </row>
    <row r="802" spans="1:9" ht="14.25" customHeight="1" x14ac:dyDescent="0.35">
      <c r="A802" s="20"/>
      <c r="B802" s="20"/>
      <c r="C802" s="20"/>
      <c r="D802" s="20"/>
      <c r="E802" s="20"/>
      <c r="F802" s="20"/>
      <c r="G802" s="20"/>
      <c r="H802" s="20"/>
      <c r="I802" s="20"/>
    </row>
    <row r="803" spans="1:9" ht="14.25" customHeight="1" x14ac:dyDescent="0.35">
      <c r="A803" s="20"/>
      <c r="B803" s="20"/>
      <c r="C803" s="20"/>
      <c r="D803" s="20"/>
      <c r="E803" s="20"/>
      <c r="F803" s="20"/>
      <c r="G803" s="20"/>
      <c r="H803" s="20"/>
      <c r="I803" s="20"/>
    </row>
    <row r="804" spans="1:9" ht="14.25" customHeight="1" x14ac:dyDescent="0.35">
      <c r="A804" s="20"/>
      <c r="B804" s="20"/>
      <c r="C804" s="20"/>
      <c r="D804" s="20"/>
      <c r="E804" s="20"/>
      <c r="F804" s="20"/>
      <c r="G804" s="20"/>
      <c r="H804" s="20"/>
      <c r="I804" s="20"/>
    </row>
    <row r="805" spans="1:9" ht="14.25" customHeight="1" x14ac:dyDescent="0.35">
      <c r="A805" s="20"/>
      <c r="B805" s="20"/>
      <c r="C805" s="20"/>
      <c r="D805" s="20"/>
      <c r="E805" s="20"/>
      <c r="F805" s="20"/>
      <c r="G805" s="20"/>
      <c r="H805" s="20"/>
      <c r="I805" s="20"/>
    </row>
    <row r="806" spans="1:9" ht="14.25" customHeight="1" x14ac:dyDescent="0.35">
      <c r="A806" s="20"/>
      <c r="B806" s="20"/>
      <c r="C806" s="20"/>
      <c r="D806" s="20"/>
      <c r="E806" s="20"/>
      <c r="F806" s="20"/>
      <c r="G806" s="20"/>
      <c r="H806" s="20"/>
      <c r="I806" s="20"/>
    </row>
    <row r="807" spans="1:9" ht="14.25" customHeight="1" x14ac:dyDescent="0.35">
      <c r="A807" s="20"/>
      <c r="B807" s="20"/>
      <c r="C807" s="20"/>
      <c r="D807" s="20"/>
      <c r="E807" s="20"/>
      <c r="F807" s="20"/>
      <c r="G807" s="20"/>
      <c r="H807" s="20"/>
      <c r="I807" s="20"/>
    </row>
    <row r="808" spans="1:9" ht="14.25" customHeight="1" x14ac:dyDescent="0.35">
      <c r="A808" s="20"/>
      <c r="B808" s="20"/>
      <c r="C808" s="20"/>
      <c r="D808" s="20"/>
      <c r="E808" s="20"/>
      <c r="F808" s="20"/>
      <c r="G808" s="20"/>
      <c r="H808" s="20"/>
      <c r="I808" s="20"/>
    </row>
    <row r="809" spans="1:9" ht="14.25" customHeight="1" x14ac:dyDescent="0.35">
      <c r="A809" s="20"/>
      <c r="B809" s="20"/>
      <c r="C809" s="20"/>
      <c r="D809" s="20"/>
      <c r="E809" s="20"/>
      <c r="F809" s="20"/>
      <c r="G809" s="20"/>
      <c r="H809" s="20"/>
      <c r="I809" s="20"/>
    </row>
    <row r="810" spans="1:9" ht="14.25" customHeight="1" x14ac:dyDescent="0.35">
      <c r="A810" s="20"/>
      <c r="B810" s="20"/>
      <c r="C810" s="20"/>
      <c r="D810" s="20"/>
      <c r="E810" s="20"/>
      <c r="F810" s="20"/>
      <c r="G810" s="20"/>
      <c r="H810" s="20"/>
      <c r="I810" s="20"/>
    </row>
    <row r="811" spans="1:9" ht="14.25" customHeight="1" x14ac:dyDescent="0.35">
      <c r="A811" s="20"/>
      <c r="B811" s="20"/>
      <c r="C811" s="20"/>
      <c r="D811" s="20"/>
      <c r="E811" s="20"/>
      <c r="F811" s="20"/>
      <c r="G811" s="20"/>
      <c r="H811" s="20"/>
      <c r="I811" s="20"/>
    </row>
    <row r="812" spans="1:9" ht="14.25" customHeight="1" x14ac:dyDescent="0.35">
      <c r="A812" s="20"/>
      <c r="B812" s="20"/>
      <c r="C812" s="20"/>
      <c r="D812" s="20"/>
      <c r="E812" s="20"/>
      <c r="F812" s="20"/>
      <c r="G812" s="20"/>
      <c r="H812" s="20"/>
      <c r="I812" s="20"/>
    </row>
    <row r="813" spans="1:9" ht="14.25" customHeight="1" x14ac:dyDescent="0.35">
      <c r="A813" s="20"/>
      <c r="B813" s="20"/>
      <c r="C813" s="20"/>
      <c r="D813" s="20"/>
      <c r="E813" s="20"/>
      <c r="F813" s="20"/>
      <c r="G813" s="20"/>
      <c r="H813" s="20"/>
      <c r="I813" s="20"/>
    </row>
    <row r="814" spans="1:9" ht="14.25" customHeight="1" x14ac:dyDescent="0.35">
      <c r="A814" s="20"/>
      <c r="B814" s="20"/>
      <c r="C814" s="20"/>
      <c r="D814" s="20"/>
      <c r="E814" s="20"/>
      <c r="F814" s="20"/>
      <c r="G814" s="20"/>
      <c r="H814" s="20"/>
      <c r="I814" s="20"/>
    </row>
    <row r="815" spans="1:9" ht="14.25" customHeight="1" x14ac:dyDescent="0.35">
      <c r="A815" s="20"/>
      <c r="B815" s="20"/>
      <c r="C815" s="20"/>
      <c r="D815" s="20"/>
      <c r="E815" s="20"/>
      <c r="F815" s="20"/>
      <c r="G815" s="20"/>
      <c r="H815" s="20"/>
      <c r="I815" s="20"/>
    </row>
    <row r="816" spans="1:9" ht="14.25" customHeight="1" x14ac:dyDescent="0.35">
      <c r="A816" s="20"/>
      <c r="B816" s="20"/>
      <c r="C816" s="20"/>
      <c r="D816" s="20"/>
      <c r="E816" s="20"/>
      <c r="F816" s="20"/>
      <c r="G816" s="20"/>
      <c r="H816" s="20"/>
      <c r="I816" s="20"/>
    </row>
    <row r="817" spans="1:9" ht="14.25" customHeight="1" x14ac:dyDescent="0.35">
      <c r="A817" s="20"/>
      <c r="B817" s="20"/>
      <c r="C817" s="20"/>
      <c r="D817" s="20"/>
      <c r="E817" s="20"/>
      <c r="F817" s="20"/>
      <c r="G817" s="20"/>
      <c r="H817" s="20"/>
      <c r="I817" s="20"/>
    </row>
    <row r="818" spans="1:9" ht="14.25" customHeight="1" x14ac:dyDescent="0.35">
      <c r="A818" s="20"/>
      <c r="B818" s="20"/>
      <c r="C818" s="20"/>
      <c r="D818" s="20"/>
      <c r="E818" s="20"/>
      <c r="F818" s="20"/>
      <c r="G818" s="20"/>
      <c r="H818" s="20"/>
      <c r="I818" s="20"/>
    </row>
    <row r="819" spans="1:9" ht="14.25" customHeight="1" x14ac:dyDescent="0.35">
      <c r="A819" s="20"/>
      <c r="B819" s="20"/>
      <c r="C819" s="20"/>
      <c r="D819" s="20"/>
      <c r="E819" s="20"/>
      <c r="F819" s="20"/>
      <c r="G819" s="20"/>
      <c r="H819" s="20"/>
      <c r="I819" s="20"/>
    </row>
    <row r="820" spans="1:9" ht="14.25" customHeight="1" x14ac:dyDescent="0.35">
      <c r="A820" s="20"/>
      <c r="B820" s="20"/>
      <c r="C820" s="20"/>
      <c r="D820" s="20"/>
      <c r="E820" s="20"/>
      <c r="F820" s="20"/>
      <c r="G820" s="20"/>
      <c r="H820" s="20"/>
      <c r="I820" s="20"/>
    </row>
    <row r="821" spans="1:9" ht="14.25" customHeight="1" x14ac:dyDescent="0.35">
      <c r="A821" s="20"/>
      <c r="B821" s="20"/>
      <c r="C821" s="20"/>
      <c r="D821" s="20"/>
      <c r="E821" s="20"/>
      <c r="F821" s="20"/>
      <c r="G821" s="20"/>
      <c r="H821" s="20"/>
      <c r="I821" s="20"/>
    </row>
    <row r="822" spans="1:9" ht="14.25" customHeight="1" x14ac:dyDescent="0.35">
      <c r="A822" s="20"/>
      <c r="B822" s="20"/>
      <c r="C822" s="20"/>
      <c r="D822" s="20"/>
      <c r="E822" s="20"/>
      <c r="F822" s="20"/>
      <c r="G822" s="20"/>
      <c r="H822" s="20"/>
      <c r="I822" s="20"/>
    </row>
    <row r="823" spans="1:9" ht="14.25" customHeight="1" x14ac:dyDescent="0.35">
      <c r="A823" s="20"/>
      <c r="B823" s="20"/>
      <c r="C823" s="20"/>
      <c r="D823" s="20"/>
      <c r="E823" s="20"/>
      <c r="F823" s="20"/>
      <c r="G823" s="20"/>
      <c r="H823" s="20"/>
      <c r="I823" s="20"/>
    </row>
    <row r="824" spans="1:9" ht="14.25" customHeight="1" x14ac:dyDescent="0.35">
      <c r="A824" s="20"/>
      <c r="B824" s="20"/>
      <c r="C824" s="20"/>
      <c r="D824" s="20"/>
      <c r="E824" s="20"/>
      <c r="F824" s="20"/>
      <c r="G824" s="20"/>
      <c r="H824" s="20"/>
      <c r="I824" s="20"/>
    </row>
    <row r="825" spans="1:9" ht="14.25" customHeight="1" x14ac:dyDescent="0.35">
      <c r="A825" s="20"/>
      <c r="B825" s="20"/>
      <c r="C825" s="20"/>
      <c r="D825" s="20"/>
      <c r="E825" s="20"/>
      <c r="F825" s="20"/>
      <c r="G825" s="20"/>
      <c r="H825" s="20"/>
      <c r="I825" s="20"/>
    </row>
    <row r="826" spans="1:9" ht="14.25" customHeight="1" x14ac:dyDescent="0.35">
      <c r="A826" s="20"/>
      <c r="B826" s="20"/>
      <c r="C826" s="20"/>
      <c r="D826" s="20"/>
      <c r="E826" s="20"/>
      <c r="F826" s="20"/>
      <c r="G826" s="20"/>
      <c r="H826" s="20"/>
      <c r="I826" s="20"/>
    </row>
    <row r="827" spans="1:9" ht="14.25" customHeight="1" x14ac:dyDescent="0.35">
      <c r="A827" s="20"/>
      <c r="B827" s="20"/>
      <c r="C827" s="20"/>
      <c r="D827" s="20"/>
      <c r="E827" s="20"/>
      <c r="F827" s="20"/>
      <c r="G827" s="20"/>
      <c r="H827" s="20"/>
      <c r="I827" s="20"/>
    </row>
    <row r="828" spans="1:9" ht="14.25" customHeight="1" x14ac:dyDescent="0.35">
      <c r="A828" s="20"/>
      <c r="B828" s="20"/>
      <c r="C828" s="20"/>
      <c r="D828" s="20"/>
      <c r="E828" s="20"/>
      <c r="F828" s="20"/>
      <c r="G828" s="20"/>
      <c r="H828" s="20"/>
      <c r="I828" s="20"/>
    </row>
    <row r="829" spans="1:9" ht="14.25" customHeight="1" x14ac:dyDescent="0.35">
      <c r="A829" s="20"/>
      <c r="B829" s="20"/>
      <c r="C829" s="20"/>
      <c r="D829" s="20"/>
      <c r="E829" s="20"/>
      <c r="F829" s="20"/>
      <c r="G829" s="20"/>
      <c r="H829" s="20"/>
      <c r="I829" s="20"/>
    </row>
    <row r="830" spans="1:9" ht="14.25" customHeight="1" x14ac:dyDescent="0.35">
      <c r="A830" s="20"/>
      <c r="B830" s="20"/>
      <c r="C830" s="20"/>
      <c r="D830" s="20"/>
      <c r="E830" s="20"/>
      <c r="F830" s="20"/>
      <c r="G830" s="20"/>
      <c r="H830" s="20"/>
      <c r="I830" s="20"/>
    </row>
    <row r="831" spans="1:9" ht="14.25" customHeight="1" x14ac:dyDescent="0.35">
      <c r="A831" s="20"/>
      <c r="B831" s="20"/>
      <c r="C831" s="20"/>
      <c r="D831" s="20"/>
      <c r="E831" s="20"/>
      <c r="F831" s="20"/>
      <c r="G831" s="20"/>
      <c r="H831" s="20"/>
      <c r="I831" s="20"/>
    </row>
    <row r="832" spans="1:9" ht="14.25" customHeight="1" x14ac:dyDescent="0.35">
      <c r="A832" s="20"/>
      <c r="B832" s="20"/>
      <c r="C832" s="20"/>
      <c r="D832" s="20"/>
      <c r="E832" s="20"/>
      <c r="F832" s="20"/>
      <c r="G832" s="20"/>
      <c r="H832" s="20"/>
      <c r="I832" s="20"/>
    </row>
    <row r="833" spans="1:9" ht="14.25" customHeight="1" x14ac:dyDescent="0.35">
      <c r="A833" s="20"/>
      <c r="B833" s="20"/>
      <c r="C833" s="20"/>
      <c r="D833" s="20"/>
      <c r="E833" s="20"/>
      <c r="F833" s="20"/>
      <c r="G833" s="20"/>
      <c r="H833" s="20"/>
      <c r="I833" s="20"/>
    </row>
    <row r="834" spans="1:9" ht="14.25" customHeight="1" x14ac:dyDescent="0.35">
      <c r="A834" s="20"/>
      <c r="B834" s="20"/>
      <c r="C834" s="20"/>
      <c r="D834" s="20"/>
      <c r="E834" s="20"/>
      <c r="F834" s="20"/>
      <c r="G834" s="20"/>
      <c r="H834" s="20"/>
      <c r="I834" s="20"/>
    </row>
    <row r="835" spans="1:9" ht="14.25" customHeight="1" x14ac:dyDescent="0.35">
      <c r="A835" s="20"/>
      <c r="B835" s="20"/>
      <c r="C835" s="20"/>
      <c r="D835" s="20"/>
      <c r="E835" s="20"/>
      <c r="F835" s="20"/>
      <c r="G835" s="20"/>
      <c r="H835" s="20"/>
      <c r="I835" s="20"/>
    </row>
    <row r="836" spans="1:9" ht="14.25" customHeight="1" x14ac:dyDescent="0.35">
      <c r="A836" s="20"/>
      <c r="B836" s="20"/>
      <c r="C836" s="20"/>
      <c r="D836" s="20"/>
      <c r="E836" s="20"/>
      <c r="F836" s="20"/>
      <c r="G836" s="20"/>
      <c r="H836" s="20"/>
      <c r="I836" s="20"/>
    </row>
    <row r="837" spans="1:9" ht="14.25" customHeight="1" x14ac:dyDescent="0.35">
      <c r="A837" s="20"/>
      <c r="B837" s="20"/>
      <c r="C837" s="20"/>
      <c r="D837" s="20"/>
      <c r="E837" s="20"/>
      <c r="F837" s="20"/>
      <c r="G837" s="20"/>
      <c r="H837" s="20"/>
      <c r="I837" s="20"/>
    </row>
    <row r="838" spans="1:9" ht="14.25" customHeight="1" x14ac:dyDescent="0.35">
      <c r="A838" s="20"/>
      <c r="B838" s="20"/>
      <c r="C838" s="20"/>
      <c r="D838" s="20"/>
      <c r="E838" s="20"/>
      <c r="F838" s="20"/>
      <c r="G838" s="20"/>
      <c r="H838" s="20"/>
      <c r="I838" s="20"/>
    </row>
    <row r="839" spans="1:9" ht="14.25" customHeight="1" x14ac:dyDescent="0.35">
      <c r="A839" s="20"/>
      <c r="B839" s="20"/>
      <c r="C839" s="20"/>
      <c r="D839" s="20"/>
      <c r="E839" s="20"/>
      <c r="F839" s="20"/>
      <c r="G839" s="20"/>
      <c r="H839" s="20"/>
      <c r="I839" s="20"/>
    </row>
    <row r="840" spans="1:9" ht="14.25" customHeight="1" x14ac:dyDescent="0.35">
      <c r="A840" s="20"/>
      <c r="B840" s="20"/>
      <c r="C840" s="20"/>
      <c r="D840" s="20"/>
      <c r="E840" s="20"/>
      <c r="F840" s="20"/>
      <c r="G840" s="20"/>
      <c r="H840" s="20"/>
      <c r="I840" s="20"/>
    </row>
    <row r="841" spans="1:9" ht="14.25" customHeight="1" x14ac:dyDescent="0.35">
      <c r="A841" s="20"/>
      <c r="B841" s="20"/>
      <c r="C841" s="20"/>
      <c r="D841" s="20"/>
      <c r="E841" s="20"/>
      <c r="F841" s="20"/>
      <c r="G841" s="20"/>
      <c r="H841" s="20"/>
      <c r="I841" s="20"/>
    </row>
    <row r="842" spans="1:9" ht="14.25" customHeight="1" x14ac:dyDescent="0.35">
      <c r="A842" s="20"/>
      <c r="B842" s="20"/>
      <c r="C842" s="20"/>
      <c r="D842" s="20"/>
      <c r="E842" s="20"/>
      <c r="F842" s="20"/>
      <c r="G842" s="20"/>
      <c r="H842" s="20"/>
      <c r="I842" s="20"/>
    </row>
    <row r="843" spans="1:9" ht="14.25" customHeight="1" x14ac:dyDescent="0.35">
      <c r="A843" s="20"/>
      <c r="B843" s="20"/>
      <c r="C843" s="20"/>
      <c r="D843" s="20"/>
      <c r="E843" s="20"/>
      <c r="F843" s="20"/>
      <c r="G843" s="20"/>
      <c r="H843" s="20"/>
      <c r="I843" s="20"/>
    </row>
    <row r="844" spans="1:9" ht="14.25" customHeight="1" x14ac:dyDescent="0.35">
      <c r="A844" s="20"/>
      <c r="B844" s="20"/>
      <c r="C844" s="20"/>
      <c r="D844" s="20"/>
      <c r="E844" s="20"/>
      <c r="F844" s="20"/>
      <c r="G844" s="20"/>
      <c r="H844" s="20"/>
      <c r="I844" s="20"/>
    </row>
    <row r="845" spans="1:9" ht="14.25" customHeight="1" x14ac:dyDescent="0.35">
      <c r="A845" s="20"/>
      <c r="B845" s="20"/>
      <c r="C845" s="20"/>
      <c r="D845" s="20"/>
      <c r="E845" s="20"/>
      <c r="F845" s="20"/>
      <c r="G845" s="20"/>
      <c r="H845" s="20"/>
      <c r="I845" s="20"/>
    </row>
    <row r="846" spans="1:9" ht="14.25" customHeight="1" x14ac:dyDescent="0.35">
      <c r="A846" s="20"/>
      <c r="B846" s="20"/>
      <c r="C846" s="20"/>
      <c r="D846" s="20"/>
      <c r="E846" s="20"/>
      <c r="F846" s="20"/>
      <c r="G846" s="20"/>
      <c r="H846" s="20"/>
      <c r="I846" s="20"/>
    </row>
    <row r="847" spans="1:9" ht="14.25" customHeight="1" x14ac:dyDescent="0.35">
      <c r="A847" s="20"/>
      <c r="B847" s="20"/>
      <c r="C847" s="20"/>
      <c r="D847" s="20"/>
      <c r="E847" s="20"/>
      <c r="F847" s="20"/>
      <c r="G847" s="20"/>
      <c r="H847" s="20"/>
      <c r="I847" s="20"/>
    </row>
    <row r="848" spans="1:9" ht="14.25" customHeight="1" x14ac:dyDescent="0.35">
      <c r="A848" s="20"/>
      <c r="B848" s="20"/>
      <c r="C848" s="20"/>
      <c r="D848" s="20"/>
      <c r="E848" s="20"/>
      <c r="F848" s="20"/>
      <c r="G848" s="20"/>
      <c r="H848" s="20"/>
      <c r="I848" s="20"/>
    </row>
    <row r="849" spans="1:9" ht="14.25" customHeight="1" x14ac:dyDescent="0.35">
      <c r="A849" s="20"/>
      <c r="B849" s="20"/>
      <c r="C849" s="20"/>
      <c r="D849" s="20"/>
      <c r="E849" s="20"/>
      <c r="F849" s="20"/>
      <c r="G849" s="20"/>
      <c r="H849" s="20"/>
      <c r="I849" s="20"/>
    </row>
    <row r="850" spans="1:9" ht="14.25" customHeight="1" x14ac:dyDescent="0.35">
      <c r="A850" s="20"/>
      <c r="B850" s="20"/>
      <c r="C850" s="20"/>
      <c r="D850" s="20"/>
      <c r="E850" s="20"/>
      <c r="F850" s="20"/>
      <c r="G850" s="20"/>
      <c r="H850" s="20"/>
      <c r="I850" s="20"/>
    </row>
    <row r="851" spans="1:9" ht="14.25" customHeight="1" x14ac:dyDescent="0.35">
      <c r="A851" s="20"/>
      <c r="B851" s="20"/>
      <c r="C851" s="20"/>
      <c r="D851" s="20"/>
      <c r="E851" s="20"/>
      <c r="F851" s="20"/>
      <c r="G851" s="20"/>
      <c r="H851" s="20"/>
      <c r="I851" s="20"/>
    </row>
    <row r="852" spans="1:9" ht="14.25" customHeight="1" x14ac:dyDescent="0.35">
      <c r="A852" s="20"/>
      <c r="B852" s="20"/>
      <c r="C852" s="20"/>
      <c r="D852" s="20"/>
      <c r="E852" s="20"/>
      <c r="F852" s="20"/>
      <c r="G852" s="20"/>
      <c r="H852" s="20"/>
      <c r="I852" s="20"/>
    </row>
    <row r="853" spans="1:9" ht="14.25" customHeight="1" x14ac:dyDescent="0.35">
      <c r="A853" s="20"/>
      <c r="B853" s="20"/>
      <c r="C853" s="20"/>
      <c r="D853" s="20"/>
      <c r="E853" s="20"/>
      <c r="F853" s="20"/>
      <c r="G853" s="20"/>
      <c r="H853" s="20"/>
      <c r="I853" s="20"/>
    </row>
    <row r="854" spans="1:9" ht="14.25" customHeight="1" x14ac:dyDescent="0.35">
      <c r="A854" s="20"/>
      <c r="B854" s="20"/>
      <c r="C854" s="20"/>
      <c r="D854" s="20"/>
      <c r="E854" s="20"/>
      <c r="F854" s="20"/>
      <c r="G854" s="20"/>
      <c r="H854" s="20"/>
      <c r="I854" s="20"/>
    </row>
    <row r="855" spans="1:9" ht="14.25" customHeight="1" x14ac:dyDescent="0.35">
      <c r="A855" s="20"/>
      <c r="B855" s="20"/>
      <c r="C855" s="20"/>
      <c r="D855" s="20"/>
      <c r="E855" s="20"/>
      <c r="F855" s="20"/>
      <c r="G855" s="20"/>
      <c r="H855" s="20"/>
      <c r="I855" s="20"/>
    </row>
    <row r="856" spans="1:9" ht="14.25" customHeight="1" x14ac:dyDescent="0.35">
      <c r="A856" s="20"/>
      <c r="B856" s="20"/>
      <c r="C856" s="20"/>
      <c r="D856" s="20"/>
      <c r="E856" s="20"/>
      <c r="F856" s="20"/>
      <c r="G856" s="20"/>
      <c r="H856" s="20"/>
      <c r="I856" s="20"/>
    </row>
    <row r="857" spans="1:9" ht="14.25" customHeight="1" x14ac:dyDescent="0.35">
      <c r="A857" s="20"/>
      <c r="B857" s="20"/>
      <c r="C857" s="20"/>
      <c r="D857" s="20"/>
      <c r="E857" s="20"/>
      <c r="F857" s="20"/>
      <c r="G857" s="20"/>
      <c r="H857" s="20"/>
      <c r="I857" s="20"/>
    </row>
    <row r="858" spans="1:9" ht="14.25" customHeight="1" x14ac:dyDescent="0.35">
      <c r="A858" s="20"/>
      <c r="B858" s="20"/>
      <c r="C858" s="20"/>
      <c r="D858" s="20"/>
      <c r="E858" s="20"/>
      <c r="F858" s="20"/>
      <c r="G858" s="20"/>
      <c r="H858" s="20"/>
      <c r="I858" s="20"/>
    </row>
    <row r="859" spans="1:9" ht="14.25" customHeight="1" x14ac:dyDescent="0.35">
      <c r="A859" s="20"/>
      <c r="B859" s="20"/>
      <c r="C859" s="20"/>
      <c r="D859" s="20"/>
      <c r="E859" s="20"/>
      <c r="F859" s="20"/>
      <c r="G859" s="20"/>
      <c r="H859" s="20"/>
      <c r="I859" s="20"/>
    </row>
    <row r="860" spans="1:9" ht="14.25" customHeight="1" x14ac:dyDescent="0.35">
      <c r="A860" s="20"/>
      <c r="B860" s="20"/>
      <c r="C860" s="20"/>
      <c r="D860" s="20"/>
      <c r="E860" s="20"/>
      <c r="F860" s="20"/>
      <c r="G860" s="20"/>
      <c r="H860" s="20"/>
      <c r="I860" s="20"/>
    </row>
    <row r="861" spans="1:9" ht="14.25" customHeight="1" x14ac:dyDescent="0.35">
      <c r="A861" s="20"/>
      <c r="B861" s="20"/>
      <c r="C861" s="20"/>
      <c r="D861" s="20"/>
      <c r="E861" s="20"/>
      <c r="F861" s="20"/>
      <c r="G861" s="20"/>
      <c r="H861" s="20"/>
      <c r="I861" s="20"/>
    </row>
    <row r="862" spans="1:9" ht="14.25" customHeight="1" x14ac:dyDescent="0.35">
      <c r="A862" s="20"/>
      <c r="B862" s="20"/>
      <c r="C862" s="20"/>
      <c r="D862" s="20"/>
      <c r="E862" s="20"/>
      <c r="F862" s="20"/>
      <c r="G862" s="20"/>
      <c r="H862" s="20"/>
      <c r="I862" s="20"/>
    </row>
    <row r="863" spans="1:9" ht="14.25" customHeight="1" x14ac:dyDescent="0.35">
      <c r="A863" s="20"/>
      <c r="B863" s="20"/>
      <c r="C863" s="20"/>
      <c r="D863" s="20"/>
      <c r="E863" s="20"/>
      <c r="F863" s="20"/>
      <c r="G863" s="20"/>
      <c r="H863" s="20"/>
      <c r="I863" s="20"/>
    </row>
    <row r="864" spans="1:9" ht="14.25" customHeight="1" x14ac:dyDescent="0.35">
      <c r="A864" s="20"/>
      <c r="B864" s="20"/>
      <c r="C864" s="20"/>
      <c r="D864" s="20"/>
      <c r="E864" s="20"/>
      <c r="F864" s="20"/>
      <c r="G864" s="20"/>
      <c r="H864" s="20"/>
      <c r="I864" s="20"/>
    </row>
    <row r="865" spans="1:9" ht="14.25" customHeight="1" x14ac:dyDescent="0.35">
      <c r="A865" s="20"/>
      <c r="B865" s="20"/>
      <c r="C865" s="20"/>
      <c r="D865" s="20"/>
      <c r="E865" s="20"/>
      <c r="F865" s="20"/>
      <c r="G865" s="20"/>
      <c r="H865" s="20"/>
      <c r="I865" s="20"/>
    </row>
    <row r="866" spans="1:9" ht="14.25" customHeight="1" x14ac:dyDescent="0.35">
      <c r="A866" s="20"/>
      <c r="B866" s="20"/>
      <c r="C866" s="20"/>
      <c r="D866" s="20"/>
      <c r="E866" s="20"/>
      <c r="F866" s="20"/>
      <c r="G866" s="20"/>
      <c r="H866" s="20"/>
      <c r="I866" s="20"/>
    </row>
    <row r="867" spans="1:9" ht="14.25" customHeight="1" x14ac:dyDescent="0.35">
      <c r="A867" s="20"/>
      <c r="B867" s="20"/>
      <c r="C867" s="20"/>
      <c r="D867" s="20"/>
      <c r="E867" s="20"/>
      <c r="F867" s="20"/>
      <c r="G867" s="20"/>
      <c r="H867" s="20"/>
      <c r="I867" s="20"/>
    </row>
    <row r="868" spans="1:9" ht="14.25" customHeight="1" x14ac:dyDescent="0.35">
      <c r="A868" s="20"/>
      <c r="B868" s="20"/>
      <c r="C868" s="20"/>
      <c r="D868" s="20"/>
      <c r="E868" s="20"/>
      <c r="F868" s="20"/>
      <c r="G868" s="20"/>
      <c r="H868" s="20"/>
      <c r="I868" s="20"/>
    </row>
    <row r="869" spans="1:9" ht="14.25" customHeight="1" x14ac:dyDescent="0.35">
      <c r="A869" s="20"/>
      <c r="B869" s="20"/>
      <c r="C869" s="20"/>
      <c r="D869" s="20"/>
      <c r="E869" s="20"/>
      <c r="F869" s="20"/>
      <c r="G869" s="20"/>
      <c r="H869" s="20"/>
      <c r="I869" s="20"/>
    </row>
    <row r="870" spans="1:9" ht="14.25" customHeight="1" x14ac:dyDescent="0.35">
      <c r="A870" s="20"/>
      <c r="B870" s="20"/>
      <c r="C870" s="20"/>
      <c r="D870" s="20"/>
      <c r="E870" s="20"/>
      <c r="F870" s="20"/>
      <c r="G870" s="20"/>
      <c r="H870" s="20"/>
      <c r="I870" s="20"/>
    </row>
    <row r="871" spans="1:9" ht="14.25" customHeight="1" x14ac:dyDescent="0.35">
      <c r="A871" s="20"/>
      <c r="B871" s="20"/>
      <c r="C871" s="20"/>
      <c r="D871" s="20"/>
      <c r="E871" s="20"/>
      <c r="F871" s="20"/>
      <c r="G871" s="20"/>
      <c r="H871" s="20"/>
      <c r="I871" s="20"/>
    </row>
    <row r="872" spans="1:9" ht="14.25" customHeight="1" x14ac:dyDescent="0.35">
      <c r="A872" s="20"/>
      <c r="B872" s="20"/>
      <c r="C872" s="20"/>
      <c r="D872" s="20"/>
      <c r="E872" s="20"/>
      <c r="F872" s="20"/>
      <c r="G872" s="20"/>
      <c r="H872" s="20"/>
      <c r="I872" s="20"/>
    </row>
    <row r="873" spans="1:9" ht="14.25" customHeight="1" x14ac:dyDescent="0.35">
      <c r="A873" s="20"/>
      <c r="B873" s="20"/>
      <c r="C873" s="20"/>
      <c r="D873" s="20"/>
      <c r="E873" s="20"/>
      <c r="F873" s="20"/>
      <c r="G873" s="20"/>
      <c r="H873" s="20"/>
      <c r="I873" s="20"/>
    </row>
    <row r="874" spans="1:9" ht="14.25" customHeight="1" x14ac:dyDescent="0.35">
      <c r="A874" s="20"/>
      <c r="B874" s="20"/>
      <c r="C874" s="20"/>
      <c r="D874" s="20"/>
      <c r="E874" s="20"/>
      <c r="F874" s="20"/>
      <c r="G874" s="20"/>
      <c r="H874" s="20"/>
      <c r="I874" s="20"/>
    </row>
    <row r="875" spans="1:9" ht="14.25" customHeight="1" x14ac:dyDescent="0.35">
      <c r="A875" s="20"/>
      <c r="B875" s="20"/>
      <c r="C875" s="20"/>
      <c r="D875" s="20"/>
      <c r="E875" s="20"/>
      <c r="F875" s="20"/>
      <c r="G875" s="20"/>
      <c r="H875" s="20"/>
      <c r="I875" s="20"/>
    </row>
    <row r="876" spans="1:9" ht="14.25" customHeight="1" x14ac:dyDescent="0.35">
      <c r="A876" s="20"/>
      <c r="B876" s="20"/>
      <c r="C876" s="20"/>
      <c r="D876" s="20"/>
      <c r="E876" s="20"/>
      <c r="F876" s="20"/>
      <c r="G876" s="20"/>
      <c r="H876" s="20"/>
      <c r="I876" s="20"/>
    </row>
    <row r="877" spans="1:9" ht="14.25" customHeight="1" x14ac:dyDescent="0.35">
      <c r="A877" s="20"/>
      <c r="B877" s="20"/>
      <c r="C877" s="20"/>
      <c r="D877" s="20"/>
      <c r="E877" s="20"/>
      <c r="F877" s="20"/>
      <c r="G877" s="20"/>
      <c r="H877" s="20"/>
      <c r="I877" s="20"/>
    </row>
    <row r="878" spans="1:9" ht="14.25" customHeight="1" x14ac:dyDescent="0.35">
      <c r="A878" s="20"/>
      <c r="B878" s="20"/>
      <c r="C878" s="20"/>
      <c r="D878" s="20"/>
      <c r="E878" s="20"/>
      <c r="F878" s="20"/>
      <c r="G878" s="20"/>
      <c r="H878" s="20"/>
      <c r="I878" s="20"/>
    </row>
    <row r="879" spans="1:9" ht="14.25" customHeight="1" x14ac:dyDescent="0.35">
      <c r="A879" s="20"/>
      <c r="B879" s="20"/>
      <c r="C879" s="20"/>
      <c r="D879" s="20"/>
      <c r="E879" s="20"/>
      <c r="F879" s="20"/>
      <c r="G879" s="20"/>
      <c r="H879" s="20"/>
      <c r="I879" s="20"/>
    </row>
    <row r="880" spans="1:9" ht="14.25" customHeight="1" x14ac:dyDescent="0.35">
      <c r="A880" s="20"/>
      <c r="B880" s="20"/>
      <c r="C880" s="20"/>
      <c r="D880" s="20"/>
      <c r="E880" s="20"/>
      <c r="F880" s="20"/>
      <c r="G880" s="20"/>
      <c r="H880" s="20"/>
      <c r="I880" s="20"/>
    </row>
    <row r="881" spans="1:9" ht="14.25" customHeight="1" x14ac:dyDescent="0.35">
      <c r="A881" s="20"/>
      <c r="B881" s="20"/>
      <c r="C881" s="20"/>
      <c r="D881" s="20"/>
      <c r="E881" s="20"/>
      <c r="F881" s="20"/>
      <c r="G881" s="20"/>
      <c r="H881" s="20"/>
      <c r="I881" s="20"/>
    </row>
    <row r="882" spans="1:9" ht="14.25" customHeight="1" x14ac:dyDescent="0.35">
      <c r="A882" s="20"/>
      <c r="B882" s="20"/>
      <c r="C882" s="20"/>
      <c r="D882" s="20"/>
      <c r="E882" s="20"/>
      <c r="F882" s="20"/>
      <c r="G882" s="20"/>
      <c r="H882" s="20"/>
      <c r="I882" s="20"/>
    </row>
    <row r="883" spans="1:9" ht="14.25" customHeight="1" x14ac:dyDescent="0.35">
      <c r="A883" s="20"/>
      <c r="B883" s="20"/>
      <c r="C883" s="20"/>
      <c r="D883" s="20"/>
      <c r="E883" s="20"/>
      <c r="F883" s="20"/>
      <c r="G883" s="20"/>
      <c r="H883" s="20"/>
      <c r="I883" s="20"/>
    </row>
    <row r="884" spans="1:9" ht="14.25" customHeight="1" x14ac:dyDescent="0.35">
      <c r="A884" s="20"/>
      <c r="B884" s="20"/>
      <c r="C884" s="20"/>
      <c r="D884" s="20"/>
      <c r="E884" s="20"/>
      <c r="F884" s="20"/>
      <c r="G884" s="20"/>
      <c r="H884" s="20"/>
      <c r="I884" s="20"/>
    </row>
    <row r="885" spans="1:9" ht="14.25" customHeight="1" x14ac:dyDescent="0.35">
      <c r="A885" s="20"/>
      <c r="B885" s="20"/>
      <c r="C885" s="20"/>
      <c r="D885" s="20"/>
      <c r="E885" s="20"/>
      <c r="F885" s="20"/>
      <c r="G885" s="20"/>
      <c r="H885" s="20"/>
      <c r="I885" s="20"/>
    </row>
    <row r="886" spans="1:9" ht="14.25" customHeight="1" x14ac:dyDescent="0.35">
      <c r="A886" s="20"/>
      <c r="B886" s="20"/>
      <c r="C886" s="20"/>
      <c r="D886" s="20"/>
      <c r="E886" s="20"/>
      <c r="F886" s="20"/>
      <c r="G886" s="20"/>
      <c r="H886" s="20"/>
      <c r="I886" s="20"/>
    </row>
    <row r="887" spans="1:9" ht="14.25" customHeight="1" x14ac:dyDescent="0.35">
      <c r="A887" s="20"/>
      <c r="B887" s="20"/>
      <c r="C887" s="20"/>
      <c r="D887" s="20"/>
      <c r="E887" s="20"/>
      <c r="F887" s="20"/>
      <c r="G887" s="20"/>
      <c r="H887" s="20"/>
      <c r="I887" s="20"/>
    </row>
    <row r="888" spans="1:9" ht="14.25" customHeight="1" x14ac:dyDescent="0.35">
      <c r="A888" s="20"/>
      <c r="B888" s="20"/>
      <c r="C888" s="20"/>
      <c r="D888" s="20"/>
      <c r="E888" s="20"/>
      <c r="F888" s="20"/>
      <c r="G888" s="20"/>
      <c r="H888" s="20"/>
      <c r="I888" s="20"/>
    </row>
    <row r="889" spans="1:9" ht="14.25" customHeight="1" x14ac:dyDescent="0.35">
      <c r="A889" s="20"/>
      <c r="B889" s="20"/>
      <c r="C889" s="20"/>
      <c r="D889" s="20"/>
      <c r="E889" s="20"/>
      <c r="F889" s="20"/>
      <c r="G889" s="20"/>
      <c r="H889" s="20"/>
      <c r="I889" s="20"/>
    </row>
    <row r="890" spans="1:9" ht="14.25" customHeight="1" x14ac:dyDescent="0.35">
      <c r="A890" s="20"/>
      <c r="B890" s="20"/>
      <c r="C890" s="20"/>
      <c r="D890" s="20"/>
      <c r="E890" s="20"/>
      <c r="F890" s="20"/>
      <c r="G890" s="20"/>
      <c r="H890" s="20"/>
      <c r="I890" s="20"/>
    </row>
    <row r="891" spans="1:9" ht="14.25" customHeight="1" x14ac:dyDescent="0.35">
      <c r="A891" s="20"/>
      <c r="B891" s="20"/>
      <c r="C891" s="20"/>
      <c r="D891" s="20"/>
      <c r="E891" s="20"/>
      <c r="F891" s="20"/>
      <c r="G891" s="20"/>
      <c r="H891" s="20"/>
      <c r="I891" s="20"/>
    </row>
    <row r="892" spans="1:9" ht="14.25" customHeight="1" x14ac:dyDescent="0.35">
      <c r="A892" s="20"/>
      <c r="B892" s="20"/>
      <c r="C892" s="20"/>
      <c r="D892" s="20"/>
      <c r="E892" s="20"/>
      <c r="F892" s="20"/>
      <c r="G892" s="20"/>
      <c r="H892" s="20"/>
      <c r="I892" s="20"/>
    </row>
    <row r="893" spans="1:9" ht="14.25" customHeight="1" x14ac:dyDescent="0.35">
      <c r="A893" s="20"/>
      <c r="B893" s="20"/>
      <c r="C893" s="20"/>
      <c r="D893" s="20"/>
      <c r="E893" s="20"/>
      <c r="F893" s="20"/>
      <c r="G893" s="20"/>
      <c r="H893" s="20"/>
      <c r="I893" s="20"/>
    </row>
    <row r="894" spans="1:9" ht="14.25" customHeight="1" x14ac:dyDescent="0.35">
      <c r="A894" s="20"/>
      <c r="B894" s="20"/>
      <c r="C894" s="20"/>
      <c r="D894" s="20"/>
      <c r="E894" s="20"/>
      <c r="F894" s="20"/>
      <c r="G894" s="20"/>
      <c r="H894" s="20"/>
      <c r="I894" s="20"/>
    </row>
    <row r="895" spans="1:9" ht="14.25" customHeight="1" x14ac:dyDescent="0.35">
      <c r="A895" s="20"/>
      <c r="B895" s="20"/>
      <c r="C895" s="20"/>
      <c r="D895" s="20"/>
      <c r="E895" s="20"/>
      <c r="F895" s="20"/>
      <c r="G895" s="20"/>
      <c r="H895" s="20"/>
      <c r="I895" s="20"/>
    </row>
    <row r="896" spans="1:9" ht="14.25" customHeight="1" x14ac:dyDescent="0.35">
      <c r="A896" s="20"/>
      <c r="B896" s="20"/>
      <c r="C896" s="20"/>
      <c r="D896" s="20"/>
      <c r="E896" s="20"/>
      <c r="F896" s="20"/>
      <c r="G896" s="20"/>
      <c r="H896" s="20"/>
      <c r="I896" s="20"/>
    </row>
    <row r="897" spans="1:9" ht="14.25" customHeight="1" x14ac:dyDescent="0.35">
      <c r="A897" s="20"/>
      <c r="B897" s="20"/>
      <c r="C897" s="20"/>
      <c r="D897" s="20"/>
      <c r="E897" s="20"/>
      <c r="F897" s="20"/>
      <c r="G897" s="20"/>
      <c r="H897" s="20"/>
      <c r="I897" s="20"/>
    </row>
    <row r="898" spans="1:9" ht="14.25" customHeight="1" x14ac:dyDescent="0.35">
      <c r="A898" s="20"/>
      <c r="B898" s="20"/>
      <c r="C898" s="20"/>
      <c r="D898" s="20"/>
      <c r="E898" s="20"/>
      <c r="F898" s="20"/>
      <c r="G898" s="20"/>
      <c r="H898" s="20"/>
      <c r="I898" s="20"/>
    </row>
    <row r="899" spans="1:9" ht="14.25" customHeight="1" x14ac:dyDescent="0.35">
      <c r="A899" s="20"/>
      <c r="B899" s="20"/>
      <c r="C899" s="20"/>
      <c r="D899" s="20"/>
      <c r="E899" s="20"/>
      <c r="F899" s="20"/>
      <c r="G899" s="20"/>
      <c r="H899" s="20"/>
      <c r="I899" s="20"/>
    </row>
    <row r="900" spans="1:9" ht="14.25" customHeight="1" x14ac:dyDescent="0.35">
      <c r="A900" s="20"/>
      <c r="B900" s="20"/>
      <c r="C900" s="20"/>
      <c r="D900" s="20"/>
      <c r="E900" s="20"/>
      <c r="F900" s="20"/>
      <c r="G900" s="20"/>
      <c r="H900" s="20"/>
      <c r="I900" s="20"/>
    </row>
    <row r="901" spans="1:9" ht="14.25" customHeight="1" x14ac:dyDescent="0.35">
      <c r="A901" s="20"/>
      <c r="B901" s="20"/>
      <c r="C901" s="20"/>
      <c r="D901" s="20"/>
      <c r="E901" s="20"/>
      <c r="F901" s="20"/>
      <c r="G901" s="20"/>
      <c r="H901" s="20"/>
      <c r="I901" s="20"/>
    </row>
    <row r="902" spans="1:9" ht="14.25" customHeight="1" x14ac:dyDescent="0.35">
      <c r="A902" s="20"/>
      <c r="B902" s="20"/>
      <c r="C902" s="20"/>
      <c r="D902" s="20"/>
      <c r="E902" s="20"/>
      <c r="F902" s="20"/>
      <c r="G902" s="20"/>
      <c r="H902" s="20"/>
      <c r="I902" s="20"/>
    </row>
    <row r="903" spans="1:9" ht="14.25" customHeight="1" x14ac:dyDescent="0.35">
      <c r="A903" s="20"/>
      <c r="B903" s="20"/>
      <c r="C903" s="20"/>
      <c r="D903" s="20"/>
      <c r="E903" s="20"/>
      <c r="F903" s="20"/>
      <c r="G903" s="20"/>
      <c r="H903" s="20"/>
      <c r="I903" s="20"/>
    </row>
    <row r="904" spans="1:9" ht="14.25" customHeight="1" x14ac:dyDescent="0.35">
      <c r="A904" s="20"/>
      <c r="B904" s="20"/>
      <c r="C904" s="20"/>
      <c r="D904" s="20"/>
      <c r="E904" s="20"/>
      <c r="F904" s="20"/>
      <c r="G904" s="20"/>
      <c r="H904" s="20"/>
      <c r="I904" s="20"/>
    </row>
    <row r="905" spans="1:9" ht="14.25" customHeight="1" x14ac:dyDescent="0.35">
      <c r="A905" s="20"/>
      <c r="B905" s="20"/>
      <c r="C905" s="20"/>
      <c r="D905" s="20"/>
      <c r="E905" s="20"/>
      <c r="F905" s="20"/>
      <c r="G905" s="20"/>
      <c r="H905" s="20"/>
      <c r="I905" s="20"/>
    </row>
    <row r="906" spans="1:9" ht="14.25" customHeight="1" x14ac:dyDescent="0.35">
      <c r="A906" s="20"/>
      <c r="B906" s="20"/>
      <c r="C906" s="20"/>
      <c r="D906" s="20"/>
      <c r="E906" s="20"/>
      <c r="F906" s="20"/>
      <c r="G906" s="20"/>
      <c r="H906" s="20"/>
      <c r="I906" s="20"/>
    </row>
    <row r="907" spans="1:9" ht="14.25" customHeight="1" x14ac:dyDescent="0.35">
      <c r="A907" s="20"/>
      <c r="B907" s="20"/>
      <c r="C907" s="20"/>
      <c r="D907" s="20"/>
      <c r="E907" s="20"/>
      <c r="F907" s="20"/>
      <c r="G907" s="20"/>
      <c r="H907" s="20"/>
      <c r="I907" s="20"/>
    </row>
    <row r="908" spans="1:9" ht="14.25" customHeight="1" x14ac:dyDescent="0.35">
      <c r="A908" s="20"/>
      <c r="B908" s="20"/>
      <c r="C908" s="20"/>
      <c r="D908" s="20"/>
      <c r="E908" s="20"/>
      <c r="F908" s="20"/>
      <c r="G908" s="20"/>
      <c r="H908" s="20"/>
      <c r="I908" s="20"/>
    </row>
    <row r="909" spans="1:9" ht="14.25" customHeight="1" x14ac:dyDescent="0.35">
      <c r="A909" s="20"/>
      <c r="B909" s="20"/>
      <c r="C909" s="20"/>
      <c r="D909" s="20"/>
      <c r="E909" s="20"/>
      <c r="F909" s="20"/>
      <c r="G909" s="20"/>
      <c r="H909" s="20"/>
      <c r="I909" s="20"/>
    </row>
    <row r="910" spans="1:9" ht="14.25" customHeight="1" x14ac:dyDescent="0.35">
      <c r="A910" s="20"/>
      <c r="B910" s="20"/>
      <c r="C910" s="20"/>
      <c r="D910" s="20"/>
      <c r="E910" s="20"/>
      <c r="F910" s="20"/>
      <c r="G910" s="20"/>
      <c r="H910" s="20"/>
      <c r="I910" s="20"/>
    </row>
    <row r="911" spans="1:9" ht="14.25" customHeight="1" x14ac:dyDescent="0.35">
      <c r="A911" s="20"/>
      <c r="B911" s="20"/>
      <c r="C911" s="20"/>
      <c r="D911" s="20"/>
      <c r="E911" s="20"/>
      <c r="F911" s="20"/>
      <c r="G911" s="20"/>
      <c r="H911" s="20"/>
      <c r="I911" s="20"/>
    </row>
    <row r="912" spans="1:9" ht="14.25" customHeight="1" x14ac:dyDescent="0.35">
      <c r="A912" s="20"/>
      <c r="B912" s="20"/>
      <c r="C912" s="20"/>
      <c r="D912" s="20"/>
      <c r="E912" s="20"/>
      <c r="F912" s="20"/>
      <c r="G912" s="20"/>
      <c r="H912" s="20"/>
      <c r="I912" s="20"/>
    </row>
    <row r="913" spans="1:9" ht="14.25" customHeight="1" x14ac:dyDescent="0.35">
      <c r="A913" s="20"/>
      <c r="B913" s="20"/>
      <c r="C913" s="20"/>
      <c r="D913" s="20"/>
      <c r="E913" s="20"/>
      <c r="F913" s="20"/>
      <c r="G913" s="20"/>
      <c r="H913" s="20"/>
      <c r="I913" s="20"/>
    </row>
    <row r="914" spans="1:9" ht="14.25" customHeight="1" x14ac:dyDescent="0.35">
      <c r="A914" s="20"/>
      <c r="B914" s="20"/>
      <c r="C914" s="20"/>
      <c r="D914" s="20"/>
      <c r="E914" s="20"/>
      <c r="F914" s="20"/>
      <c r="G914" s="20"/>
      <c r="H914" s="20"/>
      <c r="I914" s="20"/>
    </row>
    <row r="915" spans="1:9" ht="14.25" customHeight="1" x14ac:dyDescent="0.35">
      <c r="A915" s="20"/>
      <c r="B915" s="20"/>
      <c r="C915" s="20"/>
      <c r="D915" s="20"/>
      <c r="E915" s="20"/>
      <c r="F915" s="20"/>
      <c r="G915" s="20"/>
      <c r="H915" s="20"/>
      <c r="I915" s="20"/>
    </row>
    <row r="916" spans="1:9" ht="14.25" customHeight="1" x14ac:dyDescent="0.35">
      <c r="A916" s="20"/>
      <c r="B916" s="20"/>
      <c r="C916" s="20"/>
      <c r="D916" s="20"/>
      <c r="E916" s="20"/>
      <c r="F916" s="20"/>
      <c r="G916" s="20"/>
      <c r="H916" s="20"/>
      <c r="I916" s="20"/>
    </row>
    <row r="917" spans="1:9" ht="14.25" customHeight="1" x14ac:dyDescent="0.35">
      <c r="A917" s="20"/>
      <c r="B917" s="20"/>
      <c r="C917" s="20"/>
      <c r="D917" s="20"/>
      <c r="E917" s="20"/>
      <c r="F917" s="20"/>
      <c r="G917" s="20"/>
      <c r="H917" s="20"/>
      <c r="I917" s="20"/>
    </row>
    <row r="918" spans="1:9" ht="14.25" customHeight="1" x14ac:dyDescent="0.35">
      <c r="A918" s="20"/>
      <c r="B918" s="20"/>
      <c r="C918" s="20"/>
      <c r="D918" s="20"/>
      <c r="E918" s="20"/>
      <c r="F918" s="20"/>
      <c r="G918" s="20"/>
      <c r="H918" s="20"/>
      <c r="I918" s="20"/>
    </row>
    <row r="919" spans="1:9" ht="14.25" customHeight="1" x14ac:dyDescent="0.35">
      <c r="A919" s="20"/>
      <c r="B919" s="20"/>
      <c r="C919" s="20"/>
      <c r="D919" s="20"/>
      <c r="E919" s="20"/>
      <c r="F919" s="20"/>
      <c r="G919" s="20"/>
      <c r="H919" s="20"/>
      <c r="I919" s="20"/>
    </row>
    <row r="920" spans="1:9" ht="14.25" customHeight="1" x14ac:dyDescent="0.35">
      <c r="A920" s="20"/>
      <c r="B920" s="20"/>
      <c r="C920" s="20"/>
      <c r="D920" s="20"/>
      <c r="E920" s="20"/>
      <c r="F920" s="20"/>
      <c r="G920" s="20"/>
      <c r="H920" s="20"/>
      <c r="I920" s="20"/>
    </row>
    <row r="921" spans="1:9" ht="14.25" customHeight="1" x14ac:dyDescent="0.35">
      <c r="A921" s="20"/>
      <c r="B921" s="20"/>
      <c r="C921" s="20"/>
      <c r="D921" s="20"/>
      <c r="E921" s="20"/>
      <c r="F921" s="20"/>
      <c r="G921" s="20"/>
      <c r="H921" s="20"/>
      <c r="I921" s="20"/>
    </row>
    <row r="922" spans="1:9" ht="14.25" customHeight="1" x14ac:dyDescent="0.35">
      <c r="A922" s="20"/>
      <c r="B922" s="20"/>
      <c r="C922" s="20"/>
      <c r="D922" s="20"/>
      <c r="E922" s="20"/>
      <c r="F922" s="20"/>
      <c r="G922" s="20"/>
      <c r="H922" s="20"/>
      <c r="I922" s="20"/>
    </row>
    <row r="923" spans="1:9" ht="14.25" customHeight="1" x14ac:dyDescent="0.35">
      <c r="A923" s="20"/>
      <c r="B923" s="20"/>
      <c r="C923" s="20"/>
      <c r="D923" s="20"/>
      <c r="E923" s="20"/>
      <c r="F923" s="20"/>
      <c r="G923" s="20"/>
      <c r="H923" s="20"/>
      <c r="I923" s="20"/>
    </row>
    <row r="924" spans="1:9" ht="14.25" customHeight="1" x14ac:dyDescent="0.35">
      <c r="A924" s="20"/>
      <c r="B924" s="20"/>
      <c r="C924" s="20"/>
      <c r="D924" s="20"/>
      <c r="E924" s="20"/>
      <c r="F924" s="20"/>
      <c r="G924" s="20"/>
      <c r="H924" s="20"/>
      <c r="I924" s="20"/>
    </row>
    <row r="925" spans="1:9" ht="14.25" customHeight="1" x14ac:dyDescent="0.35">
      <c r="A925" s="20"/>
      <c r="B925" s="20"/>
      <c r="C925" s="20"/>
      <c r="D925" s="20"/>
      <c r="E925" s="20"/>
      <c r="F925" s="20"/>
      <c r="G925" s="20"/>
      <c r="H925" s="20"/>
      <c r="I925" s="20"/>
    </row>
    <row r="926" spans="1:9" ht="14.25" customHeight="1" x14ac:dyDescent="0.35">
      <c r="A926" s="20"/>
      <c r="B926" s="20"/>
      <c r="C926" s="20"/>
      <c r="D926" s="20"/>
      <c r="E926" s="20"/>
      <c r="F926" s="20"/>
      <c r="G926" s="20"/>
      <c r="H926" s="20"/>
      <c r="I926" s="20"/>
    </row>
    <row r="927" spans="1:9" ht="14.25" customHeight="1" x14ac:dyDescent="0.35">
      <c r="A927" s="20"/>
      <c r="B927" s="20"/>
      <c r="C927" s="20"/>
      <c r="D927" s="20"/>
      <c r="E927" s="20"/>
      <c r="F927" s="20"/>
      <c r="G927" s="20"/>
      <c r="H927" s="20"/>
      <c r="I927" s="20"/>
    </row>
    <row r="928" spans="1:9" ht="14.25" customHeight="1" x14ac:dyDescent="0.35">
      <c r="A928" s="20"/>
      <c r="B928" s="20"/>
      <c r="C928" s="20"/>
      <c r="D928" s="20"/>
      <c r="E928" s="20"/>
      <c r="F928" s="20"/>
      <c r="G928" s="20"/>
      <c r="H928" s="20"/>
      <c r="I928" s="20"/>
    </row>
    <row r="929" spans="1:9" ht="14.25" customHeight="1" x14ac:dyDescent="0.35">
      <c r="A929" s="20"/>
      <c r="B929" s="20"/>
      <c r="C929" s="20"/>
      <c r="D929" s="20"/>
      <c r="E929" s="20"/>
      <c r="F929" s="20"/>
      <c r="G929" s="20"/>
      <c r="H929" s="20"/>
      <c r="I929" s="20"/>
    </row>
    <row r="930" spans="1:9" ht="14.25" customHeight="1" x14ac:dyDescent="0.35">
      <c r="A930" s="20"/>
      <c r="B930" s="20"/>
      <c r="C930" s="20"/>
      <c r="D930" s="20"/>
      <c r="E930" s="20"/>
      <c r="F930" s="20"/>
      <c r="G930" s="20"/>
      <c r="H930" s="20"/>
      <c r="I930" s="20"/>
    </row>
    <row r="931" spans="1:9" ht="14.25" customHeight="1" x14ac:dyDescent="0.35">
      <c r="A931" s="20"/>
      <c r="B931" s="20"/>
      <c r="C931" s="20"/>
      <c r="D931" s="20"/>
      <c r="E931" s="20"/>
      <c r="F931" s="20"/>
      <c r="G931" s="20"/>
      <c r="H931" s="20"/>
      <c r="I931" s="20"/>
    </row>
    <row r="932" spans="1:9" ht="14.25" customHeight="1" x14ac:dyDescent="0.35">
      <c r="A932" s="20"/>
      <c r="B932" s="20"/>
      <c r="C932" s="20"/>
      <c r="D932" s="20"/>
      <c r="E932" s="20"/>
      <c r="F932" s="20"/>
      <c r="G932" s="20"/>
      <c r="H932" s="20"/>
      <c r="I932" s="20"/>
    </row>
    <row r="933" spans="1:9" ht="14.25" customHeight="1" x14ac:dyDescent="0.35">
      <c r="A933" s="20"/>
      <c r="B933" s="20"/>
      <c r="C933" s="20"/>
      <c r="D933" s="20"/>
      <c r="E933" s="20"/>
      <c r="F933" s="20"/>
      <c r="G933" s="20"/>
      <c r="H933" s="20"/>
      <c r="I933" s="20"/>
    </row>
    <row r="934" spans="1:9" ht="14.25" customHeight="1" x14ac:dyDescent="0.35">
      <c r="A934" s="20"/>
      <c r="B934" s="20"/>
      <c r="C934" s="20"/>
      <c r="D934" s="20"/>
      <c r="E934" s="20"/>
      <c r="F934" s="20"/>
      <c r="G934" s="20"/>
      <c r="H934" s="20"/>
      <c r="I934" s="20"/>
    </row>
    <row r="935" spans="1:9" ht="14.25" customHeight="1" x14ac:dyDescent="0.35">
      <c r="A935" s="20"/>
      <c r="B935" s="20"/>
      <c r="C935" s="20"/>
      <c r="D935" s="20"/>
      <c r="E935" s="20"/>
      <c r="F935" s="20"/>
      <c r="G935" s="20"/>
      <c r="H935" s="20"/>
      <c r="I935" s="20"/>
    </row>
    <row r="936" spans="1:9" ht="14.25" customHeight="1" x14ac:dyDescent="0.35">
      <c r="A936" s="20"/>
      <c r="B936" s="20"/>
      <c r="C936" s="20"/>
      <c r="D936" s="20"/>
      <c r="E936" s="20"/>
      <c r="F936" s="20"/>
      <c r="G936" s="20"/>
      <c r="H936" s="20"/>
      <c r="I936" s="20"/>
    </row>
    <row r="937" spans="1:9" ht="14.25" customHeight="1" x14ac:dyDescent="0.35">
      <c r="A937" s="20"/>
      <c r="B937" s="20"/>
      <c r="C937" s="20"/>
      <c r="D937" s="20"/>
      <c r="E937" s="20"/>
      <c r="F937" s="20"/>
      <c r="G937" s="20"/>
      <c r="H937" s="20"/>
      <c r="I937" s="20"/>
    </row>
    <row r="938" spans="1:9" ht="14.25" customHeight="1" x14ac:dyDescent="0.35">
      <c r="A938" s="20"/>
      <c r="B938" s="20"/>
      <c r="C938" s="20"/>
      <c r="D938" s="20"/>
      <c r="E938" s="20"/>
      <c r="F938" s="20"/>
      <c r="G938" s="20"/>
      <c r="H938" s="20"/>
      <c r="I938" s="20"/>
    </row>
    <row r="939" spans="1:9" ht="14.25" customHeight="1" x14ac:dyDescent="0.35">
      <c r="A939" s="20"/>
      <c r="B939" s="20"/>
      <c r="C939" s="20"/>
      <c r="D939" s="20"/>
      <c r="E939" s="20"/>
      <c r="F939" s="20"/>
      <c r="G939" s="20"/>
      <c r="H939" s="20"/>
      <c r="I939" s="20"/>
    </row>
    <row r="940" spans="1:9" ht="14.25" customHeight="1" x14ac:dyDescent="0.35">
      <c r="A940" s="20"/>
      <c r="B940" s="20"/>
      <c r="C940" s="20"/>
      <c r="D940" s="20"/>
      <c r="E940" s="20"/>
      <c r="F940" s="20"/>
      <c r="G940" s="20"/>
      <c r="H940" s="20"/>
      <c r="I940" s="20"/>
    </row>
    <row r="941" spans="1:9" ht="14.25" customHeight="1" x14ac:dyDescent="0.35">
      <c r="A941" s="20"/>
      <c r="B941" s="20"/>
      <c r="C941" s="20"/>
      <c r="D941" s="20"/>
      <c r="E941" s="20"/>
      <c r="F941" s="20"/>
      <c r="G941" s="20"/>
      <c r="H941" s="20"/>
      <c r="I941" s="20"/>
    </row>
    <row r="942" spans="1:9" ht="14.25" customHeight="1" x14ac:dyDescent="0.35">
      <c r="A942" s="20"/>
      <c r="B942" s="20"/>
      <c r="C942" s="20"/>
      <c r="D942" s="20"/>
      <c r="E942" s="20"/>
      <c r="F942" s="20"/>
      <c r="G942" s="20"/>
      <c r="H942" s="20"/>
      <c r="I942" s="20"/>
    </row>
    <row r="943" spans="1:9" ht="14.25" customHeight="1" x14ac:dyDescent="0.35">
      <c r="A943" s="20"/>
      <c r="B943" s="20"/>
      <c r="C943" s="20"/>
      <c r="D943" s="20"/>
      <c r="E943" s="20"/>
      <c r="F943" s="20"/>
      <c r="G943" s="20"/>
      <c r="H943" s="20"/>
      <c r="I943" s="20"/>
    </row>
    <row r="944" spans="1:9" ht="14.25" customHeight="1" x14ac:dyDescent="0.35">
      <c r="A944" s="20"/>
      <c r="B944" s="20"/>
      <c r="C944" s="20"/>
      <c r="D944" s="20"/>
      <c r="E944" s="20"/>
      <c r="F944" s="20"/>
      <c r="G944" s="20"/>
      <c r="H944" s="20"/>
      <c r="I944" s="20"/>
    </row>
    <row r="945" spans="1:9" ht="14.25" customHeight="1" x14ac:dyDescent="0.35">
      <c r="A945" s="20"/>
      <c r="B945" s="20"/>
      <c r="C945" s="20"/>
      <c r="D945" s="20"/>
      <c r="E945" s="20"/>
      <c r="F945" s="20"/>
      <c r="G945" s="20"/>
      <c r="H945" s="20"/>
      <c r="I945" s="20"/>
    </row>
    <row r="946" spans="1:9" ht="14.25" customHeight="1" x14ac:dyDescent="0.35">
      <c r="A946" s="20"/>
      <c r="B946" s="20"/>
      <c r="C946" s="20"/>
      <c r="D946" s="20"/>
      <c r="E946" s="20"/>
      <c r="F946" s="20"/>
      <c r="G946" s="20"/>
      <c r="H946" s="20"/>
      <c r="I946" s="20"/>
    </row>
    <row r="947" spans="1:9" ht="14.25" customHeight="1" x14ac:dyDescent="0.35">
      <c r="A947" s="20"/>
      <c r="B947" s="20"/>
      <c r="C947" s="20"/>
      <c r="D947" s="20"/>
      <c r="E947" s="20"/>
      <c r="F947" s="20"/>
      <c r="G947" s="20"/>
      <c r="H947" s="20"/>
      <c r="I947" s="20"/>
    </row>
    <row r="948" spans="1:9" ht="14.25" customHeight="1" x14ac:dyDescent="0.35">
      <c r="A948" s="20"/>
      <c r="B948" s="20"/>
      <c r="C948" s="20"/>
      <c r="D948" s="20"/>
      <c r="E948" s="20"/>
      <c r="F948" s="20"/>
      <c r="G948" s="20"/>
      <c r="H948" s="20"/>
      <c r="I948" s="20"/>
    </row>
    <row r="949" spans="1:9" ht="14.25" customHeight="1" x14ac:dyDescent="0.35">
      <c r="A949" s="20"/>
      <c r="B949" s="20"/>
      <c r="C949" s="20"/>
      <c r="D949" s="20"/>
      <c r="E949" s="20"/>
      <c r="F949" s="20"/>
      <c r="G949" s="20"/>
      <c r="H949" s="20"/>
      <c r="I949" s="20"/>
    </row>
    <row r="950" spans="1:9" ht="14.25" customHeight="1" x14ac:dyDescent="0.35">
      <c r="A950" s="20"/>
      <c r="B950" s="20"/>
      <c r="C950" s="20"/>
      <c r="D950" s="20"/>
      <c r="E950" s="20"/>
      <c r="F950" s="20"/>
      <c r="G950" s="20"/>
      <c r="H950" s="20"/>
      <c r="I950" s="20"/>
    </row>
    <row r="951" spans="1:9" ht="14.25" customHeight="1" x14ac:dyDescent="0.35">
      <c r="A951" s="20"/>
      <c r="B951" s="20"/>
      <c r="C951" s="20"/>
      <c r="D951" s="20"/>
      <c r="E951" s="20"/>
      <c r="F951" s="20"/>
      <c r="G951" s="20"/>
      <c r="H951" s="20"/>
      <c r="I951" s="20"/>
    </row>
    <row r="952" spans="1:9" ht="14.25" customHeight="1" x14ac:dyDescent="0.35">
      <c r="A952" s="20"/>
      <c r="B952" s="20"/>
      <c r="C952" s="20"/>
      <c r="D952" s="20"/>
      <c r="E952" s="20"/>
      <c r="F952" s="20"/>
      <c r="G952" s="20"/>
      <c r="H952" s="20"/>
      <c r="I952" s="20"/>
    </row>
    <row r="953" spans="1:9" ht="14.25" customHeight="1" x14ac:dyDescent="0.35">
      <c r="A953" s="20"/>
      <c r="B953" s="20"/>
      <c r="C953" s="20"/>
      <c r="D953" s="20"/>
      <c r="E953" s="20"/>
      <c r="F953" s="20"/>
      <c r="G953" s="20"/>
      <c r="H953" s="20"/>
      <c r="I953" s="20"/>
    </row>
    <row r="954" spans="1:9" ht="14.25" customHeight="1" x14ac:dyDescent="0.35">
      <c r="A954" s="20"/>
      <c r="B954" s="20"/>
      <c r="C954" s="20"/>
      <c r="D954" s="20"/>
      <c r="E954" s="20"/>
      <c r="F954" s="20"/>
      <c r="G954" s="20"/>
      <c r="H954" s="20"/>
      <c r="I954" s="20"/>
    </row>
    <row r="955" spans="1:9" ht="14.25" customHeight="1" x14ac:dyDescent="0.35">
      <c r="A955" s="20"/>
      <c r="B955" s="20"/>
      <c r="C955" s="20"/>
      <c r="D955" s="20"/>
      <c r="E955" s="20"/>
      <c r="F955" s="20"/>
      <c r="G955" s="20"/>
      <c r="H955" s="20"/>
      <c r="I955" s="20"/>
    </row>
    <row r="956" spans="1:9" ht="14.25" customHeight="1" x14ac:dyDescent="0.35">
      <c r="A956" s="20"/>
      <c r="B956" s="20"/>
      <c r="C956" s="20"/>
      <c r="D956" s="20"/>
      <c r="E956" s="20"/>
      <c r="F956" s="20"/>
      <c r="G956" s="20"/>
      <c r="H956" s="20"/>
      <c r="I956" s="20"/>
    </row>
    <row r="957" spans="1:9" ht="14.25" customHeight="1" x14ac:dyDescent="0.35">
      <c r="A957" s="20"/>
      <c r="B957" s="20"/>
      <c r="C957" s="20"/>
      <c r="D957" s="20"/>
      <c r="E957" s="20"/>
      <c r="F957" s="20"/>
      <c r="G957" s="20"/>
      <c r="H957" s="20"/>
      <c r="I957" s="20"/>
    </row>
    <row r="958" spans="1:9" ht="14.25" customHeight="1" x14ac:dyDescent="0.35">
      <c r="A958" s="20"/>
      <c r="B958" s="20"/>
      <c r="C958" s="20"/>
      <c r="D958" s="20"/>
      <c r="E958" s="20"/>
      <c r="F958" s="20"/>
      <c r="G958" s="20"/>
      <c r="H958" s="20"/>
      <c r="I958" s="20"/>
    </row>
    <row r="959" spans="1:9" ht="14.25" customHeight="1" x14ac:dyDescent="0.35">
      <c r="A959" s="20"/>
      <c r="B959" s="20"/>
      <c r="C959" s="20"/>
      <c r="D959" s="20"/>
      <c r="E959" s="20"/>
      <c r="F959" s="20"/>
      <c r="G959" s="20"/>
      <c r="H959" s="20"/>
      <c r="I959" s="20"/>
    </row>
    <row r="960" spans="1:9" ht="14.25" customHeight="1" x14ac:dyDescent="0.35">
      <c r="A960" s="20"/>
      <c r="B960" s="20"/>
      <c r="C960" s="20"/>
      <c r="D960" s="20"/>
      <c r="E960" s="20"/>
      <c r="F960" s="20"/>
      <c r="G960" s="20"/>
      <c r="H960" s="20"/>
      <c r="I960" s="20"/>
    </row>
    <row r="961" spans="1:9" ht="14.25" customHeight="1" x14ac:dyDescent="0.35">
      <c r="A961" s="20"/>
      <c r="B961" s="20"/>
      <c r="C961" s="20"/>
      <c r="D961" s="20"/>
      <c r="E961" s="20"/>
      <c r="F961" s="20"/>
      <c r="G961" s="20"/>
      <c r="H961" s="20"/>
      <c r="I961" s="20"/>
    </row>
    <row r="962" spans="1:9" ht="14.25" customHeight="1" x14ac:dyDescent="0.35">
      <c r="A962" s="20"/>
      <c r="B962" s="20"/>
      <c r="C962" s="20"/>
      <c r="D962" s="20"/>
      <c r="E962" s="20"/>
      <c r="F962" s="20"/>
      <c r="G962" s="20"/>
      <c r="H962" s="20"/>
      <c r="I962" s="20"/>
    </row>
    <row r="963" spans="1:9" ht="14.25" customHeight="1" x14ac:dyDescent="0.35">
      <c r="A963" s="20"/>
      <c r="B963" s="20"/>
      <c r="C963" s="20"/>
      <c r="D963" s="20"/>
      <c r="E963" s="20"/>
      <c r="F963" s="20"/>
      <c r="G963" s="20"/>
      <c r="H963" s="20"/>
      <c r="I963" s="20"/>
    </row>
    <row r="964" spans="1:9" ht="14.25" customHeight="1" x14ac:dyDescent="0.35">
      <c r="A964" s="20"/>
      <c r="B964" s="20"/>
      <c r="C964" s="20"/>
      <c r="D964" s="20"/>
      <c r="E964" s="20"/>
      <c r="F964" s="20"/>
      <c r="G964" s="20"/>
      <c r="H964" s="20"/>
      <c r="I964" s="20"/>
    </row>
    <row r="965" spans="1:9" ht="14.25" customHeight="1" x14ac:dyDescent="0.35">
      <c r="A965" s="20"/>
      <c r="B965" s="20"/>
      <c r="C965" s="20"/>
      <c r="D965" s="20"/>
      <c r="E965" s="20"/>
      <c r="F965" s="20"/>
      <c r="G965" s="20"/>
      <c r="H965" s="20"/>
      <c r="I965" s="20"/>
    </row>
    <row r="966" spans="1:9" ht="14.25" customHeight="1" x14ac:dyDescent="0.35">
      <c r="A966" s="20"/>
      <c r="B966" s="20"/>
      <c r="C966" s="20"/>
      <c r="D966" s="20"/>
      <c r="E966" s="20"/>
      <c r="F966" s="20"/>
      <c r="G966" s="20"/>
      <c r="H966" s="20"/>
      <c r="I966" s="20"/>
    </row>
    <row r="967" spans="1:9" ht="14.25" customHeight="1" x14ac:dyDescent="0.35">
      <c r="A967" s="20"/>
      <c r="B967" s="20"/>
      <c r="C967" s="20"/>
      <c r="D967" s="20"/>
      <c r="E967" s="20"/>
      <c r="F967" s="20"/>
      <c r="G967" s="20"/>
      <c r="H967" s="20"/>
      <c r="I967" s="20"/>
    </row>
    <row r="968" spans="1:9" ht="14.25" customHeight="1" x14ac:dyDescent="0.35">
      <c r="A968" s="20"/>
      <c r="B968" s="20"/>
      <c r="C968" s="20"/>
      <c r="D968" s="20"/>
      <c r="E968" s="20"/>
      <c r="F968" s="20"/>
      <c r="G968" s="20"/>
      <c r="H968" s="20"/>
      <c r="I968" s="20"/>
    </row>
    <row r="969" spans="1:9" ht="14.25" customHeight="1" x14ac:dyDescent="0.35">
      <c r="A969" s="20"/>
      <c r="B969" s="20"/>
      <c r="C969" s="20"/>
      <c r="D969" s="20"/>
      <c r="E969" s="20"/>
      <c r="F969" s="20"/>
      <c r="G969" s="20"/>
      <c r="H969" s="20"/>
      <c r="I969" s="20"/>
    </row>
    <row r="970" spans="1:9" ht="14.25" customHeight="1" x14ac:dyDescent="0.35">
      <c r="A970" s="20"/>
      <c r="B970" s="20"/>
      <c r="C970" s="20"/>
      <c r="D970" s="20"/>
      <c r="E970" s="20"/>
      <c r="F970" s="20"/>
      <c r="G970" s="20"/>
      <c r="H970" s="20"/>
      <c r="I970" s="20"/>
    </row>
    <row r="971" spans="1:9" ht="14.25" customHeight="1" x14ac:dyDescent="0.35">
      <c r="A971" s="20"/>
      <c r="B971" s="20"/>
      <c r="C971" s="20"/>
      <c r="D971" s="20"/>
      <c r="E971" s="20"/>
      <c r="F971" s="20"/>
      <c r="G971" s="20"/>
      <c r="H971" s="20"/>
      <c r="I971" s="20"/>
    </row>
    <row r="972" spans="1:9" ht="14.25" customHeight="1" x14ac:dyDescent="0.35">
      <c r="A972" s="20"/>
      <c r="B972" s="20"/>
      <c r="C972" s="20"/>
      <c r="D972" s="20"/>
      <c r="E972" s="20"/>
      <c r="F972" s="20"/>
      <c r="G972" s="20"/>
      <c r="H972" s="20"/>
      <c r="I972" s="20"/>
    </row>
    <row r="973" spans="1:9" ht="14.25" customHeight="1" x14ac:dyDescent="0.35">
      <c r="A973" s="20"/>
      <c r="B973" s="20"/>
      <c r="C973" s="20"/>
      <c r="D973" s="20"/>
      <c r="E973" s="20"/>
      <c r="F973" s="20"/>
      <c r="G973" s="20"/>
      <c r="H973" s="20"/>
      <c r="I973" s="20"/>
    </row>
    <row r="974" spans="1:9" ht="14.25" customHeight="1" x14ac:dyDescent="0.35">
      <c r="A974" s="20"/>
      <c r="B974" s="20"/>
      <c r="C974" s="20"/>
      <c r="D974" s="20"/>
      <c r="E974" s="20"/>
      <c r="F974" s="20"/>
      <c r="G974" s="20"/>
      <c r="H974" s="20"/>
      <c r="I974" s="20"/>
    </row>
    <row r="975" spans="1:9" ht="14.25" customHeight="1" x14ac:dyDescent="0.35">
      <c r="A975" s="20"/>
      <c r="B975" s="20"/>
      <c r="C975" s="20"/>
      <c r="D975" s="20"/>
      <c r="E975" s="20"/>
      <c r="F975" s="20"/>
      <c r="G975" s="20"/>
      <c r="H975" s="20"/>
      <c r="I975" s="20"/>
    </row>
    <row r="976" spans="1:9" ht="14.25" customHeight="1" x14ac:dyDescent="0.35">
      <c r="A976" s="20"/>
      <c r="B976" s="20"/>
      <c r="C976" s="20"/>
      <c r="D976" s="20"/>
      <c r="E976" s="20"/>
      <c r="F976" s="20"/>
      <c r="G976" s="20"/>
      <c r="H976" s="20"/>
      <c r="I976" s="20"/>
    </row>
    <row r="977" spans="1:9" ht="14.25" customHeight="1" x14ac:dyDescent="0.35">
      <c r="A977" s="20"/>
      <c r="B977" s="20"/>
      <c r="C977" s="20"/>
      <c r="D977" s="20"/>
      <c r="E977" s="20"/>
      <c r="F977" s="20"/>
      <c r="G977" s="20"/>
      <c r="H977" s="20"/>
      <c r="I977" s="20"/>
    </row>
    <row r="978" spans="1:9" ht="14.25" customHeight="1" x14ac:dyDescent="0.35">
      <c r="A978" s="20"/>
      <c r="B978" s="20"/>
      <c r="C978" s="20"/>
      <c r="D978" s="20"/>
      <c r="E978" s="20"/>
      <c r="F978" s="20"/>
      <c r="G978" s="20"/>
      <c r="H978" s="20"/>
      <c r="I978" s="20"/>
    </row>
    <row r="979" spans="1:9" ht="14.25" customHeight="1" x14ac:dyDescent="0.35">
      <c r="A979" s="20"/>
      <c r="B979" s="20"/>
      <c r="C979" s="20"/>
      <c r="D979" s="20"/>
      <c r="E979" s="20"/>
      <c r="F979" s="20"/>
      <c r="G979" s="20"/>
      <c r="H979" s="20"/>
      <c r="I979" s="20"/>
    </row>
    <row r="980" spans="1:9" ht="14.25" customHeight="1" x14ac:dyDescent="0.35">
      <c r="A980" s="20"/>
      <c r="B980" s="20"/>
      <c r="C980" s="20"/>
      <c r="D980" s="20"/>
      <c r="E980" s="20"/>
      <c r="F980" s="20"/>
      <c r="G980" s="20"/>
      <c r="H980" s="20"/>
      <c r="I980" s="20"/>
    </row>
    <row r="981" spans="1:9" ht="14.25" customHeight="1" x14ac:dyDescent="0.35">
      <c r="A981" s="20"/>
      <c r="B981" s="20"/>
      <c r="C981" s="20"/>
      <c r="D981" s="20"/>
      <c r="E981" s="20"/>
      <c r="F981" s="20"/>
      <c r="G981" s="20"/>
      <c r="H981" s="20"/>
      <c r="I981" s="20"/>
    </row>
    <row r="982" spans="1:9" ht="14.25" customHeight="1" x14ac:dyDescent="0.35">
      <c r="A982" s="20"/>
      <c r="B982" s="20"/>
      <c r="C982" s="20"/>
      <c r="D982" s="20"/>
      <c r="E982" s="20"/>
      <c r="F982" s="20"/>
      <c r="G982" s="20"/>
      <c r="H982" s="20"/>
      <c r="I982" s="20"/>
    </row>
    <row r="983" spans="1:9" ht="14.25" customHeight="1" x14ac:dyDescent="0.35">
      <c r="A983" s="20"/>
      <c r="B983" s="20"/>
      <c r="C983" s="20"/>
      <c r="D983" s="20"/>
      <c r="E983" s="20"/>
      <c r="F983" s="20"/>
      <c r="G983" s="20"/>
      <c r="H983" s="20"/>
      <c r="I983" s="20"/>
    </row>
    <row r="984" spans="1:9" ht="14.25" customHeight="1" x14ac:dyDescent="0.35">
      <c r="A984" s="20"/>
      <c r="B984" s="20"/>
      <c r="C984" s="20"/>
      <c r="D984" s="20"/>
      <c r="E984" s="20"/>
      <c r="F984" s="20"/>
      <c r="G984" s="20"/>
      <c r="H984" s="20"/>
      <c r="I984" s="20"/>
    </row>
    <row r="985" spans="1:9" ht="14.25" customHeight="1" x14ac:dyDescent="0.35">
      <c r="A985" s="20"/>
      <c r="B985" s="20"/>
      <c r="C985" s="20"/>
      <c r="D985" s="20"/>
      <c r="E985" s="20"/>
      <c r="F985" s="20"/>
      <c r="G985" s="20"/>
      <c r="H985" s="20"/>
      <c r="I985" s="20"/>
    </row>
    <row r="986" spans="1:9" ht="14.25" customHeight="1" x14ac:dyDescent="0.35">
      <c r="A986" s="20"/>
      <c r="B986" s="20"/>
      <c r="C986" s="20"/>
      <c r="D986" s="20"/>
      <c r="E986" s="20"/>
      <c r="F986" s="20"/>
      <c r="G986" s="20"/>
      <c r="H986" s="20"/>
      <c r="I986" s="20"/>
    </row>
    <row r="987" spans="1:9" ht="14.25" customHeight="1" x14ac:dyDescent="0.35">
      <c r="A987" s="20"/>
      <c r="B987" s="20"/>
      <c r="C987" s="20"/>
      <c r="D987" s="20"/>
      <c r="E987" s="20"/>
      <c r="F987" s="20"/>
      <c r="G987" s="20"/>
      <c r="H987" s="20"/>
      <c r="I987" s="20"/>
    </row>
    <row r="988" spans="1:9" ht="14.25" customHeight="1" x14ac:dyDescent="0.35">
      <c r="A988" s="20"/>
      <c r="B988" s="20"/>
      <c r="C988" s="20"/>
      <c r="D988" s="20"/>
      <c r="E988" s="20"/>
      <c r="F988" s="20"/>
      <c r="G988" s="20"/>
      <c r="H988" s="20"/>
      <c r="I988" s="20"/>
    </row>
    <row r="989" spans="1:9" ht="14.25" customHeight="1" x14ac:dyDescent="0.35">
      <c r="A989" s="20"/>
      <c r="B989" s="20"/>
      <c r="C989" s="20"/>
      <c r="D989" s="20"/>
      <c r="E989" s="20"/>
      <c r="F989" s="20"/>
      <c r="G989" s="20"/>
      <c r="H989" s="20"/>
      <c r="I989" s="20"/>
    </row>
    <row r="990" spans="1:9" ht="14.25" customHeight="1" x14ac:dyDescent="0.35">
      <c r="A990" s="20"/>
      <c r="B990" s="20"/>
      <c r="C990" s="20"/>
      <c r="D990" s="20"/>
      <c r="E990" s="20"/>
      <c r="F990" s="20"/>
      <c r="G990" s="20"/>
      <c r="H990" s="20"/>
      <c r="I990" s="20"/>
    </row>
    <row r="991" spans="1:9" ht="14.25" customHeight="1" x14ac:dyDescent="0.35">
      <c r="A991" s="20"/>
      <c r="B991" s="20"/>
      <c r="C991" s="20"/>
      <c r="D991" s="20"/>
      <c r="E991" s="20"/>
      <c r="F991" s="20"/>
      <c r="G991" s="20"/>
      <c r="H991" s="20"/>
      <c r="I991" s="20"/>
    </row>
    <row r="992" spans="1:9" ht="14.25" customHeight="1" x14ac:dyDescent="0.35">
      <c r="A992" s="20"/>
      <c r="B992" s="20"/>
      <c r="C992" s="20"/>
      <c r="D992" s="20"/>
      <c r="E992" s="20"/>
      <c r="F992" s="20"/>
      <c r="G992" s="20"/>
      <c r="H992" s="20"/>
      <c r="I992" s="20"/>
    </row>
    <row r="993" spans="1:9" ht="14.25" customHeight="1" x14ac:dyDescent="0.35">
      <c r="A993" s="20"/>
      <c r="B993" s="20"/>
      <c r="C993" s="20"/>
      <c r="D993" s="20"/>
      <c r="E993" s="20"/>
      <c r="F993" s="20"/>
      <c r="G993" s="20"/>
      <c r="H993" s="20"/>
      <c r="I993" s="20"/>
    </row>
    <row r="994" spans="1:9" ht="14.25" customHeight="1" x14ac:dyDescent="0.35">
      <c r="A994" s="20"/>
      <c r="B994" s="20"/>
      <c r="C994" s="20"/>
      <c r="D994" s="20"/>
      <c r="E994" s="20"/>
      <c r="F994" s="20"/>
      <c r="G994" s="20"/>
      <c r="H994" s="20"/>
      <c r="I994" s="20"/>
    </row>
    <row r="995" spans="1:9" ht="14.25" customHeight="1" x14ac:dyDescent="0.35">
      <c r="A995" s="20"/>
      <c r="B995" s="20"/>
      <c r="C995" s="20"/>
      <c r="D995" s="20"/>
      <c r="E995" s="20"/>
      <c r="F995" s="20"/>
      <c r="G995" s="20"/>
      <c r="H995" s="20"/>
      <c r="I995" s="20"/>
    </row>
    <row r="996" spans="1:9" ht="14.25" customHeight="1" x14ac:dyDescent="0.35">
      <c r="A996" s="20"/>
      <c r="B996" s="20"/>
      <c r="C996" s="20"/>
      <c r="D996" s="20"/>
      <c r="E996" s="20"/>
      <c r="F996" s="20"/>
      <c r="G996" s="20"/>
      <c r="H996" s="20"/>
      <c r="I996" s="20"/>
    </row>
    <row r="997" spans="1:9" ht="14.25" customHeight="1" x14ac:dyDescent="0.35">
      <c r="A997" s="20"/>
      <c r="B997" s="20"/>
      <c r="C997" s="20"/>
      <c r="D997" s="20"/>
      <c r="E997" s="20"/>
      <c r="F997" s="20"/>
      <c r="G997" s="20"/>
      <c r="H997" s="20"/>
      <c r="I997" s="20"/>
    </row>
    <row r="998" spans="1:9" ht="14.25" customHeight="1" x14ac:dyDescent="0.35">
      <c r="A998" s="20"/>
      <c r="B998" s="20"/>
      <c r="C998" s="20"/>
      <c r="D998" s="20"/>
      <c r="E998" s="20"/>
      <c r="F998" s="20"/>
      <c r="G998" s="20"/>
      <c r="H998" s="20"/>
      <c r="I998" s="20"/>
    </row>
    <row r="999" spans="1:9" ht="14.25" customHeight="1" x14ac:dyDescent="0.35">
      <c r="A999" s="20"/>
      <c r="B999" s="20"/>
      <c r="C999" s="20"/>
      <c r="D999" s="20"/>
      <c r="E999" s="20"/>
      <c r="F999" s="20"/>
      <c r="G999" s="20"/>
      <c r="H999" s="20"/>
      <c r="I999" s="20"/>
    </row>
    <row r="1000" spans="1:9" ht="14.25" customHeight="1" x14ac:dyDescent="0.35">
      <c r="A1000" s="20"/>
      <c r="B1000" s="20"/>
      <c r="C1000" s="20"/>
      <c r="D1000" s="20"/>
      <c r="E1000" s="20"/>
      <c r="F1000" s="20"/>
      <c r="G1000" s="20"/>
      <c r="H1000" s="20"/>
      <c r="I1000" s="20"/>
    </row>
  </sheetData>
  <autoFilter ref="A1:G287" xr:uid="{00000000-0009-0000-0000-00000D000000}"/>
  <dataValidations count="2">
    <dataValidation type="custom" allowBlank="1" showDropDown="1" sqref="C2:C286" xr:uid="{00000000-0002-0000-0D00-000000000000}">
      <formula1>AND(ISNUMBER(C2),(NOT(OR(NOT(ISERROR(DATEVALUE(C2))), AND(ISNUMBER(C2), LEFT(CELL("format", C2))="D")))))</formula1>
    </dataValidation>
    <dataValidation type="list" allowBlank="1" showDropDown="1" showErrorMessage="1" sqref="B2:B286" xr:uid="{00000000-0002-0000-0D00-000001000000}">
      <formula1>"Oost-Vlaanderen,Vlaams-Brabant,Antwerpen,Limburg,West-Vlaanderen"</formula1>
    </dataValidation>
  </dataValidation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E1000"/>
  <sheetViews>
    <sheetView workbookViewId="0"/>
  </sheetViews>
  <sheetFormatPr defaultColWidth="14.453125" defaultRowHeight="15" customHeight="1" x14ac:dyDescent="0.35"/>
  <cols>
    <col min="1" max="1" width="21.81640625" customWidth="1"/>
    <col min="2" max="2" width="15.81640625" customWidth="1"/>
    <col min="3" max="3" width="12" customWidth="1"/>
    <col min="4" max="13" width="8.7265625" customWidth="1"/>
  </cols>
  <sheetData>
    <row r="1" spans="1:5" ht="45" customHeight="1" x14ac:dyDescent="0.35">
      <c r="A1" s="136" t="s">
        <v>0</v>
      </c>
      <c r="B1" s="137" t="s">
        <v>1</v>
      </c>
      <c r="C1" s="136" t="s">
        <v>2</v>
      </c>
      <c r="D1" s="136" t="s">
        <v>35</v>
      </c>
      <c r="E1" s="136" t="s">
        <v>36</v>
      </c>
    </row>
    <row r="2" spans="1:5" ht="14.25" customHeight="1" x14ac:dyDescent="0.35">
      <c r="A2" s="138" t="s">
        <v>65</v>
      </c>
      <c r="B2" s="139" t="s">
        <v>50</v>
      </c>
      <c r="C2" s="139">
        <v>41002</v>
      </c>
      <c r="D2" s="139"/>
      <c r="E2" s="139"/>
    </row>
    <row r="3" spans="1:5" ht="14.25" customHeight="1" x14ac:dyDescent="0.35">
      <c r="A3" s="138" t="s">
        <v>231</v>
      </c>
      <c r="B3" s="139" t="s">
        <v>50</v>
      </c>
      <c r="C3" s="139">
        <v>44084</v>
      </c>
      <c r="D3" s="139"/>
      <c r="E3" s="139"/>
    </row>
    <row r="4" spans="1:5" ht="14.25" customHeight="1" x14ac:dyDescent="0.35">
      <c r="A4" s="138" t="s">
        <v>84</v>
      </c>
      <c r="B4" s="139" t="s">
        <v>52</v>
      </c>
      <c r="C4" s="139">
        <v>24001</v>
      </c>
      <c r="D4" s="139"/>
      <c r="E4" s="139"/>
    </row>
    <row r="5" spans="1:5" ht="14.25" customHeight="1" x14ac:dyDescent="0.35">
      <c r="A5" s="138" t="s">
        <v>335</v>
      </c>
      <c r="B5" s="139" t="s">
        <v>48</v>
      </c>
      <c r="C5" s="139">
        <v>11001</v>
      </c>
      <c r="D5" s="139"/>
      <c r="E5" s="139"/>
    </row>
    <row r="6" spans="1:5" ht="14.25" customHeight="1" x14ac:dyDescent="0.35">
      <c r="A6" s="138" t="s">
        <v>306</v>
      </c>
      <c r="B6" s="139" t="s">
        <v>52</v>
      </c>
      <c r="C6" s="139">
        <v>23105</v>
      </c>
      <c r="D6" s="139"/>
      <c r="E6" s="139"/>
    </row>
    <row r="7" spans="1:5" ht="14.25" customHeight="1" x14ac:dyDescent="0.35">
      <c r="A7" s="138" t="s">
        <v>279</v>
      </c>
      <c r="B7" s="139" t="s">
        <v>59</v>
      </c>
      <c r="C7" s="139">
        <v>73001</v>
      </c>
      <c r="D7" s="139"/>
      <c r="E7" s="139"/>
    </row>
    <row r="8" spans="1:5" ht="14.25" customHeight="1" x14ac:dyDescent="0.35">
      <c r="A8" s="138" t="s">
        <v>242</v>
      </c>
      <c r="B8" s="139" t="s">
        <v>55</v>
      </c>
      <c r="C8" s="139">
        <v>38002</v>
      </c>
      <c r="D8" s="139"/>
      <c r="E8" s="139"/>
    </row>
    <row r="9" spans="1:5" ht="14.25" customHeight="1" x14ac:dyDescent="0.35">
      <c r="A9" s="138" t="s">
        <v>48</v>
      </c>
      <c r="B9" s="139" t="s">
        <v>48</v>
      </c>
      <c r="C9" s="139">
        <v>11002</v>
      </c>
      <c r="D9" s="139"/>
      <c r="E9" s="139"/>
    </row>
    <row r="10" spans="1:5" ht="14.25" customHeight="1" x14ac:dyDescent="0.35">
      <c r="A10" s="138" t="s">
        <v>276</v>
      </c>
      <c r="B10" s="139" t="s">
        <v>55</v>
      </c>
      <c r="C10" s="139">
        <v>34002</v>
      </c>
      <c r="D10" s="139"/>
      <c r="E10" s="139"/>
    </row>
    <row r="11" spans="1:5" ht="14.25" customHeight="1" x14ac:dyDescent="0.35">
      <c r="A11" s="138" t="s">
        <v>199</v>
      </c>
      <c r="B11" s="139" t="s">
        <v>55</v>
      </c>
      <c r="C11" s="139">
        <v>37020</v>
      </c>
      <c r="D11" s="139"/>
      <c r="E11" s="139"/>
    </row>
    <row r="12" spans="1:5" ht="14.25" customHeight="1" x14ac:dyDescent="0.35">
      <c r="A12" s="138" t="s">
        <v>304</v>
      </c>
      <c r="B12" s="139" t="s">
        <v>48</v>
      </c>
      <c r="C12" s="139">
        <v>13001</v>
      </c>
      <c r="D12" s="139"/>
      <c r="E12" s="139"/>
    </row>
    <row r="13" spans="1:5" ht="14.25" customHeight="1" x14ac:dyDescent="0.35">
      <c r="A13" s="138" t="s">
        <v>307</v>
      </c>
      <c r="B13" s="139" t="s">
        <v>59</v>
      </c>
      <c r="C13" s="139">
        <v>71002</v>
      </c>
      <c r="D13" s="139"/>
      <c r="E13" s="139"/>
    </row>
    <row r="14" spans="1:5" ht="14.25" customHeight="1" x14ac:dyDescent="0.35">
      <c r="A14" s="138" t="s">
        <v>131</v>
      </c>
      <c r="B14" s="139" t="s">
        <v>52</v>
      </c>
      <c r="C14" s="139">
        <v>23002</v>
      </c>
      <c r="D14" s="139"/>
      <c r="E14" s="139"/>
    </row>
    <row r="15" spans="1:5" ht="14.25" customHeight="1" x14ac:dyDescent="0.35">
      <c r="A15" s="138" t="s">
        <v>177</v>
      </c>
      <c r="B15" s="139" t="s">
        <v>50</v>
      </c>
      <c r="C15" s="139">
        <v>43002</v>
      </c>
      <c r="D15" s="139"/>
      <c r="E15" s="139"/>
    </row>
    <row r="16" spans="1:5" ht="14.25" customHeight="1" x14ac:dyDescent="0.35">
      <c r="A16" s="138" t="s">
        <v>260</v>
      </c>
      <c r="B16" s="139" t="s">
        <v>55</v>
      </c>
      <c r="C16" s="139">
        <v>34003</v>
      </c>
      <c r="D16" s="139"/>
      <c r="E16" s="139"/>
    </row>
    <row r="17" spans="1:5" ht="14.25" customHeight="1" x14ac:dyDescent="0.35">
      <c r="A17" s="138" t="s">
        <v>317</v>
      </c>
      <c r="B17" s="139" t="s">
        <v>48</v>
      </c>
      <c r="C17" s="139">
        <v>13002</v>
      </c>
      <c r="D17" s="139"/>
      <c r="E17" s="139"/>
    </row>
    <row r="18" spans="1:5" ht="14.25" customHeight="1" x14ac:dyDescent="0.35">
      <c r="A18" s="138" t="s">
        <v>125</v>
      </c>
      <c r="B18" s="139" t="s">
        <v>48</v>
      </c>
      <c r="C18" s="139">
        <v>13003</v>
      </c>
      <c r="D18" s="139"/>
      <c r="E18" s="139"/>
    </row>
    <row r="19" spans="1:5" ht="14.25" customHeight="1" x14ac:dyDescent="0.35">
      <c r="A19" s="138" t="s">
        <v>112</v>
      </c>
      <c r="B19" s="139" t="s">
        <v>55</v>
      </c>
      <c r="C19" s="139">
        <v>31003</v>
      </c>
      <c r="D19" s="139"/>
      <c r="E19" s="139"/>
    </row>
    <row r="20" spans="1:5" ht="14.25" customHeight="1" x14ac:dyDescent="0.35">
      <c r="A20" s="138" t="s">
        <v>221</v>
      </c>
      <c r="B20" s="139" t="s">
        <v>48</v>
      </c>
      <c r="C20" s="139">
        <v>13004</v>
      </c>
      <c r="D20" s="139"/>
      <c r="E20" s="139"/>
    </row>
    <row r="21" spans="1:5" ht="14.25" customHeight="1" x14ac:dyDescent="0.35">
      <c r="A21" s="138" t="s">
        <v>128</v>
      </c>
      <c r="B21" s="139" t="s">
        <v>52</v>
      </c>
      <c r="C21" s="139">
        <v>23003</v>
      </c>
      <c r="D21" s="139"/>
      <c r="E21" s="139"/>
    </row>
    <row r="22" spans="1:5" ht="14.25" customHeight="1" x14ac:dyDescent="0.35">
      <c r="A22" s="138" t="s">
        <v>327</v>
      </c>
      <c r="B22" s="139" t="s">
        <v>52</v>
      </c>
      <c r="C22" s="139">
        <v>24007</v>
      </c>
      <c r="D22" s="139"/>
      <c r="E22" s="139"/>
    </row>
    <row r="23" spans="1:5" ht="14.25" customHeight="1" x14ac:dyDescent="0.35">
      <c r="A23" s="138" t="s">
        <v>249</v>
      </c>
      <c r="B23" s="139" t="s">
        <v>52</v>
      </c>
      <c r="C23" s="139">
        <v>24008</v>
      </c>
      <c r="D23" s="139"/>
      <c r="E23" s="139"/>
    </row>
    <row r="24" spans="1:5" ht="14.25" customHeight="1" x14ac:dyDescent="0.35">
      <c r="A24" s="138" t="s">
        <v>235</v>
      </c>
      <c r="B24" s="139" t="s">
        <v>59</v>
      </c>
      <c r="C24" s="139">
        <v>71004</v>
      </c>
      <c r="D24" s="139"/>
      <c r="E24" s="139"/>
    </row>
    <row r="25" spans="1:5" ht="14.25" customHeight="1" x14ac:dyDescent="0.35">
      <c r="A25" s="138" t="s">
        <v>136</v>
      </c>
      <c r="B25" s="139" t="s">
        <v>48</v>
      </c>
      <c r="C25" s="139">
        <v>12002</v>
      </c>
      <c r="D25" s="139"/>
      <c r="E25" s="139"/>
    </row>
    <row r="26" spans="1:5" ht="14.25" customHeight="1" x14ac:dyDescent="0.35">
      <c r="A26" s="138" t="s">
        <v>216</v>
      </c>
      <c r="B26" s="139" t="s">
        <v>50</v>
      </c>
      <c r="C26" s="139">
        <v>42003</v>
      </c>
      <c r="D26" s="139"/>
      <c r="E26" s="139"/>
    </row>
    <row r="27" spans="1:5" ht="14.25" customHeight="1" x14ac:dyDescent="0.35">
      <c r="A27" s="138" t="s">
        <v>259</v>
      </c>
      <c r="B27" s="139" t="s">
        <v>52</v>
      </c>
      <c r="C27" s="139">
        <v>24009</v>
      </c>
      <c r="D27" s="139"/>
      <c r="E27" s="139"/>
    </row>
    <row r="28" spans="1:5" ht="14.25" customHeight="1" x14ac:dyDescent="0.35">
      <c r="A28" s="138" t="s">
        <v>315</v>
      </c>
      <c r="B28" s="139" t="s">
        <v>52</v>
      </c>
      <c r="C28" s="139">
        <v>23009</v>
      </c>
      <c r="D28" s="139"/>
      <c r="E28" s="139"/>
    </row>
    <row r="29" spans="1:5" ht="14.25" customHeight="1" x14ac:dyDescent="0.35">
      <c r="A29" s="138" t="s">
        <v>67</v>
      </c>
      <c r="B29" s="139" t="s">
        <v>50</v>
      </c>
      <c r="C29" s="139">
        <v>46003</v>
      </c>
      <c r="D29" s="139"/>
      <c r="E29" s="139"/>
    </row>
    <row r="30" spans="1:5" ht="14.25" customHeight="1" x14ac:dyDescent="0.35">
      <c r="A30" s="138" t="s">
        <v>109</v>
      </c>
      <c r="B30" s="139" t="s">
        <v>52</v>
      </c>
      <c r="C30" s="139">
        <v>24011</v>
      </c>
      <c r="D30" s="139"/>
      <c r="E30" s="139"/>
    </row>
    <row r="31" spans="1:5" ht="14.25" customHeight="1" x14ac:dyDescent="0.35">
      <c r="A31" s="138" t="s">
        <v>237</v>
      </c>
      <c r="B31" s="139" t="s">
        <v>59</v>
      </c>
      <c r="C31" s="139">
        <v>73006</v>
      </c>
      <c r="D31" s="139"/>
      <c r="E31" s="139"/>
    </row>
    <row r="32" spans="1:5" ht="14.25" customHeight="1" x14ac:dyDescent="0.35">
      <c r="A32" s="138" t="s">
        <v>99</v>
      </c>
      <c r="B32" s="139" t="s">
        <v>55</v>
      </c>
      <c r="C32" s="139">
        <v>31004</v>
      </c>
      <c r="D32" s="139"/>
      <c r="E32" s="139"/>
    </row>
    <row r="33" spans="1:5" ht="14.25" customHeight="1" x14ac:dyDescent="0.35">
      <c r="A33" s="138" t="s">
        <v>329</v>
      </c>
      <c r="B33" s="139" t="s">
        <v>59</v>
      </c>
      <c r="C33" s="139">
        <v>72003</v>
      </c>
      <c r="D33" s="139"/>
      <c r="E33" s="139"/>
    </row>
    <row r="34" spans="1:5" ht="14.25" customHeight="1" x14ac:dyDescent="0.35">
      <c r="A34" s="138" t="s">
        <v>271</v>
      </c>
      <c r="B34" s="139" t="s">
        <v>48</v>
      </c>
      <c r="C34" s="139">
        <v>11004</v>
      </c>
      <c r="D34" s="139"/>
      <c r="E34" s="139"/>
    </row>
    <row r="35" spans="1:5" ht="14.25" customHeight="1" x14ac:dyDescent="0.35">
      <c r="A35" s="138" t="s">
        <v>97</v>
      </c>
      <c r="B35" s="139" t="s">
        <v>48</v>
      </c>
      <c r="C35" s="139">
        <v>12005</v>
      </c>
      <c r="D35" s="139"/>
      <c r="E35" s="139"/>
    </row>
    <row r="36" spans="1:5" ht="14.25" customHeight="1" x14ac:dyDescent="0.35">
      <c r="A36" s="138" t="s">
        <v>224</v>
      </c>
      <c r="B36" s="139" t="s">
        <v>48</v>
      </c>
      <c r="C36" s="139">
        <v>11005</v>
      </c>
      <c r="D36" s="139"/>
      <c r="E36" s="139"/>
    </row>
    <row r="37" spans="1:5" ht="14.25" customHeight="1" x14ac:dyDescent="0.35">
      <c r="A37" s="138" t="s">
        <v>157</v>
      </c>
      <c r="B37" s="139" t="s">
        <v>52</v>
      </c>
      <c r="C37" s="139">
        <v>24014</v>
      </c>
      <c r="D37" s="139"/>
      <c r="E37" s="139"/>
    </row>
    <row r="38" spans="1:5" ht="14.25" customHeight="1" x14ac:dyDescent="0.35">
      <c r="A38" s="138" t="s">
        <v>184</v>
      </c>
      <c r="B38" s="139" t="s">
        <v>48</v>
      </c>
      <c r="C38" s="139">
        <v>12007</v>
      </c>
      <c r="D38" s="139"/>
      <c r="E38" s="139"/>
    </row>
    <row r="39" spans="1:5" ht="14.25" customHeight="1" x14ac:dyDescent="0.35">
      <c r="A39" s="138" t="s">
        <v>170</v>
      </c>
      <c r="B39" s="139" t="s">
        <v>52</v>
      </c>
      <c r="C39" s="139">
        <v>24016</v>
      </c>
      <c r="D39" s="139"/>
      <c r="E39" s="139"/>
    </row>
    <row r="40" spans="1:5" ht="14.25" customHeight="1" x14ac:dyDescent="0.35">
      <c r="A40" s="138" t="s">
        <v>275</v>
      </c>
      <c r="B40" s="139" t="s">
        <v>50</v>
      </c>
      <c r="C40" s="139">
        <v>45059</v>
      </c>
      <c r="D40" s="139"/>
      <c r="E40" s="139"/>
    </row>
    <row r="41" spans="1:5" ht="14.25" customHeight="1" x14ac:dyDescent="0.35">
      <c r="A41" s="138" t="s">
        <v>106</v>
      </c>
      <c r="B41" s="139" t="s">
        <v>48</v>
      </c>
      <c r="C41" s="139">
        <v>11008</v>
      </c>
      <c r="D41" s="139"/>
      <c r="E41" s="139"/>
    </row>
    <row r="42" spans="1:5" ht="14.25" customHeight="1" x14ac:dyDescent="0.35">
      <c r="A42" s="138" t="s">
        <v>294</v>
      </c>
      <c r="B42" s="139" t="s">
        <v>48</v>
      </c>
      <c r="C42" s="139">
        <v>11009</v>
      </c>
      <c r="D42" s="139"/>
      <c r="E42" s="139"/>
    </row>
    <row r="43" spans="1:5" ht="14.25" customHeight="1" x14ac:dyDescent="0.35">
      <c r="A43" s="138" t="s">
        <v>219</v>
      </c>
      <c r="B43" s="139" t="s">
        <v>55</v>
      </c>
      <c r="C43" s="139">
        <v>35002</v>
      </c>
      <c r="D43" s="139"/>
      <c r="E43" s="139"/>
    </row>
    <row r="44" spans="1:5" ht="14.25" customHeight="1" x14ac:dyDescent="0.35">
      <c r="A44" s="138" t="s">
        <v>227</v>
      </c>
      <c r="B44" s="139" t="s">
        <v>59</v>
      </c>
      <c r="C44" s="139">
        <v>72004</v>
      </c>
      <c r="D44" s="139"/>
      <c r="E44" s="139"/>
    </row>
    <row r="45" spans="1:5" ht="14.25" customHeight="1" x14ac:dyDescent="0.35">
      <c r="A45" s="138" t="s">
        <v>54</v>
      </c>
      <c r="B45" s="139" t="s">
        <v>55</v>
      </c>
      <c r="C45" s="139">
        <v>31005</v>
      </c>
      <c r="D45" s="139"/>
      <c r="E45" s="139"/>
    </row>
    <row r="46" spans="1:5" ht="14.25" customHeight="1" x14ac:dyDescent="0.35">
      <c r="A46" s="138" t="s">
        <v>274</v>
      </c>
      <c r="B46" s="139" t="s">
        <v>50</v>
      </c>
      <c r="C46" s="139">
        <v>42004</v>
      </c>
      <c r="D46" s="139"/>
      <c r="E46" s="139"/>
    </row>
    <row r="47" spans="1:5" ht="14.25" customHeight="1" x14ac:dyDescent="0.35">
      <c r="A47" s="138" t="s">
        <v>96</v>
      </c>
      <c r="B47" s="139" t="s">
        <v>55</v>
      </c>
      <c r="C47" s="139">
        <v>31006</v>
      </c>
      <c r="D47" s="139"/>
      <c r="E47" s="139"/>
    </row>
    <row r="48" spans="1:5" ht="14.25" customHeight="1" x14ac:dyDescent="0.35">
      <c r="A48" s="138" t="s">
        <v>268</v>
      </c>
      <c r="B48" s="139" t="s">
        <v>55</v>
      </c>
      <c r="C48" s="139">
        <v>35029</v>
      </c>
      <c r="D48" s="139"/>
      <c r="E48" s="139"/>
    </row>
    <row r="49" spans="1:5" ht="14.25" customHeight="1" x14ac:dyDescent="0.35">
      <c r="A49" s="138" t="s">
        <v>135</v>
      </c>
      <c r="B49" s="139" t="s">
        <v>55</v>
      </c>
      <c r="C49" s="139">
        <v>38008</v>
      </c>
      <c r="D49" s="139"/>
      <c r="E49" s="139"/>
    </row>
    <row r="50" spans="1:5" ht="14.25" customHeight="1" x14ac:dyDescent="0.35">
      <c r="A50" s="138" t="s">
        <v>156</v>
      </c>
      <c r="B50" s="139" t="s">
        <v>55</v>
      </c>
      <c r="C50" s="139">
        <v>34009</v>
      </c>
      <c r="D50" s="139"/>
      <c r="E50" s="139"/>
    </row>
    <row r="51" spans="1:5" ht="14.25" customHeight="1" x14ac:dyDescent="0.35">
      <c r="A51" s="138" t="s">
        <v>62</v>
      </c>
      <c r="B51" s="139" t="s">
        <v>50</v>
      </c>
      <c r="C51" s="139">
        <v>44083</v>
      </c>
      <c r="D51" s="139"/>
      <c r="E51" s="139"/>
    </row>
    <row r="52" spans="1:5" ht="14.25" customHeight="1" x14ac:dyDescent="0.35">
      <c r="A52" s="138" t="s">
        <v>182</v>
      </c>
      <c r="B52" s="139" t="s">
        <v>50</v>
      </c>
      <c r="C52" s="139">
        <v>41011</v>
      </c>
      <c r="D52" s="139"/>
      <c r="E52" s="139"/>
    </row>
    <row r="53" spans="1:5" ht="14.25" customHeight="1" x14ac:dyDescent="0.35">
      <c r="A53" s="138" t="s">
        <v>80</v>
      </c>
      <c r="B53" s="139" t="s">
        <v>50</v>
      </c>
      <c r="C53" s="139">
        <v>42006</v>
      </c>
      <c r="D53" s="139"/>
      <c r="E53" s="139"/>
    </row>
    <row r="54" spans="1:5" ht="14.25" customHeight="1" x14ac:dyDescent="0.35">
      <c r="A54" s="138" t="s">
        <v>168</v>
      </c>
      <c r="B54" s="139" t="s">
        <v>55</v>
      </c>
      <c r="C54" s="139">
        <v>37002</v>
      </c>
      <c r="D54" s="139"/>
      <c r="E54" s="139"/>
    </row>
    <row r="55" spans="1:5" ht="14.25" customHeight="1" x14ac:dyDescent="0.35">
      <c r="A55" s="138" t="s">
        <v>301</v>
      </c>
      <c r="B55" s="139" t="s">
        <v>48</v>
      </c>
      <c r="C55" s="139">
        <v>13006</v>
      </c>
      <c r="D55" s="139"/>
      <c r="E55" s="139"/>
    </row>
    <row r="56" spans="1:5" ht="14.25" customHeight="1" x14ac:dyDescent="0.35">
      <c r="A56" s="138" t="s">
        <v>71</v>
      </c>
      <c r="B56" s="139" t="s">
        <v>50</v>
      </c>
      <c r="C56" s="139">
        <v>44013</v>
      </c>
      <c r="D56" s="139"/>
      <c r="E56" s="139"/>
    </row>
    <row r="57" spans="1:5" ht="14.25" customHeight="1" x14ac:dyDescent="0.35">
      <c r="A57" s="138" t="s">
        <v>309</v>
      </c>
      <c r="B57" s="139" t="s">
        <v>59</v>
      </c>
      <c r="C57" s="139">
        <v>71011</v>
      </c>
      <c r="D57" s="139"/>
      <c r="E57" s="139"/>
    </row>
    <row r="58" spans="1:5" ht="14.25" customHeight="1" x14ac:dyDescent="0.35">
      <c r="A58" s="138" t="s">
        <v>88</v>
      </c>
      <c r="B58" s="139" t="s">
        <v>52</v>
      </c>
      <c r="C58" s="139">
        <v>24020</v>
      </c>
      <c r="D58" s="139"/>
      <c r="E58" s="139"/>
    </row>
    <row r="59" spans="1:5" ht="14.25" customHeight="1" x14ac:dyDescent="0.35">
      <c r="A59" s="138" t="s">
        <v>280</v>
      </c>
      <c r="B59" s="139" t="s">
        <v>55</v>
      </c>
      <c r="C59" s="139">
        <v>32003</v>
      </c>
      <c r="D59" s="139"/>
      <c r="E59" s="139"/>
    </row>
    <row r="60" spans="1:5" ht="14.25" customHeight="1" x14ac:dyDescent="0.35">
      <c r="A60" s="138" t="s">
        <v>85</v>
      </c>
      <c r="B60" s="139" t="s">
        <v>52</v>
      </c>
      <c r="C60" s="139">
        <v>23016</v>
      </c>
      <c r="D60" s="139"/>
      <c r="E60" s="139"/>
    </row>
    <row r="61" spans="1:5" ht="14.25" customHeight="1" x14ac:dyDescent="0.35">
      <c r="A61" s="138" t="s">
        <v>333</v>
      </c>
      <c r="B61" s="139" t="s">
        <v>59</v>
      </c>
      <c r="C61" s="139">
        <v>72041</v>
      </c>
      <c r="D61" s="139"/>
      <c r="E61" s="139"/>
    </row>
    <row r="62" spans="1:5" ht="14.25" customHeight="1" x14ac:dyDescent="0.35">
      <c r="A62" s="138" t="s">
        <v>298</v>
      </c>
      <c r="B62" s="139" t="s">
        <v>52</v>
      </c>
      <c r="C62" s="139">
        <v>23098</v>
      </c>
      <c r="D62" s="139"/>
      <c r="E62" s="139"/>
    </row>
    <row r="63" spans="1:5" ht="14.25" customHeight="1" x14ac:dyDescent="0.35">
      <c r="A63" s="138" t="s">
        <v>140</v>
      </c>
      <c r="B63" s="139" t="s">
        <v>48</v>
      </c>
      <c r="C63" s="139">
        <v>12009</v>
      </c>
      <c r="D63" s="139"/>
      <c r="E63" s="139"/>
    </row>
    <row r="64" spans="1:5" ht="14.25" customHeight="1" x14ac:dyDescent="0.35">
      <c r="A64" s="138" t="s">
        <v>123</v>
      </c>
      <c r="B64" s="139" t="s">
        <v>48</v>
      </c>
      <c r="C64" s="139">
        <v>11013</v>
      </c>
      <c r="D64" s="139"/>
      <c r="E64" s="139"/>
    </row>
    <row r="65" spans="1:5" ht="14.25" customHeight="1" x14ac:dyDescent="0.35">
      <c r="A65" s="138" t="s">
        <v>118</v>
      </c>
      <c r="B65" s="139" t="s">
        <v>50</v>
      </c>
      <c r="C65" s="139">
        <v>43005</v>
      </c>
      <c r="D65" s="139"/>
      <c r="E65" s="139"/>
    </row>
    <row r="66" spans="1:5" ht="14.25" customHeight="1" x14ac:dyDescent="0.35">
      <c r="A66" s="138" t="s">
        <v>116</v>
      </c>
      <c r="B66" s="139" t="s">
        <v>50</v>
      </c>
      <c r="C66" s="139">
        <v>41082</v>
      </c>
      <c r="D66" s="139"/>
      <c r="E66" s="139"/>
    </row>
    <row r="67" spans="1:5" ht="14.25" customHeight="1" x14ac:dyDescent="0.35">
      <c r="A67" s="138" t="s">
        <v>180</v>
      </c>
      <c r="B67" s="139" t="s">
        <v>48</v>
      </c>
      <c r="C67" s="139">
        <v>11016</v>
      </c>
      <c r="D67" s="139"/>
      <c r="E67" s="139"/>
    </row>
    <row r="68" spans="1:5" ht="14.25" customHeight="1" x14ac:dyDescent="0.35">
      <c r="A68" s="138" t="s">
        <v>90</v>
      </c>
      <c r="B68" s="139" t="s">
        <v>50</v>
      </c>
      <c r="C68" s="139">
        <v>44019</v>
      </c>
      <c r="D68" s="139"/>
      <c r="E68" s="139"/>
    </row>
    <row r="69" spans="1:5" ht="14.25" customHeight="1" x14ac:dyDescent="0.35">
      <c r="A69" s="138" t="s">
        <v>209</v>
      </c>
      <c r="B69" s="139" t="s">
        <v>50</v>
      </c>
      <c r="C69" s="139">
        <v>44020</v>
      </c>
      <c r="D69" s="139"/>
      <c r="E69" s="139"/>
    </row>
    <row r="70" spans="1:5" ht="14.25" customHeight="1" x14ac:dyDescent="0.35">
      <c r="A70" s="138" t="s">
        <v>91</v>
      </c>
      <c r="B70" s="139" t="s">
        <v>48</v>
      </c>
      <c r="C70" s="139">
        <v>13008</v>
      </c>
      <c r="D70" s="139"/>
      <c r="E70" s="139"/>
    </row>
    <row r="71" spans="1:5" ht="14.25" customHeight="1" x14ac:dyDescent="0.35">
      <c r="A71" s="138" t="s">
        <v>245</v>
      </c>
      <c r="B71" s="139" t="s">
        <v>52</v>
      </c>
      <c r="C71" s="139">
        <v>24028</v>
      </c>
      <c r="D71" s="139"/>
      <c r="E71" s="139"/>
    </row>
    <row r="72" spans="1:5" ht="14.25" customHeight="1" x14ac:dyDescent="0.35">
      <c r="A72" s="138" t="s">
        <v>95</v>
      </c>
      <c r="B72" s="139" t="s">
        <v>59</v>
      </c>
      <c r="C72" s="139">
        <v>71016</v>
      </c>
      <c r="D72" s="139"/>
      <c r="E72" s="139"/>
    </row>
    <row r="73" spans="1:5" ht="14.25" customHeight="1" x14ac:dyDescent="0.35">
      <c r="A73" s="138" t="s">
        <v>49</v>
      </c>
      <c r="B73" s="139" t="s">
        <v>50</v>
      </c>
      <c r="C73" s="139">
        <v>44021</v>
      </c>
      <c r="D73" s="139"/>
      <c r="E73" s="139"/>
    </row>
    <row r="74" spans="1:5" ht="14.25" customHeight="1" x14ac:dyDescent="0.35">
      <c r="A74" s="138" t="s">
        <v>144</v>
      </c>
      <c r="B74" s="139" t="s">
        <v>50</v>
      </c>
      <c r="C74" s="139">
        <v>41018</v>
      </c>
      <c r="D74" s="139"/>
      <c r="E74" s="139"/>
    </row>
    <row r="75" spans="1:5" ht="14.25" customHeight="1" x14ac:dyDescent="0.35">
      <c r="A75" s="138" t="s">
        <v>323</v>
      </c>
      <c r="B75" s="139" t="s">
        <v>59</v>
      </c>
      <c r="C75" s="139">
        <v>71017</v>
      </c>
      <c r="D75" s="139"/>
      <c r="E75" s="139"/>
    </row>
    <row r="76" spans="1:5" ht="14.25" customHeight="1" x14ac:dyDescent="0.35">
      <c r="A76" s="138" t="s">
        <v>206</v>
      </c>
      <c r="B76" s="139" t="s">
        <v>55</v>
      </c>
      <c r="C76" s="139">
        <v>35005</v>
      </c>
      <c r="D76" s="139"/>
      <c r="E76" s="139"/>
    </row>
    <row r="77" spans="1:5" ht="14.25" customHeight="1" x14ac:dyDescent="0.35">
      <c r="A77" s="138" t="s">
        <v>243</v>
      </c>
      <c r="B77" s="139" t="s">
        <v>52</v>
      </c>
      <c r="C77" s="139">
        <v>24137</v>
      </c>
      <c r="D77" s="139"/>
      <c r="E77" s="139"/>
    </row>
    <row r="78" spans="1:5" ht="14.25" customHeight="1" x14ac:dyDescent="0.35">
      <c r="A78" s="138" t="s">
        <v>107</v>
      </c>
      <c r="B78" s="139" t="s">
        <v>52</v>
      </c>
      <c r="C78" s="139">
        <v>23025</v>
      </c>
      <c r="D78" s="139"/>
      <c r="E78" s="139"/>
    </row>
    <row r="79" spans="1:5" ht="14.25" customHeight="1" x14ac:dyDescent="0.35">
      <c r="A79" s="138" t="s">
        <v>303</v>
      </c>
      <c r="B79" s="139" t="s">
        <v>48</v>
      </c>
      <c r="C79" s="139">
        <v>13010</v>
      </c>
      <c r="D79" s="139"/>
      <c r="E79" s="139"/>
    </row>
    <row r="80" spans="1:5" ht="14.25" customHeight="1" x14ac:dyDescent="0.35">
      <c r="A80" s="138" t="s">
        <v>92</v>
      </c>
      <c r="B80" s="139" t="s">
        <v>52</v>
      </c>
      <c r="C80" s="139">
        <v>24033</v>
      </c>
      <c r="D80" s="139"/>
      <c r="E80" s="139"/>
    </row>
    <row r="81" spans="1:5" ht="14.25" customHeight="1" x14ac:dyDescent="0.35">
      <c r="A81" s="138" t="s">
        <v>223</v>
      </c>
      <c r="B81" s="139" t="s">
        <v>50</v>
      </c>
      <c r="C81" s="139">
        <v>41024</v>
      </c>
      <c r="D81" s="139"/>
      <c r="E81" s="139"/>
    </row>
    <row r="82" spans="1:5" ht="14.25" customHeight="1" x14ac:dyDescent="0.35">
      <c r="A82" s="138" t="s">
        <v>324</v>
      </c>
      <c r="B82" s="139" t="s">
        <v>59</v>
      </c>
      <c r="C82" s="139">
        <v>71020</v>
      </c>
      <c r="D82" s="139"/>
      <c r="E82" s="139"/>
    </row>
    <row r="83" spans="1:5" ht="14.25" customHeight="1" x14ac:dyDescent="0.35">
      <c r="A83" s="138" t="s">
        <v>70</v>
      </c>
      <c r="B83" s="139" t="s">
        <v>52</v>
      </c>
      <c r="C83" s="139">
        <v>23027</v>
      </c>
      <c r="D83" s="139"/>
      <c r="E83" s="139"/>
    </row>
    <row r="84" spans="1:5" ht="14.25" customHeight="1" x14ac:dyDescent="0.35">
      <c r="A84" s="138" t="s">
        <v>127</v>
      </c>
      <c r="B84" s="139" t="s">
        <v>50</v>
      </c>
      <c r="C84" s="139">
        <v>42008</v>
      </c>
      <c r="D84" s="139"/>
      <c r="E84" s="139"/>
    </row>
    <row r="85" spans="1:5" ht="14.25" customHeight="1" x14ac:dyDescent="0.35">
      <c r="A85" s="138" t="s">
        <v>331</v>
      </c>
      <c r="B85" s="139" t="s">
        <v>59</v>
      </c>
      <c r="C85" s="139">
        <v>72037</v>
      </c>
      <c r="D85" s="139"/>
      <c r="E85" s="139"/>
    </row>
    <row r="86" spans="1:5" ht="14.25" customHeight="1" x14ac:dyDescent="0.35">
      <c r="A86" s="138" t="s">
        <v>73</v>
      </c>
      <c r="B86" s="139" t="s">
        <v>55</v>
      </c>
      <c r="C86" s="139">
        <v>34013</v>
      </c>
      <c r="D86" s="139"/>
      <c r="E86" s="139"/>
    </row>
    <row r="87" spans="1:5" ht="14.25" customHeight="1" x14ac:dyDescent="0.35">
      <c r="A87" s="138" t="s">
        <v>58</v>
      </c>
      <c r="B87" s="139" t="s">
        <v>59</v>
      </c>
      <c r="C87" s="139">
        <v>71022</v>
      </c>
      <c r="D87" s="139"/>
      <c r="E87" s="139"/>
    </row>
    <row r="88" spans="1:5" ht="14.25" customHeight="1" x14ac:dyDescent="0.35">
      <c r="A88" s="138" t="s">
        <v>265</v>
      </c>
      <c r="B88" s="139" t="s">
        <v>59</v>
      </c>
      <c r="C88" s="139">
        <v>72038</v>
      </c>
      <c r="D88" s="139"/>
      <c r="E88" s="139"/>
    </row>
    <row r="89" spans="1:5" ht="14.25" customHeight="1" x14ac:dyDescent="0.35">
      <c r="A89" s="138" t="s">
        <v>300</v>
      </c>
      <c r="B89" s="139" t="s">
        <v>59</v>
      </c>
      <c r="C89" s="139">
        <v>73022</v>
      </c>
      <c r="D89" s="139"/>
      <c r="E89" s="139"/>
    </row>
    <row r="90" spans="1:5" ht="14.25" customHeight="1" x14ac:dyDescent="0.35">
      <c r="A90" s="138" t="s">
        <v>108</v>
      </c>
      <c r="B90" s="139" t="s">
        <v>48</v>
      </c>
      <c r="C90" s="139">
        <v>12014</v>
      </c>
      <c r="D90" s="139"/>
      <c r="E90" s="139"/>
    </row>
    <row r="91" spans="1:5" ht="14.25" customHeight="1" x14ac:dyDescent="0.35">
      <c r="A91" s="138" t="s">
        <v>266</v>
      </c>
      <c r="B91" s="139" t="s">
        <v>48</v>
      </c>
      <c r="C91" s="139">
        <v>11018</v>
      </c>
      <c r="D91" s="139"/>
      <c r="E91" s="139"/>
    </row>
    <row r="92" spans="1:5" ht="14.25" customHeight="1" x14ac:dyDescent="0.35">
      <c r="A92" s="138" t="s">
        <v>69</v>
      </c>
      <c r="B92" s="139" t="s">
        <v>52</v>
      </c>
      <c r="C92" s="139">
        <v>24038</v>
      </c>
      <c r="D92" s="139"/>
      <c r="E92" s="139"/>
    </row>
    <row r="93" spans="1:5" ht="14.25" customHeight="1" x14ac:dyDescent="0.35">
      <c r="A93" s="138" t="s">
        <v>83</v>
      </c>
      <c r="B93" s="139" t="s">
        <v>48</v>
      </c>
      <c r="C93" s="139">
        <v>13011</v>
      </c>
      <c r="D93" s="139"/>
      <c r="E93" s="139"/>
    </row>
    <row r="94" spans="1:5" ht="14.25" customHeight="1" x14ac:dyDescent="0.35">
      <c r="A94" s="138" t="s">
        <v>326</v>
      </c>
      <c r="B94" s="139" t="s">
        <v>48</v>
      </c>
      <c r="C94" s="139">
        <v>13012</v>
      </c>
      <c r="D94" s="139"/>
      <c r="E94" s="139"/>
    </row>
    <row r="95" spans="1:5" ht="14.25" customHeight="1" x14ac:dyDescent="0.35">
      <c r="A95" s="138" t="s">
        <v>187</v>
      </c>
      <c r="B95" s="139" t="s">
        <v>59</v>
      </c>
      <c r="C95" s="139">
        <v>71024</v>
      </c>
      <c r="D95" s="139"/>
      <c r="E95" s="139"/>
    </row>
    <row r="96" spans="1:5" ht="14.25" customHeight="1" x14ac:dyDescent="0.35">
      <c r="A96" s="138" t="s">
        <v>272</v>
      </c>
      <c r="B96" s="139" t="s">
        <v>48</v>
      </c>
      <c r="C96" s="139">
        <v>13013</v>
      </c>
      <c r="D96" s="139"/>
      <c r="E96" s="139"/>
    </row>
    <row r="97" spans="1:5" ht="14.25" customHeight="1" x14ac:dyDescent="0.35">
      <c r="A97" s="138" t="s">
        <v>313</v>
      </c>
      <c r="B97" s="139" t="s">
        <v>59</v>
      </c>
      <c r="C97" s="139">
        <v>73028</v>
      </c>
      <c r="D97" s="139"/>
      <c r="E97" s="139"/>
    </row>
    <row r="98" spans="1:5" ht="14.25" customHeight="1" x14ac:dyDescent="0.35">
      <c r="A98" s="138" t="s">
        <v>113</v>
      </c>
      <c r="B98" s="139" t="s">
        <v>50</v>
      </c>
      <c r="C98" s="139">
        <v>41027</v>
      </c>
      <c r="D98" s="139"/>
      <c r="E98" s="139"/>
    </row>
    <row r="99" spans="1:5" ht="14.25" customHeight="1" x14ac:dyDescent="0.35">
      <c r="A99" s="138" t="s">
        <v>190</v>
      </c>
      <c r="B99" s="139" t="s">
        <v>59</v>
      </c>
      <c r="C99" s="139">
        <v>71070</v>
      </c>
      <c r="D99" s="139"/>
      <c r="E99" s="139"/>
    </row>
    <row r="100" spans="1:5" ht="14.25" customHeight="1" x14ac:dyDescent="0.35">
      <c r="A100" s="138" t="s">
        <v>167</v>
      </c>
      <c r="B100" s="139" t="s">
        <v>55</v>
      </c>
      <c r="C100" s="139">
        <v>33039</v>
      </c>
      <c r="D100" s="139"/>
      <c r="E100" s="139"/>
    </row>
    <row r="101" spans="1:5" ht="14.25" customHeight="1" x14ac:dyDescent="0.35">
      <c r="A101" s="138" t="s">
        <v>192</v>
      </c>
      <c r="B101" s="139" t="s">
        <v>52</v>
      </c>
      <c r="C101" s="139">
        <v>24041</v>
      </c>
      <c r="D101" s="139"/>
      <c r="E101" s="139"/>
    </row>
    <row r="102" spans="1:5" ht="14.25" customHeight="1" x14ac:dyDescent="0.35">
      <c r="A102" s="138" t="s">
        <v>153</v>
      </c>
      <c r="B102" s="139" t="s">
        <v>52</v>
      </c>
      <c r="C102" s="139">
        <v>23033</v>
      </c>
      <c r="D102" s="139"/>
      <c r="E102" s="139"/>
    </row>
    <row r="103" spans="1:5" ht="14.25" customHeight="1" x14ac:dyDescent="0.35">
      <c r="A103" s="138" t="s">
        <v>86</v>
      </c>
      <c r="B103" s="139" t="s">
        <v>52</v>
      </c>
      <c r="C103" s="139">
        <v>24043</v>
      </c>
      <c r="D103" s="139"/>
      <c r="E103" s="139"/>
    </row>
    <row r="104" spans="1:5" ht="14.25" customHeight="1" x14ac:dyDescent="0.35">
      <c r="A104" s="138" t="s">
        <v>150</v>
      </c>
      <c r="B104" s="139" t="s">
        <v>55</v>
      </c>
      <c r="C104" s="139">
        <v>36006</v>
      </c>
      <c r="D104" s="139"/>
      <c r="E104" s="139"/>
    </row>
    <row r="105" spans="1:5" ht="14.25" customHeight="1" x14ac:dyDescent="0.35">
      <c r="A105" s="138" t="s">
        <v>185</v>
      </c>
      <c r="B105" s="139" t="s">
        <v>48</v>
      </c>
      <c r="C105" s="139">
        <v>13014</v>
      </c>
      <c r="D105" s="139"/>
      <c r="E105" s="139"/>
    </row>
    <row r="106" spans="1:5" ht="14.25" customHeight="1" x14ac:dyDescent="0.35">
      <c r="A106" s="138" t="s">
        <v>297</v>
      </c>
      <c r="B106" s="139" t="s">
        <v>50</v>
      </c>
      <c r="C106" s="139">
        <v>45062</v>
      </c>
      <c r="D106" s="139"/>
      <c r="E106" s="139"/>
    </row>
    <row r="107" spans="1:5" ht="14.25" customHeight="1" x14ac:dyDescent="0.35">
      <c r="A107" s="138" t="s">
        <v>296</v>
      </c>
      <c r="B107" s="139" t="s">
        <v>59</v>
      </c>
      <c r="C107" s="139">
        <v>72039</v>
      </c>
      <c r="D107" s="139"/>
      <c r="E107" s="139"/>
    </row>
    <row r="108" spans="1:5" ht="14.25" customHeight="1" x14ac:dyDescent="0.35">
      <c r="A108" s="138" t="s">
        <v>261</v>
      </c>
      <c r="B108" s="139" t="s">
        <v>55</v>
      </c>
      <c r="C108" s="139">
        <v>32006</v>
      </c>
      <c r="D108" s="139"/>
      <c r="E108" s="139"/>
    </row>
    <row r="109" spans="1:5" ht="14.25" customHeight="1" x14ac:dyDescent="0.35">
      <c r="A109" s="138" t="s">
        <v>196</v>
      </c>
      <c r="B109" s="139" t="s">
        <v>48</v>
      </c>
      <c r="C109" s="139">
        <v>11021</v>
      </c>
      <c r="D109" s="139"/>
      <c r="E109" s="139"/>
    </row>
    <row r="110" spans="1:5" ht="14.25" customHeight="1" x14ac:dyDescent="0.35">
      <c r="A110" s="138" t="s">
        <v>134</v>
      </c>
      <c r="B110" s="139" t="s">
        <v>52</v>
      </c>
      <c r="C110" s="139">
        <v>24045</v>
      </c>
      <c r="D110" s="139"/>
      <c r="E110" s="139"/>
    </row>
    <row r="111" spans="1:5" ht="14.25" customHeight="1" x14ac:dyDescent="0.35">
      <c r="A111" s="138" t="s">
        <v>173</v>
      </c>
      <c r="B111" s="139" t="s">
        <v>48</v>
      </c>
      <c r="C111" s="139">
        <v>13016</v>
      </c>
      <c r="D111" s="139"/>
      <c r="E111" s="139"/>
    </row>
    <row r="112" spans="1:5" ht="14.25" customHeight="1" x14ac:dyDescent="0.35">
      <c r="A112" s="138" t="s">
        <v>212</v>
      </c>
      <c r="B112" s="139" t="s">
        <v>55</v>
      </c>
      <c r="C112" s="139">
        <v>35006</v>
      </c>
      <c r="D112" s="139"/>
      <c r="E112" s="139"/>
    </row>
    <row r="113" spans="1:5" ht="14.25" customHeight="1" x14ac:dyDescent="0.35">
      <c r="A113" s="138" t="s">
        <v>76</v>
      </c>
      <c r="B113" s="139" t="s">
        <v>55</v>
      </c>
      <c r="C113" s="139">
        <v>33011</v>
      </c>
      <c r="D113" s="139"/>
      <c r="E113" s="139"/>
    </row>
    <row r="114" spans="1:5" ht="14.25" customHeight="1" x14ac:dyDescent="0.35">
      <c r="A114" s="138" t="s">
        <v>263</v>
      </c>
      <c r="B114" s="139" t="s">
        <v>55</v>
      </c>
      <c r="C114" s="139">
        <v>36007</v>
      </c>
      <c r="D114" s="139"/>
      <c r="E114" s="139"/>
    </row>
    <row r="115" spans="1:5" ht="14.25" customHeight="1" x14ac:dyDescent="0.35">
      <c r="A115" s="138" t="s">
        <v>129</v>
      </c>
      <c r="B115" s="139" t="s">
        <v>55</v>
      </c>
      <c r="C115" s="139">
        <v>36008</v>
      </c>
      <c r="D115" s="139"/>
      <c r="E115" s="139"/>
    </row>
    <row r="116" spans="1:5" ht="14.25" customHeight="1" x14ac:dyDescent="0.35">
      <c r="A116" s="138" t="s">
        <v>273</v>
      </c>
      <c r="B116" s="139" t="s">
        <v>55</v>
      </c>
      <c r="C116" s="139">
        <v>31012</v>
      </c>
      <c r="D116" s="139"/>
      <c r="E116" s="139"/>
    </row>
    <row r="117" spans="1:5" ht="14.25" customHeight="1" x14ac:dyDescent="0.35">
      <c r="A117" s="138" t="s">
        <v>163</v>
      </c>
      <c r="B117" s="139" t="s">
        <v>48</v>
      </c>
      <c r="C117" s="139">
        <v>11022</v>
      </c>
      <c r="D117" s="139"/>
      <c r="E117" s="139"/>
    </row>
    <row r="118" spans="1:5" ht="14.25" customHeight="1" x14ac:dyDescent="0.35">
      <c r="A118" s="138" t="s">
        <v>207</v>
      </c>
      <c r="B118" s="139" t="s">
        <v>52</v>
      </c>
      <c r="C118" s="139">
        <v>23038</v>
      </c>
      <c r="D118" s="139"/>
      <c r="E118" s="139"/>
    </row>
    <row r="119" spans="1:5" ht="14.25" customHeight="1" x14ac:dyDescent="0.35">
      <c r="A119" s="138" t="s">
        <v>258</v>
      </c>
      <c r="B119" s="139" t="s">
        <v>52</v>
      </c>
      <c r="C119" s="139">
        <v>23039</v>
      </c>
      <c r="D119" s="139"/>
      <c r="E119" s="139"/>
    </row>
    <row r="120" spans="1:5" ht="14.25" customHeight="1" x14ac:dyDescent="0.35">
      <c r="A120" s="138" t="s">
        <v>312</v>
      </c>
      <c r="B120" s="139" t="s">
        <v>48</v>
      </c>
      <c r="C120" s="139">
        <v>11023</v>
      </c>
      <c r="D120" s="139"/>
      <c r="E120" s="139"/>
    </row>
    <row r="121" spans="1:5" ht="14.25" customHeight="1" x14ac:dyDescent="0.35">
      <c r="A121" s="138" t="s">
        <v>247</v>
      </c>
      <c r="B121" s="139" t="s">
        <v>50</v>
      </c>
      <c r="C121" s="139">
        <v>43007</v>
      </c>
      <c r="D121" s="139"/>
      <c r="E121" s="139"/>
    </row>
    <row r="122" spans="1:5" ht="14.25" customHeight="1" x14ac:dyDescent="0.35">
      <c r="A122" s="138" t="s">
        <v>181</v>
      </c>
      <c r="B122" s="139" t="s">
        <v>48</v>
      </c>
      <c r="C122" s="139">
        <v>13017</v>
      </c>
      <c r="D122" s="139"/>
      <c r="E122" s="139"/>
    </row>
    <row r="123" spans="1:5" ht="14.25" customHeight="1" x14ac:dyDescent="0.35">
      <c r="A123" s="138" t="s">
        <v>176</v>
      </c>
      <c r="B123" s="139" t="s">
        <v>52</v>
      </c>
      <c r="C123" s="139">
        <v>24048</v>
      </c>
      <c r="D123" s="139"/>
      <c r="E123" s="139"/>
    </row>
    <row r="124" spans="1:5" ht="14.25" customHeight="1" x14ac:dyDescent="0.35">
      <c r="A124" s="138" t="s">
        <v>325</v>
      </c>
      <c r="B124" s="139" t="s">
        <v>59</v>
      </c>
      <c r="C124" s="139">
        <v>72018</v>
      </c>
      <c r="D124" s="139"/>
      <c r="E124" s="139"/>
    </row>
    <row r="125" spans="1:5" ht="14.25" customHeight="1" x14ac:dyDescent="0.35">
      <c r="A125" s="138" t="s">
        <v>191</v>
      </c>
      <c r="B125" s="139" t="s">
        <v>50</v>
      </c>
      <c r="C125" s="139">
        <v>45060</v>
      </c>
      <c r="D125" s="139"/>
      <c r="E125" s="139"/>
    </row>
    <row r="126" spans="1:5" ht="14.25" customHeight="1" x14ac:dyDescent="0.35">
      <c r="A126" s="138" t="s">
        <v>103</v>
      </c>
      <c r="B126" s="139" t="s">
        <v>55</v>
      </c>
      <c r="C126" s="139">
        <v>31043</v>
      </c>
      <c r="D126" s="139"/>
      <c r="E126" s="139"/>
    </row>
    <row r="127" spans="1:5" ht="14.25" customHeight="1" x14ac:dyDescent="0.35">
      <c r="A127" s="138" t="s">
        <v>256</v>
      </c>
      <c r="B127" s="139" t="s">
        <v>55</v>
      </c>
      <c r="C127" s="139">
        <v>32010</v>
      </c>
      <c r="D127" s="139"/>
      <c r="E127" s="139"/>
    </row>
    <row r="128" spans="1:5" ht="14.25" customHeight="1" x14ac:dyDescent="0.35">
      <c r="A128" s="138" t="s">
        <v>100</v>
      </c>
      <c r="B128" s="139" t="s">
        <v>55</v>
      </c>
      <c r="C128" s="139">
        <v>38014</v>
      </c>
      <c r="D128" s="139"/>
      <c r="E128" s="139"/>
    </row>
    <row r="129" spans="1:5" ht="14.25" customHeight="1" x14ac:dyDescent="0.35">
      <c r="A129" s="138" t="s">
        <v>288</v>
      </c>
      <c r="B129" s="139" t="s">
        <v>48</v>
      </c>
      <c r="C129" s="139">
        <v>11024</v>
      </c>
      <c r="D129" s="139"/>
      <c r="E129" s="139"/>
    </row>
    <row r="130" spans="1:5" ht="14.25" customHeight="1" x14ac:dyDescent="0.35">
      <c r="A130" s="138" t="s">
        <v>138</v>
      </c>
      <c r="B130" s="139" t="s">
        <v>55</v>
      </c>
      <c r="C130" s="139">
        <v>32011</v>
      </c>
      <c r="D130" s="139"/>
      <c r="E130" s="139"/>
    </row>
    <row r="131" spans="1:5" ht="14.25" customHeight="1" x14ac:dyDescent="0.35">
      <c r="A131" s="138" t="s">
        <v>252</v>
      </c>
      <c r="B131" s="139" t="s">
        <v>52</v>
      </c>
      <c r="C131" s="139">
        <v>24054</v>
      </c>
      <c r="D131" s="139"/>
      <c r="E131" s="139"/>
    </row>
    <row r="132" spans="1:5" ht="14.25" customHeight="1" x14ac:dyDescent="0.35">
      <c r="A132" s="138" t="s">
        <v>117</v>
      </c>
      <c r="B132" s="139" t="s">
        <v>52</v>
      </c>
      <c r="C132" s="139">
        <v>24055</v>
      </c>
      <c r="D132" s="139"/>
      <c r="E132" s="139"/>
    </row>
    <row r="133" spans="1:5" ht="14.25" customHeight="1" x14ac:dyDescent="0.35">
      <c r="A133" s="138" t="s">
        <v>56</v>
      </c>
      <c r="B133" s="139" t="s">
        <v>55</v>
      </c>
      <c r="C133" s="139">
        <v>34022</v>
      </c>
      <c r="D133" s="139"/>
      <c r="E133" s="139"/>
    </row>
    <row r="134" spans="1:5" ht="14.25" customHeight="1" x14ac:dyDescent="0.35">
      <c r="A134" s="138" t="s">
        <v>270</v>
      </c>
      <c r="B134" s="139" t="s">
        <v>52</v>
      </c>
      <c r="C134" s="139">
        <v>23099</v>
      </c>
      <c r="D134" s="139"/>
      <c r="E134" s="139"/>
    </row>
    <row r="135" spans="1:5" ht="14.25" customHeight="1" x14ac:dyDescent="0.35">
      <c r="A135" s="138" t="s">
        <v>122</v>
      </c>
      <c r="B135" s="139" t="s">
        <v>50</v>
      </c>
      <c r="C135" s="139">
        <v>45068</v>
      </c>
      <c r="D135" s="139"/>
      <c r="E135" s="139"/>
    </row>
    <row r="136" spans="1:5" ht="14.25" customHeight="1" x14ac:dyDescent="0.35">
      <c r="A136" s="138" t="s">
        <v>158</v>
      </c>
      <c r="B136" s="139" t="s">
        <v>55</v>
      </c>
      <c r="C136" s="139">
        <v>34023</v>
      </c>
      <c r="D136" s="139"/>
      <c r="E136" s="139"/>
    </row>
    <row r="137" spans="1:5" ht="14.25" customHeight="1" x14ac:dyDescent="0.35">
      <c r="A137" s="138" t="s">
        <v>218</v>
      </c>
      <c r="B137" s="139" t="s">
        <v>48</v>
      </c>
      <c r="C137" s="139">
        <v>13053</v>
      </c>
      <c r="D137" s="139"/>
      <c r="E137" s="139"/>
    </row>
    <row r="138" spans="1:5" ht="14.25" customHeight="1" x14ac:dyDescent="0.35">
      <c r="A138" s="138" t="s">
        <v>155</v>
      </c>
      <c r="B138" s="139" t="s">
        <v>50</v>
      </c>
      <c r="C138" s="139">
        <v>42010</v>
      </c>
      <c r="D138" s="139"/>
      <c r="E138" s="139"/>
    </row>
    <row r="139" spans="1:5" ht="14.25" customHeight="1" x14ac:dyDescent="0.35">
      <c r="A139" s="138" t="s">
        <v>295</v>
      </c>
      <c r="B139" s="139" t="s">
        <v>59</v>
      </c>
      <c r="C139" s="139">
        <v>73042</v>
      </c>
      <c r="D139" s="139"/>
      <c r="E139" s="139"/>
    </row>
    <row r="140" spans="1:5" ht="14.25" customHeight="1" x14ac:dyDescent="0.35">
      <c r="A140" s="138" t="s">
        <v>81</v>
      </c>
      <c r="B140" s="139" t="s">
        <v>52</v>
      </c>
      <c r="C140" s="139">
        <v>24059</v>
      </c>
      <c r="D140" s="139"/>
      <c r="E140" s="139"/>
    </row>
    <row r="141" spans="1:5" ht="14.25" customHeight="1" x14ac:dyDescent="0.35">
      <c r="A141" s="138" t="s">
        <v>253</v>
      </c>
      <c r="B141" s="139" t="s">
        <v>55</v>
      </c>
      <c r="C141" s="139">
        <v>33040</v>
      </c>
      <c r="D141" s="139"/>
      <c r="E141" s="139"/>
    </row>
    <row r="142" spans="1:5" ht="14.25" customHeight="1" x14ac:dyDescent="0.35">
      <c r="A142" s="138" t="s">
        <v>114</v>
      </c>
      <c r="B142" s="139" t="s">
        <v>50</v>
      </c>
      <c r="C142" s="139">
        <v>42011</v>
      </c>
      <c r="D142" s="139"/>
      <c r="E142" s="139"/>
    </row>
    <row r="143" spans="1:5" ht="14.25" customHeight="1" x14ac:dyDescent="0.35">
      <c r="A143" s="138" t="s">
        <v>179</v>
      </c>
      <c r="B143" s="139" t="s">
        <v>50</v>
      </c>
      <c r="C143" s="139">
        <v>41034</v>
      </c>
      <c r="D143" s="139"/>
      <c r="E143" s="139"/>
    </row>
    <row r="144" spans="1:5" ht="14.25" customHeight="1" x14ac:dyDescent="0.35">
      <c r="A144" s="138" t="s">
        <v>171</v>
      </c>
      <c r="B144" s="139" t="s">
        <v>55</v>
      </c>
      <c r="C144" s="139">
        <v>36010</v>
      </c>
      <c r="D144" s="139"/>
      <c r="E144" s="139"/>
    </row>
    <row r="145" spans="1:5" ht="14.25" customHeight="1" x14ac:dyDescent="0.35">
      <c r="A145" s="138" t="s">
        <v>320</v>
      </c>
      <c r="B145" s="139" t="s">
        <v>55</v>
      </c>
      <c r="C145" s="139">
        <v>34025</v>
      </c>
      <c r="D145" s="139"/>
      <c r="E145" s="139"/>
    </row>
    <row r="146" spans="1:5" ht="14.25" customHeight="1" x14ac:dyDescent="0.35">
      <c r="A146" s="138" t="s">
        <v>257</v>
      </c>
      <c r="B146" s="139" t="s">
        <v>52</v>
      </c>
      <c r="C146" s="139">
        <v>23104</v>
      </c>
      <c r="D146" s="139"/>
      <c r="E146" s="139"/>
    </row>
    <row r="147" spans="1:5" ht="14.25" customHeight="1" x14ac:dyDescent="0.35">
      <c r="A147" s="138" t="s">
        <v>308</v>
      </c>
      <c r="B147" s="139" t="s">
        <v>59</v>
      </c>
      <c r="C147" s="139">
        <v>71034</v>
      </c>
      <c r="D147" s="139"/>
      <c r="E147" s="139"/>
    </row>
    <row r="148" spans="1:5" ht="14.25" customHeight="1" x14ac:dyDescent="0.35">
      <c r="A148" s="138" t="s">
        <v>51</v>
      </c>
      <c r="B148" s="139" t="s">
        <v>52</v>
      </c>
      <c r="C148" s="139">
        <v>24062</v>
      </c>
      <c r="D148" s="139"/>
      <c r="E148" s="139"/>
    </row>
    <row r="149" spans="1:5" ht="14.25" customHeight="1" x14ac:dyDescent="0.35">
      <c r="A149" s="138" t="s">
        <v>198</v>
      </c>
      <c r="B149" s="139" t="s">
        <v>55</v>
      </c>
      <c r="C149" s="139">
        <v>36011</v>
      </c>
      <c r="D149" s="139"/>
      <c r="E149" s="139"/>
    </row>
    <row r="150" spans="1:5" ht="14.25" customHeight="1" x14ac:dyDescent="0.35">
      <c r="A150" s="138" t="s">
        <v>334</v>
      </c>
      <c r="B150" s="139" t="s">
        <v>52</v>
      </c>
      <c r="C150" s="139">
        <v>23044</v>
      </c>
      <c r="D150" s="139"/>
      <c r="E150" s="139"/>
    </row>
    <row r="151" spans="1:5" ht="14.25" customHeight="1" x14ac:dyDescent="0.35">
      <c r="A151" s="138" t="s">
        <v>68</v>
      </c>
      <c r="B151" s="139" t="s">
        <v>48</v>
      </c>
      <c r="C151" s="139">
        <v>12021</v>
      </c>
      <c r="D151" s="139"/>
      <c r="E151" s="139"/>
    </row>
    <row r="152" spans="1:5" ht="14.25" customHeight="1" x14ac:dyDescent="0.35">
      <c r="A152" s="138" t="s">
        <v>248</v>
      </c>
      <c r="B152" s="139" t="s">
        <v>50</v>
      </c>
      <c r="C152" s="139">
        <v>45063</v>
      </c>
      <c r="D152" s="139"/>
      <c r="E152" s="139"/>
    </row>
    <row r="153" spans="1:5" ht="14.25" customHeight="1" x14ac:dyDescent="0.35">
      <c r="A153" s="138" t="s">
        <v>82</v>
      </c>
      <c r="B153" s="139" t="s">
        <v>50</v>
      </c>
      <c r="C153" s="139">
        <v>44085</v>
      </c>
      <c r="D153" s="139"/>
      <c r="E153" s="139"/>
    </row>
    <row r="154" spans="1:5" ht="14.25" customHeight="1" x14ac:dyDescent="0.35">
      <c r="A154" s="138" t="s">
        <v>161</v>
      </c>
      <c r="B154" s="139" t="s">
        <v>48</v>
      </c>
      <c r="C154" s="139">
        <v>13019</v>
      </c>
      <c r="D154" s="139"/>
      <c r="E154" s="139"/>
    </row>
    <row r="155" spans="1:5" ht="14.25" customHeight="1" x14ac:dyDescent="0.35">
      <c r="A155" s="138" t="s">
        <v>319</v>
      </c>
      <c r="B155" s="139" t="s">
        <v>52</v>
      </c>
      <c r="C155" s="139">
        <v>23100</v>
      </c>
      <c r="D155" s="139"/>
      <c r="E155" s="139"/>
    </row>
    <row r="156" spans="1:5" ht="14.25" customHeight="1" x14ac:dyDescent="0.35">
      <c r="A156" s="138" t="s">
        <v>254</v>
      </c>
      <c r="B156" s="139" t="s">
        <v>48</v>
      </c>
      <c r="C156" s="139">
        <v>11025</v>
      </c>
      <c r="D156" s="139"/>
      <c r="E156" s="139"/>
    </row>
    <row r="157" spans="1:5" ht="14.25" customHeight="1" x14ac:dyDescent="0.35">
      <c r="A157" s="138" t="s">
        <v>193</v>
      </c>
      <c r="B157" s="139" t="s">
        <v>52</v>
      </c>
      <c r="C157" s="139">
        <v>24133</v>
      </c>
      <c r="D157" s="139"/>
      <c r="E157" s="139"/>
    </row>
    <row r="158" spans="1:5" ht="14.25" customHeight="1" x14ac:dyDescent="0.35">
      <c r="A158" s="138" t="s">
        <v>239</v>
      </c>
      <c r="B158" s="139" t="s">
        <v>55</v>
      </c>
      <c r="C158" s="139">
        <v>32030</v>
      </c>
      <c r="D158" s="139"/>
      <c r="E158" s="139"/>
    </row>
    <row r="159" spans="1:5" ht="14.25" customHeight="1" x14ac:dyDescent="0.35">
      <c r="A159" s="138" t="s">
        <v>233</v>
      </c>
      <c r="B159" s="139" t="s">
        <v>50</v>
      </c>
      <c r="C159" s="139">
        <v>44034</v>
      </c>
      <c r="D159" s="139"/>
      <c r="E159" s="139"/>
    </row>
    <row r="160" spans="1:5" ht="14.25" customHeight="1" x14ac:dyDescent="0.35">
      <c r="A160" s="138" t="s">
        <v>72</v>
      </c>
      <c r="B160" s="139" t="s">
        <v>50</v>
      </c>
      <c r="C160" s="139">
        <v>46014</v>
      </c>
      <c r="D160" s="139"/>
      <c r="E160" s="139"/>
    </row>
    <row r="161" spans="1:5" ht="14.25" customHeight="1" x14ac:dyDescent="0.35">
      <c r="A161" s="138" t="s">
        <v>126</v>
      </c>
      <c r="B161" s="139" t="s">
        <v>59</v>
      </c>
      <c r="C161" s="139">
        <v>72020</v>
      </c>
      <c r="D161" s="139"/>
      <c r="E161" s="139"/>
    </row>
    <row r="162" spans="1:5" ht="14.25" customHeight="1" x14ac:dyDescent="0.35">
      <c r="A162" s="138" t="s">
        <v>283</v>
      </c>
      <c r="B162" s="139" t="s">
        <v>52</v>
      </c>
      <c r="C162" s="139">
        <v>23045</v>
      </c>
      <c r="D162" s="139"/>
      <c r="E162" s="139"/>
    </row>
    <row r="163" spans="1:5" ht="14.25" customHeight="1" x14ac:dyDescent="0.35">
      <c r="A163" s="138" t="s">
        <v>139</v>
      </c>
      <c r="B163" s="139" t="s">
        <v>52</v>
      </c>
      <c r="C163" s="139">
        <v>24066</v>
      </c>
      <c r="D163" s="139"/>
      <c r="E163" s="139"/>
    </row>
    <row r="164" spans="1:5" ht="14.25" customHeight="1" x14ac:dyDescent="0.35">
      <c r="A164" s="138" t="s">
        <v>286</v>
      </c>
      <c r="B164" s="139" t="s">
        <v>59</v>
      </c>
      <c r="C164" s="139">
        <v>71037</v>
      </c>
      <c r="D164" s="139"/>
      <c r="E164" s="139"/>
    </row>
    <row r="165" spans="1:5" ht="14.25" customHeight="1" x14ac:dyDescent="0.35">
      <c r="A165" s="138" t="s">
        <v>244</v>
      </c>
      <c r="B165" s="139" t="s">
        <v>50</v>
      </c>
      <c r="C165" s="139">
        <v>45064</v>
      </c>
      <c r="D165" s="139"/>
      <c r="E165" s="139"/>
    </row>
    <row r="166" spans="1:5" ht="14.25" customHeight="1" x14ac:dyDescent="0.35">
      <c r="A166" s="138" t="s">
        <v>211</v>
      </c>
      <c r="B166" s="139" t="s">
        <v>59</v>
      </c>
      <c r="C166" s="139">
        <v>72021</v>
      </c>
      <c r="D166" s="139"/>
      <c r="E166" s="139"/>
    </row>
    <row r="167" spans="1:5" ht="14.25" customHeight="1" x14ac:dyDescent="0.35">
      <c r="A167" s="138" t="s">
        <v>229</v>
      </c>
      <c r="B167" s="139" t="s">
        <v>59</v>
      </c>
      <c r="C167" s="139">
        <v>73107</v>
      </c>
      <c r="D167" s="139"/>
      <c r="E167" s="139"/>
    </row>
    <row r="168" spans="1:5" ht="14.25" customHeight="1" x14ac:dyDescent="0.35">
      <c r="A168" s="138" t="s">
        <v>278</v>
      </c>
      <c r="B168" s="139" t="s">
        <v>52</v>
      </c>
      <c r="C168" s="139">
        <v>23047</v>
      </c>
      <c r="D168" s="139"/>
      <c r="E168" s="139"/>
    </row>
    <row r="169" spans="1:5" ht="14.25" customHeight="1" x14ac:dyDescent="0.35">
      <c r="A169" s="138" t="s">
        <v>165</v>
      </c>
      <c r="B169" s="139" t="s">
        <v>50</v>
      </c>
      <c r="C169" s="139">
        <v>43010</v>
      </c>
      <c r="D169" s="139"/>
      <c r="E169" s="139"/>
    </row>
    <row r="170" spans="1:5" ht="14.25" customHeight="1" x14ac:dyDescent="0.35">
      <c r="A170" s="138" t="s">
        <v>178</v>
      </c>
      <c r="B170" s="139" t="s">
        <v>48</v>
      </c>
      <c r="C170" s="139">
        <v>11057</v>
      </c>
      <c r="D170" s="139"/>
      <c r="E170" s="139"/>
    </row>
    <row r="171" spans="1:5" ht="14.25" customHeight="1" x14ac:dyDescent="0.35">
      <c r="A171" s="138" t="s">
        <v>53</v>
      </c>
      <c r="B171" s="139" t="s">
        <v>48</v>
      </c>
      <c r="C171" s="139">
        <v>12025</v>
      </c>
      <c r="D171" s="139"/>
      <c r="E171" s="139"/>
    </row>
    <row r="172" spans="1:5" ht="14.25" customHeight="1" x14ac:dyDescent="0.35">
      <c r="A172" s="138" t="s">
        <v>172</v>
      </c>
      <c r="B172" s="139" t="s">
        <v>48</v>
      </c>
      <c r="C172" s="139">
        <v>13021</v>
      </c>
      <c r="D172" s="139"/>
      <c r="E172" s="139"/>
    </row>
    <row r="173" spans="1:5" ht="14.25" customHeight="1" x14ac:dyDescent="0.35">
      <c r="A173" s="138" t="s">
        <v>287</v>
      </c>
      <c r="B173" s="139" t="s">
        <v>52</v>
      </c>
      <c r="C173" s="139">
        <v>23050</v>
      </c>
      <c r="D173" s="139"/>
      <c r="E173" s="139"/>
    </row>
    <row r="174" spans="1:5" ht="14.25" customHeight="1" x14ac:dyDescent="0.35">
      <c r="A174" s="138" t="s">
        <v>130</v>
      </c>
      <c r="B174" s="139" t="s">
        <v>55</v>
      </c>
      <c r="C174" s="139">
        <v>34027</v>
      </c>
      <c r="D174" s="139"/>
      <c r="E174" s="139"/>
    </row>
    <row r="175" spans="1:5" ht="14.25" customHeight="1" x14ac:dyDescent="0.35">
      <c r="A175" s="138" t="s">
        <v>281</v>
      </c>
      <c r="B175" s="139" t="s">
        <v>52</v>
      </c>
      <c r="C175" s="139">
        <v>23052</v>
      </c>
      <c r="D175" s="139"/>
      <c r="E175" s="139"/>
    </row>
    <row r="176" spans="1:5" ht="14.25" customHeight="1" x14ac:dyDescent="0.35">
      <c r="A176" s="138" t="s">
        <v>60</v>
      </c>
      <c r="B176" s="139" t="s">
        <v>50</v>
      </c>
      <c r="C176" s="139">
        <v>44043</v>
      </c>
      <c r="D176" s="139"/>
      <c r="E176" s="139"/>
    </row>
    <row r="177" spans="1:5" ht="14.25" customHeight="1" x14ac:dyDescent="0.35">
      <c r="A177" s="138" t="s">
        <v>197</v>
      </c>
      <c r="B177" s="139" t="s">
        <v>48</v>
      </c>
      <c r="C177" s="139">
        <v>13023</v>
      </c>
      <c r="D177" s="139"/>
      <c r="E177" s="139"/>
    </row>
    <row r="178" spans="1:5" ht="14.25" customHeight="1" x14ac:dyDescent="0.35">
      <c r="A178" s="138" t="s">
        <v>238</v>
      </c>
      <c r="B178" s="139" t="s">
        <v>55</v>
      </c>
      <c r="C178" s="139">
        <v>33016</v>
      </c>
      <c r="D178" s="139"/>
      <c r="E178" s="139"/>
    </row>
    <row r="179" spans="1:5" ht="14.25" customHeight="1" x14ac:dyDescent="0.35">
      <c r="A179" s="138" t="s">
        <v>225</v>
      </c>
      <c r="B179" s="139" t="s">
        <v>55</v>
      </c>
      <c r="C179" s="139">
        <v>35011</v>
      </c>
      <c r="D179" s="139"/>
      <c r="E179" s="139"/>
    </row>
    <row r="180" spans="1:5" ht="14.25" customHeight="1" x14ac:dyDescent="0.35">
      <c r="A180" s="138" t="s">
        <v>145</v>
      </c>
      <c r="B180" s="139" t="s">
        <v>48</v>
      </c>
      <c r="C180" s="139">
        <v>13025</v>
      </c>
      <c r="D180" s="139"/>
      <c r="E180" s="139"/>
    </row>
    <row r="181" spans="1:5" ht="14.25" customHeight="1" x14ac:dyDescent="0.35">
      <c r="A181" s="138" t="s">
        <v>174</v>
      </c>
      <c r="B181" s="139" t="s">
        <v>55</v>
      </c>
      <c r="C181" s="139">
        <v>36012</v>
      </c>
      <c r="D181" s="139"/>
      <c r="E181" s="139"/>
    </row>
    <row r="182" spans="1:5" ht="14.25" customHeight="1" x14ac:dyDescent="0.35">
      <c r="A182" s="138" t="s">
        <v>66</v>
      </c>
      <c r="B182" s="139" t="s">
        <v>48</v>
      </c>
      <c r="C182" s="139">
        <v>11029</v>
      </c>
      <c r="D182" s="139"/>
      <c r="E182" s="139"/>
    </row>
    <row r="183" spans="1:5" ht="14.25" customHeight="1" x14ac:dyDescent="0.35">
      <c r="A183" s="138" t="s">
        <v>75</v>
      </c>
      <c r="B183" s="139" t="s">
        <v>50</v>
      </c>
      <c r="C183" s="139">
        <v>44048</v>
      </c>
      <c r="D183" s="139"/>
      <c r="E183" s="139"/>
    </row>
    <row r="184" spans="1:5" ht="14.25" customHeight="1" x14ac:dyDescent="0.35">
      <c r="A184" s="138" t="s">
        <v>203</v>
      </c>
      <c r="B184" s="139" t="s">
        <v>48</v>
      </c>
      <c r="C184" s="139">
        <v>11030</v>
      </c>
      <c r="D184" s="139"/>
      <c r="E184" s="139"/>
    </row>
    <row r="185" spans="1:5" ht="14.25" customHeight="1" x14ac:dyDescent="0.35">
      <c r="A185" s="138" t="s">
        <v>299</v>
      </c>
      <c r="B185" s="139" t="s">
        <v>59</v>
      </c>
      <c r="C185" s="139">
        <v>71045</v>
      </c>
      <c r="D185" s="139"/>
      <c r="E185" s="139"/>
    </row>
    <row r="186" spans="1:5" ht="14.25" customHeight="1" x14ac:dyDescent="0.35">
      <c r="A186" s="138" t="s">
        <v>152</v>
      </c>
      <c r="B186" s="139" t="s">
        <v>55</v>
      </c>
      <c r="C186" s="139">
        <v>38016</v>
      </c>
      <c r="D186" s="139"/>
      <c r="E186" s="139"/>
    </row>
    <row r="187" spans="1:5" ht="14.25" customHeight="1" x14ac:dyDescent="0.35">
      <c r="A187" s="138" t="s">
        <v>124</v>
      </c>
      <c r="B187" s="139" t="s">
        <v>48</v>
      </c>
      <c r="C187" s="139">
        <v>12026</v>
      </c>
      <c r="D187" s="139"/>
      <c r="E187" s="139"/>
    </row>
    <row r="188" spans="1:5" ht="14.25" customHeight="1" x14ac:dyDescent="0.35">
      <c r="A188" s="138" t="s">
        <v>236</v>
      </c>
      <c r="B188" s="139" t="s">
        <v>50</v>
      </c>
      <c r="C188" s="139">
        <v>41048</v>
      </c>
      <c r="D188" s="139"/>
      <c r="E188" s="139"/>
    </row>
    <row r="189" spans="1:5" ht="14.25" customHeight="1" x14ac:dyDescent="0.35">
      <c r="A189" s="138" t="s">
        <v>330</v>
      </c>
      <c r="B189" s="139" t="s">
        <v>48</v>
      </c>
      <c r="C189" s="139">
        <v>13029</v>
      </c>
      <c r="D189" s="139"/>
      <c r="E189" s="139"/>
    </row>
    <row r="190" spans="1:5" ht="14.25" customHeight="1" x14ac:dyDescent="0.35">
      <c r="A190" s="138" t="s">
        <v>64</v>
      </c>
      <c r="B190" s="139" t="s">
        <v>55</v>
      </c>
      <c r="C190" s="139">
        <v>35013</v>
      </c>
      <c r="D190" s="139"/>
      <c r="E190" s="139"/>
    </row>
    <row r="191" spans="1:5" ht="14.25" customHeight="1" x14ac:dyDescent="0.35">
      <c r="A191" s="138" t="s">
        <v>121</v>
      </c>
      <c r="B191" s="139" t="s">
        <v>50</v>
      </c>
      <c r="C191" s="139">
        <v>44052</v>
      </c>
      <c r="D191" s="139"/>
      <c r="E191" s="139"/>
    </row>
    <row r="192" spans="1:5" ht="14.25" customHeight="1" x14ac:dyDescent="0.35">
      <c r="A192" s="138" t="s">
        <v>79</v>
      </c>
      <c r="B192" s="139" t="s">
        <v>55</v>
      </c>
      <c r="C192" s="139">
        <v>31022</v>
      </c>
      <c r="D192" s="139"/>
      <c r="E192" s="139"/>
    </row>
    <row r="193" spans="1:5" ht="14.25" customHeight="1" x14ac:dyDescent="0.35">
      <c r="A193" s="138" t="s">
        <v>194</v>
      </c>
      <c r="B193" s="139" t="s">
        <v>55</v>
      </c>
      <c r="C193" s="139">
        <v>37010</v>
      </c>
      <c r="D193" s="139"/>
      <c r="E193" s="139"/>
    </row>
    <row r="194" spans="1:5" ht="14.25" customHeight="1" x14ac:dyDescent="0.35">
      <c r="A194" s="138" t="s">
        <v>214</v>
      </c>
      <c r="B194" s="139" t="s">
        <v>52</v>
      </c>
      <c r="C194" s="139">
        <v>23060</v>
      </c>
      <c r="D194" s="139"/>
      <c r="E194" s="139"/>
    </row>
    <row r="195" spans="1:5" ht="14.25" customHeight="1" x14ac:dyDescent="0.35">
      <c r="A195" s="138" t="s">
        <v>110</v>
      </c>
      <c r="B195" s="139" t="s">
        <v>52</v>
      </c>
      <c r="C195" s="139">
        <v>24086</v>
      </c>
      <c r="D195" s="139"/>
      <c r="E195" s="139"/>
    </row>
    <row r="196" spans="1:5" ht="14.25" customHeight="1" x14ac:dyDescent="0.35">
      <c r="A196" s="138" t="s">
        <v>159</v>
      </c>
      <c r="B196" s="139" t="s">
        <v>48</v>
      </c>
      <c r="C196" s="139">
        <v>13031</v>
      </c>
      <c r="D196" s="139"/>
      <c r="E196" s="139"/>
    </row>
    <row r="197" spans="1:5" ht="14.25" customHeight="1" x14ac:dyDescent="0.35">
      <c r="A197" s="138" t="s">
        <v>77</v>
      </c>
      <c r="B197" s="139" t="s">
        <v>50</v>
      </c>
      <c r="C197" s="139">
        <v>45035</v>
      </c>
      <c r="D197" s="139"/>
      <c r="E197" s="139"/>
    </row>
    <row r="198" spans="1:5" ht="14.25" customHeight="1" x14ac:dyDescent="0.35">
      <c r="A198" s="138" t="s">
        <v>200</v>
      </c>
      <c r="B198" s="139" t="s">
        <v>55</v>
      </c>
      <c r="C198" s="139">
        <v>35014</v>
      </c>
      <c r="D198" s="139"/>
      <c r="E198" s="139"/>
    </row>
    <row r="199" spans="1:5" ht="14.25" customHeight="1" x14ac:dyDescent="0.35">
      <c r="A199" s="138" t="s">
        <v>234</v>
      </c>
      <c r="B199" s="139" t="s">
        <v>59</v>
      </c>
      <c r="C199" s="139">
        <v>72042</v>
      </c>
      <c r="D199" s="139"/>
      <c r="E199" s="139"/>
    </row>
    <row r="200" spans="1:5" ht="14.25" customHeight="1" x14ac:dyDescent="0.35">
      <c r="A200" s="138" t="s">
        <v>230</v>
      </c>
      <c r="B200" s="139" t="s">
        <v>52</v>
      </c>
      <c r="C200" s="139">
        <v>23062</v>
      </c>
      <c r="D200" s="139"/>
      <c r="E200" s="139"/>
    </row>
    <row r="201" spans="1:5" ht="14.25" customHeight="1" x14ac:dyDescent="0.35">
      <c r="A201" s="138" t="s">
        <v>293</v>
      </c>
      <c r="B201" s="139" t="s">
        <v>52</v>
      </c>
      <c r="C201" s="139"/>
      <c r="D201" s="139"/>
      <c r="E201" s="139"/>
    </row>
    <row r="202" spans="1:5" ht="14.25" customHeight="1" x14ac:dyDescent="0.35">
      <c r="A202" s="138" t="s">
        <v>232</v>
      </c>
      <c r="B202" s="139" t="s">
        <v>59</v>
      </c>
      <c r="C202" s="139">
        <v>72030</v>
      </c>
      <c r="D202" s="139"/>
      <c r="E202" s="139"/>
    </row>
    <row r="203" spans="1:5" ht="14.25" customHeight="1" x14ac:dyDescent="0.35">
      <c r="A203" s="138" t="s">
        <v>310</v>
      </c>
      <c r="B203" s="139" t="s">
        <v>59</v>
      </c>
      <c r="C203" s="139">
        <v>72043</v>
      </c>
      <c r="D203" s="139"/>
      <c r="E203" s="139"/>
    </row>
    <row r="204" spans="1:5" ht="14.25" customHeight="1" x14ac:dyDescent="0.35">
      <c r="A204" s="138" t="s">
        <v>241</v>
      </c>
      <c r="B204" s="139" t="s">
        <v>52</v>
      </c>
      <c r="C204" s="139">
        <v>23064</v>
      </c>
      <c r="D204" s="139"/>
      <c r="E204" s="139"/>
    </row>
    <row r="205" spans="1:5" ht="14.25" customHeight="1" x14ac:dyDescent="0.35">
      <c r="A205" s="138" t="s">
        <v>251</v>
      </c>
      <c r="B205" s="139" t="s">
        <v>55</v>
      </c>
      <c r="C205" s="139">
        <v>37011</v>
      </c>
      <c r="D205" s="139"/>
      <c r="E205" s="139"/>
    </row>
    <row r="206" spans="1:5" ht="14.25" customHeight="1" x14ac:dyDescent="0.35">
      <c r="A206" s="138" t="s">
        <v>98</v>
      </c>
      <c r="B206" s="139" t="s">
        <v>55</v>
      </c>
      <c r="C206" s="139">
        <v>33021</v>
      </c>
      <c r="D206" s="139"/>
      <c r="E206" s="139"/>
    </row>
    <row r="207" spans="1:5" ht="14.25" customHeight="1" x14ac:dyDescent="0.35">
      <c r="A207" s="138" t="s">
        <v>282</v>
      </c>
      <c r="B207" s="139" t="s">
        <v>48</v>
      </c>
      <c r="C207" s="139">
        <v>12029</v>
      </c>
      <c r="D207" s="139"/>
      <c r="E207" s="139"/>
    </row>
    <row r="208" spans="1:5" ht="14.25" customHeight="1" x14ac:dyDescent="0.35">
      <c r="A208" s="138" t="s">
        <v>94</v>
      </c>
      <c r="B208" s="139" t="s">
        <v>48</v>
      </c>
      <c r="C208" s="139">
        <v>12041</v>
      </c>
      <c r="D208" s="139"/>
      <c r="E208" s="139"/>
    </row>
    <row r="209" spans="1:5" ht="14.25" customHeight="1" x14ac:dyDescent="0.35">
      <c r="A209" s="138" t="s">
        <v>284</v>
      </c>
      <c r="B209" s="139" t="s">
        <v>48</v>
      </c>
      <c r="C209" s="139">
        <v>11035</v>
      </c>
      <c r="D209" s="139"/>
      <c r="E209" s="139"/>
    </row>
    <row r="210" spans="1:5" ht="14.25" customHeight="1" x14ac:dyDescent="0.35">
      <c r="A210" s="138" t="s">
        <v>277</v>
      </c>
      <c r="B210" s="139" t="s">
        <v>48</v>
      </c>
      <c r="C210" s="139">
        <v>13035</v>
      </c>
      <c r="D210" s="139"/>
      <c r="E210" s="139"/>
    </row>
    <row r="211" spans="1:5" ht="14.25" customHeight="1" x14ac:dyDescent="0.35">
      <c r="A211" s="138" t="s">
        <v>204</v>
      </c>
      <c r="B211" s="139" t="s">
        <v>48</v>
      </c>
      <c r="C211" s="139">
        <v>13036</v>
      </c>
      <c r="D211" s="139"/>
      <c r="E211" s="139"/>
    </row>
    <row r="212" spans="1:5" ht="14.25" customHeight="1" x14ac:dyDescent="0.35">
      <c r="A212" s="138" t="s">
        <v>332</v>
      </c>
      <c r="B212" s="139" t="s">
        <v>59</v>
      </c>
      <c r="C212" s="139">
        <v>73066</v>
      </c>
      <c r="D212" s="139"/>
      <c r="E212" s="139"/>
    </row>
    <row r="213" spans="1:5" ht="14.25" customHeight="1" x14ac:dyDescent="0.35">
      <c r="A213" s="138" t="s">
        <v>267</v>
      </c>
      <c r="B213" s="139" t="s">
        <v>48</v>
      </c>
      <c r="C213" s="139">
        <v>13037</v>
      </c>
      <c r="D213" s="139"/>
      <c r="E213" s="139"/>
    </row>
    <row r="214" spans="1:5" ht="14.25" customHeight="1" x14ac:dyDescent="0.35">
      <c r="A214" s="138" t="s">
        <v>63</v>
      </c>
      <c r="B214" s="139" t="s">
        <v>55</v>
      </c>
      <c r="C214" s="139">
        <v>36015</v>
      </c>
      <c r="D214" s="139"/>
      <c r="E214" s="139"/>
    </row>
    <row r="215" spans="1:5" ht="14.25" customHeight="1" x14ac:dyDescent="0.35">
      <c r="A215" s="138" t="s">
        <v>141</v>
      </c>
      <c r="B215" s="139" t="s">
        <v>50</v>
      </c>
      <c r="C215" s="139">
        <v>45041</v>
      </c>
      <c r="D215" s="139"/>
      <c r="E215" s="139"/>
    </row>
    <row r="216" spans="1:5" ht="14.25" customHeight="1" x14ac:dyDescent="0.35">
      <c r="A216" s="138" t="s">
        <v>328</v>
      </c>
      <c r="B216" s="139" t="s">
        <v>52</v>
      </c>
      <c r="C216" s="139">
        <v>23097</v>
      </c>
      <c r="D216" s="139"/>
      <c r="E216" s="139"/>
    </row>
    <row r="217" spans="1:5" ht="14.25" customHeight="1" x14ac:dyDescent="0.35">
      <c r="A217" s="138" t="s">
        <v>78</v>
      </c>
      <c r="B217" s="139" t="s">
        <v>52</v>
      </c>
      <c r="C217" s="139">
        <v>24094</v>
      </c>
      <c r="D217" s="139"/>
      <c r="E217" s="139"/>
    </row>
    <row r="218" spans="1:5" ht="14.25" customHeight="1" x14ac:dyDescent="0.35">
      <c r="A218" s="138" t="s">
        <v>160</v>
      </c>
      <c r="B218" s="139" t="s">
        <v>48</v>
      </c>
      <c r="C218" s="139">
        <v>11037</v>
      </c>
      <c r="D218" s="139"/>
      <c r="E218" s="139"/>
    </row>
    <row r="219" spans="1:5" ht="14.25" customHeight="1" x14ac:dyDescent="0.35">
      <c r="A219" s="138" t="s">
        <v>169</v>
      </c>
      <c r="B219" s="139" t="s">
        <v>48</v>
      </c>
      <c r="C219" s="139">
        <v>11038</v>
      </c>
      <c r="D219" s="139"/>
      <c r="E219" s="139"/>
    </row>
    <row r="220" spans="1:5" ht="14.25" customHeight="1" x14ac:dyDescent="0.35">
      <c r="A220" s="138" t="s">
        <v>292</v>
      </c>
      <c r="B220" s="139" t="s">
        <v>52</v>
      </c>
      <c r="C220" s="139">
        <v>24134</v>
      </c>
      <c r="D220" s="139"/>
      <c r="E220" s="139"/>
    </row>
    <row r="221" spans="1:5" ht="14.25" customHeight="1" x14ac:dyDescent="0.35">
      <c r="A221" s="138" t="s">
        <v>311</v>
      </c>
      <c r="B221" s="139" t="s">
        <v>48</v>
      </c>
      <c r="C221" s="139">
        <v>11039</v>
      </c>
      <c r="D221" s="139"/>
      <c r="E221" s="139"/>
    </row>
    <row r="222" spans="1:5" ht="14.25" customHeight="1" x14ac:dyDescent="0.35">
      <c r="A222" s="138" t="s">
        <v>188</v>
      </c>
      <c r="B222" s="139" t="s">
        <v>48</v>
      </c>
      <c r="C222" s="139">
        <v>11040</v>
      </c>
      <c r="D222" s="139"/>
      <c r="E222" s="139"/>
    </row>
    <row r="223" spans="1:5" ht="14.25" customHeight="1" x14ac:dyDescent="0.35">
      <c r="A223" s="138" t="s">
        <v>220</v>
      </c>
      <c r="B223" s="139" t="s">
        <v>52</v>
      </c>
      <c r="C223" s="139">
        <v>23101</v>
      </c>
      <c r="D223" s="139"/>
      <c r="E223" s="139"/>
    </row>
    <row r="224" spans="1:5" ht="14.25" customHeight="1" x14ac:dyDescent="0.35">
      <c r="A224" s="138" t="s">
        <v>226</v>
      </c>
      <c r="B224" s="139" t="s">
        <v>50</v>
      </c>
      <c r="C224" s="139">
        <v>46020</v>
      </c>
      <c r="D224" s="139"/>
      <c r="E224" s="139"/>
    </row>
    <row r="225" spans="1:5" ht="14.25" customHeight="1" x14ac:dyDescent="0.35">
      <c r="A225" s="138" t="s">
        <v>183</v>
      </c>
      <c r="B225" s="139" t="s">
        <v>48</v>
      </c>
      <c r="C225" s="139">
        <v>12035</v>
      </c>
      <c r="D225" s="139"/>
      <c r="E225" s="139"/>
    </row>
    <row r="226" spans="1:5" ht="14.25" customHeight="1" x14ac:dyDescent="0.35">
      <c r="A226" s="138" t="s">
        <v>250</v>
      </c>
      <c r="B226" s="139" t="s">
        <v>50</v>
      </c>
      <c r="C226" s="139">
        <v>43014</v>
      </c>
      <c r="D226" s="139"/>
      <c r="E226" s="139"/>
    </row>
    <row r="227" spans="1:5" ht="14.25" customHeight="1" x14ac:dyDescent="0.35">
      <c r="A227" s="138" t="s">
        <v>202</v>
      </c>
      <c r="B227" s="139" t="s">
        <v>50</v>
      </c>
      <c r="C227" s="139">
        <v>41063</v>
      </c>
      <c r="D227" s="139"/>
      <c r="E227" s="139"/>
    </row>
    <row r="228" spans="1:5" ht="14.25" customHeight="1" x14ac:dyDescent="0.35">
      <c r="A228" s="138" t="s">
        <v>148</v>
      </c>
      <c r="B228" s="139" t="s">
        <v>50</v>
      </c>
      <c r="C228" s="139">
        <v>44064</v>
      </c>
      <c r="D228" s="139"/>
      <c r="E228" s="139"/>
    </row>
    <row r="229" spans="1:5" ht="14.25" customHeight="1" x14ac:dyDescent="0.35">
      <c r="A229" s="138" t="s">
        <v>57</v>
      </c>
      <c r="B229" s="139" t="s">
        <v>50</v>
      </c>
      <c r="C229" s="139">
        <v>46021</v>
      </c>
      <c r="D229" s="139"/>
      <c r="E229" s="139"/>
    </row>
    <row r="230" spans="1:5" ht="14.25" customHeight="1" x14ac:dyDescent="0.35">
      <c r="A230" s="138" t="s">
        <v>132</v>
      </c>
      <c r="B230" s="139" t="s">
        <v>52</v>
      </c>
      <c r="C230" s="139">
        <v>23077</v>
      </c>
      <c r="D230" s="139"/>
      <c r="E230" s="139"/>
    </row>
    <row r="231" spans="1:5" ht="14.25" customHeight="1" x14ac:dyDescent="0.35">
      <c r="A231" s="138" t="s">
        <v>189</v>
      </c>
      <c r="B231" s="139" t="s">
        <v>59</v>
      </c>
      <c r="C231" s="139">
        <v>71053</v>
      </c>
      <c r="D231" s="139"/>
      <c r="E231" s="139"/>
    </row>
    <row r="232" spans="1:5" ht="14.25" customHeight="1" x14ac:dyDescent="0.35">
      <c r="A232" s="138" t="s">
        <v>314</v>
      </c>
      <c r="B232" s="139" t="s">
        <v>55</v>
      </c>
      <c r="C232" s="139">
        <v>34043</v>
      </c>
      <c r="D232" s="139"/>
      <c r="E232" s="139"/>
    </row>
    <row r="233" spans="1:5" ht="14.25" customHeight="1" x14ac:dyDescent="0.35">
      <c r="A233" s="138" t="s">
        <v>336</v>
      </c>
      <c r="B233" s="139" t="s">
        <v>48</v>
      </c>
      <c r="C233" s="139">
        <v>11044</v>
      </c>
      <c r="D233" s="139"/>
      <c r="E233" s="139"/>
    </row>
    <row r="234" spans="1:5" ht="14.25" customHeight="1" x14ac:dyDescent="0.35">
      <c r="A234" s="138" t="s">
        <v>154</v>
      </c>
      <c r="B234" s="139" t="s">
        <v>55</v>
      </c>
      <c r="C234" s="139">
        <v>36019</v>
      </c>
      <c r="D234" s="139"/>
      <c r="E234" s="139"/>
    </row>
    <row r="235" spans="1:5" ht="14.25" customHeight="1" x14ac:dyDescent="0.35">
      <c r="A235" s="138" t="s">
        <v>208</v>
      </c>
      <c r="B235" s="139" t="s">
        <v>52</v>
      </c>
      <c r="C235" s="139">
        <v>23081</v>
      </c>
      <c r="D235" s="139"/>
      <c r="E235" s="139"/>
    </row>
    <row r="236" spans="1:5" ht="14.25" customHeight="1" x14ac:dyDescent="0.35">
      <c r="A236" s="138" t="s">
        <v>285</v>
      </c>
      <c r="B236" s="139" t="s">
        <v>50</v>
      </c>
      <c r="C236" s="139">
        <v>46024</v>
      </c>
      <c r="D236" s="139"/>
      <c r="E236" s="139"/>
    </row>
    <row r="237" spans="1:5" ht="14.25" customHeight="1" x14ac:dyDescent="0.35">
      <c r="A237" s="138" t="s">
        <v>166</v>
      </c>
      <c r="B237" s="139" t="s">
        <v>50</v>
      </c>
      <c r="C237" s="139">
        <v>46025</v>
      </c>
      <c r="D237" s="139"/>
      <c r="E237" s="139"/>
    </row>
    <row r="238" spans="1:5" ht="14.25" customHeight="1" x14ac:dyDescent="0.35">
      <c r="A238" s="138" t="s">
        <v>217</v>
      </c>
      <c r="B238" s="139" t="s">
        <v>52</v>
      </c>
      <c r="C238" s="139">
        <v>23086</v>
      </c>
      <c r="D238" s="139"/>
      <c r="E238" s="139"/>
    </row>
    <row r="239" spans="1:5" ht="14.25" customHeight="1" x14ac:dyDescent="0.35">
      <c r="A239" s="138" t="s">
        <v>87</v>
      </c>
      <c r="B239" s="139" t="s">
        <v>52</v>
      </c>
      <c r="C239" s="139">
        <v>24104</v>
      </c>
      <c r="D239" s="139"/>
      <c r="E239" s="139"/>
    </row>
    <row r="240" spans="1:5" ht="14.25" customHeight="1" x14ac:dyDescent="0.35">
      <c r="A240" s="138" t="s">
        <v>147</v>
      </c>
      <c r="B240" s="139" t="s">
        <v>59</v>
      </c>
      <c r="C240" s="139">
        <v>71057</v>
      </c>
      <c r="D240" s="139"/>
      <c r="E240" s="139"/>
    </row>
    <row r="241" spans="1:5" ht="14.25" customHeight="1" x14ac:dyDescent="0.35">
      <c r="A241" s="138" t="s">
        <v>102</v>
      </c>
      <c r="B241" s="139" t="s">
        <v>55</v>
      </c>
      <c r="C241" s="139">
        <v>37015</v>
      </c>
      <c r="D241" s="139"/>
      <c r="E241" s="139"/>
    </row>
    <row r="242" spans="1:5" ht="14.25" customHeight="1" x14ac:dyDescent="0.35">
      <c r="A242" s="138" t="s">
        <v>302</v>
      </c>
      <c r="B242" s="139" t="s">
        <v>52</v>
      </c>
      <c r="C242" s="139">
        <v>24135</v>
      </c>
      <c r="D242" s="139"/>
      <c r="E242" s="139"/>
    </row>
    <row r="243" spans="1:5" ht="14.25" customHeight="1" x14ac:dyDescent="0.35">
      <c r="A243" s="138" t="s">
        <v>104</v>
      </c>
      <c r="B243" s="139" t="s">
        <v>52</v>
      </c>
      <c r="C243" s="139">
        <v>24107</v>
      </c>
      <c r="D243" s="139"/>
      <c r="E243" s="139"/>
    </row>
    <row r="244" spans="1:5" ht="14.25" customHeight="1" x14ac:dyDescent="0.35">
      <c r="A244" s="138" t="s">
        <v>133</v>
      </c>
      <c r="B244" s="139" t="s">
        <v>59</v>
      </c>
      <c r="C244" s="139">
        <v>73083</v>
      </c>
      <c r="D244" s="139"/>
      <c r="E244" s="139"/>
    </row>
    <row r="245" spans="1:5" ht="14.25" customHeight="1" x14ac:dyDescent="0.35">
      <c r="A245" s="138" t="s">
        <v>93</v>
      </c>
      <c r="B245" s="139" t="s">
        <v>55</v>
      </c>
      <c r="C245" s="139">
        <v>31033</v>
      </c>
      <c r="D245" s="139"/>
      <c r="E245" s="139"/>
    </row>
    <row r="246" spans="1:5" ht="14.25" customHeight="1" x14ac:dyDescent="0.35">
      <c r="A246" s="138" t="s">
        <v>215</v>
      </c>
      <c r="B246" s="139" t="s">
        <v>52</v>
      </c>
      <c r="C246" s="139">
        <v>24109</v>
      </c>
      <c r="D246" s="139"/>
      <c r="E246" s="139"/>
    </row>
    <row r="247" spans="1:5" ht="14.25" customHeight="1" x14ac:dyDescent="0.35">
      <c r="A247" s="138" t="s">
        <v>61</v>
      </c>
      <c r="B247" s="139" t="s">
        <v>48</v>
      </c>
      <c r="C247" s="139">
        <v>13040</v>
      </c>
      <c r="D247" s="139"/>
      <c r="E247" s="139"/>
    </row>
    <row r="248" spans="1:5" ht="14.25" customHeight="1" x14ac:dyDescent="0.35">
      <c r="A248" s="138" t="s">
        <v>175</v>
      </c>
      <c r="B248" s="139" t="s">
        <v>55</v>
      </c>
      <c r="C248" s="139">
        <v>38025</v>
      </c>
      <c r="D248" s="139"/>
      <c r="E248" s="139"/>
    </row>
    <row r="249" spans="1:5" ht="14.25" customHeight="1" x14ac:dyDescent="0.35">
      <c r="A249" s="138" t="s">
        <v>74</v>
      </c>
      <c r="B249" s="139" t="s">
        <v>52</v>
      </c>
      <c r="C249" s="139">
        <v>23088</v>
      </c>
      <c r="D249" s="139"/>
      <c r="E249" s="139"/>
    </row>
    <row r="250" spans="1:5" ht="14.25" customHeight="1" x14ac:dyDescent="0.35">
      <c r="A250" s="138" t="s">
        <v>240</v>
      </c>
      <c r="B250" s="139" t="s">
        <v>55</v>
      </c>
      <c r="C250" s="139">
        <v>33041</v>
      </c>
      <c r="D250" s="139"/>
      <c r="E250" s="139"/>
    </row>
    <row r="251" spans="1:5" ht="14.25" customHeight="1" x14ac:dyDescent="0.35">
      <c r="A251" s="138" t="s">
        <v>318</v>
      </c>
      <c r="B251" s="139" t="s">
        <v>59</v>
      </c>
      <c r="C251" s="139">
        <v>73109</v>
      </c>
      <c r="D251" s="139"/>
      <c r="E251" s="139"/>
    </row>
    <row r="252" spans="1:5" ht="14.25" customHeight="1" x14ac:dyDescent="0.35">
      <c r="A252" s="138" t="s">
        <v>195</v>
      </c>
      <c r="B252" s="139" t="s">
        <v>48</v>
      </c>
      <c r="C252" s="139">
        <v>13044</v>
      </c>
      <c r="D252" s="139"/>
      <c r="E252" s="139"/>
    </row>
    <row r="253" spans="1:5" ht="14.25" customHeight="1" x14ac:dyDescent="0.35">
      <c r="A253" s="138" t="s">
        <v>264</v>
      </c>
      <c r="B253" s="139" t="s">
        <v>48</v>
      </c>
      <c r="C253" s="139">
        <v>13046</v>
      </c>
      <c r="D253" s="139"/>
      <c r="E253" s="139"/>
    </row>
    <row r="254" spans="1:5" ht="14.25" customHeight="1" x14ac:dyDescent="0.35">
      <c r="A254" s="138" t="s">
        <v>262</v>
      </c>
      <c r="B254" s="139" t="s">
        <v>50</v>
      </c>
      <c r="C254" s="139">
        <v>42023</v>
      </c>
      <c r="D254" s="139"/>
      <c r="E254" s="139"/>
    </row>
    <row r="255" spans="1:5" ht="14.25" customHeight="1" x14ac:dyDescent="0.35">
      <c r="A255" s="138" t="s">
        <v>146</v>
      </c>
      <c r="B255" s="139" t="s">
        <v>55</v>
      </c>
      <c r="C255" s="139">
        <v>34040</v>
      </c>
      <c r="D255" s="139"/>
      <c r="E255" s="139"/>
    </row>
    <row r="256" spans="1:5" ht="14.25" customHeight="1" x14ac:dyDescent="0.35">
      <c r="A256" s="138" t="s">
        <v>322</v>
      </c>
      <c r="B256" s="139" t="s">
        <v>59</v>
      </c>
      <c r="C256" s="139">
        <v>73098</v>
      </c>
      <c r="D256" s="139"/>
      <c r="E256" s="139"/>
    </row>
    <row r="257" spans="1:5" ht="14.25" customHeight="1" x14ac:dyDescent="0.35">
      <c r="A257" s="138" t="s">
        <v>162</v>
      </c>
      <c r="B257" s="139" t="s">
        <v>52</v>
      </c>
      <c r="C257" s="139">
        <v>23102</v>
      </c>
      <c r="D257" s="139"/>
      <c r="E257" s="139"/>
    </row>
    <row r="258" spans="1:5" ht="14.25" customHeight="1" x14ac:dyDescent="0.35">
      <c r="A258" s="138" t="s">
        <v>222</v>
      </c>
      <c r="B258" s="139" t="s">
        <v>55</v>
      </c>
      <c r="C258" s="139">
        <v>33029</v>
      </c>
      <c r="D258" s="139"/>
      <c r="E258" s="139"/>
    </row>
    <row r="259" spans="1:5" ht="14.25" customHeight="1" x14ac:dyDescent="0.35">
      <c r="A259" s="138" t="s">
        <v>101</v>
      </c>
      <c r="B259" s="139" t="s">
        <v>48</v>
      </c>
      <c r="C259" s="139">
        <v>13049</v>
      </c>
      <c r="D259" s="139"/>
      <c r="E259" s="139"/>
    </row>
    <row r="260" spans="1:5" ht="14.25" customHeight="1" x14ac:dyDescent="0.35">
      <c r="A260" s="138" t="s">
        <v>89</v>
      </c>
      <c r="B260" s="139" t="s">
        <v>50</v>
      </c>
      <c r="C260" s="139">
        <v>42025</v>
      </c>
      <c r="D260" s="139"/>
      <c r="E260" s="139"/>
    </row>
    <row r="261" spans="1:5" ht="14.25" customHeight="1" x14ac:dyDescent="0.35">
      <c r="A261" s="138" t="s">
        <v>143</v>
      </c>
      <c r="B261" s="139" t="s">
        <v>55</v>
      </c>
      <c r="C261" s="139">
        <v>34041</v>
      </c>
      <c r="D261" s="139"/>
      <c r="E261" s="139"/>
    </row>
    <row r="262" spans="1:5" ht="14.25" customHeight="1" x14ac:dyDescent="0.35">
      <c r="A262" s="138" t="s">
        <v>213</v>
      </c>
      <c r="B262" s="139" t="s">
        <v>52</v>
      </c>
      <c r="C262" s="139">
        <v>23103</v>
      </c>
      <c r="D262" s="139"/>
      <c r="E262" s="139"/>
    </row>
    <row r="263" spans="1:5" ht="14.25" customHeight="1" x14ac:dyDescent="0.35">
      <c r="A263" s="138" t="s">
        <v>205</v>
      </c>
      <c r="B263" s="139" t="s">
        <v>50</v>
      </c>
      <c r="C263" s="139">
        <v>42026</v>
      </c>
      <c r="D263" s="139"/>
      <c r="E263" s="139"/>
    </row>
    <row r="264" spans="1:5" ht="14.25" customHeight="1" x14ac:dyDescent="0.35">
      <c r="A264" s="138" t="s">
        <v>201</v>
      </c>
      <c r="B264" s="139" t="s">
        <v>55</v>
      </c>
      <c r="C264" s="139">
        <v>37017</v>
      </c>
      <c r="D264" s="139"/>
      <c r="E264" s="139"/>
    </row>
    <row r="265" spans="1:5" ht="14.25" customHeight="1" x14ac:dyDescent="0.35">
      <c r="A265" s="138" t="s">
        <v>151</v>
      </c>
      <c r="B265" s="139" t="s">
        <v>48</v>
      </c>
      <c r="C265" s="139">
        <v>11050</v>
      </c>
      <c r="D265" s="139"/>
      <c r="E265" s="139"/>
    </row>
    <row r="266" spans="1:5" ht="14.25" customHeight="1" x14ac:dyDescent="0.35">
      <c r="A266" s="138" t="s">
        <v>142</v>
      </c>
      <c r="B266" s="139" t="s">
        <v>48</v>
      </c>
      <c r="C266" s="139">
        <v>12040</v>
      </c>
      <c r="D266" s="139"/>
      <c r="E266" s="139"/>
    </row>
    <row r="267" spans="1:5" ht="14.25" customHeight="1" x14ac:dyDescent="0.35">
      <c r="A267" s="138" t="s">
        <v>115</v>
      </c>
      <c r="B267" s="139" t="s">
        <v>55</v>
      </c>
      <c r="C267" s="139">
        <v>37018</v>
      </c>
      <c r="D267" s="139"/>
      <c r="E267" s="139"/>
    </row>
    <row r="268" spans="1:5" ht="14.25" customHeight="1" x14ac:dyDescent="0.35">
      <c r="A268" s="138" t="s">
        <v>210</v>
      </c>
      <c r="B268" s="139" t="s">
        <v>48</v>
      </c>
      <c r="C268" s="139">
        <v>11052</v>
      </c>
      <c r="D268" s="139"/>
      <c r="E268" s="139"/>
    </row>
    <row r="269" spans="1:5" ht="14.25" customHeight="1" x14ac:dyDescent="0.35">
      <c r="A269" s="138" t="s">
        <v>246</v>
      </c>
      <c r="B269" s="139" t="s">
        <v>50</v>
      </c>
      <c r="C269" s="139">
        <v>45061</v>
      </c>
      <c r="D269" s="139"/>
      <c r="E269" s="139"/>
    </row>
    <row r="270" spans="1:5" ht="14.25" customHeight="1" x14ac:dyDescent="0.35">
      <c r="A270" s="138" t="s">
        <v>290</v>
      </c>
      <c r="B270" s="139" t="s">
        <v>48</v>
      </c>
      <c r="C270" s="139">
        <v>11053</v>
      </c>
      <c r="D270" s="139"/>
      <c r="E270" s="139"/>
    </row>
    <row r="271" spans="1:5" ht="14.25" customHeight="1" x14ac:dyDescent="0.35">
      <c r="A271" s="138" t="s">
        <v>305</v>
      </c>
      <c r="B271" s="139" t="s">
        <v>48</v>
      </c>
      <c r="C271" s="139">
        <v>11054</v>
      </c>
      <c r="D271" s="139"/>
      <c r="E271" s="139"/>
    </row>
    <row r="272" spans="1:5" ht="14.25" customHeight="1" x14ac:dyDescent="0.35">
      <c r="A272" s="138" t="s">
        <v>105</v>
      </c>
      <c r="B272" s="139" t="s">
        <v>52</v>
      </c>
      <c r="C272" s="139">
        <v>23094</v>
      </c>
      <c r="D272" s="139"/>
      <c r="E272" s="139"/>
    </row>
    <row r="273" spans="1:5" ht="14.25" customHeight="1" x14ac:dyDescent="0.35">
      <c r="A273" s="138" t="s">
        <v>164</v>
      </c>
      <c r="B273" s="139" t="s">
        <v>55</v>
      </c>
      <c r="C273" s="139">
        <v>31040</v>
      </c>
      <c r="D273" s="139"/>
      <c r="E273" s="139"/>
    </row>
    <row r="274" spans="1:5" ht="14.25" customHeight="1" x14ac:dyDescent="0.35">
      <c r="A274" s="138" t="s">
        <v>228</v>
      </c>
      <c r="B274" s="139" t="s">
        <v>50</v>
      </c>
      <c r="C274" s="139">
        <v>42028</v>
      </c>
      <c r="D274" s="139"/>
      <c r="E274" s="139"/>
    </row>
    <row r="275" spans="1:5" ht="14.25" customHeight="1" x14ac:dyDescent="0.35">
      <c r="A275" s="138" t="s">
        <v>269</v>
      </c>
      <c r="B275" s="139" t="s">
        <v>50</v>
      </c>
      <c r="C275" s="139">
        <v>43018</v>
      </c>
      <c r="D275" s="139"/>
      <c r="E275" s="139"/>
    </row>
    <row r="276" spans="1:5" ht="14.25" customHeight="1" x14ac:dyDescent="0.35">
      <c r="A276" s="138" t="s">
        <v>119</v>
      </c>
      <c r="B276" s="139" t="s">
        <v>52</v>
      </c>
      <c r="C276" s="139">
        <v>23096</v>
      </c>
      <c r="D276" s="139"/>
      <c r="E276" s="139"/>
    </row>
    <row r="277" spans="1:5" ht="14.25" customHeight="1" x14ac:dyDescent="0.35">
      <c r="A277" s="138" t="s">
        <v>291</v>
      </c>
      <c r="B277" s="139" t="s">
        <v>48</v>
      </c>
      <c r="C277" s="139">
        <v>11055</v>
      </c>
      <c r="D277" s="139"/>
      <c r="E277" s="139"/>
    </row>
    <row r="278" spans="1:5" ht="14.25" customHeight="1" x14ac:dyDescent="0.35">
      <c r="A278" s="138" t="s">
        <v>289</v>
      </c>
      <c r="B278" s="139" t="s">
        <v>59</v>
      </c>
      <c r="C278" s="139">
        <v>71066</v>
      </c>
      <c r="D278" s="139"/>
      <c r="E278" s="139"/>
    </row>
    <row r="279" spans="1:5" ht="14.25" customHeight="1" x14ac:dyDescent="0.35">
      <c r="A279" s="138" t="s">
        <v>137</v>
      </c>
      <c r="B279" s="139" t="s">
        <v>55</v>
      </c>
      <c r="C279" s="139">
        <v>33037</v>
      </c>
      <c r="D279" s="139"/>
      <c r="E279" s="139"/>
    </row>
    <row r="280" spans="1:5" ht="14.25" customHeight="1" x14ac:dyDescent="0.35">
      <c r="A280" s="138" t="s">
        <v>120</v>
      </c>
      <c r="B280" s="139" t="s">
        <v>50</v>
      </c>
      <c r="C280" s="139">
        <v>41081</v>
      </c>
      <c r="D280" s="139"/>
      <c r="E280" s="139"/>
    </row>
    <row r="281" spans="1:5" ht="14.25" customHeight="1" x14ac:dyDescent="0.35">
      <c r="A281" s="138" t="s">
        <v>255</v>
      </c>
      <c r="B281" s="139" t="s">
        <v>52</v>
      </c>
      <c r="C281" s="139">
        <v>24130</v>
      </c>
      <c r="D281" s="139"/>
      <c r="E281" s="139"/>
    </row>
    <row r="282" spans="1:5" ht="14.25" customHeight="1" x14ac:dyDescent="0.35">
      <c r="A282" s="138" t="s">
        <v>316</v>
      </c>
      <c r="B282" s="139" t="s">
        <v>55</v>
      </c>
      <c r="C282" s="139">
        <v>31042</v>
      </c>
      <c r="D282" s="139"/>
      <c r="E282" s="139"/>
    </row>
    <row r="283" spans="1:5" ht="14.25" customHeight="1" x14ac:dyDescent="0.35">
      <c r="A283" s="138" t="s">
        <v>111</v>
      </c>
      <c r="B283" s="139" t="s">
        <v>50</v>
      </c>
      <c r="C283" s="139">
        <v>44081</v>
      </c>
      <c r="D283" s="139"/>
      <c r="E283" s="139"/>
    </row>
    <row r="284" spans="1:5" ht="14.25" customHeight="1" x14ac:dyDescent="0.35">
      <c r="A284" s="138" t="s">
        <v>321</v>
      </c>
      <c r="B284" s="139" t="s">
        <v>59</v>
      </c>
      <c r="C284" s="139">
        <v>71067</v>
      </c>
      <c r="D284" s="139"/>
      <c r="E284" s="139"/>
    </row>
    <row r="285" spans="1:5" ht="14.25" customHeight="1" x14ac:dyDescent="0.35">
      <c r="A285" s="138" t="s">
        <v>149</v>
      </c>
      <c r="B285" s="139" t="s">
        <v>50</v>
      </c>
      <c r="C285" s="139">
        <v>45065</v>
      </c>
      <c r="D285" s="139"/>
      <c r="E285" s="139"/>
    </row>
    <row r="286" spans="1:5" ht="14.25" customHeight="1" x14ac:dyDescent="0.35">
      <c r="A286" s="138" t="s">
        <v>186</v>
      </c>
      <c r="B286" s="139" t="s">
        <v>55</v>
      </c>
      <c r="C286" s="139">
        <v>34042</v>
      </c>
      <c r="D286" s="139"/>
      <c r="E286" s="139"/>
    </row>
    <row r="287" spans="1:5" ht="14.25" customHeight="1" x14ac:dyDescent="0.35"/>
    <row r="288" spans="1:5"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2">
    <dataValidation type="custom" allowBlank="1" showDropDown="1" sqref="C2:C286" xr:uid="{00000000-0002-0000-0E00-000000000000}">
      <formula1>AND(ISNUMBER(C2),(NOT(OR(NOT(ISERROR(DATEVALUE(C2))), AND(ISNUMBER(C2), LEFT(CELL("format", C2))="D")))))</formula1>
    </dataValidation>
    <dataValidation type="list" allowBlank="1" showDropDown="1" showErrorMessage="1" sqref="B2:B286" xr:uid="{00000000-0002-0000-0E00-000001000000}">
      <formula1>"Oost-Vlaanderen,Vlaams-Brabant,Antwerpen,Limburg,West-Vlaanderen"</formula1>
    </dataValidation>
  </dataValidations>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00"/>
  <sheetViews>
    <sheetView workbookViewId="0"/>
  </sheetViews>
  <sheetFormatPr defaultColWidth="14.453125" defaultRowHeight="15" customHeight="1" x14ac:dyDescent="0.35"/>
  <cols>
    <col min="1" max="1" width="14.26953125" customWidth="1"/>
    <col min="2" max="2" width="16.7265625" customWidth="1"/>
    <col min="3" max="3" width="8.7265625" customWidth="1"/>
    <col min="4" max="4" width="14" customWidth="1"/>
    <col min="5" max="5" width="13" customWidth="1"/>
    <col min="6" max="6" width="14.08984375" customWidth="1"/>
    <col min="7" max="7" width="14.26953125" customWidth="1"/>
    <col min="9" max="9" width="13.54296875" customWidth="1"/>
    <col min="10" max="10" width="16.453125" customWidth="1"/>
    <col min="11" max="11" width="15.7265625" customWidth="1"/>
    <col min="12" max="26" width="8.7265625" customWidth="1"/>
  </cols>
  <sheetData>
    <row r="1" spans="1:11" ht="48" customHeight="1" x14ac:dyDescent="0.35">
      <c r="A1" s="3" t="s">
        <v>0</v>
      </c>
      <c r="B1" s="2" t="s">
        <v>1</v>
      </c>
      <c r="C1" s="3" t="s">
        <v>2</v>
      </c>
      <c r="D1" s="3" t="s">
        <v>7</v>
      </c>
      <c r="E1" s="3" t="s">
        <v>8</v>
      </c>
      <c r="F1" s="3" t="s">
        <v>10</v>
      </c>
      <c r="G1" s="3" t="s">
        <v>11</v>
      </c>
      <c r="H1" s="3" t="s">
        <v>13</v>
      </c>
      <c r="I1" s="3" t="s">
        <v>14</v>
      </c>
      <c r="J1" s="3" t="s">
        <v>23</v>
      </c>
      <c r="K1" s="3" t="s">
        <v>24</v>
      </c>
    </row>
    <row r="2" spans="1:11" ht="14.25" customHeight="1" x14ac:dyDescent="0.35">
      <c r="A2" s="2" t="s">
        <v>65</v>
      </c>
      <c r="B2" s="13" t="s">
        <v>50</v>
      </c>
      <c r="C2" s="13">
        <v>41002</v>
      </c>
      <c r="D2" s="13">
        <v>0</v>
      </c>
      <c r="H2" s="13">
        <v>0</v>
      </c>
      <c r="I2" s="13">
        <v>0</v>
      </c>
    </row>
    <row r="3" spans="1:11" ht="14.25" customHeight="1" x14ac:dyDescent="0.35">
      <c r="A3" s="2" t="s">
        <v>231</v>
      </c>
      <c r="B3" s="13" t="s">
        <v>50</v>
      </c>
      <c r="C3" s="13">
        <v>44084</v>
      </c>
      <c r="D3" s="13">
        <v>0</v>
      </c>
      <c r="H3" s="13">
        <v>0</v>
      </c>
      <c r="I3" s="13">
        <v>0</v>
      </c>
    </row>
    <row r="4" spans="1:11" ht="14.25" customHeight="1" x14ac:dyDescent="0.35">
      <c r="A4" s="2" t="s">
        <v>84</v>
      </c>
      <c r="B4" s="13" t="s">
        <v>52</v>
      </c>
      <c r="C4" s="13">
        <v>24001</v>
      </c>
      <c r="D4" s="13">
        <v>0</v>
      </c>
      <c r="H4" s="13">
        <v>0</v>
      </c>
      <c r="I4" s="13">
        <v>0</v>
      </c>
    </row>
    <row r="5" spans="1:11" ht="14.25" customHeight="1" x14ac:dyDescent="0.35">
      <c r="A5" s="2" t="s">
        <v>335</v>
      </c>
      <c r="B5" s="13" t="s">
        <v>48</v>
      </c>
      <c r="C5" s="13">
        <v>11001</v>
      </c>
      <c r="D5" s="13">
        <v>0</v>
      </c>
      <c r="H5" s="13">
        <v>0</v>
      </c>
      <c r="I5" s="13">
        <v>0</v>
      </c>
    </row>
    <row r="6" spans="1:11" ht="14.25" customHeight="1" x14ac:dyDescent="0.35">
      <c r="A6" s="2" t="s">
        <v>306</v>
      </c>
      <c r="B6" s="13" t="s">
        <v>52</v>
      </c>
      <c r="C6" s="13">
        <v>23105</v>
      </c>
      <c r="D6" s="13">
        <v>0</v>
      </c>
      <c r="H6" s="13">
        <v>0</v>
      </c>
      <c r="I6" s="13">
        <v>0</v>
      </c>
    </row>
    <row r="7" spans="1:11" ht="14.25" customHeight="1" x14ac:dyDescent="0.35">
      <c r="A7" s="2" t="s">
        <v>279</v>
      </c>
      <c r="B7" s="13" t="s">
        <v>59</v>
      </c>
      <c r="C7" s="13">
        <v>73001</v>
      </c>
      <c r="D7" s="13">
        <v>0</v>
      </c>
      <c r="H7" s="13">
        <v>0</v>
      </c>
      <c r="I7" s="13">
        <v>0</v>
      </c>
    </row>
    <row r="8" spans="1:11" ht="14.25" customHeight="1" x14ac:dyDescent="0.35">
      <c r="A8" s="2" t="s">
        <v>242</v>
      </c>
      <c r="B8" s="13" t="s">
        <v>55</v>
      </c>
      <c r="C8" s="13">
        <v>38002</v>
      </c>
      <c r="D8" s="13">
        <v>0</v>
      </c>
      <c r="H8" s="13">
        <v>0</v>
      </c>
      <c r="I8" s="13">
        <v>0</v>
      </c>
    </row>
    <row r="9" spans="1:11" ht="14.25" customHeight="1" x14ac:dyDescent="0.35">
      <c r="A9" s="2" t="s">
        <v>48</v>
      </c>
      <c r="B9" s="13" t="s">
        <v>48</v>
      </c>
      <c r="C9" s="13">
        <v>11002</v>
      </c>
      <c r="D9" s="13">
        <v>0</v>
      </c>
      <c r="E9" s="13">
        <v>0</v>
      </c>
      <c r="F9" s="13">
        <v>1</v>
      </c>
      <c r="G9" s="13">
        <v>1</v>
      </c>
      <c r="H9" s="13">
        <v>1</v>
      </c>
      <c r="I9" s="13">
        <v>1</v>
      </c>
    </row>
    <row r="10" spans="1:11" ht="14.25" customHeight="1" x14ac:dyDescent="0.35">
      <c r="A10" s="2" t="s">
        <v>276</v>
      </c>
      <c r="B10" s="13" t="s">
        <v>55</v>
      </c>
      <c r="C10" s="13">
        <v>34002</v>
      </c>
      <c r="D10" s="13">
        <v>0</v>
      </c>
      <c r="H10" s="13">
        <v>0</v>
      </c>
      <c r="I10" s="13">
        <v>0</v>
      </c>
    </row>
    <row r="11" spans="1:11" ht="14.25" customHeight="1" x14ac:dyDescent="0.35">
      <c r="A11" s="2" t="s">
        <v>199</v>
      </c>
      <c r="B11" s="13" t="s">
        <v>55</v>
      </c>
      <c r="C11" s="13">
        <v>37020</v>
      </c>
      <c r="D11" s="13">
        <v>0</v>
      </c>
      <c r="H11" s="13">
        <v>0</v>
      </c>
      <c r="I11" s="13">
        <v>0</v>
      </c>
    </row>
    <row r="12" spans="1:11" ht="14.25" customHeight="1" x14ac:dyDescent="0.35">
      <c r="A12" s="2" t="s">
        <v>304</v>
      </c>
      <c r="B12" s="13" t="s">
        <v>48</v>
      </c>
      <c r="C12" s="13">
        <v>13001</v>
      </c>
      <c r="D12" s="13">
        <v>0</v>
      </c>
      <c r="H12" s="13">
        <v>0</v>
      </c>
      <c r="I12" s="13">
        <v>0</v>
      </c>
    </row>
    <row r="13" spans="1:11" ht="14.25" customHeight="1" x14ac:dyDescent="0.35">
      <c r="A13" s="2" t="s">
        <v>307</v>
      </c>
      <c r="B13" s="13" t="s">
        <v>59</v>
      </c>
      <c r="C13" s="13">
        <v>71002</v>
      </c>
      <c r="D13" s="13">
        <v>0</v>
      </c>
      <c r="H13" s="13">
        <v>0</v>
      </c>
      <c r="I13" s="13">
        <v>0</v>
      </c>
    </row>
    <row r="14" spans="1:11" ht="14.25" customHeight="1" x14ac:dyDescent="0.35">
      <c r="A14" s="2" t="s">
        <v>131</v>
      </c>
      <c r="B14" s="13" t="s">
        <v>52</v>
      </c>
      <c r="C14" s="13">
        <v>23002</v>
      </c>
      <c r="D14" s="13">
        <v>0</v>
      </c>
      <c r="H14" s="13">
        <v>0</v>
      </c>
      <c r="I14" s="13">
        <v>0</v>
      </c>
    </row>
    <row r="15" spans="1:11" ht="14.25" customHeight="1" x14ac:dyDescent="0.35">
      <c r="A15" s="2" t="s">
        <v>177</v>
      </c>
      <c r="B15" s="13" t="s">
        <v>50</v>
      </c>
      <c r="C15" s="13">
        <v>43002</v>
      </c>
      <c r="D15" s="13">
        <v>0</v>
      </c>
      <c r="H15" s="13">
        <v>0</v>
      </c>
      <c r="I15" s="13">
        <v>0</v>
      </c>
    </row>
    <row r="16" spans="1:11" ht="14.25" customHeight="1" x14ac:dyDescent="0.35">
      <c r="A16" s="2" t="s">
        <v>260</v>
      </c>
      <c r="B16" s="13" t="s">
        <v>55</v>
      </c>
      <c r="C16" s="13">
        <v>34003</v>
      </c>
      <c r="D16" s="13">
        <v>0</v>
      </c>
      <c r="H16" s="13">
        <v>0</v>
      </c>
      <c r="I16" s="13">
        <v>0</v>
      </c>
    </row>
    <row r="17" spans="1:9" ht="14.25" customHeight="1" x14ac:dyDescent="0.35">
      <c r="A17" s="2" t="s">
        <v>317</v>
      </c>
      <c r="B17" s="13" t="s">
        <v>48</v>
      </c>
      <c r="C17" s="13">
        <v>13002</v>
      </c>
      <c r="D17" s="13">
        <v>0</v>
      </c>
      <c r="H17" s="13">
        <v>0</v>
      </c>
      <c r="I17" s="13">
        <v>0</v>
      </c>
    </row>
    <row r="18" spans="1:9" ht="14.25" customHeight="1" x14ac:dyDescent="0.35">
      <c r="A18" s="2" t="s">
        <v>125</v>
      </c>
      <c r="B18" s="13" t="s">
        <v>48</v>
      </c>
      <c r="C18" s="13">
        <v>13003</v>
      </c>
      <c r="D18" s="13">
        <v>0</v>
      </c>
      <c r="H18" s="13">
        <v>0</v>
      </c>
      <c r="I18" s="13">
        <v>0</v>
      </c>
    </row>
    <row r="19" spans="1:9" ht="14.25" customHeight="1" x14ac:dyDescent="0.35">
      <c r="A19" s="2" t="s">
        <v>112</v>
      </c>
      <c r="B19" s="13" t="s">
        <v>55</v>
      </c>
      <c r="C19" s="13">
        <v>31003</v>
      </c>
      <c r="D19" s="13">
        <v>0</v>
      </c>
      <c r="H19" s="13">
        <v>0</v>
      </c>
      <c r="I19" s="13">
        <v>0</v>
      </c>
    </row>
    <row r="20" spans="1:9" ht="14.25" customHeight="1" x14ac:dyDescent="0.35">
      <c r="A20" s="2" t="s">
        <v>221</v>
      </c>
      <c r="B20" s="13" t="s">
        <v>48</v>
      </c>
      <c r="C20" s="13">
        <v>13004</v>
      </c>
      <c r="D20" s="13">
        <v>0</v>
      </c>
      <c r="H20" s="13">
        <v>0</v>
      </c>
      <c r="I20" s="13">
        <v>0</v>
      </c>
    </row>
    <row r="21" spans="1:9" ht="14.25" customHeight="1" x14ac:dyDescent="0.35">
      <c r="A21" s="2" t="s">
        <v>128</v>
      </c>
      <c r="B21" s="13" t="s">
        <v>52</v>
      </c>
      <c r="C21" s="13">
        <v>23003</v>
      </c>
      <c r="D21" s="13">
        <v>1</v>
      </c>
      <c r="E21" s="13">
        <v>1</v>
      </c>
      <c r="F21" s="13">
        <v>1</v>
      </c>
      <c r="G21" s="13">
        <v>1</v>
      </c>
      <c r="H21" s="13">
        <v>1</v>
      </c>
      <c r="I21" s="13">
        <v>1</v>
      </c>
    </row>
    <row r="22" spans="1:9" ht="14.25" customHeight="1" x14ac:dyDescent="0.35">
      <c r="A22" s="2" t="s">
        <v>327</v>
      </c>
      <c r="B22" s="13" t="s">
        <v>52</v>
      </c>
      <c r="C22" s="13">
        <v>24007</v>
      </c>
      <c r="D22" s="13">
        <v>0</v>
      </c>
      <c r="H22" s="13">
        <v>0</v>
      </c>
      <c r="I22" s="13">
        <v>0</v>
      </c>
    </row>
    <row r="23" spans="1:9" ht="14.25" customHeight="1" x14ac:dyDescent="0.35">
      <c r="A23" s="2" t="s">
        <v>249</v>
      </c>
      <c r="B23" s="13" t="s">
        <v>52</v>
      </c>
      <c r="C23" s="13">
        <v>24008</v>
      </c>
      <c r="D23" s="13">
        <v>0</v>
      </c>
      <c r="H23" s="13">
        <v>0</v>
      </c>
      <c r="I23" s="13">
        <v>0</v>
      </c>
    </row>
    <row r="24" spans="1:9" ht="14.25" customHeight="1" x14ac:dyDescent="0.35">
      <c r="A24" s="2" t="s">
        <v>235</v>
      </c>
      <c r="B24" s="13" t="s">
        <v>59</v>
      </c>
      <c r="C24" s="13">
        <v>71004</v>
      </c>
      <c r="D24" s="13">
        <v>0</v>
      </c>
      <c r="H24" s="13">
        <v>0</v>
      </c>
      <c r="I24" s="13">
        <v>0</v>
      </c>
    </row>
    <row r="25" spans="1:9" ht="14.25" customHeight="1" x14ac:dyDescent="0.35">
      <c r="A25" s="2" t="s">
        <v>136</v>
      </c>
      <c r="B25" s="13" t="s">
        <v>48</v>
      </c>
      <c r="C25" s="13">
        <v>12002</v>
      </c>
      <c r="D25" s="13">
        <v>0</v>
      </c>
      <c r="H25" s="13">
        <v>0</v>
      </c>
      <c r="I25" s="13">
        <v>0</v>
      </c>
    </row>
    <row r="26" spans="1:9" ht="14.25" customHeight="1" x14ac:dyDescent="0.35">
      <c r="A26" s="2" t="s">
        <v>216</v>
      </c>
      <c r="B26" s="13" t="s">
        <v>50</v>
      </c>
      <c r="C26" s="13">
        <v>42003</v>
      </c>
      <c r="D26" s="13">
        <v>0</v>
      </c>
      <c r="H26" s="13">
        <v>0</v>
      </c>
      <c r="I26" s="13">
        <v>0</v>
      </c>
    </row>
    <row r="27" spans="1:9" ht="14.25" customHeight="1" x14ac:dyDescent="0.35">
      <c r="A27" s="2" t="s">
        <v>259</v>
      </c>
      <c r="B27" s="13" t="s">
        <v>52</v>
      </c>
      <c r="C27" s="13">
        <v>24009</v>
      </c>
      <c r="D27" s="13">
        <v>0</v>
      </c>
      <c r="H27" s="13">
        <v>0</v>
      </c>
      <c r="I27" s="13">
        <v>0</v>
      </c>
    </row>
    <row r="28" spans="1:9" ht="14.25" customHeight="1" x14ac:dyDescent="0.35">
      <c r="A28" s="2" t="s">
        <v>315</v>
      </c>
      <c r="B28" s="13" t="s">
        <v>52</v>
      </c>
      <c r="C28" s="13">
        <v>23009</v>
      </c>
      <c r="D28" s="13">
        <v>0</v>
      </c>
      <c r="H28" s="13">
        <v>0</v>
      </c>
      <c r="I28" s="13">
        <v>0</v>
      </c>
    </row>
    <row r="29" spans="1:9" ht="14.25" customHeight="1" x14ac:dyDescent="0.35">
      <c r="A29" s="2" t="s">
        <v>337</v>
      </c>
      <c r="B29" s="13" t="s">
        <v>50</v>
      </c>
      <c r="C29" s="13">
        <v>46003</v>
      </c>
      <c r="D29" s="13">
        <v>0</v>
      </c>
      <c r="H29" s="13">
        <v>0</v>
      </c>
      <c r="I29" s="13">
        <v>0</v>
      </c>
    </row>
    <row r="30" spans="1:9" ht="14.25" customHeight="1" x14ac:dyDescent="0.35">
      <c r="A30" s="2" t="s">
        <v>109</v>
      </c>
      <c r="B30" s="13" t="s">
        <v>52</v>
      </c>
      <c r="C30" s="13">
        <v>24011</v>
      </c>
      <c r="D30" s="13">
        <v>0</v>
      </c>
      <c r="H30" s="13">
        <v>0</v>
      </c>
      <c r="I30" s="13">
        <v>0</v>
      </c>
    </row>
    <row r="31" spans="1:9" ht="14.25" customHeight="1" x14ac:dyDescent="0.35">
      <c r="A31" s="2" t="s">
        <v>338</v>
      </c>
      <c r="B31" s="13" t="s">
        <v>59</v>
      </c>
      <c r="C31" s="13">
        <v>73006</v>
      </c>
      <c r="D31" s="13">
        <v>0</v>
      </c>
      <c r="H31" s="13">
        <v>0</v>
      </c>
      <c r="I31" s="13">
        <v>0</v>
      </c>
    </row>
    <row r="32" spans="1:9" ht="14.25" customHeight="1" x14ac:dyDescent="0.35">
      <c r="A32" s="2" t="s">
        <v>99</v>
      </c>
      <c r="B32" s="13" t="s">
        <v>55</v>
      </c>
      <c r="C32" s="13">
        <v>31004</v>
      </c>
      <c r="D32" s="13">
        <v>0</v>
      </c>
      <c r="H32" s="13">
        <v>0</v>
      </c>
      <c r="I32" s="13">
        <v>0</v>
      </c>
    </row>
    <row r="33" spans="1:9" ht="14.25" customHeight="1" x14ac:dyDescent="0.35">
      <c r="A33" s="2" t="s">
        <v>329</v>
      </c>
      <c r="B33" s="13" t="s">
        <v>59</v>
      </c>
      <c r="C33" s="13">
        <v>72003</v>
      </c>
      <c r="D33" s="13">
        <v>0</v>
      </c>
      <c r="H33" s="13">
        <v>0</v>
      </c>
      <c r="I33" s="13">
        <v>0</v>
      </c>
    </row>
    <row r="34" spans="1:9" ht="14.25" customHeight="1" x14ac:dyDescent="0.35">
      <c r="A34" s="2" t="s">
        <v>271</v>
      </c>
      <c r="B34" s="13" t="s">
        <v>48</v>
      </c>
      <c r="C34" s="13">
        <v>11004</v>
      </c>
      <c r="D34" s="13">
        <v>1</v>
      </c>
      <c r="E34" s="13">
        <v>1</v>
      </c>
      <c r="F34" s="13">
        <v>1</v>
      </c>
      <c r="G34" s="13">
        <v>1</v>
      </c>
      <c r="H34" s="13">
        <v>2</v>
      </c>
      <c r="I34" s="13">
        <v>2</v>
      </c>
    </row>
    <row r="35" spans="1:9" ht="14.25" customHeight="1" x14ac:dyDescent="0.35">
      <c r="A35" s="2" t="s">
        <v>97</v>
      </c>
      <c r="B35" s="13" t="s">
        <v>48</v>
      </c>
      <c r="C35" s="13">
        <v>12005</v>
      </c>
      <c r="D35" s="13">
        <v>3</v>
      </c>
      <c r="E35" s="13">
        <v>3</v>
      </c>
      <c r="F35" s="13">
        <v>3</v>
      </c>
      <c r="G35" s="13">
        <v>3</v>
      </c>
      <c r="H35" s="13">
        <v>3</v>
      </c>
      <c r="I35" s="13">
        <v>3</v>
      </c>
    </row>
    <row r="36" spans="1:9" ht="14.25" customHeight="1" x14ac:dyDescent="0.35">
      <c r="A36" s="2" t="s">
        <v>224</v>
      </c>
      <c r="B36" s="13" t="s">
        <v>48</v>
      </c>
      <c r="C36" s="13">
        <v>11005</v>
      </c>
      <c r="D36" s="13">
        <v>0</v>
      </c>
      <c r="H36" s="13">
        <v>0</v>
      </c>
      <c r="I36" s="13">
        <v>0</v>
      </c>
    </row>
    <row r="37" spans="1:9" ht="14.25" customHeight="1" x14ac:dyDescent="0.35">
      <c r="A37" s="2" t="s">
        <v>157</v>
      </c>
      <c r="B37" s="13" t="s">
        <v>52</v>
      </c>
      <c r="C37" s="13">
        <v>24014</v>
      </c>
      <c r="D37" s="13">
        <v>0</v>
      </c>
      <c r="H37" s="13">
        <v>0</v>
      </c>
      <c r="I37" s="13">
        <v>0</v>
      </c>
    </row>
    <row r="38" spans="1:9" ht="14.25" customHeight="1" x14ac:dyDescent="0.35">
      <c r="A38" s="2" t="s">
        <v>339</v>
      </c>
      <c r="B38" s="13" t="s">
        <v>59</v>
      </c>
      <c r="C38" s="13">
        <v>73009</v>
      </c>
      <c r="D38" s="13">
        <v>0</v>
      </c>
      <c r="H38" s="13">
        <v>0</v>
      </c>
      <c r="I38" s="13">
        <v>0</v>
      </c>
    </row>
    <row r="39" spans="1:9" ht="14.25" customHeight="1" x14ac:dyDescent="0.35">
      <c r="A39" s="2" t="s">
        <v>184</v>
      </c>
      <c r="B39" s="13" t="s">
        <v>48</v>
      </c>
      <c r="C39" s="13">
        <v>12007</v>
      </c>
      <c r="D39" s="13">
        <v>0</v>
      </c>
      <c r="H39" s="13">
        <v>0</v>
      </c>
      <c r="I39" s="13">
        <v>0</v>
      </c>
    </row>
    <row r="40" spans="1:9" ht="14.25" customHeight="1" x14ac:dyDescent="0.35">
      <c r="A40" s="2" t="s">
        <v>340</v>
      </c>
      <c r="B40" s="13" t="s">
        <v>48</v>
      </c>
      <c r="C40" s="13">
        <v>11007</v>
      </c>
      <c r="D40" s="13">
        <v>0</v>
      </c>
      <c r="H40" s="13">
        <v>0</v>
      </c>
      <c r="I40" s="13">
        <v>0</v>
      </c>
    </row>
    <row r="41" spans="1:9" ht="14.25" customHeight="1" x14ac:dyDescent="0.35">
      <c r="A41" s="2" t="s">
        <v>170</v>
      </c>
      <c r="B41" s="13" t="s">
        <v>52</v>
      </c>
      <c r="C41" s="13">
        <v>24016</v>
      </c>
      <c r="D41" s="13">
        <v>0</v>
      </c>
      <c r="H41" s="13">
        <v>0</v>
      </c>
      <c r="I41" s="13">
        <v>0</v>
      </c>
    </row>
    <row r="42" spans="1:9" ht="14.25" customHeight="1" x14ac:dyDescent="0.35">
      <c r="A42" s="2" t="s">
        <v>275</v>
      </c>
      <c r="B42" s="13" t="s">
        <v>50</v>
      </c>
      <c r="C42" s="13">
        <v>45059</v>
      </c>
      <c r="D42" s="13">
        <v>0</v>
      </c>
      <c r="H42" s="13">
        <v>0</v>
      </c>
      <c r="I42" s="13">
        <v>0</v>
      </c>
    </row>
    <row r="43" spans="1:9" ht="14.25" customHeight="1" x14ac:dyDescent="0.35">
      <c r="A43" s="2" t="s">
        <v>106</v>
      </c>
      <c r="B43" s="13" t="s">
        <v>48</v>
      </c>
      <c r="C43" s="13">
        <v>11008</v>
      </c>
      <c r="D43" s="13">
        <v>8</v>
      </c>
      <c r="E43" s="13">
        <v>8</v>
      </c>
      <c r="F43" s="13">
        <v>9</v>
      </c>
      <c r="G43" s="13">
        <v>9</v>
      </c>
      <c r="H43" s="13">
        <v>7</v>
      </c>
      <c r="I43" s="13">
        <v>7</v>
      </c>
    </row>
    <row r="44" spans="1:9" ht="14.25" customHeight="1" x14ac:dyDescent="0.35">
      <c r="A44" s="2" t="s">
        <v>294</v>
      </c>
      <c r="B44" s="13" t="s">
        <v>48</v>
      </c>
      <c r="C44" s="13">
        <v>11009</v>
      </c>
      <c r="D44" s="13">
        <v>0</v>
      </c>
      <c r="H44" s="13">
        <v>0</v>
      </c>
      <c r="I44" s="13">
        <v>0</v>
      </c>
    </row>
    <row r="45" spans="1:9" ht="14.25" customHeight="1" x14ac:dyDescent="0.35">
      <c r="A45" s="2" t="s">
        <v>219</v>
      </c>
      <c r="B45" s="13" t="s">
        <v>55</v>
      </c>
      <c r="C45" s="13">
        <v>35002</v>
      </c>
      <c r="D45" s="13">
        <v>0</v>
      </c>
      <c r="H45" s="13">
        <v>0</v>
      </c>
      <c r="I45" s="13">
        <v>0</v>
      </c>
    </row>
    <row r="46" spans="1:9" ht="14.25" customHeight="1" x14ac:dyDescent="0.35">
      <c r="A46" s="2" t="s">
        <v>227</v>
      </c>
      <c r="B46" s="13" t="s">
        <v>59</v>
      </c>
      <c r="C46" s="13">
        <v>72004</v>
      </c>
      <c r="D46" s="13">
        <v>0</v>
      </c>
      <c r="H46" s="13">
        <v>0</v>
      </c>
      <c r="I46" s="13">
        <v>0</v>
      </c>
    </row>
    <row r="47" spans="1:9" ht="14.25" customHeight="1" x14ac:dyDescent="0.35">
      <c r="A47" s="2" t="s">
        <v>54</v>
      </c>
      <c r="B47" s="13" t="s">
        <v>55</v>
      </c>
      <c r="C47" s="13">
        <v>31005</v>
      </c>
      <c r="D47" s="13">
        <v>0</v>
      </c>
      <c r="H47" s="13">
        <v>0</v>
      </c>
      <c r="I47" s="13">
        <v>0</v>
      </c>
    </row>
    <row r="48" spans="1:9" ht="14.25" customHeight="1" x14ac:dyDescent="0.35">
      <c r="A48" s="2" t="s">
        <v>274</v>
      </c>
      <c r="B48" s="13" t="s">
        <v>50</v>
      </c>
      <c r="C48" s="13">
        <v>42004</v>
      </c>
      <c r="D48" s="13">
        <v>0</v>
      </c>
      <c r="H48" s="13">
        <v>0</v>
      </c>
      <c r="I48" s="13">
        <v>0</v>
      </c>
    </row>
    <row r="49" spans="1:9" ht="14.25" customHeight="1" x14ac:dyDescent="0.35">
      <c r="A49" s="2" t="s">
        <v>96</v>
      </c>
      <c r="B49" s="13" t="s">
        <v>55</v>
      </c>
      <c r="C49" s="13">
        <v>31006</v>
      </c>
      <c r="D49" s="13">
        <v>0</v>
      </c>
      <c r="H49" s="13">
        <v>0</v>
      </c>
      <c r="I49" s="13">
        <v>0</v>
      </c>
    </row>
    <row r="50" spans="1:9" ht="14.25" customHeight="1" x14ac:dyDescent="0.35">
      <c r="A50" s="2" t="s">
        <v>268</v>
      </c>
      <c r="B50" s="13" t="s">
        <v>55</v>
      </c>
      <c r="C50" s="13">
        <v>35029</v>
      </c>
      <c r="D50" s="13">
        <v>0</v>
      </c>
      <c r="H50" s="13">
        <v>0</v>
      </c>
      <c r="I50" s="13">
        <v>0</v>
      </c>
    </row>
    <row r="51" spans="1:9" ht="14.25" customHeight="1" x14ac:dyDescent="0.35">
      <c r="A51" s="2" t="s">
        <v>135</v>
      </c>
      <c r="B51" s="13" t="s">
        <v>55</v>
      </c>
      <c r="C51" s="13">
        <v>38008</v>
      </c>
      <c r="D51" s="13">
        <v>0</v>
      </c>
      <c r="H51" s="13">
        <v>0</v>
      </c>
      <c r="I51" s="13">
        <v>0</v>
      </c>
    </row>
    <row r="52" spans="1:9" ht="14.25" customHeight="1" x14ac:dyDescent="0.35">
      <c r="A52" s="2" t="s">
        <v>341</v>
      </c>
      <c r="B52" s="13" t="s">
        <v>50</v>
      </c>
      <c r="C52" s="13">
        <v>44012</v>
      </c>
      <c r="D52" s="13">
        <v>0</v>
      </c>
      <c r="H52" s="13">
        <v>0</v>
      </c>
      <c r="I52" s="13">
        <v>0</v>
      </c>
    </row>
    <row r="53" spans="1:9" ht="14.25" customHeight="1" x14ac:dyDescent="0.35">
      <c r="A53" s="2" t="s">
        <v>156</v>
      </c>
      <c r="B53" s="13" t="s">
        <v>55</v>
      </c>
      <c r="C53" s="13">
        <v>34009</v>
      </c>
      <c r="D53" s="13">
        <v>0</v>
      </c>
      <c r="H53" s="13">
        <v>0</v>
      </c>
      <c r="I53" s="13">
        <v>0</v>
      </c>
    </row>
    <row r="54" spans="1:9" ht="14.25" customHeight="1" x14ac:dyDescent="0.35">
      <c r="A54" s="2" t="s">
        <v>62</v>
      </c>
      <c r="B54" s="13" t="s">
        <v>50</v>
      </c>
      <c r="C54" s="13">
        <v>44083</v>
      </c>
      <c r="D54" s="13">
        <v>0</v>
      </c>
      <c r="H54" s="13">
        <v>0</v>
      </c>
      <c r="I54" s="13">
        <v>0</v>
      </c>
    </row>
    <row r="55" spans="1:9" ht="14.25" customHeight="1" x14ac:dyDescent="0.35">
      <c r="A55" s="2" t="s">
        <v>182</v>
      </c>
      <c r="B55" s="13" t="s">
        <v>50</v>
      </c>
      <c r="C55" s="13">
        <v>41011</v>
      </c>
      <c r="D55" s="13">
        <v>0</v>
      </c>
      <c r="H55" s="13">
        <v>0</v>
      </c>
      <c r="I55" s="13">
        <v>0</v>
      </c>
    </row>
    <row r="56" spans="1:9" ht="14.25" customHeight="1" x14ac:dyDescent="0.35">
      <c r="A56" s="2" t="s">
        <v>80</v>
      </c>
      <c r="B56" s="13" t="s">
        <v>50</v>
      </c>
      <c r="C56" s="13">
        <v>42006</v>
      </c>
      <c r="D56" s="13">
        <v>0</v>
      </c>
      <c r="H56" s="13">
        <v>0</v>
      </c>
      <c r="I56" s="13">
        <v>0</v>
      </c>
    </row>
    <row r="57" spans="1:9" ht="14.25" customHeight="1" x14ac:dyDescent="0.35">
      <c r="A57" s="2" t="s">
        <v>168</v>
      </c>
      <c r="B57" s="13" t="s">
        <v>55</v>
      </c>
      <c r="C57" s="13">
        <v>37002</v>
      </c>
      <c r="D57" s="13">
        <v>0</v>
      </c>
      <c r="H57" s="13">
        <v>0</v>
      </c>
      <c r="I57" s="13">
        <v>0</v>
      </c>
    </row>
    <row r="58" spans="1:9" ht="14.25" customHeight="1" x14ac:dyDescent="0.35">
      <c r="A58" s="2" t="s">
        <v>301</v>
      </c>
      <c r="B58" s="13" t="s">
        <v>48</v>
      </c>
      <c r="C58" s="13">
        <v>13006</v>
      </c>
      <c r="D58" s="13">
        <v>0</v>
      </c>
      <c r="H58" s="13">
        <v>0</v>
      </c>
      <c r="I58" s="13">
        <v>0</v>
      </c>
    </row>
    <row r="59" spans="1:9" ht="14.25" customHeight="1" x14ac:dyDescent="0.35">
      <c r="A59" s="2" t="s">
        <v>71</v>
      </c>
      <c r="B59" s="13" t="s">
        <v>50</v>
      </c>
      <c r="C59" s="13">
        <v>44013</v>
      </c>
      <c r="D59" s="13">
        <v>0</v>
      </c>
      <c r="H59" s="13">
        <v>0</v>
      </c>
      <c r="I59" s="13">
        <v>0</v>
      </c>
    </row>
    <row r="60" spans="1:9" ht="14.25" customHeight="1" x14ac:dyDescent="0.35">
      <c r="A60" s="2" t="s">
        <v>309</v>
      </c>
      <c r="B60" s="13" t="s">
        <v>59</v>
      </c>
      <c r="C60" s="13">
        <v>71011</v>
      </c>
      <c r="D60" s="13">
        <v>0</v>
      </c>
      <c r="H60" s="13">
        <v>0</v>
      </c>
      <c r="I60" s="13">
        <v>0</v>
      </c>
    </row>
    <row r="61" spans="1:9" ht="14.25" customHeight="1" x14ac:dyDescent="0.35">
      <c r="A61" s="2" t="s">
        <v>88</v>
      </c>
      <c r="B61" s="13" t="s">
        <v>52</v>
      </c>
      <c r="C61" s="13">
        <v>24020</v>
      </c>
      <c r="D61" s="13">
        <v>0</v>
      </c>
      <c r="H61" s="13">
        <v>0</v>
      </c>
      <c r="I61" s="13">
        <v>0</v>
      </c>
    </row>
    <row r="62" spans="1:9" ht="14.25" customHeight="1" x14ac:dyDescent="0.35">
      <c r="A62" s="2" t="s">
        <v>280</v>
      </c>
      <c r="B62" s="13" t="s">
        <v>55</v>
      </c>
      <c r="C62" s="13">
        <v>32003</v>
      </c>
      <c r="D62" s="13">
        <v>0</v>
      </c>
      <c r="H62" s="13">
        <v>0</v>
      </c>
      <c r="I62" s="13">
        <v>0</v>
      </c>
    </row>
    <row r="63" spans="1:9" ht="14.25" customHeight="1" x14ac:dyDescent="0.35">
      <c r="A63" s="2" t="s">
        <v>85</v>
      </c>
      <c r="B63" s="13" t="s">
        <v>52</v>
      </c>
      <c r="C63" s="13">
        <v>23016</v>
      </c>
      <c r="D63" s="13">
        <v>0</v>
      </c>
      <c r="H63" s="13">
        <v>0</v>
      </c>
      <c r="I63" s="13">
        <v>0</v>
      </c>
    </row>
    <row r="64" spans="1:9" ht="14.25" customHeight="1" x14ac:dyDescent="0.35">
      <c r="A64" s="2" t="s">
        <v>333</v>
      </c>
      <c r="B64" s="13" t="s">
        <v>59</v>
      </c>
      <c r="C64" s="13">
        <v>72041</v>
      </c>
      <c r="D64" s="13">
        <v>0</v>
      </c>
      <c r="H64" s="13">
        <v>0</v>
      </c>
      <c r="I64" s="13">
        <v>0</v>
      </c>
    </row>
    <row r="65" spans="1:9" ht="14.25" customHeight="1" x14ac:dyDescent="0.35">
      <c r="A65" s="2" t="s">
        <v>298</v>
      </c>
      <c r="B65" s="13" t="s">
        <v>52</v>
      </c>
      <c r="C65" s="13">
        <v>23098</v>
      </c>
      <c r="D65" s="13">
        <v>0</v>
      </c>
      <c r="H65" s="13">
        <v>0</v>
      </c>
      <c r="I65" s="13">
        <v>0</v>
      </c>
    </row>
    <row r="66" spans="1:9" ht="14.25" customHeight="1" x14ac:dyDescent="0.35">
      <c r="A66" s="2" t="s">
        <v>140</v>
      </c>
      <c r="B66" s="13" t="s">
        <v>48</v>
      </c>
      <c r="C66" s="13">
        <v>12009</v>
      </c>
      <c r="D66" s="13">
        <v>0</v>
      </c>
      <c r="H66" s="13">
        <v>0</v>
      </c>
      <c r="I66" s="13">
        <v>0</v>
      </c>
    </row>
    <row r="67" spans="1:9" ht="14.25" customHeight="1" x14ac:dyDescent="0.35">
      <c r="A67" s="2" t="s">
        <v>123</v>
      </c>
      <c r="B67" s="13" t="s">
        <v>48</v>
      </c>
      <c r="C67" s="13">
        <v>11013</v>
      </c>
      <c r="D67" s="13">
        <v>0</v>
      </c>
      <c r="H67" s="13">
        <v>0</v>
      </c>
      <c r="I67" s="13">
        <v>0</v>
      </c>
    </row>
    <row r="68" spans="1:9" ht="14.25" customHeight="1" x14ac:dyDescent="0.35">
      <c r="A68" s="2" t="s">
        <v>118</v>
      </c>
      <c r="B68" s="13" t="s">
        <v>50</v>
      </c>
      <c r="C68" s="13">
        <v>43005</v>
      </c>
      <c r="D68" s="13">
        <v>0</v>
      </c>
      <c r="H68" s="13">
        <v>0</v>
      </c>
      <c r="I68" s="13">
        <v>0</v>
      </c>
    </row>
    <row r="69" spans="1:9" ht="14.25" customHeight="1" x14ac:dyDescent="0.35">
      <c r="A69" s="2" t="s">
        <v>116</v>
      </c>
      <c r="B69" s="13" t="s">
        <v>50</v>
      </c>
      <c r="C69" s="13">
        <v>41082</v>
      </c>
      <c r="D69" s="13">
        <v>0</v>
      </c>
      <c r="H69" s="13">
        <v>0</v>
      </c>
      <c r="I69" s="13">
        <v>0</v>
      </c>
    </row>
    <row r="70" spans="1:9" ht="14.25" customHeight="1" x14ac:dyDescent="0.35">
      <c r="A70" s="2" t="s">
        <v>180</v>
      </c>
      <c r="B70" s="13" t="s">
        <v>48</v>
      </c>
      <c r="C70" s="13">
        <v>11016</v>
      </c>
      <c r="D70" s="13">
        <v>0</v>
      </c>
      <c r="H70" s="13">
        <v>0</v>
      </c>
      <c r="I70" s="13">
        <v>0</v>
      </c>
    </row>
    <row r="71" spans="1:9" ht="14.25" customHeight="1" x14ac:dyDescent="0.35">
      <c r="A71" s="2" t="s">
        <v>90</v>
      </c>
      <c r="B71" s="13" t="s">
        <v>50</v>
      </c>
      <c r="C71" s="13">
        <v>44019</v>
      </c>
      <c r="D71" s="13">
        <v>0</v>
      </c>
      <c r="H71" s="13">
        <v>0</v>
      </c>
      <c r="I71" s="13">
        <v>0</v>
      </c>
    </row>
    <row r="72" spans="1:9" ht="14.25" customHeight="1" x14ac:dyDescent="0.35">
      <c r="A72" s="2" t="s">
        <v>342</v>
      </c>
      <c r="B72" s="13" t="s">
        <v>52</v>
      </c>
      <c r="C72" s="13">
        <v>23023</v>
      </c>
      <c r="D72" s="13">
        <v>0</v>
      </c>
      <c r="H72" s="13">
        <v>0</v>
      </c>
      <c r="I72" s="13">
        <v>0</v>
      </c>
    </row>
    <row r="73" spans="1:9" ht="14.25" customHeight="1" x14ac:dyDescent="0.35">
      <c r="A73" s="2" t="s">
        <v>209</v>
      </c>
      <c r="B73" s="13" t="s">
        <v>50</v>
      </c>
      <c r="C73" s="13">
        <v>44020</v>
      </c>
      <c r="D73" s="13">
        <v>0</v>
      </c>
      <c r="H73" s="13">
        <v>0</v>
      </c>
      <c r="I73" s="13">
        <v>0</v>
      </c>
    </row>
    <row r="74" spans="1:9" ht="14.25" customHeight="1" x14ac:dyDescent="0.35">
      <c r="A74" s="2" t="s">
        <v>91</v>
      </c>
      <c r="B74" s="13" t="s">
        <v>48</v>
      </c>
      <c r="C74" s="13">
        <v>13008</v>
      </c>
      <c r="D74" s="13">
        <v>0</v>
      </c>
      <c r="H74" s="13">
        <v>0</v>
      </c>
      <c r="I74" s="13">
        <v>0</v>
      </c>
    </row>
    <row r="75" spans="1:9" ht="14.25" customHeight="1" x14ac:dyDescent="0.35">
      <c r="A75" s="2" t="s">
        <v>245</v>
      </c>
      <c r="B75" s="13" t="s">
        <v>52</v>
      </c>
      <c r="C75" s="13">
        <v>24028</v>
      </c>
      <c r="D75" s="13">
        <v>0</v>
      </c>
      <c r="H75" s="13">
        <v>0</v>
      </c>
      <c r="I75" s="13">
        <v>0</v>
      </c>
    </row>
    <row r="76" spans="1:9" ht="14.25" customHeight="1" x14ac:dyDescent="0.35">
      <c r="A76" s="2" t="s">
        <v>95</v>
      </c>
      <c r="B76" s="13" t="s">
        <v>59</v>
      </c>
      <c r="C76" s="13">
        <v>71016</v>
      </c>
      <c r="D76" s="13">
        <v>0</v>
      </c>
      <c r="H76" s="13">
        <v>0</v>
      </c>
      <c r="I76" s="13">
        <v>0</v>
      </c>
    </row>
    <row r="77" spans="1:9" ht="14.25" customHeight="1" x14ac:dyDescent="0.35">
      <c r="A77" s="2" t="s">
        <v>49</v>
      </c>
      <c r="B77" s="13" t="s">
        <v>50</v>
      </c>
      <c r="C77" s="13">
        <v>44021</v>
      </c>
      <c r="D77" s="13">
        <v>52</v>
      </c>
      <c r="E77" s="13">
        <v>52</v>
      </c>
      <c r="F77" s="13">
        <v>47</v>
      </c>
      <c r="G77" s="13">
        <v>47</v>
      </c>
      <c r="H77" s="13">
        <v>38</v>
      </c>
      <c r="I77" s="13">
        <v>38</v>
      </c>
    </row>
    <row r="78" spans="1:9" ht="14.25" customHeight="1" x14ac:dyDescent="0.35">
      <c r="A78" s="2" t="s">
        <v>144</v>
      </c>
      <c r="B78" s="13" t="s">
        <v>50</v>
      </c>
      <c r="C78" s="13">
        <v>41018</v>
      </c>
      <c r="D78" s="13">
        <v>0</v>
      </c>
      <c r="H78" s="13">
        <v>0</v>
      </c>
      <c r="I78" s="13">
        <v>0</v>
      </c>
    </row>
    <row r="79" spans="1:9" ht="14.25" customHeight="1" x14ac:dyDescent="0.35">
      <c r="A79" s="2" t="s">
        <v>323</v>
      </c>
      <c r="B79" s="13" t="s">
        <v>59</v>
      </c>
      <c r="C79" s="13">
        <v>71017</v>
      </c>
      <c r="D79" s="13">
        <v>0</v>
      </c>
      <c r="H79" s="13">
        <v>0</v>
      </c>
      <c r="I79" s="13">
        <v>0</v>
      </c>
    </row>
    <row r="80" spans="1:9" ht="14.25" customHeight="1" x14ac:dyDescent="0.35">
      <c r="A80" s="2" t="s">
        <v>206</v>
      </c>
      <c r="B80" s="13" t="s">
        <v>55</v>
      </c>
      <c r="C80" s="13">
        <v>35005</v>
      </c>
      <c r="D80" s="13">
        <v>0</v>
      </c>
      <c r="H80" s="13">
        <v>0</v>
      </c>
      <c r="I80" s="13">
        <v>0</v>
      </c>
    </row>
    <row r="81" spans="1:9" ht="14.25" customHeight="1" x14ac:dyDescent="0.35">
      <c r="A81" s="2" t="s">
        <v>243</v>
      </c>
      <c r="B81" s="13" t="s">
        <v>52</v>
      </c>
      <c r="C81" s="13">
        <v>24137</v>
      </c>
      <c r="D81" s="13">
        <v>0</v>
      </c>
      <c r="H81" s="13">
        <v>0</v>
      </c>
      <c r="I81" s="13">
        <v>0</v>
      </c>
    </row>
    <row r="82" spans="1:9" ht="14.25" customHeight="1" x14ac:dyDescent="0.35">
      <c r="A82" s="2" t="s">
        <v>343</v>
      </c>
      <c r="B82" s="13" t="s">
        <v>52</v>
      </c>
      <c r="C82" s="13">
        <v>23024</v>
      </c>
      <c r="D82" s="13">
        <v>0</v>
      </c>
      <c r="H82" s="13">
        <v>0</v>
      </c>
      <c r="I82" s="13">
        <v>0</v>
      </c>
    </row>
    <row r="83" spans="1:9" ht="14.25" customHeight="1" x14ac:dyDescent="0.35">
      <c r="A83" s="2" t="s">
        <v>107</v>
      </c>
      <c r="B83" s="13" t="s">
        <v>52</v>
      </c>
      <c r="C83" s="13">
        <v>23025</v>
      </c>
      <c r="D83" s="13">
        <v>0</v>
      </c>
      <c r="H83" s="13">
        <v>0</v>
      </c>
      <c r="I83" s="13">
        <v>0</v>
      </c>
    </row>
    <row r="84" spans="1:9" ht="14.25" customHeight="1" x14ac:dyDescent="0.35">
      <c r="A84" s="2" t="s">
        <v>303</v>
      </c>
      <c r="B84" s="13" t="s">
        <v>48</v>
      </c>
      <c r="C84" s="13">
        <v>13010</v>
      </c>
      <c r="D84" s="13">
        <v>0</v>
      </c>
      <c r="H84" s="13">
        <v>0</v>
      </c>
      <c r="I84" s="13">
        <v>0</v>
      </c>
    </row>
    <row r="85" spans="1:9" ht="14.25" customHeight="1" x14ac:dyDescent="0.35">
      <c r="A85" s="2" t="s">
        <v>92</v>
      </c>
      <c r="B85" s="13" t="s">
        <v>52</v>
      </c>
      <c r="C85" s="13">
        <v>24033</v>
      </c>
      <c r="D85" s="13">
        <v>0</v>
      </c>
      <c r="H85" s="13">
        <v>0</v>
      </c>
      <c r="I85" s="13">
        <v>0</v>
      </c>
    </row>
    <row r="86" spans="1:9" ht="14.25" customHeight="1" x14ac:dyDescent="0.35">
      <c r="A86" s="2" t="s">
        <v>223</v>
      </c>
      <c r="B86" s="13" t="s">
        <v>50</v>
      </c>
      <c r="C86" s="13">
        <v>41024</v>
      </c>
      <c r="D86" s="13">
        <v>0</v>
      </c>
      <c r="H86" s="13">
        <v>0</v>
      </c>
      <c r="I86" s="13">
        <v>0</v>
      </c>
    </row>
    <row r="87" spans="1:9" ht="14.25" customHeight="1" x14ac:dyDescent="0.35">
      <c r="A87" s="2" t="s">
        <v>324</v>
      </c>
      <c r="B87" s="13" t="s">
        <v>59</v>
      </c>
      <c r="C87" s="13">
        <v>71020</v>
      </c>
      <c r="D87" s="13">
        <v>0</v>
      </c>
      <c r="H87" s="13">
        <v>0</v>
      </c>
      <c r="I87" s="13">
        <v>0</v>
      </c>
    </row>
    <row r="88" spans="1:9" ht="14.25" customHeight="1" x14ac:dyDescent="0.35">
      <c r="A88" s="2" t="s">
        <v>70</v>
      </c>
      <c r="B88" s="13" t="s">
        <v>52</v>
      </c>
      <c r="C88" s="13">
        <v>23027</v>
      </c>
      <c r="D88" s="13">
        <v>1</v>
      </c>
      <c r="E88" s="13">
        <v>1</v>
      </c>
      <c r="F88" s="13">
        <v>1</v>
      </c>
      <c r="G88" s="13">
        <v>1</v>
      </c>
      <c r="H88" s="13">
        <v>1</v>
      </c>
      <c r="I88" s="13">
        <v>1</v>
      </c>
    </row>
    <row r="89" spans="1:9" ht="14.25" customHeight="1" x14ac:dyDescent="0.35">
      <c r="A89" s="2" t="s">
        <v>344</v>
      </c>
      <c r="B89" s="13" t="s">
        <v>59</v>
      </c>
      <c r="C89" s="13">
        <v>71069</v>
      </c>
      <c r="D89" s="13">
        <v>0</v>
      </c>
      <c r="H89" s="13">
        <v>0</v>
      </c>
      <c r="I89" s="13">
        <v>0</v>
      </c>
    </row>
    <row r="90" spans="1:9" ht="14.25" customHeight="1" x14ac:dyDescent="0.35">
      <c r="A90" s="2" t="s">
        <v>127</v>
      </c>
      <c r="B90" s="13" t="s">
        <v>50</v>
      </c>
      <c r="C90" s="13">
        <v>42008</v>
      </c>
      <c r="D90" s="13">
        <v>0</v>
      </c>
      <c r="H90" s="13">
        <v>0</v>
      </c>
      <c r="I90" s="13">
        <v>0</v>
      </c>
    </row>
    <row r="91" spans="1:9" ht="14.25" customHeight="1" x14ac:dyDescent="0.35">
      <c r="A91" s="2" t="s">
        <v>331</v>
      </c>
      <c r="B91" s="13" t="s">
        <v>59</v>
      </c>
      <c r="C91" s="13">
        <v>72037</v>
      </c>
      <c r="D91" s="13">
        <v>0</v>
      </c>
      <c r="H91" s="13">
        <v>0</v>
      </c>
      <c r="I91" s="13">
        <v>0</v>
      </c>
    </row>
    <row r="92" spans="1:9" ht="14.25" customHeight="1" x14ac:dyDescent="0.35">
      <c r="A92" s="2" t="s">
        <v>73</v>
      </c>
      <c r="B92" s="13" t="s">
        <v>55</v>
      </c>
      <c r="C92" s="13">
        <v>34013</v>
      </c>
      <c r="D92" s="13">
        <v>0</v>
      </c>
      <c r="H92" s="13">
        <v>0</v>
      </c>
      <c r="I92" s="13">
        <v>0</v>
      </c>
    </row>
    <row r="93" spans="1:9" ht="14.25" customHeight="1" x14ac:dyDescent="0.35">
      <c r="A93" s="2" t="s">
        <v>58</v>
      </c>
      <c r="B93" s="13" t="s">
        <v>59</v>
      </c>
      <c r="C93" s="13">
        <v>71022</v>
      </c>
      <c r="D93" s="13">
        <v>0</v>
      </c>
      <c r="H93" s="13">
        <v>0</v>
      </c>
      <c r="I93" s="13">
        <v>0</v>
      </c>
    </row>
    <row r="94" spans="1:9" ht="14.25" customHeight="1" x14ac:dyDescent="0.35">
      <c r="A94" s="2" t="s">
        <v>265</v>
      </c>
      <c r="B94" s="13" t="s">
        <v>59</v>
      </c>
      <c r="C94" s="13">
        <v>72038</v>
      </c>
      <c r="D94" s="13">
        <v>0</v>
      </c>
      <c r="H94" s="13">
        <v>0</v>
      </c>
      <c r="I94" s="13">
        <v>0</v>
      </c>
    </row>
    <row r="95" spans="1:9" ht="14.25" customHeight="1" x14ac:dyDescent="0.35">
      <c r="A95" s="2" t="s">
        <v>300</v>
      </c>
      <c r="B95" s="13" t="s">
        <v>59</v>
      </c>
      <c r="C95" s="13">
        <v>73022</v>
      </c>
      <c r="D95" s="13">
        <v>0</v>
      </c>
      <c r="H95" s="13">
        <v>0</v>
      </c>
      <c r="I95" s="13">
        <v>0</v>
      </c>
    </row>
    <row r="96" spans="1:9" ht="14.25" customHeight="1" x14ac:dyDescent="0.35">
      <c r="A96" s="2" t="s">
        <v>108</v>
      </c>
      <c r="B96" s="13" t="s">
        <v>48</v>
      </c>
      <c r="C96" s="13">
        <v>12014</v>
      </c>
      <c r="D96" s="13">
        <v>0</v>
      </c>
      <c r="H96" s="13">
        <v>0</v>
      </c>
      <c r="I96" s="13">
        <v>0</v>
      </c>
    </row>
    <row r="97" spans="1:9" ht="14.25" customHeight="1" x14ac:dyDescent="0.35">
      <c r="A97" s="2" t="s">
        <v>266</v>
      </c>
      <c r="B97" s="13" t="s">
        <v>48</v>
      </c>
      <c r="C97" s="13">
        <v>11018</v>
      </c>
      <c r="D97" s="13">
        <v>0</v>
      </c>
      <c r="E97" s="13">
        <v>0</v>
      </c>
      <c r="F97" s="13">
        <v>1</v>
      </c>
      <c r="G97" s="13">
        <v>1</v>
      </c>
      <c r="H97" s="13">
        <v>1</v>
      </c>
      <c r="I97" s="13">
        <v>1</v>
      </c>
    </row>
    <row r="98" spans="1:9" ht="14.25" customHeight="1" x14ac:dyDescent="0.35">
      <c r="A98" s="2" t="s">
        <v>69</v>
      </c>
      <c r="B98" s="13" t="s">
        <v>52</v>
      </c>
      <c r="C98" s="13">
        <v>24038</v>
      </c>
      <c r="D98" s="13">
        <v>0</v>
      </c>
      <c r="H98" s="13">
        <v>0</v>
      </c>
      <c r="I98" s="13">
        <v>0</v>
      </c>
    </row>
    <row r="99" spans="1:9" ht="14.25" customHeight="1" x14ac:dyDescent="0.35">
      <c r="A99" s="2" t="s">
        <v>83</v>
      </c>
      <c r="B99" s="13" t="s">
        <v>48</v>
      </c>
      <c r="C99" s="13">
        <v>13011</v>
      </c>
      <c r="D99" s="13">
        <v>0</v>
      </c>
      <c r="H99" s="13">
        <v>0</v>
      </c>
      <c r="I99" s="13">
        <v>0</v>
      </c>
    </row>
    <row r="100" spans="1:9" ht="14.25" customHeight="1" x14ac:dyDescent="0.35">
      <c r="A100" s="2" t="s">
        <v>326</v>
      </c>
      <c r="B100" s="13" t="s">
        <v>48</v>
      </c>
      <c r="C100" s="13">
        <v>13012</v>
      </c>
      <c r="D100" s="13">
        <v>0</v>
      </c>
      <c r="H100" s="13">
        <v>0</v>
      </c>
      <c r="I100" s="13">
        <v>0</v>
      </c>
    </row>
    <row r="101" spans="1:9" ht="14.25" customHeight="1" x14ac:dyDescent="0.35">
      <c r="A101" s="2" t="s">
        <v>187</v>
      </c>
      <c r="B101" s="13" t="s">
        <v>59</v>
      </c>
      <c r="C101" s="13">
        <v>71024</v>
      </c>
      <c r="D101" s="13">
        <v>0</v>
      </c>
      <c r="H101" s="13">
        <v>0</v>
      </c>
      <c r="I101" s="13">
        <v>0</v>
      </c>
    </row>
    <row r="102" spans="1:9" ht="14.25" customHeight="1" x14ac:dyDescent="0.35">
      <c r="A102" s="2" t="s">
        <v>345</v>
      </c>
      <c r="B102" s="13" t="s">
        <v>52</v>
      </c>
      <c r="C102" s="13">
        <v>23032</v>
      </c>
      <c r="D102" s="13">
        <v>0</v>
      </c>
      <c r="H102" s="13">
        <v>0</v>
      </c>
      <c r="I102" s="13">
        <v>0</v>
      </c>
    </row>
    <row r="103" spans="1:9" ht="14.25" customHeight="1" x14ac:dyDescent="0.35">
      <c r="A103" s="2" t="s">
        <v>272</v>
      </c>
      <c r="B103" s="13" t="s">
        <v>48</v>
      </c>
      <c r="C103" s="13">
        <v>13013</v>
      </c>
      <c r="D103" s="13">
        <v>0</v>
      </c>
      <c r="H103" s="13">
        <v>0</v>
      </c>
      <c r="I103" s="13">
        <v>0</v>
      </c>
    </row>
    <row r="104" spans="1:9" ht="14.25" customHeight="1" x14ac:dyDescent="0.35">
      <c r="A104" s="2" t="s">
        <v>313</v>
      </c>
      <c r="B104" s="13" t="s">
        <v>59</v>
      </c>
      <c r="C104" s="13">
        <v>73028</v>
      </c>
      <c r="D104" s="13">
        <v>0</v>
      </c>
      <c r="H104" s="13">
        <v>0</v>
      </c>
      <c r="I104" s="13">
        <v>0</v>
      </c>
    </row>
    <row r="105" spans="1:9" ht="14.25" customHeight="1" x14ac:dyDescent="0.35">
      <c r="A105" s="2" t="s">
        <v>113</v>
      </c>
      <c r="B105" s="13" t="s">
        <v>50</v>
      </c>
      <c r="C105" s="13">
        <v>41027</v>
      </c>
      <c r="D105" s="13">
        <v>0</v>
      </c>
      <c r="H105" s="13">
        <v>0</v>
      </c>
      <c r="I105" s="13">
        <v>0</v>
      </c>
    </row>
    <row r="106" spans="1:9" ht="14.25" customHeight="1" x14ac:dyDescent="0.35">
      <c r="A106" s="2" t="s">
        <v>190</v>
      </c>
      <c r="B106" s="13" t="s">
        <v>59</v>
      </c>
      <c r="C106" s="13">
        <v>71070</v>
      </c>
      <c r="D106" s="13">
        <v>0</v>
      </c>
      <c r="H106" s="13">
        <v>0</v>
      </c>
      <c r="I106" s="13">
        <v>0</v>
      </c>
    </row>
    <row r="107" spans="1:9" ht="14.25" customHeight="1" x14ac:dyDescent="0.35">
      <c r="A107" s="2" t="s">
        <v>167</v>
      </c>
      <c r="B107" s="13" t="s">
        <v>55</v>
      </c>
      <c r="C107" s="13">
        <v>33039</v>
      </c>
      <c r="D107" s="13">
        <v>0</v>
      </c>
      <c r="H107" s="13">
        <v>0</v>
      </c>
      <c r="I107" s="13">
        <v>0</v>
      </c>
    </row>
    <row r="108" spans="1:9" ht="14.25" customHeight="1" x14ac:dyDescent="0.35">
      <c r="A108" s="2" t="s">
        <v>192</v>
      </c>
      <c r="B108" s="13" t="s">
        <v>52</v>
      </c>
      <c r="C108" s="13">
        <v>24041</v>
      </c>
      <c r="D108" s="13">
        <v>0</v>
      </c>
      <c r="H108" s="13">
        <v>0</v>
      </c>
      <c r="I108" s="13">
        <v>0</v>
      </c>
    </row>
    <row r="109" spans="1:9" ht="14.25" customHeight="1" x14ac:dyDescent="0.35">
      <c r="A109" s="2" t="s">
        <v>153</v>
      </c>
      <c r="B109" s="13" t="s">
        <v>52</v>
      </c>
      <c r="C109" s="13">
        <v>23033</v>
      </c>
      <c r="D109" s="13">
        <v>0</v>
      </c>
      <c r="H109" s="13">
        <v>0</v>
      </c>
      <c r="I109" s="13">
        <v>0</v>
      </c>
    </row>
    <row r="110" spans="1:9" ht="14.25" customHeight="1" x14ac:dyDescent="0.35">
      <c r="A110" s="2" t="s">
        <v>346</v>
      </c>
      <c r="B110" s="13" t="s">
        <v>59</v>
      </c>
      <c r="C110" s="13">
        <v>73032</v>
      </c>
      <c r="D110" s="13">
        <v>0</v>
      </c>
      <c r="H110" s="13">
        <v>0</v>
      </c>
      <c r="I110" s="13">
        <v>0</v>
      </c>
    </row>
    <row r="111" spans="1:9" ht="14.25" customHeight="1" x14ac:dyDescent="0.35">
      <c r="A111" s="2" t="s">
        <v>86</v>
      </c>
      <c r="B111" s="13" t="s">
        <v>52</v>
      </c>
      <c r="C111" s="13">
        <v>24043</v>
      </c>
      <c r="D111" s="13">
        <v>0</v>
      </c>
      <c r="H111" s="13">
        <v>0</v>
      </c>
      <c r="I111" s="13">
        <v>0</v>
      </c>
    </row>
    <row r="112" spans="1:9" ht="14.25" customHeight="1" x14ac:dyDescent="0.35">
      <c r="A112" s="2" t="s">
        <v>150</v>
      </c>
      <c r="B112" s="13" t="s">
        <v>55</v>
      </c>
      <c r="C112" s="13">
        <v>36006</v>
      </c>
      <c r="D112" s="13">
        <v>0</v>
      </c>
      <c r="H112" s="13">
        <v>0</v>
      </c>
      <c r="I112" s="13">
        <v>0</v>
      </c>
    </row>
    <row r="113" spans="1:9" ht="14.25" customHeight="1" x14ac:dyDescent="0.35">
      <c r="A113" s="2" t="s">
        <v>185</v>
      </c>
      <c r="B113" s="13" t="s">
        <v>48</v>
      </c>
      <c r="C113" s="13">
        <v>13014</v>
      </c>
      <c r="D113" s="13">
        <v>0</v>
      </c>
      <c r="H113" s="13">
        <v>0</v>
      </c>
      <c r="I113" s="13">
        <v>0</v>
      </c>
    </row>
    <row r="114" spans="1:9" ht="14.25" customHeight="1" x14ac:dyDescent="0.35">
      <c r="A114" s="2" t="s">
        <v>297</v>
      </c>
      <c r="B114" s="13" t="s">
        <v>50</v>
      </c>
      <c r="C114" s="13">
        <v>45062</v>
      </c>
      <c r="D114" s="13">
        <v>0</v>
      </c>
      <c r="H114" s="13">
        <v>0</v>
      </c>
      <c r="I114" s="13">
        <v>0</v>
      </c>
    </row>
    <row r="115" spans="1:9" ht="14.25" customHeight="1" x14ac:dyDescent="0.35">
      <c r="A115" s="2" t="s">
        <v>296</v>
      </c>
      <c r="B115" s="13" t="s">
        <v>59</v>
      </c>
      <c r="C115" s="13">
        <v>72039</v>
      </c>
      <c r="D115" s="13">
        <v>0</v>
      </c>
      <c r="H115" s="13">
        <v>0</v>
      </c>
      <c r="I115" s="13">
        <v>0</v>
      </c>
    </row>
    <row r="116" spans="1:9" ht="14.25" customHeight="1" x14ac:dyDescent="0.35">
      <c r="A116" s="2" t="s">
        <v>261</v>
      </c>
      <c r="B116" s="13" t="s">
        <v>55</v>
      </c>
      <c r="C116" s="13">
        <v>32006</v>
      </c>
      <c r="D116" s="13">
        <v>0</v>
      </c>
      <c r="H116" s="13">
        <v>0</v>
      </c>
      <c r="I116" s="13">
        <v>0</v>
      </c>
    </row>
    <row r="117" spans="1:9" ht="14.25" customHeight="1" x14ac:dyDescent="0.35">
      <c r="A117" s="2" t="s">
        <v>196</v>
      </c>
      <c r="B117" s="13" t="s">
        <v>48</v>
      </c>
      <c r="C117" s="13">
        <v>11021</v>
      </c>
      <c r="D117" s="13">
        <v>0</v>
      </c>
      <c r="H117" s="13">
        <v>0</v>
      </c>
      <c r="I117" s="13">
        <v>0</v>
      </c>
    </row>
    <row r="118" spans="1:9" ht="14.25" customHeight="1" x14ac:dyDescent="0.35">
      <c r="A118" s="2" t="s">
        <v>134</v>
      </c>
      <c r="B118" s="13" t="s">
        <v>52</v>
      </c>
      <c r="C118" s="13">
        <v>24045</v>
      </c>
      <c r="D118" s="13">
        <v>0</v>
      </c>
      <c r="H118" s="13">
        <v>0</v>
      </c>
      <c r="I118" s="13">
        <v>0</v>
      </c>
    </row>
    <row r="119" spans="1:9" ht="14.25" customHeight="1" x14ac:dyDescent="0.35">
      <c r="A119" s="2" t="s">
        <v>173</v>
      </c>
      <c r="B119" s="13" t="s">
        <v>48</v>
      </c>
      <c r="C119" s="13">
        <v>13016</v>
      </c>
      <c r="D119" s="13">
        <v>0</v>
      </c>
      <c r="H119" s="13">
        <v>0</v>
      </c>
      <c r="I119" s="13">
        <v>0</v>
      </c>
    </row>
    <row r="120" spans="1:9" ht="14.25" customHeight="1" x14ac:dyDescent="0.35">
      <c r="A120" s="2" t="s">
        <v>212</v>
      </c>
      <c r="B120" s="13" t="s">
        <v>55</v>
      </c>
      <c r="C120" s="13">
        <v>35006</v>
      </c>
      <c r="D120" s="13">
        <v>0</v>
      </c>
      <c r="H120" s="13">
        <v>0</v>
      </c>
      <c r="I120" s="13">
        <v>0</v>
      </c>
    </row>
    <row r="121" spans="1:9" ht="14.25" customHeight="1" x14ac:dyDescent="0.35">
      <c r="A121" s="2" t="s">
        <v>76</v>
      </c>
      <c r="B121" s="13" t="s">
        <v>55</v>
      </c>
      <c r="C121" s="13">
        <v>33011</v>
      </c>
      <c r="D121" s="13">
        <v>0</v>
      </c>
      <c r="H121" s="13">
        <v>0</v>
      </c>
      <c r="I121" s="13">
        <v>0</v>
      </c>
    </row>
    <row r="122" spans="1:9" ht="14.25" customHeight="1" x14ac:dyDescent="0.35">
      <c r="A122" s="2" t="s">
        <v>263</v>
      </c>
      <c r="B122" s="13" t="s">
        <v>55</v>
      </c>
      <c r="C122" s="13">
        <v>36007</v>
      </c>
      <c r="D122" s="13">
        <v>0</v>
      </c>
      <c r="H122" s="13">
        <v>0</v>
      </c>
      <c r="I122" s="13">
        <v>0</v>
      </c>
    </row>
    <row r="123" spans="1:9" ht="14.25" customHeight="1" x14ac:dyDescent="0.35">
      <c r="A123" s="2" t="s">
        <v>129</v>
      </c>
      <c r="B123" s="13" t="s">
        <v>55</v>
      </c>
      <c r="C123" s="13">
        <v>36008</v>
      </c>
      <c r="D123" s="13">
        <v>0</v>
      </c>
      <c r="H123" s="13">
        <v>0</v>
      </c>
      <c r="I123" s="13">
        <v>0</v>
      </c>
    </row>
    <row r="124" spans="1:9" ht="14.25" customHeight="1" x14ac:dyDescent="0.35">
      <c r="A124" s="2" t="s">
        <v>273</v>
      </c>
      <c r="B124" s="13" t="s">
        <v>55</v>
      </c>
      <c r="C124" s="13">
        <v>31012</v>
      </c>
      <c r="D124" s="13">
        <v>0</v>
      </c>
      <c r="H124" s="13">
        <v>0</v>
      </c>
      <c r="I124" s="13">
        <v>0</v>
      </c>
    </row>
    <row r="125" spans="1:9" ht="14.25" customHeight="1" x14ac:dyDescent="0.35">
      <c r="A125" s="2" t="s">
        <v>163</v>
      </c>
      <c r="B125" s="13" t="s">
        <v>48</v>
      </c>
      <c r="C125" s="13">
        <v>11022</v>
      </c>
      <c r="D125" s="13">
        <v>0</v>
      </c>
      <c r="H125" s="13">
        <v>0</v>
      </c>
      <c r="I125" s="13">
        <v>0</v>
      </c>
    </row>
    <row r="126" spans="1:9" ht="14.25" customHeight="1" x14ac:dyDescent="0.35">
      <c r="A126" s="2" t="s">
        <v>207</v>
      </c>
      <c r="B126" s="13" t="s">
        <v>52</v>
      </c>
      <c r="C126" s="13">
        <v>23038</v>
      </c>
      <c r="D126" s="13">
        <v>0</v>
      </c>
      <c r="H126" s="13">
        <v>0</v>
      </c>
      <c r="I126" s="13">
        <v>0</v>
      </c>
    </row>
    <row r="127" spans="1:9" ht="14.25" customHeight="1" x14ac:dyDescent="0.35">
      <c r="A127" s="2" t="s">
        <v>312</v>
      </c>
      <c r="B127" s="13" t="s">
        <v>48</v>
      </c>
      <c r="C127" s="13">
        <v>11023</v>
      </c>
      <c r="D127" s="13">
        <v>0</v>
      </c>
      <c r="H127" s="13">
        <v>0</v>
      </c>
      <c r="I127" s="13">
        <v>0</v>
      </c>
    </row>
    <row r="128" spans="1:9" ht="14.25" customHeight="1" x14ac:dyDescent="0.35">
      <c r="A128" s="2" t="s">
        <v>258</v>
      </c>
      <c r="B128" s="13" t="s">
        <v>52</v>
      </c>
      <c r="C128" s="13">
        <v>23039</v>
      </c>
      <c r="D128" s="13">
        <v>0</v>
      </c>
      <c r="H128" s="13">
        <v>0</v>
      </c>
      <c r="I128" s="13">
        <v>0</v>
      </c>
    </row>
    <row r="129" spans="1:9" ht="14.25" customHeight="1" x14ac:dyDescent="0.35">
      <c r="A129" s="2" t="s">
        <v>247</v>
      </c>
      <c r="B129" s="13" t="s">
        <v>50</v>
      </c>
      <c r="C129" s="13">
        <v>43007</v>
      </c>
      <c r="D129" s="13">
        <v>0</v>
      </c>
      <c r="H129" s="13">
        <v>0</v>
      </c>
      <c r="I129" s="13">
        <v>0</v>
      </c>
    </row>
    <row r="130" spans="1:9" ht="14.25" customHeight="1" x14ac:dyDescent="0.35">
      <c r="A130" s="2" t="s">
        <v>181</v>
      </c>
      <c r="B130" s="13" t="s">
        <v>48</v>
      </c>
      <c r="C130" s="13">
        <v>13017</v>
      </c>
      <c r="D130" s="13">
        <v>0</v>
      </c>
      <c r="H130" s="13">
        <v>0</v>
      </c>
      <c r="I130" s="13">
        <v>0</v>
      </c>
    </row>
    <row r="131" spans="1:9" ht="14.25" customHeight="1" x14ac:dyDescent="0.35">
      <c r="A131" s="2" t="s">
        <v>176</v>
      </c>
      <c r="B131" s="13" t="s">
        <v>52</v>
      </c>
      <c r="C131" s="13">
        <v>24048</v>
      </c>
      <c r="D131" s="13">
        <v>0</v>
      </c>
      <c r="H131" s="13">
        <v>0</v>
      </c>
      <c r="I131" s="13">
        <v>0</v>
      </c>
    </row>
    <row r="132" spans="1:9" ht="14.25" customHeight="1" x14ac:dyDescent="0.35">
      <c r="A132" s="2" t="s">
        <v>325</v>
      </c>
      <c r="B132" s="13" t="s">
        <v>59</v>
      </c>
      <c r="C132" s="13">
        <v>72018</v>
      </c>
      <c r="D132" s="13">
        <v>0</v>
      </c>
      <c r="H132" s="13">
        <v>0</v>
      </c>
      <c r="I132" s="13">
        <v>0</v>
      </c>
    </row>
    <row r="133" spans="1:9" ht="14.25" customHeight="1" x14ac:dyDescent="0.35">
      <c r="A133" s="2" t="s">
        <v>191</v>
      </c>
      <c r="B133" s="13" t="s">
        <v>50</v>
      </c>
      <c r="C133" s="13">
        <v>45060</v>
      </c>
      <c r="D133" s="13">
        <v>0</v>
      </c>
      <c r="H133" s="13">
        <v>0</v>
      </c>
      <c r="I133" s="13">
        <v>0</v>
      </c>
    </row>
    <row r="134" spans="1:9" ht="14.25" customHeight="1" x14ac:dyDescent="0.35">
      <c r="A134" s="2" t="s">
        <v>103</v>
      </c>
      <c r="B134" s="13" t="s">
        <v>55</v>
      </c>
      <c r="C134" s="13">
        <v>31043</v>
      </c>
      <c r="D134" s="13">
        <v>0</v>
      </c>
      <c r="H134" s="13">
        <v>0</v>
      </c>
      <c r="I134" s="13">
        <v>0</v>
      </c>
    </row>
    <row r="135" spans="1:9" ht="14.25" customHeight="1" x14ac:dyDescent="0.35">
      <c r="A135" s="2" t="s">
        <v>256</v>
      </c>
      <c r="B135" s="13" t="s">
        <v>55</v>
      </c>
      <c r="C135" s="13">
        <v>32010</v>
      </c>
      <c r="D135" s="13">
        <v>0</v>
      </c>
      <c r="H135" s="13">
        <v>0</v>
      </c>
      <c r="I135" s="13">
        <v>0</v>
      </c>
    </row>
    <row r="136" spans="1:9" ht="14.25" customHeight="1" x14ac:dyDescent="0.35">
      <c r="A136" s="2" t="s">
        <v>100</v>
      </c>
      <c r="B136" s="13" t="s">
        <v>55</v>
      </c>
      <c r="C136" s="13">
        <v>38014</v>
      </c>
      <c r="D136" s="13">
        <v>0</v>
      </c>
      <c r="H136" s="13">
        <v>0</v>
      </c>
      <c r="I136" s="13">
        <v>0</v>
      </c>
    </row>
    <row r="137" spans="1:9" ht="14.25" customHeight="1" x14ac:dyDescent="0.35">
      <c r="A137" s="2" t="s">
        <v>288</v>
      </c>
      <c r="B137" s="13" t="s">
        <v>48</v>
      </c>
      <c r="C137" s="13">
        <v>11024</v>
      </c>
      <c r="D137" s="13">
        <v>0</v>
      </c>
      <c r="H137" s="13">
        <v>0</v>
      </c>
      <c r="I137" s="13">
        <v>0</v>
      </c>
    </row>
    <row r="138" spans="1:9" ht="14.25" customHeight="1" x14ac:dyDescent="0.35">
      <c r="A138" s="2" t="s">
        <v>138</v>
      </c>
      <c r="B138" s="13" t="s">
        <v>55</v>
      </c>
      <c r="C138" s="13">
        <v>32011</v>
      </c>
      <c r="D138" s="13">
        <v>0</v>
      </c>
      <c r="H138" s="13">
        <v>0</v>
      </c>
      <c r="I138" s="13">
        <v>0</v>
      </c>
    </row>
    <row r="139" spans="1:9" ht="14.25" customHeight="1" x14ac:dyDescent="0.35">
      <c r="A139" s="2" t="s">
        <v>252</v>
      </c>
      <c r="B139" s="13" t="s">
        <v>52</v>
      </c>
      <c r="C139" s="13">
        <v>24054</v>
      </c>
      <c r="D139" s="13">
        <v>0</v>
      </c>
      <c r="H139" s="13">
        <v>0</v>
      </c>
      <c r="I139" s="13">
        <v>0</v>
      </c>
    </row>
    <row r="140" spans="1:9" ht="14.25" customHeight="1" x14ac:dyDescent="0.35">
      <c r="A140" s="2" t="s">
        <v>117</v>
      </c>
      <c r="B140" s="13" t="s">
        <v>52</v>
      </c>
      <c r="C140" s="13">
        <v>24055</v>
      </c>
      <c r="D140" s="13">
        <v>0</v>
      </c>
      <c r="H140" s="13">
        <v>0</v>
      </c>
      <c r="I140" s="13">
        <v>0</v>
      </c>
    </row>
    <row r="141" spans="1:9" ht="14.25" customHeight="1" x14ac:dyDescent="0.35">
      <c r="A141" s="2" t="s">
        <v>347</v>
      </c>
      <c r="B141" s="13" t="s">
        <v>59</v>
      </c>
      <c r="C141" s="13">
        <v>73040</v>
      </c>
      <c r="D141" s="13">
        <v>0</v>
      </c>
      <c r="H141" s="13">
        <v>0</v>
      </c>
      <c r="I141" s="13">
        <v>0</v>
      </c>
    </row>
    <row r="142" spans="1:9" ht="14.25" customHeight="1" x14ac:dyDescent="0.35">
      <c r="A142" s="2" t="s">
        <v>56</v>
      </c>
      <c r="B142" s="13" t="s">
        <v>55</v>
      </c>
      <c r="C142" s="13">
        <v>34022</v>
      </c>
      <c r="D142" s="13">
        <v>0</v>
      </c>
      <c r="H142" s="13">
        <v>0</v>
      </c>
      <c r="I142" s="13">
        <v>0</v>
      </c>
    </row>
    <row r="143" spans="1:9" ht="14.25" customHeight="1" x14ac:dyDescent="0.35">
      <c r="A143" s="2" t="s">
        <v>270</v>
      </c>
      <c r="B143" s="13" t="s">
        <v>52</v>
      </c>
      <c r="C143" s="13">
        <v>23099</v>
      </c>
      <c r="D143" s="13">
        <v>0</v>
      </c>
      <c r="H143" s="13">
        <v>1</v>
      </c>
      <c r="I143" s="13">
        <v>1</v>
      </c>
    </row>
    <row r="144" spans="1:9" ht="14.25" customHeight="1" x14ac:dyDescent="0.35">
      <c r="A144" s="2" t="s">
        <v>348</v>
      </c>
      <c r="B144" s="13" t="s">
        <v>50</v>
      </c>
      <c r="C144" s="13">
        <v>46013</v>
      </c>
      <c r="D144" s="13">
        <v>0</v>
      </c>
      <c r="H144" s="13">
        <v>0</v>
      </c>
      <c r="I144" s="13">
        <v>0</v>
      </c>
    </row>
    <row r="145" spans="1:9" ht="14.25" customHeight="1" x14ac:dyDescent="0.35">
      <c r="A145" s="2" t="s">
        <v>122</v>
      </c>
      <c r="B145" s="13" t="s">
        <v>50</v>
      </c>
      <c r="C145" s="13">
        <v>45068</v>
      </c>
      <c r="D145" s="13">
        <v>0</v>
      </c>
      <c r="H145" s="13">
        <v>0</v>
      </c>
      <c r="I145" s="13">
        <v>0</v>
      </c>
    </row>
    <row r="146" spans="1:9" ht="14.25" customHeight="1" x14ac:dyDescent="0.35">
      <c r="A146" s="2" t="s">
        <v>158</v>
      </c>
      <c r="B146" s="13" t="s">
        <v>55</v>
      </c>
      <c r="C146" s="13">
        <v>34023</v>
      </c>
      <c r="D146" s="13">
        <v>0</v>
      </c>
      <c r="H146" s="13">
        <v>0</v>
      </c>
      <c r="I146" s="13">
        <v>0</v>
      </c>
    </row>
    <row r="147" spans="1:9" ht="14.25" customHeight="1" x14ac:dyDescent="0.35">
      <c r="A147" s="2" t="s">
        <v>218</v>
      </c>
      <c r="B147" s="13" t="s">
        <v>48</v>
      </c>
      <c r="C147" s="13">
        <v>13053</v>
      </c>
      <c r="D147" s="13">
        <v>0</v>
      </c>
      <c r="H147" s="13">
        <v>0</v>
      </c>
      <c r="I147" s="13">
        <v>0</v>
      </c>
    </row>
    <row r="148" spans="1:9" ht="14.25" customHeight="1" x14ac:dyDescent="0.35">
      <c r="A148" s="2" t="s">
        <v>155</v>
      </c>
      <c r="B148" s="13" t="s">
        <v>50</v>
      </c>
      <c r="C148" s="13">
        <v>42010</v>
      </c>
      <c r="D148" s="13">
        <v>0</v>
      </c>
      <c r="H148" s="13">
        <v>0</v>
      </c>
      <c r="I148" s="13">
        <v>0</v>
      </c>
    </row>
    <row r="149" spans="1:9" ht="14.25" customHeight="1" x14ac:dyDescent="0.35">
      <c r="A149" s="2" t="s">
        <v>295</v>
      </c>
      <c r="B149" s="13" t="s">
        <v>59</v>
      </c>
      <c r="C149" s="13">
        <v>73042</v>
      </c>
      <c r="D149" s="13">
        <v>0</v>
      </c>
      <c r="H149" s="13">
        <v>0</v>
      </c>
      <c r="I149" s="13">
        <v>0</v>
      </c>
    </row>
    <row r="150" spans="1:9" ht="14.25" customHeight="1" x14ac:dyDescent="0.35">
      <c r="A150" s="2" t="s">
        <v>81</v>
      </c>
      <c r="B150" s="13" t="s">
        <v>52</v>
      </c>
      <c r="C150" s="13">
        <v>24059</v>
      </c>
      <c r="D150" s="13">
        <v>0</v>
      </c>
      <c r="H150" s="13">
        <v>0</v>
      </c>
      <c r="I150" s="13">
        <v>0</v>
      </c>
    </row>
    <row r="151" spans="1:9" ht="14.25" customHeight="1" x14ac:dyDescent="0.35">
      <c r="A151" s="2" t="s">
        <v>253</v>
      </c>
      <c r="B151" s="13" t="s">
        <v>55</v>
      </c>
      <c r="C151" s="13">
        <v>33040</v>
      </c>
      <c r="D151" s="13">
        <v>0</v>
      </c>
      <c r="H151" s="13">
        <v>0</v>
      </c>
      <c r="I151" s="13">
        <v>0</v>
      </c>
    </row>
    <row r="152" spans="1:9" ht="14.25" customHeight="1" x14ac:dyDescent="0.35">
      <c r="A152" s="2" t="s">
        <v>114</v>
      </c>
      <c r="B152" s="13" t="s">
        <v>50</v>
      </c>
      <c r="C152" s="13">
        <v>42011</v>
      </c>
      <c r="D152" s="13">
        <v>0</v>
      </c>
      <c r="H152" s="13">
        <v>0</v>
      </c>
      <c r="I152" s="13">
        <v>0</v>
      </c>
    </row>
    <row r="153" spans="1:9" ht="14.25" customHeight="1" x14ac:dyDescent="0.35">
      <c r="A153" s="2" t="s">
        <v>179</v>
      </c>
      <c r="B153" s="13" t="s">
        <v>50</v>
      </c>
      <c r="C153" s="13">
        <v>41034</v>
      </c>
      <c r="D153" s="13">
        <v>0</v>
      </c>
      <c r="H153" s="13">
        <v>0</v>
      </c>
      <c r="I153" s="13">
        <v>0</v>
      </c>
    </row>
    <row r="154" spans="1:9" ht="14.25" customHeight="1" x14ac:dyDescent="0.35">
      <c r="A154" s="2" t="s">
        <v>171</v>
      </c>
      <c r="B154" s="13" t="s">
        <v>55</v>
      </c>
      <c r="C154" s="13">
        <v>36010</v>
      </c>
      <c r="D154" s="13">
        <v>0</v>
      </c>
      <c r="H154" s="13">
        <v>0</v>
      </c>
      <c r="I154" s="13">
        <v>0</v>
      </c>
    </row>
    <row r="155" spans="1:9" ht="14.25" customHeight="1" x14ac:dyDescent="0.35">
      <c r="A155" s="2" t="s">
        <v>320</v>
      </c>
      <c r="B155" s="13" t="s">
        <v>55</v>
      </c>
      <c r="C155" s="13">
        <v>34025</v>
      </c>
      <c r="D155" s="13">
        <v>0</v>
      </c>
      <c r="H155" s="13">
        <v>0</v>
      </c>
      <c r="I155" s="13">
        <v>0</v>
      </c>
    </row>
    <row r="156" spans="1:9" ht="14.25" customHeight="1" x14ac:dyDescent="0.35">
      <c r="A156" s="2" t="s">
        <v>257</v>
      </c>
      <c r="B156" s="13" t="s">
        <v>52</v>
      </c>
      <c r="C156" s="13">
        <v>23104</v>
      </c>
      <c r="D156" s="13">
        <v>0</v>
      </c>
      <c r="H156" s="13">
        <v>0</v>
      </c>
      <c r="I156" s="13">
        <v>0</v>
      </c>
    </row>
    <row r="157" spans="1:9" ht="14.25" customHeight="1" x14ac:dyDescent="0.35">
      <c r="A157" s="2" t="s">
        <v>308</v>
      </c>
      <c r="B157" s="13" t="s">
        <v>59</v>
      </c>
      <c r="C157" s="13">
        <v>71034</v>
      </c>
      <c r="D157" s="13">
        <v>0</v>
      </c>
      <c r="H157" s="13">
        <v>0</v>
      </c>
      <c r="I157" s="13">
        <v>0</v>
      </c>
    </row>
    <row r="158" spans="1:9" ht="14.25" customHeight="1" x14ac:dyDescent="0.35">
      <c r="A158" s="2" t="s">
        <v>51</v>
      </c>
      <c r="B158" s="13" t="s">
        <v>52</v>
      </c>
      <c r="C158" s="13">
        <v>24062</v>
      </c>
      <c r="D158" s="13">
        <v>5</v>
      </c>
      <c r="E158" s="13">
        <v>5</v>
      </c>
      <c r="F158" s="13">
        <v>5</v>
      </c>
      <c r="G158" s="13">
        <v>5</v>
      </c>
      <c r="H158" s="13">
        <v>4</v>
      </c>
      <c r="I158" s="13">
        <v>4</v>
      </c>
    </row>
    <row r="159" spans="1:9" ht="14.25" customHeight="1" x14ac:dyDescent="0.35">
      <c r="A159" s="2" t="s">
        <v>198</v>
      </c>
      <c r="B159" s="13" t="s">
        <v>55</v>
      </c>
      <c r="C159" s="13">
        <v>36011</v>
      </c>
      <c r="D159" s="13">
        <v>0</v>
      </c>
      <c r="H159" s="13">
        <v>0</v>
      </c>
      <c r="I159" s="13">
        <v>0</v>
      </c>
    </row>
    <row r="160" spans="1:9" ht="14.25" customHeight="1" x14ac:dyDescent="0.35">
      <c r="A160" s="2" t="s">
        <v>334</v>
      </c>
      <c r="B160" s="13" t="s">
        <v>52</v>
      </c>
      <c r="C160" s="13">
        <v>23044</v>
      </c>
      <c r="D160" s="13">
        <v>0</v>
      </c>
      <c r="H160" s="13">
        <v>0</v>
      </c>
      <c r="I160" s="13">
        <v>0</v>
      </c>
    </row>
    <row r="161" spans="1:9" ht="14.25" customHeight="1" x14ac:dyDescent="0.35">
      <c r="A161" s="2" t="s">
        <v>68</v>
      </c>
      <c r="B161" s="13" t="s">
        <v>48</v>
      </c>
      <c r="C161" s="13">
        <v>12021</v>
      </c>
      <c r="D161" s="13">
        <v>0</v>
      </c>
      <c r="H161" s="13">
        <v>0</v>
      </c>
      <c r="I161" s="13">
        <v>0</v>
      </c>
    </row>
    <row r="162" spans="1:9" ht="14.25" customHeight="1" x14ac:dyDescent="0.35">
      <c r="A162" s="2" t="s">
        <v>248</v>
      </c>
      <c r="B162" s="13" t="s">
        <v>50</v>
      </c>
      <c r="C162" s="13">
        <v>45063</v>
      </c>
      <c r="D162" s="13">
        <v>0</v>
      </c>
      <c r="H162" s="13">
        <v>0</v>
      </c>
      <c r="I162" s="13">
        <v>0</v>
      </c>
    </row>
    <row r="163" spans="1:9" ht="14.25" customHeight="1" x14ac:dyDescent="0.35">
      <c r="A163" s="2" t="s">
        <v>82</v>
      </c>
      <c r="B163" s="13" t="s">
        <v>50</v>
      </c>
      <c r="C163" s="13">
        <v>44085</v>
      </c>
      <c r="D163" s="13">
        <v>0</v>
      </c>
      <c r="H163" s="13">
        <v>0</v>
      </c>
      <c r="I163" s="13">
        <v>0</v>
      </c>
    </row>
    <row r="164" spans="1:9" ht="14.25" customHeight="1" x14ac:dyDescent="0.35">
      <c r="A164" s="2" t="s">
        <v>161</v>
      </c>
      <c r="B164" s="13" t="s">
        <v>48</v>
      </c>
      <c r="C164" s="13">
        <v>13019</v>
      </c>
      <c r="D164" s="13">
        <v>0</v>
      </c>
      <c r="H164" s="13">
        <v>0</v>
      </c>
      <c r="I164" s="13">
        <v>0</v>
      </c>
    </row>
    <row r="165" spans="1:9" ht="14.25" customHeight="1" x14ac:dyDescent="0.35">
      <c r="A165" s="2" t="s">
        <v>319</v>
      </c>
      <c r="B165" s="13" t="s">
        <v>52</v>
      </c>
      <c r="C165" s="13">
        <v>23100</v>
      </c>
      <c r="D165" s="13">
        <v>0</v>
      </c>
      <c r="H165" s="13">
        <v>0</v>
      </c>
      <c r="I165" s="13">
        <v>0</v>
      </c>
    </row>
    <row r="166" spans="1:9" ht="14.25" customHeight="1" x14ac:dyDescent="0.35">
      <c r="A166" s="2" t="s">
        <v>254</v>
      </c>
      <c r="B166" s="13" t="s">
        <v>48</v>
      </c>
      <c r="C166" s="13">
        <v>11025</v>
      </c>
      <c r="D166" s="13">
        <v>1</v>
      </c>
      <c r="E166" s="13">
        <v>1</v>
      </c>
      <c r="F166" s="13">
        <v>1</v>
      </c>
      <c r="G166" s="13">
        <v>1</v>
      </c>
      <c r="H166" s="13">
        <v>1</v>
      </c>
      <c r="I166" s="13">
        <v>1</v>
      </c>
    </row>
    <row r="167" spans="1:9" ht="14.25" customHeight="1" x14ac:dyDescent="0.35">
      <c r="A167" s="2" t="s">
        <v>193</v>
      </c>
      <c r="B167" s="13" t="s">
        <v>52</v>
      </c>
      <c r="C167" s="13">
        <v>24133</v>
      </c>
      <c r="D167" s="13">
        <v>0</v>
      </c>
      <c r="H167" s="13">
        <v>0</v>
      </c>
      <c r="I167" s="13">
        <v>0</v>
      </c>
    </row>
    <row r="168" spans="1:9" ht="14.25" customHeight="1" x14ac:dyDescent="0.35">
      <c r="A168" s="2" t="s">
        <v>233</v>
      </c>
      <c r="B168" s="13" t="s">
        <v>50</v>
      </c>
      <c r="C168" s="13">
        <v>44034</v>
      </c>
      <c r="D168" s="13">
        <v>0</v>
      </c>
      <c r="H168" s="13">
        <v>0</v>
      </c>
      <c r="I168" s="13">
        <v>0</v>
      </c>
    </row>
    <row r="169" spans="1:9" ht="14.25" customHeight="1" x14ac:dyDescent="0.35">
      <c r="A169" s="2" t="s">
        <v>72</v>
      </c>
      <c r="B169" s="13" t="s">
        <v>50</v>
      </c>
      <c r="C169" s="13">
        <v>46014</v>
      </c>
      <c r="D169" s="13">
        <v>0</v>
      </c>
      <c r="H169" s="13">
        <v>0</v>
      </c>
      <c r="I169" s="13">
        <v>0</v>
      </c>
    </row>
    <row r="170" spans="1:9" ht="14.25" customHeight="1" x14ac:dyDescent="0.35">
      <c r="A170" s="2" t="s">
        <v>126</v>
      </c>
      <c r="B170" s="13" t="s">
        <v>59</v>
      </c>
      <c r="C170" s="13">
        <v>72020</v>
      </c>
      <c r="D170" s="13">
        <v>0</v>
      </c>
      <c r="H170" s="13">
        <v>0</v>
      </c>
      <c r="I170" s="13">
        <v>0</v>
      </c>
    </row>
    <row r="171" spans="1:9" ht="14.25" customHeight="1" x14ac:dyDescent="0.35">
      <c r="A171" s="2" t="s">
        <v>283</v>
      </c>
      <c r="B171" s="13" t="s">
        <v>52</v>
      </c>
      <c r="C171" s="13">
        <v>23045</v>
      </c>
      <c r="D171" s="13">
        <v>0</v>
      </c>
      <c r="H171" s="13">
        <v>0</v>
      </c>
      <c r="I171" s="13">
        <v>0</v>
      </c>
    </row>
    <row r="172" spans="1:9" ht="14.25" customHeight="1" x14ac:dyDescent="0.35">
      <c r="A172" s="2" t="s">
        <v>239</v>
      </c>
      <c r="B172" s="13" t="s">
        <v>55</v>
      </c>
      <c r="C172" s="13">
        <v>32030</v>
      </c>
      <c r="D172" s="13">
        <v>0</v>
      </c>
      <c r="H172" s="13">
        <v>0</v>
      </c>
      <c r="I172" s="13">
        <v>0</v>
      </c>
    </row>
    <row r="173" spans="1:9" ht="14.25" customHeight="1" x14ac:dyDescent="0.35">
      <c r="A173" s="2" t="s">
        <v>139</v>
      </c>
      <c r="B173" s="13" t="s">
        <v>52</v>
      </c>
      <c r="C173" s="13">
        <v>24066</v>
      </c>
      <c r="D173" s="13">
        <v>0</v>
      </c>
      <c r="H173" s="13">
        <v>0</v>
      </c>
      <c r="I173" s="13">
        <v>0</v>
      </c>
    </row>
    <row r="174" spans="1:9" ht="14.25" customHeight="1" x14ac:dyDescent="0.35">
      <c r="A174" s="2" t="s">
        <v>286</v>
      </c>
      <c r="B174" s="13" t="s">
        <v>59</v>
      </c>
      <c r="C174" s="13">
        <v>71037</v>
      </c>
      <c r="D174" s="13">
        <v>0</v>
      </c>
      <c r="H174" s="13">
        <v>0</v>
      </c>
      <c r="I174" s="13">
        <v>0</v>
      </c>
    </row>
    <row r="175" spans="1:9" ht="14.25" customHeight="1" x14ac:dyDescent="0.35">
      <c r="A175" s="2" t="s">
        <v>244</v>
      </c>
      <c r="B175" s="13" t="s">
        <v>50</v>
      </c>
      <c r="C175" s="13">
        <v>45064</v>
      </c>
      <c r="D175" s="13">
        <v>0</v>
      </c>
      <c r="H175" s="13">
        <v>0</v>
      </c>
      <c r="I175" s="13">
        <v>0</v>
      </c>
    </row>
    <row r="176" spans="1:9" ht="14.25" customHeight="1" x14ac:dyDescent="0.35">
      <c r="A176" s="2" t="s">
        <v>211</v>
      </c>
      <c r="B176" s="13" t="s">
        <v>59</v>
      </c>
      <c r="C176" s="13">
        <v>72021</v>
      </c>
      <c r="D176" s="13">
        <v>0</v>
      </c>
      <c r="H176" s="13">
        <v>0</v>
      </c>
      <c r="I176" s="13">
        <v>0</v>
      </c>
    </row>
    <row r="177" spans="1:9" ht="14.25" customHeight="1" x14ac:dyDescent="0.35">
      <c r="A177" s="2" t="s">
        <v>229</v>
      </c>
      <c r="B177" s="13" t="s">
        <v>59</v>
      </c>
      <c r="C177" s="13">
        <v>73107</v>
      </c>
      <c r="D177" s="13">
        <v>0</v>
      </c>
      <c r="H177" s="13">
        <v>0</v>
      </c>
      <c r="I177" s="13">
        <v>0</v>
      </c>
    </row>
    <row r="178" spans="1:9" ht="14.25" customHeight="1" x14ac:dyDescent="0.35">
      <c r="A178" s="2" t="s">
        <v>278</v>
      </c>
      <c r="B178" s="13" t="s">
        <v>52</v>
      </c>
      <c r="C178" s="13">
        <v>23047</v>
      </c>
      <c r="D178" s="13">
        <v>0</v>
      </c>
      <c r="H178" s="13">
        <v>0</v>
      </c>
      <c r="I178" s="13">
        <v>0</v>
      </c>
    </row>
    <row r="179" spans="1:9" ht="14.25" customHeight="1" x14ac:dyDescent="0.35">
      <c r="A179" s="2" t="s">
        <v>165</v>
      </c>
      <c r="B179" s="13" t="s">
        <v>50</v>
      </c>
      <c r="C179" s="13">
        <v>43010</v>
      </c>
      <c r="D179" s="13">
        <v>0</v>
      </c>
      <c r="H179" s="13">
        <v>0</v>
      </c>
      <c r="I179" s="13">
        <v>0</v>
      </c>
    </row>
    <row r="180" spans="1:9" ht="14.25" customHeight="1" x14ac:dyDescent="0.35">
      <c r="A180" s="2" t="s">
        <v>178</v>
      </c>
      <c r="B180" s="13" t="s">
        <v>48</v>
      </c>
      <c r="C180" s="13">
        <v>11057</v>
      </c>
      <c r="D180" s="13">
        <v>0</v>
      </c>
      <c r="H180" s="13">
        <v>0</v>
      </c>
      <c r="I180" s="13">
        <v>0</v>
      </c>
    </row>
    <row r="181" spans="1:9" ht="14.25" customHeight="1" x14ac:dyDescent="0.35">
      <c r="A181" s="2" t="s">
        <v>53</v>
      </c>
      <c r="B181" s="13" t="s">
        <v>48</v>
      </c>
      <c r="C181" s="13">
        <v>12025</v>
      </c>
      <c r="D181" s="13">
        <v>0</v>
      </c>
      <c r="H181" s="13">
        <v>1</v>
      </c>
      <c r="I181" s="13">
        <v>1</v>
      </c>
    </row>
    <row r="182" spans="1:9" ht="14.25" customHeight="1" x14ac:dyDescent="0.35">
      <c r="A182" s="2" t="s">
        <v>172</v>
      </c>
      <c r="B182" s="13" t="s">
        <v>48</v>
      </c>
      <c r="C182" s="13">
        <v>13021</v>
      </c>
      <c r="D182" s="13">
        <v>0</v>
      </c>
      <c r="H182" s="13">
        <v>0</v>
      </c>
      <c r="I182" s="13">
        <v>0</v>
      </c>
    </row>
    <row r="183" spans="1:9" ht="14.25" customHeight="1" x14ac:dyDescent="0.35">
      <c r="A183" s="2" t="s">
        <v>287</v>
      </c>
      <c r="B183" s="13" t="s">
        <v>52</v>
      </c>
      <c r="C183" s="13">
        <v>23050</v>
      </c>
      <c r="D183" s="13">
        <v>0</v>
      </c>
      <c r="H183" s="13">
        <v>0</v>
      </c>
      <c r="I183" s="13">
        <v>0</v>
      </c>
    </row>
    <row r="184" spans="1:9" ht="14.25" customHeight="1" x14ac:dyDescent="0.35">
      <c r="A184" s="2" t="s">
        <v>349</v>
      </c>
      <c r="B184" s="13" t="s">
        <v>50</v>
      </c>
      <c r="C184" s="13">
        <v>44040</v>
      </c>
      <c r="D184" s="13">
        <v>0</v>
      </c>
      <c r="H184" s="13">
        <v>0</v>
      </c>
      <c r="I184" s="13">
        <v>0</v>
      </c>
    </row>
    <row r="185" spans="1:9" ht="14.25" customHeight="1" x14ac:dyDescent="0.35">
      <c r="A185" s="2" t="s">
        <v>130</v>
      </c>
      <c r="B185" s="13" t="s">
        <v>55</v>
      </c>
      <c r="C185" s="13">
        <v>34027</v>
      </c>
      <c r="D185" s="13">
        <v>0</v>
      </c>
      <c r="H185" s="13">
        <v>0</v>
      </c>
      <c r="I185" s="13">
        <v>0</v>
      </c>
    </row>
    <row r="186" spans="1:9" ht="14.25" customHeight="1" x14ac:dyDescent="0.35">
      <c r="A186" s="2" t="s">
        <v>281</v>
      </c>
      <c r="B186" s="13" t="s">
        <v>52</v>
      </c>
      <c r="C186" s="13">
        <v>23052</v>
      </c>
      <c r="D186" s="13">
        <v>0</v>
      </c>
      <c r="H186" s="13">
        <v>0</v>
      </c>
      <c r="I186" s="13">
        <v>0</v>
      </c>
    </row>
    <row r="187" spans="1:9" ht="14.25" customHeight="1" x14ac:dyDescent="0.35">
      <c r="A187" s="2" t="s">
        <v>350</v>
      </c>
      <c r="B187" s="13" t="s">
        <v>50</v>
      </c>
      <c r="C187" s="13">
        <v>44043</v>
      </c>
      <c r="D187" s="13">
        <v>1</v>
      </c>
      <c r="E187" s="13">
        <v>1</v>
      </c>
      <c r="F187" s="13">
        <v>0</v>
      </c>
      <c r="G187" s="13">
        <v>0</v>
      </c>
      <c r="H187" s="13">
        <v>2</v>
      </c>
      <c r="I187" s="13">
        <v>2</v>
      </c>
    </row>
    <row r="188" spans="1:9" ht="14.25" customHeight="1" x14ac:dyDescent="0.35">
      <c r="A188" s="2" t="s">
        <v>197</v>
      </c>
      <c r="B188" s="13" t="s">
        <v>48</v>
      </c>
      <c r="C188" s="13">
        <v>13023</v>
      </c>
      <c r="D188" s="13">
        <v>0</v>
      </c>
      <c r="H188" s="13">
        <v>0</v>
      </c>
      <c r="I188" s="13">
        <v>0</v>
      </c>
    </row>
    <row r="189" spans="1:9" ht="14.25" customHeight="1" x14ac:dyDescent="0.35">
      <c r="A189" s="2" t="s">
        <v>238</v>
      </c>
      <c r="B189" s="13" t="s">
        <v>55</v>
      </c>
      <c r="C189" s="13">
        <v>33016</v>
      </c>
      <c r="D189" s="13">
        <v>0</v>
      </c>
      <c r="H189" s="13">
        <v>0</v>
      </c>
      <c r="I189" s="13">
        <v>0</v>
      </c>
    </row>
    <row r="190" spans="1:9" ht="14.25" customHeight="1" x14ac:dyDescent="0.35">
      <c r="A190" s="2" t="s">
        <v>351</v>
      </c>
      <c r="B190" s="13" t="s">
        <v>55</v>
      </c>
      <c r="C190" s="13">
        <v>37007</v>
      </c>
      <c r="D190" s="13">
        <v>0</v>
      </c>
      <c r="H190" s="13">
        <v>0</v>
      </c>
      <c r="I190" s="13">
        <v>0</v>
      </c>
    </row>
    <row r="191" spans="1:9" ht="14.25" customHeight="1" x14ac:dyDescent="0.35">
      <c r="A191" s="2" t="s">
        <v>225</v>
      </c>
      <c r="B191" s="13" t="s">
        <v>55</v>
      </c>
      <c r="C191" s="13">
        <v>35011</v>
      </c>
      <c r="D191" s="13">
        <v>0</v>
      </c>
      <c r="H191" s="13">
        <v>0</v>
      </c>
      <c r="I191" s="13">
        <v>0</v>
      </c>
    </row>
    <row r="192" spans="1:9" ht="14.25" customHeight="1" x14ac:dyDescent="0.35">
      <c r="A192" s="2" t="s">
        <v>352</v>
      </c>
      <c r="B192" s="13" t="s">
        <v>50</v>
      </c>
      <c r="C192" s="13">
        <v>44045</v>
      </c>
      <c r="D192" s="13">
        <v>0</v>
      </c>
      <c r="H192" s="13">
        <v>0</v>
      </c>
      <c r="I192" s="13">
        <v>0</v>
      </c>
    </row>
    <row r="193" spans="1:9" ht="14.25" customHeight="1" x14ac:dyDescent="0.35">
      <c r="A193" s="2" t="s">
        <v>145</v>
      </c>
      <c r="B193" s="13" t="s">
        <v>48</v>
      </c>
      <c r="C193" s="13">
        <v>13025</v>
      </c>
      <c r="D193" s="13">
        <v>0</v>
      </c>
      <c r="H193" s="13">
        <v>0</v>
      </c>
      <c r="I193" s="13">
        <v>0</v>
      </c>
    </row>
    <row r="194" spans="1:9" ht="14.25" customHeight="1" x14ac:dyDescent="0.35">
      <c r="A194" s="2" t="s">
        <v>174</v>
      </c>
      <c r="B194" s="13" t="s">
        <v>55</v>
      </c>
      <c r="C194" s="13">
        <v>36012</v>
      </c>
      <c r="D194" s="13">
        <v>0</v>
      </c>
      <c r="H194" s="13">
        <v>0</v>
      </c>
      <c r="I194" s="13">
        <v>0</v>
      </c>
    </row>
    <row r="195" spans="1:9" ht="14.25" customHeight="1" x14ac:dyDescent="0.35">
      <c r="A195" s="2" t="s">
        <v>66</v>
      </c>
      <c r="B195" s="13" t="s">
        <v>48</v>
      </c>
      <c r="C195" s="13">
        <v>11029</v>
      </c>
      <c r="D195" s="13">
        <v>4</v>
      </c>
      <c r="E195" s="13">
        <v>4</v>
      </c>
      <c r="F195" s="13">
        <v>6</v>
      </c>
      <c r="G195" s="13">
        <v>6</v>
      </c>
      <c r="H195" s="13">
        <v>4</v>
      </c>
      <c r="I195" s="13">
        <v>4</v>
      </c>
    </row>
    <row r="196" spans="1:9" ht="14.25" customHeight="1" x14ac:dyDescent="0.35">
      <c r="A196" s="2" t="s">
        <v>353</v>
      </c>
      <c r="B196" s="13" t="s">
        <v>50</v>
      </c>
      <c r="C196" s="13">
        <v>44048</v>
      </c>
      <c r="D196" s="13">
        <v>0</v>
      </c>
      <c r="H196" s="13">
        <v>0</v>
      </c>
      <c r="I196" s="13">
        <v>0</v>
      </c>
    </row>
    <row r="197" spans="1:9" ht="14.25" customHeight="1" x14ac:dyDescent="0.35">
      <c r="A197" s="2" t="s">
        <v>203</v>
      </c>
      <c r="B197" s="13" t="s">
        <v>48</v>
      </c>
      <c r="C197" s="13">
        <v>11030</v>
      </c>
      <c r="D197" s="13">
        <v>0</v>
      </c>
      <c r="H197" s="13">
        <v>0</v>
      </c>
      <c r="I197" s="13">
        <v>0</v>
      </c>
    </row>
    <row r="198" spans="1:9" ht="14.25" customHeight="1" x14ac:dyDescent="0.35">
      <c r="A198" s="2" t="s">
        <v>299</v>
      </c>
      <c r="B198" s="13" t="s">
        <v>59</v>
      </c>
      <c r="C198" s="13">
        <v>71045</v>
      </c>
      <c r="D198" s="13">
        <v>0</v>
      </c>
      <c r="H198" s="13">
        <v>0</v>
      </c>
      <c r="I198" s="13">
        <v>0</v>
      </c>
    </row>
    <row r="199" spans="1:9" ht="14.25" customHeight="1" x14ac:dyDescent="0.35">
      <c r="A199" s="2" t="s">
        <v>152</v>
      </c>
      <c r="B199" s="13" t="s">
        <v>55</v>
      </c>
      <c r="C199" s="13">
        <v>38016</v>
      </c>
      <c r="D199" s="13">
        <v>0</v>
      </c>
      <c r="H199" s="13">
        <v>0</v>
      </c>
      <c r="I199" s="13">
        <v>0</v>
      </c>
    </row>
    <row r="200" spans="1:9" ht="14.25" customHeight="1" x14ac:dyDescent="0.35">
      <c r="A200" s="2" t="s">
        <v>124</v>
      </c>
      <c r="B200" s="13" t="s">
        <v>48</v>
      </c>
      <c r="C200" s="13">
        <v>12026</v>
      </c>
      <c r="D200" s="13">
        <v>0</v>
      </c>
      <c r="H200" s="13">
        <v>0</v>
      </c>
      <c r="I200" s="13">
        <v>0</v>
      </c>
    </row>
    <row r="201" spans="1:9" ht="14.25" customHeight="1" x14ac:dyDescent="0.35">
      <c r="A201" s="2" t="s">
        <v>236</v>
      </c>
      <c r="B201" s="13" t="s">
        <v>50</v>
      </c>
      <c r="C201" s="13">
        <v>41048</v>
      </c>
      <c r="D201" s="13">
        <v>0</v>
      </c>
      <c r="H201" s="13">
        <v>0</v>
      </c>
      <c r="I201" s="13">
        <v>0</v>
      </c>
    </row>
    <row r="202" spans="1:9" ht="14.25" customHeight="1" x14ac:dyDescent="0.35">
      <c r="A202" s="2" t="s">
        <v>330</v>
      </c>
      <c r="B202" s="13" t="s">
        <v>48</v>
      </c>
      <c r="C202" s="13">
        <v>13029</v>
      </c>
      <c r="D202" s="13">
        <v>0</v>
      </c>
      <c r="H202" s="13">
        <v>0</v>
      </c>
      <c r="I202" s="13">
        <v>0</v>
      </c>
    </row>
    <row r="203" spans="1:9" ht="14.25" customHeight="1" x14ac:dyDescent="0.35">
      <c r="A203" s="2" t="s">
        <v>64</v>
      </c>
      <c r="B203" s="13" t="s">
        <v>55</v>
      </c>
      <c r="C203" s="13">
        <v>35013</v>
      </c>
      <c r="D203" s="13">
        <v>0</v>
      </c>
      <c r="H203" s="13">
        <v>0</v>
      </c>
      <c r="I203" s="13">
        <v>0</v>
      </c>
    </row>
    <row r="204" spans="1:9" ht="14.25" customHeight="1" x14ac:dyDescent="0.35">
      <c r="A204" s="2" t="s">
        <v>121</v>
      </c>
      <c r="B204" s="13" t="s">
        <v>50</v>
      </c>
      <c r="C204" s="13">
        <v>44052</v>
      </c>
      <c r="D204" s="13">
        <v>0</v>
      </c>
      <c r="H204" s="13">
        <v>0</v>
      </c>
      <c r="I204" s="13">
        <v>0</v>
      </c>
    </row>
    <row r="205" spans="1:9" ht="14.25" customHeight="1" x14ac:dyDescent="0.35">
      <c r="A205" s="2" t="s">
        <v>79</v>
      </c>
      <c r="B205" s="13" t="s">
        <v>55</v>
      </c>
      <c r="C205" s="13">
        <v>31022</v>
      </c>
      <c r="D205" s="13">
        <v>0</v>
      </c>
      <c r="H205" s="13">
        <v>0</v>
      </c>
      <c r="I205" s="13">
        <v>0</v>
      </c>
    </row>
    <row r="206" spans="1:9" ht="14.25" customHeight="1" x14ac:dyDescent="0.35">
      <c r="A206" s="2" t="s">
        <v>194</v>
      </c>
      <c r="B206" s="13" t="s">
        <v>55</v>
      </c>
      <c r="C206" s="13">
        <v>37010</v>
      </c>
      <c r="D206" s="13">
        <v>0</v>
      </c>
      <c r="H206" s="13">
        <v>0</v>
      </c>
      <c r="I206" s="13">
        <v>0</v>
      </c>
    </row>
    <row r="207" spans="1:9" ht="14.25" customHeight="1" x14ac:dyDescent="0.35">
      <c r="A207" s="2" t="s">
        <v>214</v>
      </c>
      <c r="B207" s="13" t="s">
        <v>52</v>
      </c>
      <c r="C207" s="13">
        <v>23060</v>
      </c>
      <c r="D207" s="13">
        <v>0</v>
      </c>
      <c r="H207" s="13">
        <v>0</v>
      </c>
      <c r="I207" s="13">
        <v>0</v>
      </c>
    </row>
    <row r="208" spans="1:9" ht="14.25" customHeight="1" x14ac:dyDescent="0.35">
      <c r="A208" s="2" t="s">
        <v>77</v>
      </c>
      <c r="B208" s="13" t="s">
        <v>50</v>
      </c>
      <c r="C208" s="13">
        <v>45035</v>
      </c>
      <c r="D208" s="13">
        <v>0</v>
      </c>
      <c r="H208" s="13">
        <v>0</v>
      </c>
      <c r="I208" s="13">
        <v>0</v>
      </c>
    </row>
    <row r="209" spans="1:9" ht="14.25" customHeight="1" x14ac:dyDescent="0.35">
      <c r="A209" s="2" t="s">
        <v>200</v>
      </c>
      <c r="B209" s="13" t="s">
        <v>55</v>
      </c>
      <c r="C209" s="13">
        <v>35014</v>
      </c>
      <c r="D209" s="13">
        <v>0</v>
      </c>
      <c r="H209" s="13">
        <v>0</v>
      </c>
      <c r="I209" s="13">
        <v>0</v>
      </c>
    </row>
    <row r="210" spans="1:9" ht="14.25" customHeight="1" x14ac:dyDescent="0.35">
      <c r="A210" s="2" t="s">
        <v>110</v>
      </c>
      <c r="B210" s="13" t="s">
        <v>52</v>
      </c>
      <c r="C210" s="13">
        <v>24086</v>
      </c>
      <c r="D210" s="13">
        <v>0</v>
      </c>
      <c r="H210" s="13">
        <v>0</v>
      </c>
      <c r="I210" s="13">
        <v>0</v>
      </c>
    </row>
    <row r="211" spans="1:9" ht="14.25" customHeight="1" x14ac:dyDescent="0.35">
      <c r="A211" s="2" t="s">
        <v>234</v>
      </c>
      <c r="B211" s="13" t="s">
        <v>59</v>
      </c>
      <c r="C211" s="13">
        <v>72042</v>
      </c>
      <c r="D211" s="13">
        <v>0</v>
      </c>
      <c r="H211" s="13">
        <v>0</v>
      </c>
      <c r="I211" s="13">
        <v>0</v>
      </c>
    </row>
    <row r="212" spans="1:9" ht="14.25" customHeight="1" x14ac:dyDescent="0.35">
      <c r="A212" s="2" t="s">
        <v>159</v>
      </c>
      <c r="B212" s="13" t="s">
        <v>48</v>
      </c>
      <c r="C212" s="13">
        <v>13031</v>
      </c>
      <c r="D212" s="13">
        <v>0</v>
      </c>
      <c r="H212" s="13">
        <v>0</v>
      </c>
      <c r="I212" s="13">
        <v>0</v>
      </c>
    </row>
    <row r="213" spans="1:9" ht="14.25" customHeight="1" x14ac:dyDescent="0.35">
      <c r="A213" s="2" t="s">
        <v>230</v>
      </c>
      <c r="B213" s="13" t="s">
        <v>52</v>
      </c>
      <c r="C213" s="13">
        <v>23062</v>
      </c>
      <c r="D213" s="13">
        <v>0</v>
      </c>
      <c r="H213" s="13">
        <v>0</v>
      </c>
      <c r="I213" s="13">
        <v>0</v>
      </c>
    </row>
    <row r="214" spans="1:9" ht="14.25" customHeight="1" x14ac:dyDescent="0.35">
      <c r="A214" s="2" t="s">
        <v>232</v>
      </c>
      <c r="B214" s="13" t="s">
        <v>59</v>
      </c>
      <c r="C214" s="13">
        <v>72030</v>
      </c>
      <c r="D214" s="13">
        <v>0</v>
      </c>
      <c r="H214" s="13">
        <v>0</v>
      </c>
      <c r="I214" s="13">
        <v>0</v>
      </c>
    </row>
    <row r="215" spans="1:9" ht="14.25" customHeight="1" x14ac:dyDescent="0.35">
      <c r="A215" s="2" t="s">
        <v>310</v>
      </c>
      <c r="B215" s="13" t="s">
        <v>59</v>
      </c>
      <c r="C215" s="13">
        <v>72043</v>
      </c>
      <c r="D215" s="13">
        <v>0</v>
      </c>
      <c r="H215" s="13">
        <v>0</v>
      </c>
      <c r="I215" s="13">
        <v>0</v>
      </c>
    </row>
    <row r="216" spans="1:9" ht="14.25" customHeight="1" x14ac:dyDescent="0.35">
      <c r="A216" s="2" t="s">
        <v>241</v>
      </c>
      <c r="B216" s="13" t="s">
        <v>52</v>
      </c>
      <c r="C216" s="13">
        <v>23064</v>
      </c>
      <c r="D216" s="13">
        <v>0</v>
      </c>
      <c r="H216" s="13">
        <v>0</v>
      </c>
      <c r="I216" s="13">
        <v>0</v>
      </c>
    </row>
    <row r="217" spans="1:9" ht="14.25" customHeight="1" x14ac:dyDescent="0.35">
      <c r="A217" s="2" t="s">
        <v>251</v>
      </c>
      <c r="B217" s="13" t="s">
        <v>55</v>
      </c>
      <c r="C217" s="13">
        <v>37011</v>
      </c>
      <c r="D217" s="13">
        <v>0</v>
      </c>
      <c r="H217" s="13">
        <v>0</v>
      </c>
      <c r="I217" s="13">
        <v>0</v>
      </c>
    </row>
    <row r="218" spans="1:9" ht="14.25" customHeight="1" x14ac:dyDescent="0.35">
      <c r="A218" s="2" t="s">
        <v>98</v>
      </c>
      <c r="B218" s="13" t="s">
        <v>55</v>
      </c>
      <c r="C218" s="13">
        <v>33021</v>
      </c>
      <c r="D218" s="13">
        <v>0</v>
      </c>
      <c r="H218" s="13">
        <v>0</v>
      </c>
      <c r="I218" s="13">
        <v>0</v>
      </c>
    </row>
    <row r="219" spans="1:9" ht="14.25" customHeight="1" x14ac:dyDescent="0.35">
      <c r="A219" s="2" t="s">
        <v>282</v>
      </c>
      <c r="B219" s="13" t="s">
        <v>48</v>
      </c>
      <c r="C219" s="13">
        <v>12029</v>
      </c>
      <c r="D219" s="13">
        <v>0</v>
      </c>
      <c r="H219" s="13">
        <v>0</v>
      </c>
      <c r="I219" s="13">
        <v>0</v>
      </c>
    </row>
    <row r="220" spans="1:9" ht="14.25" customHeight="1" x14ac:dyDescent="0.35">
      <c r="A220" s="2" t="s">
        <v>94</v>
      </c>
      <c r="B220" s="13" t="s">
        <v>48</v>
      </c>
      <c r="C220" s="13">
        <v>12041</v>
      </c>
      <c r="D220" s="13">
        <v>0</v>
      </c>
      <c r="H220" s="13">
        <v>0</v>
      </c>
      <c r="I220" s="13">
        <v>0</v>
      </c>
    </row>
    <row r="221" spans="1:9" ht="14.25" customHeight="1" x14ac:dyDescent="0.35">
      <c r="A221" s="2" t="s">
        <v>284</v>
      </c>
      <c r="B221" s="13" t="s">
        <v>48</v>
      </c>
      <c r="C221" s="13">
        <v>11035</v>
      </c>
      <c r="D221" s="13">
        <v>0</v>
      </c>
      <c r="H221" s="13">
        <v>0</v>
      </c>
      <c r="I221" s="13">
        <v>0</v>
      </c>
    </row>
    <row r="222" spans="1:9" ht="14.25" customHeight="1" x14ac:dyDescent="0.35">
      <c r="A222" s="2" t="s">
        <v>277</v>
      </c>
      <c r="B222" s="13" t="s">
        <v>48</v>
      </c>
      <c r="C222" s="13">
        <v>13035</v>
      </c>
      <c r="D222" s="13">
        <v>0</v>
      </c>
      <c r="H222" s="13">
        <v>0</v>
      </c>
      <c r="I222" s="13">
        <v>0</v>
      </c>
    </row>
    <row r="223" spans="1:9" ht="14.25" customHeight="1" x14ac:dyDescent="0.35">
      <c r="A223" s="2" t="s">
        <v>204</v>
      </c>
      <c r="B223" s="13" t="s">
        <v>48</v>
      </c>
      <c r="C223" s="13">
        <v>13036</v>
      </c>
      <c r="D223" s="13">
        <v>0</v>
      </c>
      <c r="H223" s="13">
        <v>0</v>
      </c>
      <c r="I223" s="13">
        <v>0</v>
      </c>
    </row>
    <row r="224" spans="1:9" ht="14.25" customHeight="1" x14ac:dyDescent="0.35">
      <c r="A224" s="2" t="s">
        <v>332</v>
      </c>
      <c r="B224" s="13" t="s">
        <v>59</v>
      </c>
      <c r="C224" s="13">
        <v>73066</v>
      </c>
      <c r="D224" s="13">
        <v>0</v>
      </c>
      <c r="H224" s="13">
        <v>0</v>
      </c>
      <c r="I224" s="13">
        <v>0</v>
      </c>
    </row>
    <row r="225" spans="1:9" ht="14.25" customHeight="1" x14ac:dyDescent="0.35">
      <c r="A225" s="2" t="s">
        <v>267</v>
      </c>
      <c r="B225" s="13" t="s">
        <v>48</v>
      </c>
      <c r="C225" s="13">
        <v>13037</v>
      </c>
      <c r="D225" s="13">
        <v>0</v>
      </c>
      <c r="H225" s="13">
        <v>0</v>
      </c>
      <c r="I225" s="13">
        <v>0</v>
      </c>
    </row>
    <row r="226" spans="1:9" ht="14.25" customHeight="1" x14ac:dyDescent="0.35">
      <c r="A226" s="2" t="s">
        <v>63</v>
      </c>
      <c r="B226" s="13" t="s">
        <v>55</v>
      </c>
      <c r="C226" s="13">
        <v>36015</v>
      </c>
      <c r="D226" s="13">
        <v>0</v>
      </c>
      <c r="H226" s="13">
        <v>0</v>
      </c>
      <c r="I226" s="13">
        <v>0</v>
      </c>
    </row>
    <row r="227" spans="1:9" ht="14.25" customHeight="1" x14ac:dyDescent="0.35">
      <c r="A227" s="2" t="s">
        <v>141</v>
      </c>
      <c r="B227" s="13" t="s">
        <v>50</v>
      </c>
      <c r="C227" s="13">
        <v>45041</v>
      </c>
      <c r="D227" s="13">
        <v>0</v>
      </c>
      <c r="H227" s="13">
        <v>0</v>
      </c>
      <c r="I227" s="13">
        <v>0</v>
      </c>
    </row>
    <row r="228" spans="1:9" ht="14.25" customHeight="1" x14ac:dyDescent="0.35">
      <c r="A228" s="2" t="s">
        <v>328</v>
      </c>
      <c r="B228" s="13" t="s">
        <v>52</v>
      </c>
      <c r="C228" s="13">
        <v>23097</v>
      </c>
      <c r="D228" s="13">
        <v>0</v>
      </c>
      <c r="H228" s="13">
        <v>0</v>
      </c>
      <c r="I228" s="13">
        <v>0</v>
      </c>
    </row>
    <row r="229" spans="1:9" ht="14.25" customHeight="1" x14ac:dyDescent="0.35">
      <c r="A229" s="2" t="s">
        <v>78</v>
      </c>
      <c r="B229" s="13" t="s">
        <v>52</v>
      </c>
      <c r="C229" s="13">
        <v>24094</v>
      </c>
      <c r="D229" s="13">
        <v>0</v>
      </c>
      <c r="H229" s="13">
        <v>0</v>
      </c>
      <c r="I229" s="13">
        <v>0</v>
      </c>
    </row>
    <row r="230" spans="1:9" ht="14.25" customHeight="1" x14ac:dyDescent="0.35">
      <c r="A230" s="2" t="s">
        <v>354</v>
      </c>
      <c r="B230" s="13" t="s">
        <v>55</v>
      </c>
      <c r="C230" s="13">
        <v>37012</v>
      </c>
      <c r="D230" s="13">
        <v>0</v>
      </c>
      <c r="H230" s="13">
        <v>0</v>
      </c>
      <c r="I230" s="13">
        <v>0</v>
      </c>
    </row>
    <row r="231" spans="1:9" ht="14.25" customHeight="1" x14ac:dyDescent="0.35">
      <c r="A231" s="2" t="s">
        <v>160</v>
      </c>
      <c r="B231" s="13" t="s">
        <v>48</v>
      </c>
      <c r="C231" s="13">
        <v>11037</v>
      </c>
      <c r="D231" s="13">
        <v>0</v>
      </c>
      <c r="H231" s="13">
        <v>0</v>
      </c>
      <c r="I231" s="13">
        <v>0</v>
      </c>
    </row>
    <row r="232" spans="1:9" ht="14.25" customHeight="1" x14ac:dyDescent="0.35">
      <c r="A232" s="2" t="s">
        <v>169</v>
      </c>
      <c r="B232" s="13" t="s">
        <v>48</v>
      </c>
      <c r="C232" s="13">
        <v>11038</v>
      </c>
      <c r="D232" s="13">
        <v>0</v>
      </c>
      <c r="H232" s="13">
        <v>0</v>
      </c>
      <c r="I232" s="13">
        <v>0</v>
      </c>
    </row>
    <row r="233" spans="1:9" ht="14.25" customHeight="1" x14ac:dyDescent="0.35">
      <c r="A233" s="2" t="s">
        <v>292</v>
      </c>
      <c r="B233" s="13" t="s">
        <v>52</v>
      </c>
      <c r="C233" s="13">
        <v>24134</v>
      </c>
      <c r="D233" s="13">
        <v>0</v>
      </c>
      <c r="H233" s="13">
        <v>0</v>
      </c>
      <c r="I233" s="13">
        <v>0</v>
      </c>
    </row>
    <row r="234" spans="1:9" ht="14.25" customHeight="1" x14ac:dyDescent="0.35">
      <c r="A234" s="2" t="s">
        <v>311</v>
      </c>
      <c r="B234" s="13" t="s">
        <v>48</v>
      </c>
      <c r="C234" s="13">
        <v>11039</v>
      </c>
      <c r="D234" s="13">
        <v>0</v>
      </c>
      <c r="H234" s="13">
        <v>0</v>
      </c>
      <c r="I234" s="13">
        <v>0</v>
      </c>
    </row>
    <row r="235" spans="1:9" ht="14.25" customHeight="1" x14ac:dyDescent="0.35">
      <c r="A235" s="2" t="s">
        <v>188</v>
      </c>
      <c r="B235" s="13" t="s">
        <v>48</v>
      </c>
      <c r="C235" s="13">
        <v>11040</v>
      </c>
      <c r="D235" s="13">
        <v>0</v>
      </c>
      <c r="H235" s="13">
        <v>0</v>
      </c>
      <c r="I235" s="13">
        <v>0</v>
      </c>
    </row>
    <row r="236" spans="1:9" ht="14.25" customHeight="1" x14ac:dyDescent="0.35">
      <c r="A236" s="2" t="s">
        <v>220</v>
      </c>
      <c r="B236" s="13" t="s">
        <v>52</v>
      </c>
      <c r="C236" s="13">
        <v>23101</v>
      </c>
      <c r="D236" s="13">
        <v>0</v>
      </c>
      <c r="H236" s="13">
        <v>0</v>
      </c>
      <c r="I236" s="13">
        <v>0</v>
      </c>
    </row>
    <row r="237" spans="1:9" ht="14.25" customHeight="1" x14ac:dyDescent="0.35">
      <c r="A237" s="2" t="s">
        <v>226</v>
      </c>
      <c r="B237" s="13" t="s">
        <v>50</v>
      </c>
      <c r="C237" s="13">
        <v>46020</v>
      </c>
      <c r="D237" s="13">
        <v>0</v>
      </c>
      <c r="H237" s="13">
        <v>0</v>
      </c>
      <c r="I237" s="13">
        <v>0</v>
      </c>
    </row>
    <row r="238" spans="1:9" ht="14.25" customHeight="1" x14ac:dyDescent="0.35">
      <c r="A238" s="2" t="s">
        <v>183</v>
      </c>
      <c r="B238" s="13" t="s">
        <v>48</v>
      </c>
      <c r="C238" s="13">
        <v>12035</v>
      </c>
      <c r="D238" s="13">
        <v>0</v>
      </c>
      <c r="H238" s="13">
        <v>0</v>
      </c>
      <c r="I238" s="13">
        <v>0</v>
      </c>
    </row>
    <row r="239" spans="1:9" ht="14.25" customHeight="1" x14ac:dyDescent="0.35">
      <c r="A239" s="2" t="s">
        <v>250</v>
      </c>
      <c r="B239" s="13" t="s">
        <v>50</v>
      </c>
      <c r="C239" s="13">
        <v>43014</v>
      </c>
      <c r="D239" s="13">
        <v>0</v>
      </c>
      <c r="H239" s="13">
        <v>0</v>
      </c>
      <c r="I239" s="13">
        <v>0</v>
      </c>
    </row>
    <row r="240" spans="1:9" ht="14.25" customHeight="1" x14ac:dyDescent="0.35">
      <c r="A240" s="2" t="s">
        <v>202</v>
      </c>
      <c r="B240" s="13" t="s">
        <v>50</v>
      </c>
      <c r="C240" s="13">
        <v>41063</v>
      </c>
      <c r="D240" s="13">
        <v>0</v>
      </c>
      <c r="H240" s="13">
        <v>0</v>
      </c>
      <c r="I240" s="13">
        <v>0</v>
      </c>
    </row>
    <row r="241" spans="1:9" ht="14.25" customHeight="1" x14ac:dyDescent="0.35">
      <c r="A241" s="2" t="s">
        <v>148</v>
      </c>
      <c r="B241" s="13" t="s">
        <v>50</v>
      </c>
      <c r="C241" s="13">
        <v>44064</v>
      </c>
      <c r="D241" s="13">
        <v>0</v>
      </c>
      <c r="H241" s="13">
        <v>0</v>
      </c>
      <c r="I241" s="13">
        <v>0</v>
      </c>
    </row>
    <row r="242" spans="1:9" ht="14.25" customHeight="1" x14ac:dyDescent="0.35">
      <c r="A242" s="2" t="s">
        <v>57</v>
      </c>
      <c r="B242" s="13" t="s">
        <v>50</v>
      </c>
      <c r="C242" s="13">
        <v>46021</v>
      </c>
      <c r="D242" s="13">
        <v>0</v>
      </c>
      <c r="H242" s="13">
        <v>0</v>
      </c>
      <c r="I242" s="13">
        <v>0</v>
      </c>
    </row>
    <row r="243" spans="1:9" ht="14.25" customHeight="1" x14ac:dyDescent="0.35">
      <c r="A243" s="2" t="s">
        <v>132</v>
      </c>
      <c r="B243" s="13" t="s">
        <v>52</v>
      </c>
      <c r="C243" s="13">
        <v>23077</v>
      </c>
      <c r="D243" s="13">
        <v>0</v>
      </c>
      <c r="H243" s="13">
        <v>0</v>
      </c>
      <c r="I243" s="13">
        <v>0</v>
      </c>
    </row>
    <row r="244" spans="1:9" ht="14.25" customHeight="1" x14ac:dyDescent="0.35">
      <c r="A244" s="2" t="s">
        <v>189</v>
      </c>
      <c r="B244" s="13" t="s">
        <v>59</v>
      </c>
      <c r="C244" s="13">
        <v>71053</v>
      </c>
      <c r="D244" s="13">
        <v>0</v>
      </c>
      <c r="H244" s="13">
        <v>0</v>
      </c>
      <c r="I244" s="13">
        <v>0</v>
      </c>
    </row>
    <row r="245" spans="1:9" ht="14.25" customHeight="1" x14ac:dyDescent="0.35">
      <c r="A245" s="2" t="s">
        <v>314</v>
      </c>
      <c r="B245" s="13" t="s">
        <v>55</v>
      </c>
      <c r="C245" s="13">
        <v>34043</v>
      </c>
      <c r="D245" s="13">
        <v>0</v>
      </c>
      <c r="H245" s="13">
        <v>0</v>
      </c>
      <c r="I245" s="13">
        <v>0</v>
      </c>
    </row>
    <row r="246" spans="1:9" ht="14.25" customHeight="1" x14ac:dyDescent="0.35">
      <c r="A246" s="2" t="s">
        <v>336</v>
      </c>
      <c r="B246" s="13" t="s">
        <v>48</v>
      </c>
      <c r="C246" s="13">
        <v>11044</v>
      </c>
      <c r="D246" s="13">
        <v>0</v>
      </c>
      <c r="H246" s="13">
        <v>0</v>
      </c>
      <c r="I246" s="13">
        <v>0</v>
      </c>
    </row>
    <row r="247" spans="1:9" ht="14.25" customHeight="1" x14ac:dyDescent="0.35">
      <c r="A247" s="2" t="s">
        <v>154</v>
      </c>
      <c r="B247" s="13" t="s">
        <v>55</v>
      </c>
      <c r="C247" s="13">
        <v>36019</v>
      </c>
      <c r="D247" s="13">
        <v>0</v>
      </c>
      <c r="H247" s="13">
        <v>0</v>
      </c>
      <c r="I247" s="13">
        <v>0</v>
      </c>
    </row>
    <row r="248" spans="1:9" ht="14.25" customHeight="1" x14ac:dyDescent="0.35">
      <c r="A248" s="2" t="s">
        <v>208</v>
      </c>
      <c r="B248" s="13" t="s">
        <v>52</v>
      </c>
      <c r="C248" s="13">
        <v>23081</v>
      </c>
      <c r="D248" s="13">
        <v>0</v>
      </c>
      <c r="H248" s="13">
        <v>0</v>
      </c>
      <c r="I248" s="13">
        <v>0</v>
      </c>
    </row>
    <row r="249" spans="1:9" ht="14.25" customHeight="1" x14ac:dyDescent="0.35">
      <c r="A249" s="2" t="s">
        <v>285</v>
      </c>
      <c r="B249" s="13" t="s">
        <v>50</v>
      </c>
      <c r="C249" s="13">
        <v>46024</v>
      </c>
      <c r="D249" s="13">
        <v>0</v>
      </c>
      <c r="H249" s="13">
        <v>0</v>
      </c>
      <c r="I249" s="13">
        <v>0</v>
      </c>
    </row>
    <row r="250" spans="1:9" ht="14.25" customHeight="1" x14ac:dyDescent="0.35">
      <c r="A250" s="2" t="s">
        <v>166</v>
      </c>
      <c r="B250" s="13" t="s">
        <v>50</v>
      </c>
      <c r="C250" s="13">
        <v>46025</v>
      </c>
      <c r="D250" s="13">
        <v>0</v>
      </c>
      <c r="H250" s="13">
        <v>0</v>
      </c>
      <c r="I250" s="13">
        <v>0</v>
      </c>
    </row>
    <row r="251" spans="1:9" ht="14.25" customHeight="1" x14ac:dyDescent="0.35">
      <c r="A251" s="2" t="s">
        <v>217</v>
      </c>
      <c r="B251" s="13" t="s">
        <v>52</v>
      </c>
      <c r="C251" s="13">
        <v>23086</v>
      </c>
      <c r="D251" s="13">
        <v>0</v>
      </c>
      <c r="H251" s="13">
        <v>0</v>
      </c>
      <c r="I251" s="13">
        <v>0</v>
      </c>
    </row>
    <row r="252" spans="1:9" ht="14.25" customHeight="1" x14ac:dyDescent="0.35">
      <c r="A252" s="2" t="s">
        <v>87</v>
      </c>
      <c r="B252" s="13" t="s">
        <v>52</v>
      </c>
      <c r="C252" s="13">
        <v>24104</v>
      </c>
      <c r="D252" s="13">
        <v>0</v>
      </c>
      <c r="H252" s="13">
        <v>0</v>
      </c>
      <c r="I252" s="13">
        <v>0</v>
      </c>
    </row>
    <row r="253" spans="1:9" ht="14.25" customHeight="1" x14ac:dyDescent="0.35">
      <c r="A253" s="2" t="s">
        <v>355</v>
      </c>
      <c r="B253" s="13" t="s">
        <v>59</v>
      </c>
      <c r="C253" s="13">
        <v>71057</v>
      </c>
      <c r="D253" s="13">
        <v>0</v>
      </c>
      <c r="H253" s="13">
        <v>0</v>
      </c>
      <c r="I253" s="13">
        <v>0</v>
      </c>
    </row>
    <row r="254" spans="1:9" ht="14.25" customHeight="1" x14ac:dyDescent="0.35">
      <c r="A254" s="2" t="s">
        <v>102</v>
      </c>
      <c r="B254" s="13" t="s">
        <v>55</v>
      </c>
      <c r="C254" s="13">
        <v>37015</v>
      </c>
      <c r="D254" s="13">
        <v>0</v>
      </c>
      <c r="H254" s="13">
        <v>0</v>
      </c>
      <c r="I254" s="13">
        <v>0</v>
      </c>
    </row>
    <row r="255" spans="1:9" ht="14.25" customHeight="1" x14ac:dyDescent="0.35">
      <c r="A255" s="2" t="s">
        <v>302</v>
      </c>
      <c r="B255" s="13" t="s">
        <v>52</v>
      </c>
      <c r="C255" s="13">
        <v>24135</v>
      </c>
      <c r="D255" s="13">
        <v>0</v>
      </c>
      <c r="H255" s="13">
        <v>0</v>
      </c>
      <c r="I255" s="13">
        <v>0</v>
      </c>
    </row>
    <row r="256" spans="1:9" ht="14.25" customHeight="1" x14ac:dyDescent="0.35">
      <c r="A256" s="2" t="s">
        <v>104</v>
      </c>
      <c r="B256" s="13" t="s">
        <v>52</v>
      </c>
      <c r="C256" s="13">
        <v>24107</v>
      </c>
      <c r="D256" s="13">
        <v>0</v>
      </c>
      <c r="H256" s="13">
        <v>0</v>
      </c>
      <c r="I256" s="13">
        <v>0</v>
      </c>
    </row>
    <row r="257" spans="1:9" ht="14.25" customHeight="1" x14ac:dyDescent="0.35">
      <c r="A257" s="2" t="s">
        <v>356</v>
      </c>
      <c r="B257" s="13" t="s">
        <v>59</v>
      </c>
      <c r="C257" s="13">
        <v>73083</v>
      </c>
      <c r="D257" s="13">
        <v>0</v>
      </c>
      <c r="H257" s="13">
        <v>0</v>
      </c>
      <c r="I257" s="13">
        <v>0</v>
      </c>
    </row>
    <row r="258" spans="1:9" ht="14.25" customHeight="1" x14ac:dyDescent="0.35">
      <c r="A258" s="2" t="s">
        <v>93</v>
      </c>
      <c r="B258" s="13" t="s">
        <v>55</v>
      </c>
      <c r="C258" s="13">
        <v>31033</v>
      </c>
      <c r="D258" s="13">
        <v>0</v>
      </c>
      <c r="H258" s="13">
        <v>0</v>
      </c>
      <c r="I258" s="13">
        <v>0</v>
      </c>
    </row>
    <row r="259" spans="1:9" ht="14.25" customHeight="1" x14ac:dyDescent="0.35">
      <c r="A259" s="2" t="s">
        <v>215</v>
      </c>
      <c r="B259" s="13" t="s">
        <v>52</v>
      </c>
      <c r="C259" s="13">
        <v>24109</v>
      </c>
      <c r="D259" s="13">
        <v>0</v>
      </c>
      <c r="H259" s="13">
        <v>0</v>
      </c>
      <c r="I259" s="13">
        <v>0</v>
      </c>
    </row>
    <row r="260" spans="1:9" ht="14.25" customHeight="1" x14ac:dyDescent="0.35">
      <c r="A260" s="2" t="s">
        <v>61</v>
      </c>
      <c r="B260" s="13" t="s">
        <v>48</v>
      </c>
      <c r="C260" s="13">
        <v>13040</v>
      </c>
      <c r="D260" s="13">
        <v>0</v>
      </c>
      <c r="H260" s="13">
        <v>0</v>
      </c>
      <c r="I260" s="13">
        <v>0</v>
      </c>
    </row>
    <row r="261" spans="1:9" ht="14.25" customHeight="1" x14ac:dyDescent="0.35">
      <c r="A261" s="2" t="s">
        <v>175</v>
      </c>
      <c r="B261" s="13" t="s">
        <v>55</v>
      </c>
      <c r="C261" s="13">
        <v>38025</v>
      </c>
      <c r="D261" s="13">
        <v>0</v>
      </c>
      <c r="H261" s="13">
        <v>0</v>
      </c>
      <c r="I261" s="13">
        <v>0</v>
      </c>
    </row>
    <row r="262" spans="1:9" ht="14.25" customHeight="1" x14ac:dyDescent="0.35">
      <c r="A262" s="2" t="s">
        <v>74</v>
      </c>
      <c r="B262" s="13" t="s">
        <v>52</v>
      </c>
      <c r="C262" s="13">
        <v>23088</v>
      </c>
      <c r="D262" s="13">
        <v>0</v>
      </c>
      <c r="H262" s="13">
        <v>0</v>
      </c>
      <c r="I262" s="13">
        <v>0</v>
      </c>
    </row>
    <row r="263" spans="1:9" ht="14.25" customHeight="1" x14ac:dyDescent="0.35">
      <c r="A263" s="2" t="s">
        <v>240</v>
      </c>
      <c r="B263" s="13" t="s">
        <v>55</v>
      </c>
      <c r="C263" s="13">
        <v>33041</v>
      </c>
      <c r="D263" s="13">
        <v>0</v>
      </c>
      <c r="H263" s="13">
        <v>0</v>
      </c>
      <c r="I263" s="13">
        <v>0</v>
      </c>
    </row>
    <row r="264" spans="1:9" ht="14.25" customHeight="1" x14ac:dyDescent="0.35">
      <c r="A264" s="2" t="s">
        <v>318</v>
      </c>
      <c r="B264" s="13" t="s">
        <v>59</v>
      </c>
      <c r="C264" s="13">
        <v>73109</v>
      </c>
      <c r="D264" s="13">
        <v>0</v>
      </c>
      <c r="H264" s="13">
        <v>0</v>
      </c>
      <c r="I264" s="13">
        <v>0</v>
      </c>
    </row>
    <row r="265" spans="1:9" ht="14.25" customHeight="1" x14ac:dyDescent="0.35">
      <c r="A265" s="2" t="s">
        <v>195</v>
      </c>
      <c r="B265" s="13" t="s">
        <v>48</v>
      </c>
      <c r="C265" s="13">
        <v>13044</v>
      </c>
      <c r="D265" s="13">
        <v>0</v>
      </c>
      <c r="H265" s="13">
        <v>0</v>
      </c>
      <c r="I265" s="13">
        <v>0</v>
      </c>
    </row>
    <row r="266" spans="1:9" ht="14.25" customHeight="1" x14ac:dyDescent="0.35">
      <c r="A266" s="2" t="s">
        <v>264</v>
      </c>
      <c r="B266" s="13" t="s">
        <v>48</v>
      </c>
      <c r="C266" s="13">
        <v>13046</v>
      </c>
      <c r="D266" s="13">
        <v>0</v>
      </c>
      <c r="H266" s="13">
        <v>0</v>
      </c>
      <c r="I266" s="13">
        <v>0</v>
      </c>
    </row>
    <row r="267" spans="1:9" ht="14.25" customHeight="1" x14ac:dyDescent="0.35">
      <c r="A267" s="2" t="s">
        <v>262</v>
      </c>
      <c r="B267" s="13" t="s">
        <v>50</v>
      </c>
      <c r="C267" s="13">
        <v>42023</v>
      </c>
      <c r="D267" s="13">
        <v>0</v>
      </c>
      <c r="H267" s="13">
        <v>0</v>
      </c>
      <c r="I267" s="13">
        <v>0</v>
      </c>
    </row>
    <row r="268" spans="1:9" ht="14.25" customHeight="1" x14ac:dyDescent="0.35">
      <c r="A268" s="2" t="s">
        <v>357</v>
      </c>
      <c r="B268" s="13" t="s">
        <v>50</v>
      </c>
      <c r="C268" s="13">
        <v>44073</v>
      </c>
      <c r="D268" s="13">
        <v>0</v>
      </c>
      <c r="H268" s="13">
        <v>0</v>
      </c>
      <c r="I268" s="13">
        <v>0</v>
      </c>
    </row>
    <row r="269" spans="1:9" ht="14.25" customHeight="1" x14ac:dyDescent="0.35">
      <c r="A269" s="2" t="s">
        <v>146</v>
      </c>
      <c r="B269" s="13" t="s">
        <v>55</v>
      </c>
      <c r="C269" s="13">
        <v>34040</v>
      </c>
      <c r="D269" s="13">
        <v>0</v>
      </c>
      <c r="H269" s="13">
        <v>0</v>
      </c>
      <c r="I269" s="13">
        <v>0</v>
      </c>
    </row>
    <row r="270" spans="1:9" ht="14.25" customHeight="1" x14ac:dyDescent="0.35">
      <c r="A270" s="2" t="s">
        <v>322</v>
      </c>
      <c r="B270" s="13" t="s">
        <v>59</v>
      </c>
      <c r="C270" s="13">
        <v>73098</v>
      </c>
      <c r="D270" s="13">
        <v>0</v>
      </c>
      <c r="H270" s="13">
        <v>0</v>
      </c>
      <c r="I270" s="13">
        <v>0</v>
      </c>
    </row>
    <row r="271" spans="1:9" ht="14.25" customHeight="1" x14ac:dyDescent="0.35">
      <c r="A271" s="2" t="s">
        <v>162</v>
      </c>
      <c r="B271" s="13" t="s">
        <v>52</v>
      </c>
      <c r="C271" s="13">
        <v>23102</v>
      </c>
      <c r="D271" s="13">
        <v>0</v>
      </c>
      <c r="H271" s="13">
        <v>0</v>
      </c>
      <c r="I271" s="13">
        <v>0</v>
      </c>
    </row>
    <row r="272" spans="1:9" ht="14.25" customHeight="1" x14ac:dyDescent="0.35">
      <c r="A272" s="2" t="s">
        <v>222</v>
      </c>
      <c r="B272" s="13" t="s">
        <v>55</v>
      </c>
      <c r="C272" s="13">
        <v>33029</v>
      </c>
      <c r="D272" s="13">
        <v>0</v>
      </c>
      <c r="H272" s="13">
        <v>0</v>
      </c>
      <c r="I272" s="13">
        <v>0</v>
      </c>
    </row>
    <row r="273" spans="1:9" ht="14.25" customHeight="1" x14ac:dyDescent="0.35">
      <c r="A273" s="2" t="s">
        <v>101</v>
      </c>
      <c r="B273" s="13" t="s">
        <v>48</v>
      </c>
      <c r="C273" s="13">
        <v>13049</v>
      </c>
      <c r="D273" s="13">
        <v>0</v>
      </c>
      <c r="H273" s="13">
        <v>0</v>
      </c>
      <c r="I273" s="13">
        <v>0</v>
      </c>
    </row>
    <row r="274" spans="1:9" ht="14.25" customHeight="1" x14ac:dyDescent="0.35">
      <c r="A274" s="2" t="s">
        <v>89</v>
      </c>
      <c r="B274" s="13" t="s">
        <v>50</v>
      </c>
      <c r="C274" s="13">
        <v>42025</v>
      </c>
      <c r="D274" s="13">
        <v>1</v>
      </c>
      <c r="E274" s="13">
        <v>1</v>
      </c>
      <c r="F274" s="13">
        <v>1</v>
      </c>
      <c r="G274" s="13">
        <v>1</v>
      </c>
      <c r="H274" s="13">
        <v>1</v>
      </c>
      <c r="I274" s="13">
        <v>1</v>
      </c>
    </row>
    <row r="275" spans="1:9" ht="14.25" customHeight="1" x14ac:dyDescent="0.35">
      <c r="A275" s="2" t="s">
        <v>143</v>
      </c>
      <c r="B275" s="13" t="s">
        <v>55</v>
      </c>
      <c r="C275" s="13">
        <v>34041</v>
      </c>
      <c r="D275" s="13">
        <v>0</v>
      </c>
      <c r="H275" s="13">
        <v>0</v>
      </c>
      <c r="I275" s="13">
        <v>0</v>
      </c>
    </row>
    <row r="276" spans="1:9" ht="14.25" customHeight="1" x14ac:dyDescent="0.35">
      <c r="A276" s="2" t="s">
        <v>213</v>
      </c>
      <c r="B276" s="13" t="s">
        <v>52</v>
      </c>
      <c r="C276" s="13">
        <v>23103</v>
      </c>
      <c r="D276" s="13">
        <v>0</v>
      </c>
      <c r="H276" s="13">
        <v>0</v>
      </c>
      <c r="I276" s="13">
        <v>0</v>
      </c>
    </row>
    <row r="277" spans="1:9" ht="14.25" customHeight="1" x14ac:dyDescent="0.35">
      <c r="A277" s="2" t="s">
        <v>205</v>
      </c>
      <c r="B277" s="13" t="s">
        <v>50</v>
      </c>
      <c r="C277" s="13">
        <v>42026</v>
      </c>
      <c r="D277" s="13">
        <v>0</v>
      </c>
      <c r="H277" s="13">
        <v>0</v>
      </c>
      <c r="I277" s="13">
        <v>0</v>
      </c>
    </row>
    <row r="278" spans="1:9" ht="14.25" customHeight="1" x14ac:dyDescent="0.35">
      <c r="A278" s="2" t="s">
        <v>201</v>
      </c>
      <c r="B278" s="13" t="s">
        <v>55</v>
      </c>
      <c r="C278" s="13">
        <v>37017</v>
      </c>
      <c r="D278" s="13">
        <v>0</v>
      </c>
      <c r="H278" s="13">
        <v>0</v>
      </c>
      <c r="I278" s="13">
        <v>0</v>
      </c>
    </row>
    <row r="279" spans="1:9" ht="14.25" customHeight="1" x14ac:dyDescent="0.35">
      <c r="A279" s="2" t="s">
        <v>151</v>
      </c>
      <c r="B279" s="13" t="s">
        <v>48</v>
      </c>
      <c r="C279" s="13">
        <v>11050</v>
      </c>
      <c r="D279" s="13">
        <v>1</v>
      </c>
      <c r="E279" s="13">
        <v>1</v>
      </c>
      <c r="F279" s="13">
        <v>1</v>
      </c>
      <c r="G279" s="13">
        <v>1</v>
      </c>
      <c r="H279" s="13">
        <v>2</v>
      </c>
      <c r="I279" s="13">
        <v>2</v>
      </c>
    </row>
    <row r="280" spans="1:9" ht="14.25" customHeight="1" x14ac:dyDescent="0.35">
      <c r="A280" s="2" t="s">
        <v>142</v>
      </c>
      <c r="B280" s="13" t="s">
        <v>48</v>
      </c>
      <c r="C280" s="13">
        <v>12040</v>
      </c>
      <c r="D280" s="13">
        <v>0</v>
      </c>
      <c r="H280" s="13">
        <v>0</v>
      </c>
      <c r="I280" s="13">
        <v>0</v>
      </c>
    </row>
    <row r="281" spans="1:9" ht="14.25" customHeight="1" x14ac:dyDescent="0.35">
      <c r="A281" s="2" t="s">
        <v>115</v>
      </c>
      <c r="B281" s="13" t="s">
        <v>55</v>
      </c>
      <c r="C281" s="13">
        <v>37018</v>
      </c>
      <c r="D281" s="13">
        <v>0</v>
      </c>
      <c r="H281" s="13">
        <v>0</v>
      </c>
      <c r="I281" s="13">
        <v>0</v>
      </c>
    </row>
    <row r="282" spans="1:9" ht="14.25" customHeight="1" x14ac:dyDescent="0.35">
      <c r="A282" s="2" t="s">
        <v>210</v>
      </c>
      <c r="B282" s="13" t="s">
        <v>48</v>
      </c>
      <c r="C282" s="13">
        <v>11052</v>
      </c>
      <c r="D282" s="13">
        <v>0</v>
      </c>
      <c r="H282" s="13">
        <v>0</v>
      </c>
      <c r="I282" s="13">
        <v>0</v>
      </c>
    </row>
    <row r="283" spans="1:9" ht="14.25" customHeight="1" x14ac:dyDescent="0.35">
      <c r="A283" s="2" t="s">
        <v>246</v>
      </c>
      <c r="B283" s="13" t="s">
        <v>50</v>
      </c>
      <c r="C283" s="13">
        <v>45061</v>
      </c>
      <c r="D283" s="13">
        <v>0</v>
      </c>
      <c r="H283" s="13">
        <v>0</v>
      </c>
      <c r="I283" s="13">
        <v>0</v>
      </c>
    </row>
    <row r="284" spans="1:9" ht="14.25" customHeight="1" x14ac:dyDescent="0.35">
      <c r="A284" s="2" t="s">
        <v>290</v>
      </c>
      <c r="B284" s="13" t="s">
        <v>48</v>
      </c>
      <c r="C284" s="13">
        <v>11053</v>
      </c>
      <c r="D284" s="13">
        <v>0</v>
      </c>
      <c r="H284" s="13">
        <v>0</v>
      </c>
      <c r="I284" s="13">
        <v>0</v>
      </c>
    </row>
    <row r="285" spans="1:9" ht="14.25" customHeight="1" x14ac:dyDescent="0.35">
      <c r="A285" s="2" t="s">
        <v>305</v>
      </c>
      <c r="B285" s="13" t="s">
        <v>48</v>
      </c>
      <c r="C285" s="13">
        <v>11054</v>
      </c>
      <c r="D285" s="13">
        <v>0</v>
      </c>
      <c r="H285" s="13">
        <v>0</v>
      </c>
      <c r="I285" s="13">
        <v>0</v>
      </c>
    </row>
    <row r="286" spans="1:9" ht="14.25" customHeight="1" x14ac:dyDescent="0.35">
      <c r="A286" s="2" t="s">
        <v>105</v>
      </c>
      <c r="B286" s="13" t="s">
        <v>52</v>
      </c>
      <c r="C286" s="13">
        <v>23094</v>
      </c>
      <c r="D286" s="13">
        <v>0</v>
      </c>
      <c r="H286" s="13">
        <v>0</v>
      </c>
      <c r="I286" s="13">
        <v>0</v>
      </c>
    </row>
    <row r="287" spans="1:9" ht="14.25" customHeight="1" x14ac:dyDescent="0.35">
      <c r="A287" s="2" t="s">
        <v>164</v>
      </c>
      <c r="B287" s="13" t="s">
        <v>55</v>
      </c>
      <c r="C287" s="13">
        <v>31040</v>
      </c>
      <c r="D287" s="13">
        <v>0</v>
      </c>
      <c r="H287" s="13">
        <v>0</v>
      </c>
      <c r="I287" s="13">
        <v>0</v>
      </c>
    </row>
    <row r="288" spans="1:9" ht="14.25" customHeight="1" x14ac:dyDescent="0.35">
      <c r="A288" s="2" t="s">
        <v>228</v>
      </c>
      <c r="B288" s="13" t="s">
        <v>50</v>
      </c>
      <c r="C288" s="13">
        <v>42028</v>
      </c>
      <c r="D288" s="13">
        <v>0</v>
      </c>
      <c r="H288" s="13">
        <v>0</v>
      </c>
      <c r="I288" s="13">
        <v>0</v>
      </c>
    </row>
    <row r="289" spans="1:9" ht="14.25" customHeight="1" x14ac:dyDescent="0.35">
      <c r="A289" s="2" t="s">
        <v>269</v>
      </c>
      <c r="B289" s="13" t="s">
        <v>50</v>
      </c>
      <c r="C289" s="13">
        <v>43018</v>
      </c>
      <c r="D289" s="13">
        <v>0</v>
      </c>
      <c r="H289" s="13">
        <v>0</v>
      </c>
      <c r="I289" s="13">
        <v>0</v>
      </c>
    </row>
    <row r="290" spans="1:9" ht="14.25" customHeight="1" x14ac:dyDescent="0.35">
      <c r="A290" s="2" t="s">
        <v>119</v>
      </c>
      <c r="B290" s="13" t="s">
        <v>52</v>
      </c>
      <c r="C290" s="13">
        <v>23096</v>
      </c>
      <c r="D290" s="13">
        <v>0</v>
      </c>
      <c r="H290" s="13">
        <v>0</v>
      </c>
      <c r="I290" s="13">
        <v>0</v>
      </c>
    </row>
    <row r="291" spans="1:9" ht="14.25" customHeight="1" x14ac:dyDescent="0.35">
      <c r="A291" s="2" t="s">
        <v>291</v>
      </c>
      <c r="B291" s="13" t="s">
        <v>48</v>
      </c>
      <c r="C291" s="13">
        <v>11055</v>
      </c>
      <c r="D291" s="13">
        <v>0</v>
      </c>
      <c r="H291" s="13">
        <v>0</v>
      </c>
      <c r="I291" s="13">
        <v>0</v>
      </c>
    </row>
    <row r="292" spans="1:9" ht="14.25" customHeight="1" x14ac:dyDescent="0.35">
      <c r="A292" s="2" t="s">
        <v>289</v>
      </c>
      <c r="B292" s="13" t="s">
        <v>59</v>
      </c>
      <c r="C292" s="13">
        <v>71066</v>
      </c>
      <c r="D292" s="13">
        <v>0</v>
      </c>
      <c r="H292" s="13">
        <v>0</v>
      </c>
      <c r="I292" s="13">
        <v>0</v>
      </c>
    </row>
    <row r="293" spans="1:9" ht="14.25" customHeight="1" x14ac:dyDescent="0.35">
      <c r="A293" s="2" t="s">
        <v>137</v>
      </c>
      <c r="B293" s="13" t="s">
        <v>55</v>
      </c>
      <c r="C293" s="13">
        <v>33037</v>
      </c>
      <c r="D293" s="13">
        <v>0</v>
      </c>
      <c r="H293" s="13">
        <v>0</v>
      </c>
      <c r="I293" s="13">
        <v>0</v>
      </c>
    </row>
    <row r="294" spans="1:9" ht="14.25" customHeight="1" x14ac:dyDescent="0.35">
      <c r="A294" s="2" t="s">
        <v>120</v>
      </c>
      <c r="B294" s="13" t="s">
        <v>50</v>
      </c>
      <c r="C294" s="13">
        <v>41081</v>
      </c>
      <c r="D294" s="13">
        <v>0</v>
      </c>
      <c r="H294" s="13">
        <v>0</v>
      </c>
      <c r="I294" s="13">
        <v>0</v>
      </c>
    </row>
    <row r="295" spans="1:9" ht="14.25" customHeight="1" x14ac:dyDescent="0.35">
      <c r="A295" s="2" t="s">
        <v>255</v>
      </c>
      <c r="B295" s="13" t="s">
        <v>52</v>
      </c>
      <c r="C295" s="13">
        <v>24130</v>
      </c>
      <c r="D295" s="13">
        <v>0</v>
      </c>
      <c r="H295" s="13">
        <v>0</v>
      </c>
      <c r="I295" s="13">
        <v>0</v>
      </c>
    </row>
    <row r="296" spans="1:9" ht="14.25" customHeight="1" x14ac:dyDescent="0.35">
      <c r="A296" s="2" t="s">
        <v>316</v>
      </c>
      <c r="B296" s="13" t="s">
        <v>55</v>
      </c>
      <c r="C296" s="13">
        <v>31042</v>
      </c>
      <c r="D296" s="13">
        <v>0</v>
      </c>
      <c r="H296" s="13">
        <v>0</v>
      </c>
      <c r="I296" s="13">
        <v>0</v>
      </c>
    </row>
    <row r="297" spans="1:9" ht="14.25" customHeight="1" x14ac:dyDescent="0.35">
      <c r="A297" s="2" t="s">
        <v>111</v>
      </c>
      <c r="B297" s="13" t="s">
        <v>50</v>
      </c>
      <c r="C297" s="13">
        <v>44081</v>
      </c>
      <c r="D297" s="13">
        <v>0</v>
      </c>
      <c r="H297" s="13">
        <v>4</v>
      </c>
      <c r="I297" s="13">
        <v>4</v>
      </c>
    </row>
    <row r="298" spans="1:9" ht="14.25" customHeight="1" x14ac:dyDescent="0.35">
      <c r="A298" s="2" t="s">
        <v>321</v>
      </c>
      <c r="B298" s="13" t="s">
        <v>59</v>
      </c>
      <c r="C298" s="13">
        <v>71067</v>
      </c>
      <c r="D298" s="13">
        <v>0</v>
      </c>
      <c r="H298" s="13">
        <v>0</v>
      </c>
      <c r="I298" s="13">
        <v>0</v>
      </c>
    </row>
    <row r="299" spans="1:9" ht="14.25" customHeight="1" x14ac:dyDescent="0.35">
      <c r="A299" s="2" t="s">
        <v>149</v>
      </c>
      <c r="B299" s="13" t="s">
        <v>50</v>
      </c>
      <c r="C299" s="13">
        <v>45065</v>
      </c>
      <c r="D299" s="13">
        <v>0</v>
      </c>
      <c r="H299" s="13">
        <v>0</v>
      </c>
      <c r="I299" s="13">
        <v>0</v>
      </c>
    </row>
    <row r="300" spans="1:9" ht="14.25" customHeight="1" x14ac:dyDescent="0.35">
      <c r="A300" s="2" t="s">
        <v>186</v>
      </c>
      <c r="B300" s="13" t="s">
        <v>55</v>
      </c>
      <c r="C300" s="13">
        <v>34042</v>
      </c>
      <c r="D300" s="13">
        <v>0</v>
      </c>
      <c r="H300" s="13">
        <v>0</v>
      </c>
      <c r="I300" s="13">
        <v>0</v>
      </c>
    </row>
    <row r="301" spans="1:9" ht="14.25" customHeight="1" x14ac:dyDescent="0.35">
      <c r="A301" s="2" t="s">
        <v>358</v>
      </c>
      <c r="B301" s="13" t="s">
        <v>48</v>
      </c>
      <c r="C301" s="13">
        <v>11056</v>
      </c>
      <c r="D301" s="13">
        <v>0</v>
      </c>
      <c r="H301" s="13">
        <v>0</v>
      </c>
      <c r="I301" s="13">
        <v>0</v>
      </c>
    </row>
    <row r="302" spans="1:9" ht="14.25" customHeight="1" x14ac:dyDescent="0.35"/>
    <row r="303" spans="1:9" ht="14.25" customHeight="1" x14ac:dyDescent="0.35">
      <c r="D303" s="13">
        <f t="shared" ref="D303:I303" si="0">SUM(D2:D302)</f>
        <v>79</v>
      </c>
      <c r="E303" s="13">
        <f t="shared" si="0"/>
        <v>79</v>
      </c>
      <c r="F303" s="13">
        <f t="shared" si="0"/>
        <v>78</v>
      </c>
      <c r="G303" s="13">
        <f t="shared" si="0"/>
        <v>78</v>
      </c>
      <c r="H303" s="13">
        <f t="shared" si="0"/>
        <v>74</v>
      </c>
      <c r="I303" s="13">
        <f t="shared" si="0"/>
        <v>74</v>
      </c>
    </row>
    <row r="304" spans="1:9"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21.08984375" customWidth="1"/>
    <col min="2" max="2" width="15.81640625" customWidth="1"/>
    <col min="3" max="3" width="12" customWidth="1"/>
    <col min="4" max="9" width="8.7265625" customWidth="1"/>
  </cols>
  <sheetData>
    <row r="1" spans="1:7" ht="55.5" customHeight="1" x14ac:dyDescent="0.35">
      <c r="A1" s="136" t="s">
        <v>0</v>
      </c>
      <c r="B1" s="137" t="s">
        <v>1</v>
      </c>
      <c r="C1" s="136" t="s">
        <v>2</v>
      </c>
      <c r="D1" s="136" t="s">
        <v>35</v>
      </c>
      <c r="E1" s="136" t="s">
        <v>36</v>
      </c>
      <c r="F1" s="136" t="s">
        <v>41</v>
      </c>
      <c r="G1" s="136" t="s">
        <v>42</v>
      </c>
    </row>
    <row r="2" spans="1:7" ht="14.25" customHeight="1" x14ac:dyDescent="0.35">
      <c r="A2" s="138" t="s">
        <v>65</v>
      </c>
      <c r="B2" s="139" t="s">
        <v>50</v>
      </c>
      <c r="C2" s="139">
        <v>41002</v>
      </c>
      <c r="D2" s="139"/>
      <c r="E2" s="139"/>
      <c r="F2" s="139"/>
      <c r="G2" s="139"/>
    </row>
    <row r="3" spans="1:7" ht="14.25" customHeight="1" x14ac:dyDescent="0.35">
      <c r="A3" s="138" t="s">
        <v>231</v>
      </c>
      <c r="B3" s="139" t="s">
        <v>50</v>
      </c>
      <c r="C3" s="139">
        <v>44084</v>
      </c>
      <c r="D3" s="139"/>
      <c r="E3" s="139"/>
      <c r="F3" s="139"/>
      <c r="G3" s="139"/>
    </row>
    <row r="4" spans="1:7" ht="14.25" customHeight="1" x14ac:dyDescent="0.35">
      <c r="A4" s="138" t="s">
        <v>84</v>
      </c>
      <c r="B4" s="139" t="s">
        <v>52</v>
      </c>
      <c r="C4" s="139">
        <v>24001</v>
      </c>
      <c r="D4" s="139"/>
      <c r="E4" s="139"/>
      <c r="F4" s="139"/>
      <c r="G4" s="139"/>
    </row>
    <row r="5" spans="1:7" ht="14.25" customHeight="1" x14ac:dyDescent="0.35">
      <c r="A5" s="138" t="s">
        <v>335</v>
      </c>
      <c r="B5" s="139" t="s">
        <v>48</v>
      </c>
      <c r="C5" s="139">
        <v>11001</v>
      </c>
      <c r="D5" s="139"/>
      <c r="E5" s="139"/>
      <c r="F5" s="139"/>
      <c r="G5" s="139"/>
    </row>
    <row r="6" spans="1:7" ht="14.25" customHeight="1" x14ac:dyDescent="0.35">
      <c r="A6" s="138" t="s">
        <v>306</v>
      </c>
      <c r="B6" s="139" t="s">
        <v>52</v>
      </c>
      <c r="C6" s="139">
        <v>23105</v>
      </c>
      <c r="D6" s="139"/>
      <c r="E6" s="139"/>
      <c r="F6" s="139"/>
      <c r="G6" s="139"/>
    </row>
    <row r="7" spans="1:7" ht="14.25" customHeight="1" x14ac:dyDescent="0.35">
      <c r="A7" s="138" t="s">
        <v>279</v>
      </c>
      <c r="B7" s="139" t="s">
        <v>59</v>
      </c>
      <c r="C7" s="139">
        <v>73001</v>
      </c>
      <c r="D7" s="139"/>
      <c r="E7" s="139"/>
      <c r="F7" s="139"/>
      <c r="G7" s="139"/>
    </row>
    <row r="8" spans="1:7" ht="14.25" customHeight="1" x14ac:dyDescent="0.35">
      <c r="A8" s="138" t="s">
        <v>242</v>
      </c>
      <c r="B8" s="139" t="s">
        <v>55</v>
      </c>
      <c r="C8" s="139">
        <v>38002</v>
      </c>
      <c r="D8" s="139"/>
      <c r="E8" s="139"/>
      <c r="F8" s="139"/>
      <c r="G8" s="139"/>
    </row>
    <row r="9" spans="1:7" ht="14.25" customHeight="1" x14ac:dyDescent="0.35">
      <c r="A9" s="138" t="s">
        <v>48</v>
      </c>
      <c r="B9" s="139" t="s">
        <v>48</v>
      </c>
      <c r="C9" s="139">
        <v>11002</v>
      </c>
      <c r="D9" s="139">
        <v>835</v>
      </c>
      <c r="E9" s="139">
        <v>13</v>
      </c>
      <c r="F9" s="139">
        <v>715</v>
      </c>
      <c r="G9" s="139">
        <v>0</v>
      </c>
    </row>
    <row r="10" spans="1:7" ht="14.25" customHeight="1" x14ac:dyDescent="0.35">
      <c r="A10" s="138" t="s">
        <v>276</v>
      </c>
      <c r="B10" s="139" t="s">
        <v>55</v>
      </c>
      <c r="C10" s="139">
        <v>34002</v>
      </c>
      <c r="D10" s="139"/>
      <c r="E10" s="139"/>
      <c r="F10" s="139"/>
      <c r="G10" s="139"/>
    </row>
    <row r="11" spans="1:7" ht="14.25" customHeight="1" x14ac:dyDescent="0.35">
      <c r="A11" s="138" t="s">
        <v>199</v>
      </c>
      <c r="B11" s="139" t="s">
        <v>55</v>
      </c>
      <c r="C11" s="139">
        <v>37020</v>
      </c>
      <c r="D11" s="139"/>
      <c r="E11" s="139"/>
      <c r="F11" s="139"/>
      <c r="G11" s="139"/>
    </row>
    <row r="12" spans="1:7" ht="14.25" customHeight="1" x14ac:dyDescent="0.35">
      <c r="A12" s="138" t="s">
        <v>304</v>
      </c>
      <c r="B12" s="139" t="s">
        <v>48</v>
      </c>
      <c r="C12" s="139">
        <v>13001</v>
      </c>
      <c r="D12" s="139"/>
      <c r="E12" s="139"/>
      <c r="F12" s="139"/>
      <c r="G12" s="139"/>
    </row>
    <row r="13" spans="1:7" ht="14.25" customHeight="1" x14ac:dyDescent="0.35">
      <c r="A13" s="138" t="s">
        <v>307</v>
      </c>
      <c r="B13" s="139" t="s">
        <v>59</v>
      </c>
      <c r="C13" s="139">
        <v>71002</v>
      </c>
      <c r="D13" s="139"/>
      <c r="E13" s="139"/>
      <c r="F13" s="139"/>
      <c r="G13" s="139"/>
    </row>
    <row r="14" spans="1:7" ht="14.25" customHeight="1" x14ac:dyDescent="0.35">
      <c r="A14" s="138" t="s">
        <v>131</v>
      </c>
      <c r="B14" s="139" t="s">
        <v>52</v>
      </c>
      <c r="C14" s="139">
        <v>23002</v>
      </c>
      <c r="D14" s="139"/>
      <c r="E14" s="139"/>
      <c r="F14" s="139"/>
      <c r="G14" s="139"/>
    </row>
    <row r="15" spans="1:7" ht="14.25" customHeight="1" x14ac:dyDescent="0.35">
      <c r="A15" s="138" t="s">
        <v>177</v>
      </c>
      <c r="B15" s="139" t="s">
        <v>50</v>
      </c>
      <c r="C15" s="139">
        <v>43002</v>
      </c>
      <c r="D15" s="139"/>
      <c r="E15" s="139"/>
      <c r="F15" s="139"/>
      <c r="G15" s="139"/>
    </row>
    <row r="16" spans="1:7" ht="14.25" customHeight="1" x14ac:dyDescent="0.35">
      <c r="A16" s="138" t="s">
        <v>260</v>
      </c>
      <c r="B16" s="139" t="s">
        <v>55</v>
      </c>
      <c r="C16" s="139">
        <v>34003</v>
      </c>
      <c r="D16" s="139"/>
      <c r="E16" s="139"/>
      <c r="F16" s="139"/>
      <c r="G16" s="139"/>
    </row>
    <row r="17" spans="1:7" ht="14.25" customHeight="1" x14ac:dyDescent="0.35">
      <c r="A17" s="138" t="s">
        <v>317</v>
      </c>
      <c r="B17" s="139" t="s">
        <v>48</v>
      </c>
      <c r="C17" s="139">
        <v>13002</v>
      </c>
      <c r="D17" s="139"/>
      <c r="E17" s="139"/>
      <c r="F17" s="139"/>
      <c r="G17" s="139"/>
    </row>
    <row r="18" spans="1:7" ht="14.25" customHeight="1" x14ac:dyDescent="0.35">
      <c r="A18" s="138" t="s">
        <v>125</v>
      </c>
      <c r="B18" s="139" t="s">
        <v>48</v>
      </c>
      <c r="C18" s="139">
        <v>13003</v>
      </c>
      <c r="D18" s="139"/>
      <c r="E18" s="139"/>
      <c r="F18" s="139"/>
      <c r="G18" s="139"/>
    </row>
    <row r="19" spans="1:7" ht="14.25" customHeight="1" x14ac:dyDescent="0.35">
      <c r="A19" s="138" t="s">
        <v>112</v>
      </c>
      <c r="B19" s="139" t="s">
        <v>55</v>
      </c>
      <c r="C19" s="139">
        <v>31003</v>
      </c>
      <c r="D19" s="139"/>
      <c r="E19" s="139"/>
      <c r="F19" s="139"/>
      <c r="G19" s="139"/>
    </row>
    <row r="20" spans="1:7" ht="14.25" customHeight="1" x14ac:dyDescent="0.35">
      <c r="A20" s="138" t="s">
        <v>221</v>
      </c>
      <c r="B20" s="139" t="s">
        <v>48</v>
      </c>
      <c r="C20" s="139">
        <v>13004</v>
      </c>
      <c r="D20" s="139"/>
      <c r="E20" s="139"/>
      <c r="F20" s="139"/>
      <c r="G20" s="139"/>
    </row>
    <row r="21" spans="1:7" ht="14.25" customHeight="1" x14ac:dyDescent="0.35">
      <c r="A21" s="138" t="s">
        <v>128</v>
      </c>
      <c r="B21" s="139" t="s">
        <v>52</v>
      </c>
      <c r="C21" s="139">
        <v>23003</v>
      </c>
      <c r="D21" s="139"/>
      <c r="E21" s="139"/>
      <c r="F21" s="139"/>
      <c r="G21" s="139"/>
    </row>
    <row r="22" spans="1:7" ht="14.25" customHeight="1" x14ac:dyDescent="0.35">
      <c r="A22" s="138" t="s">
        <v>327</v>
      </c>
      <c r="B22" s="139" t="s">
        <v>52</v>
      </c>
      <c r="C22" s="139">
        <v>24007</v>
      </c>
      <c r="D22" s="139"/>
      <c r="E22" s="139"/>
      <c r="F22" s="139"/>
      <c r="G22" s="139"/>
    </row>
    <row r="23" spans="1:7" ht="14.25" customHeight="1" x14ac:dyDescent="0.35">
      <c r="A23" s="138" t="s">
        <v>249</v>
      </c>
      <c r="B23" s="139" t="s">
        <v>52</v>
      </c>
      <c r="C23" s="139">
        <v>24008</v>
      </c>
      <c r="D23" s="139"/>
      <c r="E23" s="139"/>
      <c r="F23" s="139"/>
      <c r="G23" s="139"/>
    </row>
    <row r="24" spans="1:7" ht="14.25" customHeight="1" x14ac:dyDescent="0.35">
      <c r="A24" s="138" t="s">
        <v>235</v>
      </c>
      <c r="B24" s="139" t="s">
        <v>59</v>
      </c>
      <c r="C24" s="139">
        <v>71004</v>
      </c>
      <c r="D24" s="139"/>
      <c r="E24" s="139"/>
      <c r="F24" s="139"/>
      <c r="G24" s="139"/>
    </row>
    <row r="25" spans="1:7" ht="14.25" customHeight="1" x14ac:dyDescent="0.35">
      <c r="A25" s="138" t="s">
        <v>136</v>
      </c>
      <c r="B25" s="139" t="s">
        <v>48</v>
      </c>
      <c r="C25" s="139">
        <v>12002</v>
      </c>
      <c r="D25" s="139"/>
      <c r="E25" s="139"/>
      <c r="F25" s="139"/>
      <c r="G25" s="139"/>
    </row>
    <row r="26" spans="1:7" ht="14.25" customHeight="1" x14ac:dyDescent="0.35">
      <c r="A26" s="138" t="s">
        <v>216</v>
      </c>
      <c r="B26" s="139" t="s">
        <v>50</v>
      </c>
      <c r="C26" s="139">
        <v>42003</v>
      </c>
      <c r="D26" s="139"/>
      <c r="E26" s="139"/>
      <c r="F26" s="139"/>
      <c r="G26" s="139"/>
    </row>
    <row r="27" spans="1:7" ht="14.25" customHeight="1" x14ac:dyDescent="0.35">
      <c r="A27" s="138" t="s">
        <v>259</v>
      </c>
      <c r="B27" s="139" t="s">
        <v>52</v>
      </c>
      <c r="C27" s="139">
        <v>24009</v>
      </c>
      <c r="D27" s="139"/>
      <c r="E27" s="139"/>
      <c r="F27" s="139"/>
      <c r="G27" s="139"/>
    </row>
    <row r="28" spans="1:7" ht="14.25" customHeight="1" x14ac:dyDescent="0.35">
      <c r="A28" s="138" t="s">
        <v>315</v>
      </c>
      <c r="B28" s="139" t="s">
        <v>52</v>
      </c>
      <c r="C28" s="139">
        <v>23009</v>
      </c>
      <c r="D28" s="139"/>
      <c r="E28" s="139"/>
      <c r="F28" s="139"/>
      <c r="G28" s="139"/>
    </row>
    <row r="29" spans="1:7" ht="14.25" customHeight="1" x14ac:dyDescent="0.35">
      <c r="A29" s="138" t="s">
        <v>67</v>
      </c>
      <c r="B29" s="139" t="s">
        <v>50</v>
      </c>
      <c r="C29" s="139">
        <v>46003</v>
      </c>
      <c r="D29" s="139"/>
      <c r="E29" s="139"/>
      <c r="F29" s="139"/>
      <c r="G29" s="139"/>
    </row>
    <row r="30" spans="1:7" ht="14.25" customHeight="1" x14ac:dyDescent="0.35">
      <c r="A30" s="138" t="s">
        <v>109</v>
      </c>
      <c r="B30" s="139" t="s">
        <v>52</v>
      </c>
      <c r="C30" s="139">
        <v>24011</v>
      </c>
      <c r="D30" s="139"/>
      <c r="E30" s="139"/>
      <c r="F30" s="139"/>
      <c r="G30" s="139"/>
    </row>
    <row r="31" spans="1:7" ht="14.25" customHeight="1" x14ac:dyDescent="0.35">
      <c r="A31" s="138" t="s">
        <v>237</v>
      </c>
      <c r="B31" s="139" t="s">
        <v>59</v>
      </c>
      <c r="C31" s="139">
        <v>73006</v>
      </c>
      <c r="D31" s="139"/>
      <c r="E31" s="139"/>
      <c r="F31" s="139"/>
      <c r="G31" s="139"/>
    </row>
    <row r="32" spans="1:7" ht="14.25" customHeight="1" x14ac:dyDescent="0.35">
      <c r="A32" s="138" t="s">
        <v>99</v>
      </c>
      <c r="B32" s="139" t="s">
        <v>55</v>
      </c>
      <c r="C32" s="139">
        <v>31004</v>
      </c>
      <c r="D32" s="139"/>
      <c r="E32" s="139"/>
      <c r="F32" s="139"/>
      <c r="G32" s="139"/>
    </row>
    <row r="33" spans="1:7" ht="14.25" customHeight="1" x14ac:dyDescent="0.35">
      <c r="A33" s="138" t="s">
        <v>329</v>
      </c>
      <c r="B33" s="139" t="s">
        <v>59</v>
      </c>
      <c r="C33" s="139">
        <v>72003</v>
      </c>
      <c r="D33" s="139"/>
      <c r="E33" s="139"/>
      <c r="F33" s="139"/>
      <c r="G33" s="139"/>
    </row>
    <row r="34" spans="1:7" ht="14.25" customHeight="1" x14ac:dyDescent="0.35">
      <c r="A34" s="138" t="s">
        <v>271</v>
      </c>
      <c r="B34" s="139" t="s">
        <v>48</v>
      </c>
      <c r="C34" s="139">
        <v>11004</v>
      </c>
      <c r="D34" s="139"/>
      <c r="E34" s="139"/>
      <c r="F34" s="139"/>
      <c r="G34" s="139"/>
    </row>
    <row r="35" spans="1:7" ht="14.25" customHeight="1" x14ac:dyDescent="0.35">
      <c r="A35" s="138" t="s">
        <v>97</v>
      </c>
      <c r="B35" s="139" t="s">
        <v>48</v>
      </c>
      <c r="C35" s="139">
        <v>12005</v>
      </c>
      <c r="D35" s="139"/>
      <c r="E35" s="139"/>
      <c r="F35" s="139"/>
      <c r="G35" s="139"/>
    </row>
    <row r="36" spans="1:7" ht="14.25" customHeight="1" x14ac:dyDescent="0.35">
      <c r="A36" s="138" t="s">
        <v>224</v>
      </c>
      <c r="B36" s="139" t="s">
        <v>48</v>
      </c>
      <c r="C36" s="139">
        <v>11005</v>
      </c>
      <c r="D36" s="139"/>
      <c r="E36" s="139"/>
      <c r="F36" s="139"/>
      <c r="G36" s="139"/>
    </row>
    <row r="37" spans="1:7" ht="14.25" customHeight="1" x14ac:dyDescent="0.35">
      <c r="A37" s="138" t="s">
        <v>157</v>
      </c>
      <c r="B37" s="139" t="s">
        <v>52</v>
      </c>
      <c r="C37" s="139">
        <v>24014</v>
      </c>
      <c r="D37" s="139"/>
      <c r="E37" s="139"/>
      <c r="F37" s="139"/>
      <c r="G37" s="139"/>
    </row>
    <row r="38" spans="1:7" ht="14.25" customHeight="1" x14ac:dyDescent="0.35">
      <c r="A38" s="138" t="s">
        <v>184</v>
      </c>
      <c r="B38" s="139" t="s">
        <v>48</v>
      </c>
      <c r="C38" s="139">
        <v>12007</v>
      </c>
      <c r="D38" s="139"/>
      <c r="E38" s="139"/>
      <c r="F38" s="139"/>
      <c r="G38" s="139"/>
    </row>
    <row r="39" spans="1:7" ht="14.25" customHeight="1" x14ac:dyDescent="0.35">
      <c r="A39" s="138" t="s">
        <v>170</v>
      </c>
      <c r="B39" s="139" t="s">
        <v>52</v>
      </c>
      <c r="C39" s="139">
        <v>24016</v>
      </c>
      <c r="D39" s="139"/>
      <c r="E39" s="139"/>
      <c r="F39" s="139"/>
      <c r="G39" s="139"/>
    </row>
    <row r="40" spans="1:7" ht="14.25" customHeight="1" x14ac:dyDescent="0.35">
      <c r="A40" s="138" t="s">
        <v>275</v>
      </c>
      <c r="B40" s="139" t="s">
        <v>50</v>
      </c>
      <c r="C40" s="139">
        <v>45059</v>
      </c>
      <c r="D40" s="139"/>
      <c r="E40" s="139"/>
      <c r="F40" s="139"/>
      <c r="G40" s="139"/>
    </row>
    <row r="41" spans="1:7" ht="14.25" customHeight="1" x14ac:dyDescent="0.35">
      <c r="A41" s="138" t="s">
        <v>106</v>
      </c>
      <c r="B41" s="139" t="s">
        <v>48</v>
      </c>
      <c r="C41" s="139">
        <v>11008</v>
      </c>
      <c r="D41" s="139"/>
      <c r="E41" s="139"/>
      <c r="F41" s="139"/>
      <c r="G41" s="139"/>
    </row>
    <row r="42" spans="1:7" ht="14.25" customHeight="1" x14ac:dyDescent="0.35">
      <c r="A42" s="138" t="s">
        <v>294</v>
      </c>
      <c r="B42" s="139" t="s">
        <v>48</v>
      </c>
      <c r="C42" s="139">
        <v>11009</v>
      </c>
      <c r="D42" s="139"/>
      <c r="E42" s="139"/>
      <c r="F42" s="139"/>
      <c r="G42" s="139"/>
    </row>
    <row r="43" spans="1:7" ht="14.25" customHeight="1" x14ac:dyDescent="0.35">
      <c r="A43" s="138" t="s">
        <v>219</v>
      </c>
      <c r="B43" s="139" t="s">
        <v>55</v>
      </c>
      <c r="C43" s="139">
        <v>35002</v>
      </c>
      <c r="D43" s="139"/>
      <c r="E43" s="139"/>
      <c r="F43" s="139"/>
      <c r="G43" s="139"/>
    </row>
    <row r="44" spans="1:7" ht="14.25" customHeight="1" x14ac:dyDescent="0.35">
      <c r="A44" s="138" t="s">
        <v>227</v>
      </c>
      <c r="B44" s="139" t="s">
        <v>59</v>
      </c>
      <c r="C44" s="139">
        <v>72004</v>
      </c>
      <c r="D44" s="139"/>
      <c r="E44" s="139"/>
      <c r="F44" s="139"/>
      <c r="G44" s="139"/>
    </row>
    <row r="45" spans="1:7" ht="14.25" customHeight="1" x14ac:dyDescent="0.35">
      <c r="A45" s="138" t="s">
        <v>54</v>
      </c>
      <c r="B45" s="139" t="s">
        <v>55</v>
      </c>
      <c r="C45" s="139">
        <v>31005</v>
      </c>
      <c r="D45" s="139"/>
      <c r="E45" s="139"/>
      <c r="F45" s="139"/>
      <c r="G45" s="139"/>
    </row>
    <row r="46" spans="1:7" ht="14.25" customHeight="1" x14ac:dyDescent="0.35">
      <c r="A46" s="138" t="s">
        <v>274</v>
      </c>
      <c r="B46" s="139" t="s">
        <v>50</v>
      </c>
      <c r="C46" s="139">
        <v>42004</v>
      </c>
      <c r="D46" s="139"/>
      <c r="E46" s="139"/>
      <c r="F46" s="139"/>
      <c r="G46" s="139"/>
    </row>
    <row r="47" spans="1:7" ht="14.25" customHeight="1" x14ac:dyDescent="0.35">
      <c r="A47" s="138" t="s">
        <v>96</v>
      </c>
      <c r="B47" s="139" t="s">
        <v>55</v>
      </c>
      <c r="C47" s="139">
        <v>31006</v>
      </c>
      <c r="D47" s="139"/>
      <c r="E47" s="139"/>
      <c r="F47" s="139"/>
      <c r="G47" s="139"/>
    </row>
    <row r="48" spans="1:7" ht="14.25" customHeight="1" x14ac:dyDescent="0.35">
      <c r="A48" s="138" t="s">
        <v>268</v>
      </c>
      <c r="B48" s="139" t="s">
        <v>55</v>
      </c>
      <c r="C48" s="139">
        <v>35029</v>
      </c>
      <c r="D48" s="139"/>
      <c r="E48" s="139"/>
      <c r="F48" s="139"/>
      <c r="G48" s="139"/>
    </row>
    <row r="49" spans="1:7" ht="14.25" customHeight="1" x14ac:dyDescent="0.35">
      <c r="A49" s="138" t="s">
        <v>135</v>
      </c>
      <c r="B49" s="139" t="s">
        <v>55</v>
      </c>
      <c r="C49" s="139">
        <v>38008</v>
      </c>
      <c r="D49" s="139"/>
      <c r="E49" s="139"/>
      <c r="F49" s="139"/>
      <c r="G49" s="139"/>
    </row>
    <row r="50" spans="1:7" ht="14.25" customHeight="1" x14ac:dyDescent="0.35">
      <c r="A50" s="138" t="s">
        <v>156</v>
      </c>
      <c r="B50" s="139" t="s">
        <v>55</v>
      </c>
      <c r="C50" s="139">
        <v>34009</v>
      </c>
      <c r="D50" s="139"/>
      <c r="E50" s="139"/>
      <c r="F50" s="139"/>
      <c r="G50" s="139"/>
    </row>
    <row r="51" spans="1:7" ht="14.25" customHeight="1" x14ac:dyDescent="0.35">
      <c r="A51" s="138" t="s">
        <v>62</v>
      </c>
      <c r="B51" s="139" t="s">
        <v>50</v>
      </c>
      <c r="C51" s="139">
        <v>44083</v>
      </c>
      <c r="D51" s="139"/>
      <c r="E51" s="139"/>
      <c r="F51" s="139"/>
      <c r="G51" s="139"/>
    </row>
    <row r="52" spans="1:7" ht="14.25" customHeight="1" x14ac:dyDescent="0.35">
      <c r="A52" s="138" t="s">
        <v>182</v>
      </c>
      <c r="B52" s="139" t="s">
        <v>50</v>
      </c>
      <c r="C52" s="139">
        <v>41011</v>
      </c>
      <c r="D52" s="139"/>
      <c r="E52" s="139"/>
      <c r="F52" s="139"/>
      <c r="G52" s="139"/>
    </row>
    <row r="53" spans="1:7" ht="14.25" customHeight="1" x14ac:dyDescent="0.35">
      <c r="A53" s="138" t="s">
        <v>80</v>
      </c>
      <c r="B53" s="139" t="s">
        <v>50</v>
      </c>
      <c r="C53" s="139">
        <v>42006</v>
      </c>
      <c r="D53" s="139"/>
      <c r="E53" s="139"/>
      <c r="F53" s="139"/>
      <c r="G53" s="139"/>
    </row>
    <row r="54" spans="1:7" ht="14.25" customHeight="1" x14ac:dyDescent="0.35">
      <c r="A54" s="138" t="s">
        <v>168</v>
      </c>
      <c r="B54" s="139" t="s">
        <v>55</v>
      </c>
      <c r="C54" s="139">
        <v>37002</v>
      </c>
      <c r="D54" s="139"/>
      <c r="E54" s="139"/>
      <c r="F54" s="139"/>
      <c r="G54" s="139"/>
    </row>
    <row r="55" spans="1:7" ht="14.25" customHeight="1" x14ac:dyDescent="0.35">
      <c r="A55" s="138" t="s">
        <v>301</v>
      </c>
      <c r="B55" s="139" t="s">
        <v>48</v>
      </c>
      <c r="C55" s="139">
        <v>13006</v>
      </c>
      <c r="D55" s="139"/>
      <c r="E55" s="139"/>
      <c r="F55" s="139"/>
      <c r="G55" s="139"/>
    </row>
    <row r="56" spans="1:7" ht="14.25" customHeight="1" x14ac:dyDescent="0.35">
      <c r="A56" s="138" t="s">
        <v>71</v>
      </c>
      <c r="B56" s="139" t="s">
        <v>50</v>
      </c>
      <c r="C56" s="139">
        <v>44013</v>
      </c>
      <c r="D56" s="139"/>
      <c r="E56" s="139"/>
      <c r="F56" s="139"/>
      <c r="G56" s="139"/>
    </row>
    <row r="57" spans="1:7" ht="14.25" customHeight="1" x14ac:dyDescent="0.35">
      <c r="A57" s="138" t="s">
        <v>309</v>
      </c>
      <c r="B57" s="139" t="s">
        <v>59</v>
      </c>
      <c r="C57" s="139">
        <v>71011</v>
      </c>
      <c r="D57" s="139"/>
      <c r="E57" s="139"/>
      <c r="F57" s="139"/>
      <c r="G57" s="139"/>
    </row>
    <row r="58" spans="1:7" ht="14.25" customHeight="1" x14ac:dyDescent="0.35">
      <c r="A58" s="138" t="s">
        <v>88</v>
      </c>
      <c r="B58" s="139" t="s">
        <v>52</v>
      </c>
      <c r="C58" s="139">
        <v>24020</v>
      </c>
      <c r="D58" s="139"/>
      <c r="E58" s="139"/>
      <c r="F58" s="139"/>
      <c r="G58" s="139"/>
    </row>
    <row r="59" spans="1:7" ht="14.25" customHeight="1" x14ac:dyDescent="0.35">
      <c r="A59" s="138" t="s">
        <v>280</v>
      </c>
      <c r="B59" s="139" t="s">
        <v>55</v>
      </c>
      <c r="C59" s="139">
        <v>32003</v>
      </c>
      <c r="D59" s="139"/>
      <c r="E59" s="139"/>
      <c r="F59" s="139"/>
      <c r="G59" s="139"/>
    </row>
    <row r="60" spans="1:7" ht="14.25" customHeight="1" x14ac:dyDescent="0.35">
      <c r="A60" s="138" t="s">
        <v>85</v>
      </c>
      <c r="B60" s="139" t="s">
        <v>52</v>
      </c>
      <c r="C60" s="139">
        <v>23016</v>
      </c>
      <c r="D60" s="139"/>
      <c r="E60" s="139"/>
      <c r="F60" s="139"/>
      <c r="G60" s="139"/>
    </row>
    <row r="61" spans="1:7" ht="14.25" customHeight="1" x14ac:dyDescent="0.35">
      <c r="A61" s="138" t="s">
        <v>333</v>
      </c>
      <c r="B61" s="139" t="s">
        <v>59</v>
      </c>
      <c r="C61" s="139">
        <v>72041</v>
      </c>
      <c r="D61" s="139"/>
      <c r="E61" s="139"/>
      <c r="F61" s="139"/>
      <c r="G61" s="139"/>
    </row>
    <row r="62" spans="1:7" ht="14.25" customHeight="1" x14ac:dyDescent="0.35">
      <c r="A62" s="138" t="s">
        <v>298</v>
      </c>
      <c r="B62" s="139" t="s">
        <v>52</v>
      </c>
      <c r="C62" s="139">
        <v>23098</v>
      </c>
      <c r="D62" s="139"/>
      <c r="E62" s="139"/>
      <c r="F62" s="139"/>
      <c r="G62" s="139"/>
    </row>
    <row r="63" spans="1:7" ht="14.25" customHeight="1" x14ac:dyDescent="0.35">
      <c r="A63" s="138" t="s">
        <v>140</v>
      </c>
      <c r="B63" s="139" t="s">
        <v>48</v>
      </c>
      <c r="C63" s="139">
        <v>12009</v>
      </c>
      <c r="D63" s="139"/>
      <c r="E63" s="139"/>
      <c r="F63" s="139"/>
      <c r="G63" s="139"/>
    </row>
    <row r="64" spans="1:7" ht="14.25" customHeight="1" x14ac:dyDescent="0.35">
      <c r="A64" s="138" t="s">
        <v>123</v>
      </c>
      <c r="B64" s="139" t="s">
        <v>48</v>
      </c>
      <c r="C64" s="139">
        <v>11013</v>
      </c>
      <c r="D64" s="139"/>
      <c r="E64" s="139"/>
      <c r="F64" s="139"/>
      <c r="G64" s="139"/>
    </row>
    <row r="65" spans="1:7" ht="14.25" customHeight="1" x14ac:dyDescent="0.35">
      <c r="A65" s="138" t="s">
        <v>118</v>
      </c>
      <c r="B65" s="139" t="s">
        <v>50</v>
      </c>
      <c r="C65" s="139">
        <v>43005</v>
      </c>
      <c r="D65" s="139"/>
      <c r="E65" s="139"/>
      <c r="F65" s="139"/>
      <c r="G65" s="139"/>
    </row>
    <row r="66" spans="1:7" ht="14.25" customHeight="1" x14ac:dyDescent="0.35">
      <c r="A66" s="138" t="s">
        <v>116</v>
      </c>
      <c r="B66" s="139" t="s">
        <v>50</v>
      </c>
      <c r="C66" s="139">
        <v>41082</v>
      </c>
      <c r="D66" s="139"/>
      <c r="E66" s="139"/>
      <c r="F66" s="139"/>
      <c r="G66" s="139"/>
    </row>
    <row r="67" spans="1:7" ht="14.25" customHeight="1" x14ac:dyDescent="0.35">
      <c r="A67" s="138" t="s">
        <v>180</v>
      </c>
      <c r="B67" s="139" t="s">
        <v>48</v>
      </c>
      <c r="C67" s="139">
        <v>11016</v>
      </c>
      <c r="D67" s="139"/>
      <c r="E67" s="139"/>
      <c r="F67" s="139"/>
      <c r="G67" s="139"/>
    </row>
    <row r="68" spans="1:7" ht="14.25" customHeight="1" x14ac:dyDescent="0.35">
      <c r="A68" s="138" t="s">
        <v>90</v>
      </c>
      <c r="B68" s="139" t="s">
        <v>50</v>
      </c>
      <c r="C68" s="139">
        <v>44019</v>
      </c>
      <c r="D68" s="139"/>
      <c r="E68" s="139"/>
      <c r="F68" s="139"/>
      <c r="G68" s="139"/>
    </row>
    <row r="69" spans="1:7" ht="14.25" customHeight="1" x14ac:dyDescent="0.35">
      <c r="A69" s="138" t="s">
        <v>209</v>
      </c>
      <c r="B69" s="139" t="s">
        <v>50</v>
      </c>
      <c r="C69" s="139">
        <v>44020</v>
      </c>
      <c r="D69" s="139"/>
      <c r="E69" s="139"/>
      <c r="F69" s="139"/>
      <c r="G69" s="139"/>
    </row>
    <row r="70" spans="1:7" ht="14.25" customHeight="1" x14ac:dyDescent="0.35">
      <c r="A70" s="138" t="s">
        <v>91</v>
      </c>
      <c r="B70" s="139" t="s">
        <v>48</v>
      </c>
      <c r="C70" s="139">
        <v>13008</v>
      </c>
      <c r="D70" s="139"/>
      <c r="E70" s="139"/>
      <c r="F70" s="139"/>
      <c r="G70" s="139"/>
    </row>
    <row r="71" spans="1:7" ht="14.25" customHeight="1" x14ac:dyDescent="0.35">
      <c r="A71" s="138" t="s">
        <v>245</v>
      </c>
      <c r="B71" s="139" t="s">
        <v>52</v>
      </c>
      <c r="C71" s="139">
        <v>24028</v>
      </c>
      <c r="D71" s="139"/>
      <c r="E71" s="139"/>
      <c r="F71" s="139"/>
      <c r="G71" s="139"/>
    </row>
    <row r="72" spans="1:7" ht="14.25" customHeight="1" x14ac:dyDescent="0.35">
      <c r="A72" s="138" t="s">
        <v>95</v>
      </c>
      <c r="B72" s="139" t="s">
        <v>59</v>
      </c>
      <c r="C72" s="139">
        <v>71016</v>
      </c>
      <c r="D72" s="139"/>
      <c r="E72" s="139"/>
      <c r="F72" s="139"/>
      <c r="G72" s="139"/>
    </row>
    <row r="73" spans="1:7" ht="14.25" customHeight="1" x14ac:dyDescent="0.35">
      <c r="A73" s="138" t="s">
        <v>49</v>
      </c>
      <c r="B73" s="139" t="s">
        <v>50</v>
      </c>
      <c r="C73" s="139">
        <v>44021</v>
      </c>
      <c r="D73" s="139"/>
      <c r="E73" s="139"/>
      <c r="F73" s="139"/>
      <c r="G73" s="139"/>
    </row>
    <row r="74" spans="1:7" ht="14.25" customHeight="1" x14ac:dyDescent="0.35">
      <c r="A74" s="138" t="s">
        <v>144</v>
      </c>
      <c r="B74" s="139" t="s">
        <v>50</v>
      </c>
      <c r="C74" s="139">
        <v>41018</v>
      </c>
      <c r="D74" s="139"/>
      <c r="E74" s="139"/>
      <c r="F74" s="139"/>
      <c r="G74" s="139"/>
    </row>
    <row r="75" spans="1:7" ht="14.25" customHeight="1" x14ac:dyDescent="0.35">
      <c r="A75" s="138" t="s">
        <v>323</v>
      </c>
      <c r="B75" s="139" t="s">
        <v>59</v>
      </c>
      <c r="C75" s="139">
        <v>71017</v>
      </c>
      <c r="D75" s="139"/>
      <c r="E75" s="139"/>
      <c r="F75" s="139"/>
      <c r="G75" s="139"/>
    </row>
    <row r="76" spans="1:7" ht="14.25" customHeight="1" x14ac:dyDescent="0.35">
      <c r="A76" s="138" t="s">
        <v>206</v>
      </c>
      <c r="B76" s="139" t="s">
        <v>55</v>
      </c>
      <c r="C76" s="139">
        <v>35005</v>
      </c>
      <c r="D76" s="139"/>
      <c r="E76" s="139"/>
      <c r="F76" s="139"/>
      <c r="G76" s="139"/>
    </row>
    <row r="77" spans="1:7" ht="14.25" customHeight="1" x14ac:dyDescent="0.35">
      <c r="A77" s="138" t="s">
        <v>243</v>
      </c>
      <c r="B77" s="139" t="s">
        <v>52</v>
      </c>
      <c r="C77" s="139">
        <v>24137</v>
      </c>
      <c r="D77" s="139"/>
      <c r="E77" s="139"/>
      <c r="F77" s="139"/>
      <c r="G77" s="139"/>
    </row>
    <row r="78" spans="1:7" ht="14.25" customHeight="1" x14ac:dyDescent="0.35">
      <c r="A78" s="138" t="s">
        <v>107</v>
      </c>
      <c r="B78" s="139" t="s">
        <v>52</v>
      </c>
      <c r="C78" s="139">
        <v>23025</v>
      </c>
      <c r="D78" s="139"/>
      <c r="E78" s="139"/>
      <c r="F78" s="139"/>
      <c r="G78" s="139"/>
    </row>
    <row r="79" spans="1:7" ht="14.25" customHeight="1" x14ac:dyDescent="0.35">
      <c r="A79" s="138" t="s">
        <v>303</v>
      </c>
      <c r="B79" s="139" t="s">
        <v>48</v>
      </c>
      <c r="C79" s="139">
        <v>13010</v>
      </c>
      <c r="D79" s="139"/>
      <c r="E79" s="139"/>
      <c r="F79" s="139"/>
      <c r="G79" s="139"/>
    </row>
    <row r="80" spans="1:7" ht="14.25" customHeight="1" x14ac:dyDescent="0.35">
      <c r="A80" s="138" t="s">
        <v>92</v>
      </c>
      <c r="B80" s="139" t="s">
        <v>52</v>
      </c>
      <c r="C80" s="139">
        <v>24033</v>
      </c>
      <c r="D80" s="139"/>
      <c r="E80" s="139"/>
      <c r="F80" s="139"/>
      <c r="G80" s="139"/>
    </row>
    <row r="81" spans="1:7" ht="14.25" customHeight="1" x14ac:dyDescent="0.35">
      <c r="A81" s="138" t="s">
        <v>223</v>
      </c>
      <c r="B81" s="139" t="s">
        <v>50</v>
      </c>
      <c r="C81" s="139">
        <v>41024</v>
      </c>
      <c r="D81" s="139"/>
      <c r="E81" s="139"/>
      <c r="F81" s="139"/>
      <c r="G81" s="139"/>
    </row>
    <row r="82" spans="1:7" ht="14.25" customHeight="1" x14ac:dyDescent="0.35">
      <c r="A82" s="138" t="s">
        <v>324</v>
      </c>
      <c r="B82" s="139" t="s">
        <v>59</v>
      </c>
      <c r="C82" s="139">
        <v>71020</v>
      </c>
      <c r="D82" s="139"/>
      <c r="E82" s="139"/>
      <c r="F82" s="139"/>
      <c r="G82" s="139"/>
    </row>
    <row r="83" spans="1:7" ht="14.25" customHeight="1" x14ac:dyDescent="0.35">
      <c r="A83" s="138" t="s">
        <v>70</v>
      </c>
      <c r="B83" s="139" t="s">
        <v>52</v>
      </c>
      <c r="C83" s="139">
        <v>23027</v>
      </c>
      <c r="D83" s="139"/>
      <c r="E83" s="139"/>
      <c r="F83" s="139"/>
      <c r="G83" s="139"/>
    </row>
    <row r="84" spans="1:7" ht="14.25" customHeight="1" x14ac:dyDescent="0.35">
      <c r="A84" s="138" t="s">
        <v>127</v>
      </c>
      <c r="B84" s="139" t="s">
        <v>50</v>
      </c>
      <c r="C84" s="139">
        <v>42008</v>
      </c>
      <c r="D84" s="139"/>
      <c r="E84" s="139"/>
      <c r="F84" s="139"/>
      <c r="G84" s="139"/>
    </row>
    <row r="85" spans="1:7" ht="14.25" customHeight="1" x14ac:dyDescent="0.35">
      <c r="A85" s="138" t="s">
        <v>331</v>
      </c>
      <c r="B85" s="139" t="s">
        <v>59</v>
      </c>
      <c r="C85" s="139">
        <v>72037</v>
      </c>
      <c r="D85" s="139"/>
      <c r="E85" s="139"/>
      <c r="F85" s="139"/>
      <c r="G85" s="139"/>
    </row>
    <row r="86" spans="1:7" ht="14.25" customHeight="1" x14ac:dyDescent="0.35">
      <c r="A86" s="138" t="s">
        <v>73</v>
      </c>
      <c r="B86" s="139" t="s">
        <v>55</v>
      </c>
      <c r="C86" s="139">
        <v>34013</v>
      </c>
      <c r="D86" s="139"/>
      <c r="E86" s="139"/>
      <c r="F86" s="139"/>
      <c r="G86" s="139"/>
    </row>
    <row r="87" spans="1:7" ht="14.25" customHeight="1" x14ac:dyDescent="0.35">
      <c r="A87" s="138" t="s">
        <v>58</v>
      </c>
      <c r="B87" s="139" t="s">
        <v>59</v>
      </c>
      <c r="C87" s="139">
        <v>71022</v>
      </c>
      <c r="D87" s="139"/>
      <c r="E87" s="139"/>
      <c r="F87" s="139"/>
      <c r="G87" s="139"/>
    </row>
    <row r="88" spans="1:7" ht="14.25" customHeight="1" x14ac:dyDescent="0.35">
      <c r="A88" s="138" t="s">
        <v>265</v>
      </c>
      <c r="B88" s="139" t="s">
        <v>59</v>
      </c>
      <c r="C88" s="139">
        <v>72038</v>
      </c>
      <c r="D88" s="139"/>
      <c r="E88" s="139"/>
      <c r="F88" s="139"/>
      <c r="G88" s="139"/>
    </row>
    <row r="89" spans="1:7" ht="14.25" customHeight="1" x14ac:dyDescent="0.35">
      <c r="A89" s="138" t="s">
        <v>300</v>
      </c>
      <c r="B89" s="139" t="s">
        <v>59</v>
      </c>
      <c r="C89" s="139">
        <v>73022</v>
      </c>
      <c r="D89" s="139"/>
      <c r="E89" s="139"/>
      <c r="F89" s="139"/>
      <c r="G89" s="139"/>
    </row>
    <row r="90" spans="1:7" ht="14.25" customHeight="1" x14ac:dyDescent="0.35">
      <c r="A90" s="138" t="s">
        <v>108</v>
      </c>
      <c r="B90" s="139" t="s">
        <v>48</v>
      </c>
      <c r="C90" s="139">
        <v>12014</v>
      </c>
      <c r="D90" s="139"/>
      <c r="E90" s="139"/>
      <c r="F90" s="139"/>
      <c r="G90" s="139"/>
    </row>
    <row r="91" spans="1:7" ht="14.25" customHeight="1" x14ac:dyDescent="0.35">
      <c r="A91" s="138" t="s">
        <v>266</v>
      </c>
      <c r="B91" s="139" t="s">
        <v>48</v>
      </c>
      <c r="C91" s="139">
        <v>11018</v>
      </c>
      <c r="D91" s="139"/>
      <c r="E91" s="139"/>
      <c r="F91" s="139"/>
      <c r="G91" s="139"/>
    </row>
    <row r="92" spans="1:7" ht="14.25" customHeight="1" x14ac:dyDescent="0.35">
      <c r="A92" s="138" t="s">
        <v>69</v>
      </c>
      <c r="B92" s="139" t="s">
        <v>52</v>
      </c>
      <c r="C92" s="139">
        <v>24038</v>
      </c>
      <c r="D92" s="139"/>
      <c r="E92" s="139"/>
      <c r="F92" s="139"/>
      <c r="G92" s="139"/>
    </row>
    <row r="93" spans="1:7" ht="14.25" customHeight="1" x14ac:dyDescent="0.35">
      <c r="A93" s="138" t="s">
        <v>83</v>
      </c>
      <c r="B93" s="139" t="s">
        <v>48</v>
      </c>
      <c r="C93" s="139">
        <v>13011</v>
      </c>
      <c r="D93" s="139"/>
      <c r="E93" s="139"/>
      <c r="F93" s="139"/>
      <c r="G93" s="139"/>
    </row>
    <row r="94" spans="1:7" ht="14.25" customHeight="1" x14ac:dyDescent="0.35">
      <c r="A94" s="138" t="s">
        <v>326</v>
      </c>
      <c r="B94" s="139" t="s">
        <v>48</v>
      </c>
      <c r="C94" s="139">
        <v>13012</v>
      </c>
      <c r="D94" s="139"/>
      <c r="E94" s="139"/>
      <c r="F94" s="139"/>
      <c r="G94" s="139"/>
    </row>
    <row r="95" spans="1:7" ht="14.25" customHeight="1" x14ac:dyDescent="0.35">
      <c r="A95" s="138" t="s">
        <v>187</v>
      </c>
      <c r="B95" s="139" t="s">
        <v>59</v>
      </c>
      <c r="C95" s="139">
        <v>71024</v>
      </c>
      <c r="D95" s="139"/>
      <c r="E95" s="139"/>
      <c r="F95" s="139"/>
      <c r="G95" s="139"/>
    </row>
    <row r="96" spans="1:7" ht="14.25" customHeight="1" x14ac:dyDescent="0.35">
      <c r="A96" s="138" t="s">
        <v>272</v>
      </c>
      <c r="B96" s="139" t="s">
        <v>48</v>
      </c>
      <c r="C96" s="139">
        <v>13013</v>
      </c>
      <c r="D96" s="139"/>
      <c r="E96" s="139"/>
      <c r="F96" s="139"/>
      <c r="G96" s="139"/>
    </row>
    <row r="97" spans="1:7" ht="14.25" customHeight="1" x14ac:dyDescent="0.35">
      <c r="A97" s="138" t="s">
        <v>313</v>
      </c>
      <c r="B97" s="139" t="s">
        <v>59</v>
      </c>
      <c r="C97" s="139">
        <v>73028</v>
      </c>
      <c r="D97" s="139"/>
      <c r="E97" s="139"/>
      <c r="F97" s="139"/>
      <c r="G97" s="139"/>
    </row>
    <row r="98" spans="1:7" ht="14.25" customHeight="1" x14ac:dyDescent="0.35">
      <c r="A98" s="138" t="s">
        <v>113</v>
      </c>
      <c r="B98" s="139" t="s">
        <v>50</v>
      </c>
      <c r="C98" s="139">
        <v>41027</v>
      </c>
      <c r="D98" s="139"/>
      <c r="E98" s="139"/>
      <c r="F98" s="139"/>
      <c r="G98" s="139"/>
    </row>
    <row r="99" spans="1:7" ht="14.25" customHeight="1" x14ac:dyDescent="0.35">
      <c r="A99" s="138" t="s">
        <v>190</v>
      </c>
      <c r="B99" s="139" t="s">
        <v>59</v>
      </c>
      <c r="C99" s="139">
        <v>71070</v>
      </c>
      <c r="D99" s="139"/>
      <c r="E99" s="139"/>
      <c r="F99" s="139"/>
      <c r="G99" s="139"/>
    </row>
    <row r="100" spans="1:7" ht="14.25" customHeight="1" x14ac:dyDescent="0.35">
      <c r="A100" s="138" t="s">
        <v>167</v>
      </c>
      <c r="B100" s="139" t="s">
        <v>55</v>
      </c>
      <c r="C100" s="139">
        <v>33039</v>
      </c>
      <c r="D100" s="139"/>
      <c r="E100" s="139"/>
      <c r="F100" s="139"/>
      <c r="G100" s="139"/>
    </row>
    <row r="101" spans="1:7" ht="14.25" customHeight="1" x14ac:dyDescent="0.35">
      <c r="A101" s="138" t="s">
        <v>192</v>
      </c>
      <c r="B101" s="139" t="s">
        <v>52</v>
      </c>
      <c r="C101" s="139">
        <v>24041</v>
      </c>
      <c r="D101" s="139"/>
      <c r="E101" s="139"/>
      <c r="F101" s="139"/>
      <c r="G101" s="139"/>
    </row>
    <row r="102" spans="1:7" ht="14.25" customHeight="1" x14ac:dyDescent="0.35">
      <c r="A102" s="138" t="s">
        <v>153</v>
      </c>
      <c r="B102" s="139" t="s">
        <v>52</v>
      </c>
      <c r="C102" s="139">
        <v>23033</v>
      </c>
      <c r="D102" s="139"/>
      <c r="E102" s="139"/>
      <c r="F102" s="139"/>
      <c r="G102" s="139"/>
    </row>
    <row r="103" spans="1:7" ht="14.25" customHeight="1" x14ac:dyDescent="0.35">
      <c r="A103" s="138" t="s">
        <v>86</v>
      </c>
      <c r="B103" s="139" t="s">
        <v>52</v>
      </c>
      <c r="C103" s="139">
        <v>24043</v>
      </c>
      <c r="D103" s="139"/>
      <c r="E103" s="139"/>
      <c r="F103" s="139"/>
      <c r="G103" s="139"/>
    </row>
    <row r="104" spans="1:7" ht="14.25" customHeight="1" x14ac:dyDescent="0.35">
      <c r="A104" s="138" t="s">
        <v>150</v>
      </c>
      <c r="B104" s="139" t="s">
        <v>55</v>
      </c>
      <c r="C104" s="139">
        <v>36006</v>
      </c>
      <c r="D104" s="139"/>
      <c r="E104" s="139"/>
      <c r="F104" s="139"/>
      <c r="G104" s="139"/>
    </row>
    <row r="105" spans="1:7" ht="14.25" customHeight="1" x14ac:dyDescent="0.35">
      <c r="A105" s="138" t="s">
        <v>185</v>
      </c>
      <c r="B105" s="139" t="s">
        <v>48</v>
      </c>
      <c r="C105" s="139">
        <v>13014</v>
      </c>
      <c r="D105" s="139"/>
      <c r="E105" s="139"/>
      <c r="F105" s="139"/>
      <c r="G105" s="139"/>
    </row>
    <row r="106" spans="1:7" ht="14.25" customHeight="1" x14ac:dyDescent="0.35">
      <c r="A106" s="138" t="s">
        <v>297</v>
      </c>
      <c r="B106" s="139" t="s">
        <v>50</v>
      </c>
      <c r="C106" s="139">
        <v>45062</v>
      </c>
      <c r="D106" s="139"/>
      <c r="E106" s="139"/>
      <c r="F106" s="139"/>
      <c r="G106" s="139"/>
    </row>
    <row r="107" spans="1:7" ht="14.25" customHeight="1" x14ac:dyDescent="0.35">
      <c r="A107" s="138" t="s">
        <v>296</v>
      </c>
      <c r="B107" s="139" t="s">
        <v>59</v>
      </c>
      <c r="C107" s="139">
        <v>72039</v>
      </c>
      <c r="D107" s="139"/>
      <c r="E107" s="139"/>
      <c r="F107" s="139"/>
      <c r="G107" s="139"/>
    </row>
    <row r="108" spans="1:7" ht="14.25" customHeight="1" x14ac:dyDescent="0.35">
      <c r="A108" s="138" t="s">
        <v>261</v>
      </c>
      <c r="B108" s="139" t="s">
        <v>55</v>
      </c>
      <c r="C108" s="139">
        <v>32006</v>
      </c>
      <c r="D108" s="139"/>
      <c r="E108" s="139"/>
      <c r="F108" s="139"/>
      <c r="G108" s="139"/>
    </row>
    <row r="109" spans="1:7" ht="14.25" customHeight="1" x14ac:dyDescent="0.35">
      <c r="A109" s="138" t="s">
        <v>196</v>
      </c>
      <c r="B109" s="139" t="s">
        <v>48</v>
      </c>
      <c r="C109" s="139">
        <v>11021</v>
      </c>
      <c r="D109" s="139"/>
      <c r="E109" s="139"/>
      <c r="F109" s="139"/>
      <c r="G109" s="139"/>
    </row>
    <row r="110" spans="1:7" ht="14.25" customHeight="1" x14ac:dyDescent="0.35">
      <c r="A110" s="138" t="s">
        <v>134</v>
      </c>
      <c r="B110" s="139" t="s">
        <v>52</v>
      </c>
      <c r="C110" s="139">
        <v>24045</v>
      </c>
      <c r="D110" s="139"/>
      <c r="E110" s="139"/>
      <c r="F110" s="139"/>
      <c r="G110" s="139"/>
    </row>
    <row r="111" spans="1:7" ht="14.25" customHeight="1" x14ac:dyDescent="0.35">
      <c r="A111" s="138" t="s">
        <v>173</v>
      </c>
      <c r="B111" s="139" t="s">
        <v>48</v>
      </c>
      <c r="C111" s="139">
        <v>13016</v>
      </c>
      <c r="D111" s="139"/>
      <c r="E111" s="139"/>
      <c r="F111" s="139"/>
      <c r="G111" s="139"/>
    </row>
    <row r="112" spans="1:7" ht="14.25" customHeight="1" x14ac:dyDescent="0.35">
      <c r="A112" s="138" t="s">
        <v>212</v>
      </c>
      <c r="B112" s="139" t="s">
        <v>55</v>
      </c>
      <c r="C112" s="139">
        <v>35006</v>
      </c>
      <c r="D112" s="139"/>
      <c r="E112" s="139"/>
      <c r="F112" s="139"/>
      <c r="G112" s="139"/>
    </row>
    <row r="113" spans="1:7" ht="14.25" customHeight="1" x14ac:dyDescent="0.35">
      <c r="A113" s="138" t="s">
        <v>76</v>
      </c>
      <c r="B113" s="139" t="s">
        <v>55</v>
      </c>
      <c r="C113" s="139">
        <v>33011</v>
      </c>
      <c r="D113" s="139"/>
      <c r="E113" s="139"/>
      <c r="F113" s="139"/>
      <c r="G113" s="139"/>
    </row>
    <row r="114" spans="1:7" ht="14.25" customHeight="1" x14ac:dyDescent="0.35">
      <c r="A114" s="138" t="s">
        <v>263</v>
      </c>
      <c r="B114" s="139" t="s">
        <v>55</v>
      </c>
      <c r="C114" s="139">
        <v>36007</v>
      </c>
      <c r="D114" s="139"/>
      <c r="E114" s="139"/>
      <c r="F114" s="139"/>
      <c r="G114" s="139"/>
    </row>
    <row r="115" spans="1:7" ht="14.25" customHeight="1" x14ac:dyDescent="0.35">
      <c r="A115" s="138" t="s">
        <v>129</v>
      </c>
      <c r="B115" s="139" t="s">
        <v>55</v>
      </c>
      <c r="C115" s="139">
        <v>36008</v>
      </c>
      <c r="D115" s="139"/>
      <c r="E115" s="139"/>
      <c r="F115" s="139"/>
      <c r="G115" s="139"/>
    </row>
    <row r="116" spans="1:7" ht="14.25" customHeight="1" x14ac:dyDescent="0.35">
      <c r="A116" s="138" t="s">
        <v>273</v>
      </c>
      <c r="B116" s="139" t="s">
        <v>55</v>
      </c>
      <c r="C116" s="139">
        <v>31012</v>
      </c>
      <c r="D116" s="139"/>
      <c r="E116" s="139"/>
      <c r="F116" s="139"/>
      <c r="G116" s="139"/>
    </row>
    <row r="117" spans="1:7" ht="14.25" customHeight="1" x14ac:dyDescent="0.35">
      <c r="A117" s="138" t="s">
        <v>163</v>
      </c>
      <c r="B117" s="139" t="s">
        <v>48</v>
      </c>
      <c r="C117" s="139">
        <v>11022</v>
      </c>
      <c r="D117" s="139"/>
      <c r="E117" s="139"/>
      <c r="F117" s="139"/>
      <c r="G117" s="139"/>
    </row>
    <row r="118" spans="1:7" ht="14.25" customHeight="1" x14ac:dyDescent="0.35">
      <c r="A118" s="138" t="s">
        <v>207</v>
      </c>
      <c r="B118" s="139" t="s">
        <v>52</v>
      </c>
      <c r="C118" s="139">
        <v>23038</v>
      </c>
      <c r="D118" s="139"/>
      <c r="E118" s="139"/>
      <c r="F118" s="139"/>
      <c r="G118" s="139"/>
    </row>
    <row r="119" spans="1:7" ht="14.25" customHeight="1" x14ac:dyDescent="0.35">
      <c r="A119" s="138" t="s">
        <v>258</v>
      </c>
      <c r="B119" s="139" t="s">
        <v>52</v>
      </c>
      <c r="C119" s="139">
        <v>23039</v>
      </c>
      <c r="D119" s="139"/>
      <c r="E119" s="139"/>
      <c r="F119" s="139"/>
      <c r="G119" s="139"/>
    </row>
    <row r="120" spans="1:7" ht="14.25" customHeight="1" x14ac:dyDescent="0.35">
      <c r="A120" s="138" t="s">
        <v>312</v>
      </c>
      <c r="B120" s="139" t="s">
        <v>48</v>
      </c>
      <c r="C120" s="139">
        <v>11023</v>
      </c>
      <c r="D120" s="139"/>
      <c r="E120" s="139"/>
      <c r="F120" s="139"/>
      <c r="G120" s="139"/>
    </row>
    <row r="121" spans="1:7" ht="14.25" customHeight="1" x14ac:dyDescent="0.35">
      <c r="A121" s="138" t="s">
        <v>247</v>
      </c>
      <c r="B121" s="139" t="s">
        <v>50</v>
      </c>
      <c r="C121" s="139">
        <v>43007</v>
      </c>
      <c r="D121" s="139"/>
      <c r="E121" s="139"/>
      <c r="F121" s="139"/>
      <c r="G121" s="139"/>
    </row>
    <row r="122" spans="1:7" ht="14.25" customHeight="1" x14ac:dyDescent="0.35">
      <c r="A122" s="138" t="s">
        <v>181</v>
      </c>
      <c r="B122" s="139" t="s">
        <v>48</v>
      </c>
      <c r="C122" s="139">
        <v>13017</v>
      </c>
      <c r="D122" s="139"/>
      <c r="E122" s="139"/>
      <c r="F122" s="139"/>
      <c r="G122" s="139"/>
    </row>
    <row r="123" spans="1:7" ht="14.25" customHeight="1" x14ac:dyDescent="0.35">
      <c r="A123" s="138" t="s">
        <v>176</v>
      </c>
      <c r="B123" s="139" t="s">
        <v>52</v>
      </c>
      <c r="C123" s="139">
        <v>24048</v>
      </c>
      <c r="D123" s="139"/>
      <c r="E123" s="139"/>
      <c r="F123" s="139"/>
      <c r="G123" s="139"/>
    </row>
    <row r="124" spans="1:7" ht="14.25" customHeight="1" x14ac:dyDescent="0.35">
      <c r="A124" s="138" t="s">
        <v>325</v>
      </c>
      <c r="B124" s="139" t="s">
        <v>59</v>
      </c>
      <c r="C124" s="139">
        <v>72018</v>
      </c>
      <c r="D124" s="139"/>
      <c r="E124" s="139"/>
      <c r="F124" s="139"/>
      <c r="G124" s="139"/>
    </row>
    <row r="125" spans="1:7" ht="14.25" customHeight="1" x14ac:dyDescent="0.35">
      <c r="A125" s="138" t="s">
        <v>191</v>
      </c>
      <c r="B125" s="139" t="s">
        <v>50</v>
      </c>
      <c r="C125" s="139">
        <v>45060</v>
      </c>
      <c r="D125" s="139"/>
      <c r="E125" s="139"/>
      <c r="F125" s="139"/>
      <c r="G125" s="139"/>
    </row>
    <row r="126" spans="1:7" ht="14.25" customHeight="1" x14ac:dyDescent="0.35">
      <c r="A126" s="138" t="s">
        <v>103</v>
      </c>
      <c r="B126" s="139" t="s">
        <v>55</v>
      </c>
      <c r="C126" s="139">
        <v>31043</v>
      </c>
      <c r="D126" s="139"/>
      <c r="E126" s="139"/>
      <c r="F126" s="139"/>
      <c r="G126" s="139"/>
    </row>
    <row r="127" spans="1:7" ht="14.25" customHeight="1" x14ac:dyDescent="0.35">
      <c r="A127" s="138" t="s">
        <v>256</v>
      </c>
      <c r="B127" s="139" t="s">
        <v>55</v>
      </c>
      <c r="C127" s="139">
        <v>32010</v>
      </c>
      <c r="D127" s="139"/>
      <c r="E127" s="139"/>
      <c r="F127" s="139"/>
      <c r="G127" s="139"/>
    </row>
    <row r="128" spans="1:7" ht="14.25" customHeight="1" x14ac:dyDescent="0.35">
      <c r="A128" s="138" t="s">
        <v>100</v>
      </c>
      <c r="B128" s="139" t="s">
        <v>55</v>
      </c>
      <c r="C128" s="139">
        <v>38014</v>
      </c>
      <c r="D128" s="139"/>
      <c r="E128" s="139"/>
      <c r="F128" s="139"/>
      <c r="G128" s="139"/>
    </row>
    <row r="129" spans="1:7" ht="14.25" customHeight="1" x14ac:dyDescent="0.35">
      <c r="A129" s="138" t="s">
        <v>288</v>
      </c>
      <c r="B129" s="139" t="s">
        <v>48</v>
      </c>
      <c r="C129" s="139">
        <v>11024</v>
      </c>
      <c r="D129" s="139"/>
      <c r="E129" s="139"/>
      <c r="F129" s="139"/>
      <c r="G129" s="139"/>
    </row>
    <row r="130" spans="1:7" ht="14.25" customHeight="1" x14ac:dyDescent="0.35">
      <c r="A130" s="138" t="s">
        <v>138</v>
      </c>
      <c r="B130" s="139" t="s">
        <v>55</v>
      </c>
      <c r="C130" s="139">
        <v>32011</v>
      </c>
      <c r="D130" s="139"/>
      <c r="E130" s="139"/>
      <c r="F130" s="139"/>
      <c r="G130" s="139"/>
    </row>
    <row r="131" spans="1:7" ht="14.25" customHeight="1" x14ac:dyDescent="0.35">
      <c r="A131" s="138" t="s">
        <v>252</v>
      </c>
      <c r="B131" s="139" t="s">
        <v>52</v>
      </c>
      <c r="C131" s="139">
        <v>24054</v>
      </c>
      <c r="D131" s="139"/>
      <c r="E131" s="139"/>
      <c r="F131" s="139"/>
      <c r="G131" s="139"/>
    </row>
    <row r="132" spans="1:7" ht="14.25" customHeight="1" x14ac:dyDescent="0.35">
      <c r="A132" s="138" t="s">
        <v>117</v>
      </c>
      <c r="B132" s="139" t="s">
        <v>52</v>
      </c>
      <c r="C132" s="139">
        <v>24055</v>
      </c>
      <c r="D132" s="139"/>
      <c r="E132" s="139"/>
      <c r="F132" s="139"/>
      <c r="G132" s="139"/>
    </row>
    <row r="133" spans="1:7" ht="14.25" customHeight="1" x14ac:dyDescent="0.35">
      <c r="A133" s="138" t="s">
        <v>56</v>
      </c>
      <c r="B133" s="139" t="s">
        <v>55</v>
      </c>
      <c r="C133" s="139">
        <v>34022</v>
      </c>
      <c r="D133" s="139"/>
      <c r="E133" s="139"/>
      <c r="F133" s="139"/>
      <c r="G133" s="139"/>
    </row>
    <row r="134" spans="1:7" ht="14.25" customHeight="1" x14ac:dyDescent="0.35">
      <c r="A134" s="138" t="s">
        <v>270</v>
      </c>
      <c r="B134" s="139" t="s">
        <v>52</v>
      </c>
      <c r="C134" s="139">
        <v>23099</v>
      </c>
      <c r="D134" s="139"/>
      <c r="E134" s="139"/>
      <c r="F134" s="139"/>
      <c r="G134" s="139"/>
    </row>
    <row r="135" spans="1:7" ht="14.25" customHeight="1" x14ac:dyDescent="0.35">
      <c r="A135" s="138" t="s">
        <v>122</v>
      </c>
      <c r="B135" s="139" t="s">
        <v>50</v>
      </c>
      <c r="C135" s="139">
        <v>45068</v>
      </c>
      <c r="D135" s="139"/>
      <c r="E135" s="139"/>
      <c r="F135" s="139"/>
      <c r="G135" s="139"/>
    </row>
    <row r="136" spans="1:7" ht="14.25" customHeight="1" x14ac:dyDescent="0.35">
      <c r="A136" s="138" t="s">
        <v>158</v>
      </c>
      <c r="B136" s="139" t="s">
        <v>55</v>
      </c>
      <c r="C136" s="139">
        <v>34023</v>
      </c>
      <c r="D136" s="139"/>
      <c r="E136" s="139"/>
      <c r="F136" s="139"/>
      <c r="G136" s="139"/>
    </row>
    <row r="137" spans="1:7" ht="14.25" customHeight="1" x14ac:dyDescent="0.35">
      <c r="A137" s="138" t="s">
        <v>218</v>
      </c>
      <c r="B137" s="139" t="s">
        <v>48</v>
      </c>
      <c r="C137" s="139">
        <v>13053</v>
      </c>
      <c r="D137" s="139"/>
      <c r="E137" s="139"/>
      <c r="F137" s="139"/>
      <c r="G137" s="139"/>
    </row>
    <row r="138" spans="1:7" ht="14.25" customHeight="1" x14ac:dyDescent="0.35">
      <c r="A138" s="138" t="s">
        <v>155</v>
      </c>
      <c r="B138" s="139" t="s">
        <v>50</v>
      </c>
      <c r="C138" s="139">
        <v>42010</v>
      </c>
      <c r="D138" s="139"/>
      <c r="E138" s="139"/>
      <c r="F138" s="139"/>
      <c r="G138" s="139"/>
    </row>
    <row r="139" spans="1:7" ht="14.25" customHeight="1" x14ac:dyDescent="0.35">
      <c r="A139" s="138" t="s">
        <v>295</v>
      </c>
      <c r="B139" s="139" t="s">
        <v>59</v>
      </c>
      <c r="C139" s="139">
        <v>73042</v>
      </c>
      <c r="D139" s="139"/>
      <c r="E139" s="139"/>
      <c r="F139" s="139"/>
      <c r="G139" s="139"/>
    </row>
    <row r="140" spans="1:7" ht="14.25" customHeight="1" x14ac:dyDescent="0.35">
      <c r="A140" s="138" t="s">
        <v>81</v>
      </c>
      <c r="B140" s="139" t="s">
        <v>52</v>
      </c>
      <c r="C140" s="139">
        <v>24059</v>
      </c>
      <c r="D140" s="139"/>
      <c r="E140" s="139"/>
      <c r="F140" s="139"/>
      <c r="G140" s="139"/>
    </row>
    <row r="141" spans="1:7" ht="14.25" customHeight="1" x14ac:dyDescent="0.35">
      <c r="A141" s="138" t="s">
        <v>253</v>
      </c>
      <c r="B141" s="139" t="s">
        <v>55</v>
      </c>
      <c r="C141" s="139">
        <v>33040</v>
      </c>
      <c r="D141" s="139"/>
      <c r="E141" s="139"/>
      <c r="F141" s="139"/>
      <c r="G141" s="139"/>
    </row>
    <row r="142" spans="1:7" ht="14.25" customHeight="1" x14ac:dyDescent="0.35">
      <c r="A142" s="138" t="s">
        <v>114</v>
      </c>
      <c r="B142" s="139" t="s">
        <v>50</v>
      </c>
      <c r="C142" s="139">
        <v>42011</v>
      </c>
      <c r="D142" s="139"/>
      <c r="E142" s="139"/>
      <c r="F142" s="139"/>
      <c r="G142" s="139"/>
    </row>
    <row r="143" spans="1:7" ht="14.25" customHeight="1" x14ac:dyDescent="0.35">
      <c r="A143" s="138" t="s">
        <v>179</v>
      </c>
      <c r="B143" s="139" t="s">
        <v>50</v>
      </c>
      <c r="C143" s="139">
        <v>41034</v>
      </c>
      <c r="D143" s="139"/>
      <c r="E143" s="139"/>
      <c r="F143" s="139"/>
      <c r="G143" s="139"/>
    </row>
    <row r="144" spans="1:7" ht="14.25" customHeight="1" x14ac:dyDescent="0.35">
      <c r="A144" s="138" t="s">
        <v>171</v>
      </c>
      <c r="B144" s="139" t="s">
        <v>55</v>
      </c>
      <c r="C144" s="139">
        <v>36010</v>
      </c>
      <c r="D144" s="139"/>
      <c r="E144" s="139"/>
      <c r="F144" s="139"/>
      <c r="G144" s="139"/>
    </row>
    <row r="145" spans="1:7" ht="14.25" customHeight="1" x14ac:dyDescent="0.35">
      <c r="A145" s="138" t="s">
        <v>320</v>
      </c>
      <c r="B145" s="139" t="s">
        <v>55</v>
      </c>
      <c r="C145" s="139">
        <v>34025</v>
      </c>
      <c r="D145" s="139"/>
      <c r="E145" s="139"/>
      <c r="F145" s="139"/>
      <c r="G145" s="139"/>
    </row>
    <row r="146" spans="1:7" ht="14.25" customHeight="1" x14ac:dyDescent="0.35">
      <c r="A146" s="138" t="s">
        <v>257</v>
      </c>
      <c r="B146" s="139" t="s">
        <v>52</v>
      </c>
      <c r="C146" s="139">
        <v>23104</v>
      </c>
      <c r="D146" s="139"/>
      <c r="E146" s="139"/>
      <c r="F146" s="139"/>
      <c r="G146" s="139"/>
    </row>
    <row r="147" spans="1:7" ht="14.25" customHeight="1" x14ac:dyDescent="0.35">
      <c r="A147" s="138" t="s">
        <v>308</v>
      </c>
      <c r="B147" s="139" t="s">
        <v>59</v>
      </c>
      <c r="C147" s="139">
        <v>71034</v>
      </c>
      <c r="D147" s="139"/>
      <c r="E147" s="139"/>
      <c r="F147" s="139"/>
      <c r="G147" s="139"/>
    </row>
    <row r="148" spans="1:7" ht="14.25" customHeight="1" x14ac:dyDescent="0.35">
      <c r="A148" s="138" t="s">
        <v>51</v>
      </c>
      <c r="B148" s="139" t="s">
        <v>52</v>
      </c>
      <c r="C148" s="139">
        <v>24062</v>
      </c>
      <c r="D148" s="139"/>
      <c r="E148" s="139"/>
      <c r="F148" s="139"/>
      <c r="G148" s="139"/>
    </row>
    <row r="149" spans="1:7" ht="14.25" customHeight="1" x14ac:dyDescent="0.35">
      <c r="A149" s="138" t="s">
        <v>198</v>
      </c>
      <c r="B149" s="139" t="s">
        <v>55</v>
      </c>
      <c r="C149" s="139">
        <v>36011</v>
      </c>
      <c r="D149" s="139"/>
      <c r="E149" s="139"/>
      <c r="F149" s="139"/>
      <c r="G149" s="139"/>
    </row>
    <row r="150" spans="1:7" ht="14.25" customHeight="1" x14ac:dyDescent="0.35">
      <c r="A150" s="138" t="s">
        <v>334</v>
      </c>
      <c r="B150" s="139" t="s">
        <v>52</v>
      </c>
      <c r="C150" s="139">
        <v>23044</v>
      </c>
      <c r="D150" s="139"/>
      <c r="E150" s="139"/>
      <c r="F150" s="139"/>
      <c r="G150" s="139"/>
    </row>
    <row r="151" spans="1:7" ht="14.25" customHeight="1" x14ac:dyDescent="0.35">
      <c r="A151" s="138" t="s">
        <v>68</v>
      </c>
      <c r="B151" s="139" t="s">
        <v>48</v>
      </c>
      <c r="C151" s="139">
        <v>12021</v>
      </c>
      <c r="D151" s="139"/>
      <c r="E151" s="139"/>
      <c r="F151" s="139"/>
      <c r="G151" s="139"/>
    </row>
    <row r="152" spans="1:7" ht="14.25" customHeight="1" x14ac:dyDescent="0.35">
      <c r="A152" s="138" t="s">
        <v>248</v>
      </c>
      <c r="B152" s="139" t="s">
        <v>50</v>
      </c>
      <c r="C152" s="139">
        <v>45063</v>
      </c>
      <c r="D152" s="139"/>
      <c r="E152" s="139"/>
      <c r="F152" s="139"/>
      <c r="G152" s="139"/>
    </row>
    <row r="153" spans="1:7" ht="14.25" customHeight="1" x14ac:dyDescent="0.35">
      <c r="A153" s="138" t="s">
        <v>82</v>
      </c>
      <c r="B153" s="139" t="s">
        <v>50</v>
      </c>
      <c r="C153" s="139">
        <v>44085</v>
      </c>
      <c r="D153" s="139"/>
      <c r="E153" s="139"/>
      <c r="F153" s="139"/>
      <c r="G153" s="139"/>
    </row>
    <row r="154" spans="1:7" ht="14.25" customHeight="1" x14ac:dyDescent="0.35">
      <c r="A154" s="138" t="s">
        <v>161</v>
      </c>
      <c r="B154" s="139" t="s">
        <v>48</v>
      </c>
      <c r="C154" s="139">
        <v>13019</v>
      </c>
      <c r="D154" s="139"/>
      <c r="E154" s="139"/>
      <c r="F154" s="139"/>
      <c r="G154" s="139"/>
    </row>
    <row r="155" spans="1:7" ht="14.25" customHeight="1" x14ac:dyDescent="0.35">
      <c r="A155" s="138" t="s">
        <v>319</v>
      </c>
      <c r="B155" s="139" t="s">
        <v>52</v>
      </c>
      <c r="C155" s="139">
        <v>23100</v>
      </c>
      <c r="D155" s="139"/>
      <c r="E155" s="139"/>
      <c r="F155" s="139"/>
      <c r="G155" s="139"/>
    </row>
    <row r="156" spans="1:7" ht="14.25" customHeight="1" x14ac:dyDescent="0.35">
      <c r="A156" s="138" t="s">
        <v>254</v>
      </c>
      <c r="B156" s="139" t="s">
        <v>48</v>
      </c>
      <c r="C156" s="139">
        <v>11025</v>
      </c>
      <c r="D156" s="139"/>
      <c r="E156" s="139"/>
      <c r="F156" s="139"/>
      <c r="G156" s="139"/>
    </row>
    <row r="157" spans="1:7" ht="14.25" customHeight="1" x14ac:dyDescent="0.35">
      <c r="A157" s="138" t="s">
        <v>193</v>
      </c>
      <c r="B157" s="139" t="s">
        <v>52</v>
      </c>
      <c r="C157" s="139">
        <v>24133</v>
      </c>
      <c r="D157" s="139"/>
      <c r="E157" s="139"/>
      <c r="F157" s="139"/>
      <c r="G157" s="139"/>
    </row>
    <row r="158" spans="1:7" ht="14.25" customHeight="1" x14ac:dyDescent="0.35">
      <c r="A158" s="138" t="s">
        <v>239</v>
      </c>
      <c r="B158" s="139" t="s">
        <v>55</v>
      </c>
      <c r="C158" s="139">
        <v>32030</v>
      </c>
      <c r="D158" s="139"/>
      <c r="E158" s="139"/>
      <c r="F158" s="139"/>
      <c r="G158" s="139"/>
    </row>
    <row r="159" spans="1:7" ht="14.25" customHeight="1" x14ac:dyDescent="0.35">
      <c r="A159" s="138" t="s">
        <v>233</v>
      </c>
      <c r="B159" s="139" t="s">
        <v>50</v>
      </c>
      <c r="C159" s="139">
        <v>44034</v>
      </c>
      <c r="D159" s="139"/>
      <c r="E159" s="139"/>
      <c r="F159" s="139"/>
      <c r="G159" s="139"/>
    </row>
    <row r="160" spans="1:7" ht="14.25" customHeight="1" x14ac:dyDescent="0.35">
      <c r="A160" s="138" t="s">
        <v>72</v>
      </c>
      <c r="B160" s="139" t="s">
        <v>50</v>
      </c>
      <c r="C160" s="139">
        <v>46014</v>
      </c>
      <c r="D160" s="139"/>
      <c r="E160" s="139"/>
      <c r="F160" s="139"/>
      <c r="G160" s="139"/>
    </row>
    <row r="161" spans="1:7" ht="14.25" customHeight="1" x14ac:dyDescent="0.35">
      <c r="A161" s="138" t="s">
        <v>126</v>
      </c>
      <c r="B161" s="139" t="s">
        <v>59</v>
      </c>
      <c r="C161" s="139">
        <v>72020</v>
      </c>
      <c r="D161" s="139"/>
      <c r="E161" s="139"/>
      <c r="F161" s="139"/>
      <c r="G161" s="139"/>
    </row>
    <row r="162" spans="1:7" ht="14.25" customHeight="1" x14ac:dyDescent="0.35">
      <c r="A162" s="138" t="s">
        <v>283</v>
      </c>
      <c r="B162" s="139" t="s">
        <v>52</v>
      </c>
      <c r="C162" s="139">
        <v>23045</v>
      </c>
      <c r="D162" s="139"/>
      <c r="E162" s="139"/>
      <c r="F162" s="139"/>
      <c r="G162" s="139"/>
    </row>
    <row r="163" spans="1:7" ht="14.25" customHeight="1" x14ac:dyDescent="0.35">
      <c r="A163" s="138" t="s">
        <v>139</v>
      </c>
      <c r="B163" s="139" t="s">
        <v>52</v>
      </c>
      <c r="C163" s="139">
        <v>24066</v>
      </c>
      <c r="D163" s="139"/>
      <c r="E163" s="139"/>
      <c r="F163" s="139"/>
      <c r="G163" s="139"/>
    </row>
    <row r="164" spans="1:7" ht="14.25" customHeight="1" x14ac:dyDescent="0.35">
      <c r="A164" s="138" t="s">
        <v>286</v>
      </c>
      <c r="B164" s="139" t="s">
        <v>59</v>
      </c>
      <c r="C164" s="139">
        <v>71037</v>
      </c>
      <c r="D164" s="139"/>
      <c r="E164" s="139"/>
      <c r="F164" s="139"/>
      <c r="G164" s="139"/>
    </row>
    <row r="165" spans="1:7" ht="14.25" customHeight="1" x14ac:dyDescent="0.35">
      <c r="A165" s="138" t="s">
        <v>244</v>
      </c>
      <c r="B165" s="139" t="s">
        <v>50</v>
      </c>
      <c r="C165" s="139">
        <v>45064</v>
      </c>
      <c r="D165" s="139"/>
      <c r="E165" s="139"/>
      <c r="F165" s="139"/>
      <c r="G165" s="139"/>
    </row>
    <row r="166" spans="1:7" ht="14.25" customHeight="1" x14ac:dyDescent="0.35">
      <c r="A166" s="138" t="s">
        <v>211</v>
      </c>
      <c r="B166" s="139" t="s">
        <v>59</v>
      </c>
      <c r="C166" s="139">
        <v>72021</v>
      </c>
      <c r="D166" s="139"/>
      <c r="E166" s="139"/>
      <c r="F166" s="139"/>
      <c r="G166" s="139"/>
    </row>
    <row r="167" spans="1:7" ht="14.25" customHeight="1" x14ac:dyDescent="0.35">
      <c r="A167" s="138" t="s">
        <v>229</v>
      </c>
      <c r="B167" s="139" t="s">
        <v>59</v>
      </c>
      <c r="C167" s="139">
        <v>73107</v>
      </c>
      <c r="D167" s="139"/>
      <c r="E167" s="139"/>
      <c r="F167" s="139"/>
      <c r="G167" s="139"/>
    </row>
    <row r="168" spans="1:7" ht="14.25" customHeight="1" x14ac:dyDescent="0.35">
      <c r="A168" s="138" t="s">
        <v>278</v>
      </c>
      <c r="B168" s="139" t="s">
        <v>52</v>
      </c>
      <c r="C168" s="139">
        <v>23047</v>
      </c>
      <c r="D168" s="139"/>
      <c r="E168" s="139"/>
      <c r="F168" s="139"/>
      <c r="G168" s="139"/>
    </row>
    <row r="169" spans="1:7" ht="14.25" customHeight="1" x14ac:dyDescent="0.35">
      <c r="A169" s="138" t="s">
        <v>165</v>
      </c>
      <c r="B169" s="139" t="s">
        <v>50</v>
      </c>
      <c r="C169" s="139">
        <v>43010</v>
      </c>
      <c r="D169" s="139"/>
      <c r="E169" s="139"/>
      <c r="F169" s="139"/>
      <c r="G169" s="139"/>
    </row>
    <row r="170" spans="1:7" ht="14.25" customHeight="1" x14ac:dyDescent="0.35">
      <c r="A170" s="138" t="s">
        <v>178</v>
      </c>
      <c r="B170" s="139" t="s">
        <v>48</v>
      </c>
      <c r="C170" s="139">
        <v>11057</v>
      </c>
      <c r="D170" s="139"/>
      <c r="E170" s="139"/>
      <c r="F170" s="139"/>
      <c r="G170" s="139"/>
    </row>
    <row r="171" spans="1:7" ht="14.25" customHeight="1" x14ac:dyDescent="0.35">
      <c r="A171" s="138" t="s">
        <v>53</v>
      </c>
      <c r="B171" s="139" t="s">
        <v>48</v>
      </c>
      <c r="C171" s="139">
        <v>12025</v>
      </c>
      <c r="D171" s="139"/>
      <c r="E171" s="139"/>
      <c r="F171" s="139"/>
      <c r="G171" s="139"/>
    </row>
    <row r="172" spans="1:7" ht="14.25" customHeight="1" x14ac:dyDescent="0.35">
      <c r="A172" s="138" t="s">
        <v>172</v>
      </c>
      <c r="B172" s="139" t="s">
        <v>48</v>
      </c>
      <c r="C172" s="139">
        <v>13021</v>
      </c>
      <c r="D172" s="139"/>
      <c r="E172" s="139"/>
      <c r="F172" s="139"/>
      <c r="G172" s="139"/>
    </row>
    <row r="173" spans="1:7" ht="14.25" customHeight="1" x14ac:dyDescent="0.35">
      <c r="A173" s="138" t="s">
        <v>287</v>
      </c>
      <c r="B173" s="139" t="s">
        <v>52</v>
      </c>
      <c r="C173" s="139">
        <v>23050</v>
      </c>
      <c r="D173" s="139"/>
      <c r="E173" s="139"/>
      <c r="F173" s="139"/>
      <c r="G173" s="139"/>
    </row>
    <row r="174" spans="1:7" ht="14.25" customHeight="1" x14ac:dyDescent="0.35">
      <c r="A174" s="138" t="s">
        <v>130</v>
      </c>
      <c r="B174" s="139" t="s">
        <v>55</v>
      </c>
      <c r="C174" s="139">
        <v>34027</v>
      </c>
      <c r="D174" s="139"/>
      <c r="E174" s="139"/>
      <c r="F174" s="139"/>
      <c r="G174" s="139"/>
    </row>
    <row r="175" spans="1:7" ht="14.25" customHeight="1" x14ac:dyDescent="0.35">
      <c r="A175" s="138" t="s">
        <v>281</v>
      </c>
      <c r="B175" s="139" t="s">
        <v>52</v>
      </c>
      <c r="C175" s="139">
        <v>23052</v>
      </c>
      <c r="D175" s="139"/>
      <c r="E175" s="139"/>
      <c r="F175" s="139"/>
      <c r="G175" s="139"/>
    </row>
    <row r="176" spans="1:7" ht="14.25" customHeight="1" x14ac:dyDescent="0.35">
      <c r="A176" s="138" t="s">
        <v>60</v>
      </c>
      <c r="B176" s="139" t="s">
        <v>50</v>
      </c>
      <c r="C176" s="139">
        <v>44043</v>
      </c>
      <c r="D176" s="139"/>
      <c r="E176" s="139"/>
      <c r="F176" s="139"/>
      <c r="G176" s="139"/>
    </row>
    <row r="177" spans="1:7" ht="14.25" customHeight="1" x14ac:dyDescent="0.35">
      <c r="A177" s="138" t="s">
        <v>197</v>
      </c>
      <c r="B177" s="139" t="s">
        <v>48</v>
      </c>
      <c r="C177" s="139">
        <v>13023</v>
      </c>
      <c r="D177" s="139"/>
      <c r="E177" s="139"/>
      <c r="F177" s="139"/>
      <c r="G177" s="139"/>
    </row>
    <row r="178" spans="1:7" ht="14.25" customHeight="1" x14ac:dyDescent="0.35">
      <c r="A178" s="138" t="s">
        <v>238</v>
      </c>
      <c r="B178" s="139" t="s">
        <v>55</v>
      </c>
      <c r="C178" s="139">
        <v>33016</v>
      </c>
      <c r="D178" s="139"/>
      <c r="E178" s="139"/>
      <c r="F178" s="139"/>
      <c r="G178" s="139"/>
    </row>
    <row r="179" spans="1:7" ht="14.25" customHeight="1" x14ac:dyDescent="0.35">
      <c r="A179" s="138" t="s">
        <v>225</v>
      </c>
      <c r="B179" s="139" t="s">
        <v>55</v>
      </c>
      <c r="C179" s="139">
        <v>35011</v>
      </c>
      <c r="D179" s="139"/>
      <c r="E179" s="139"/>
      <c r="F179" s="139"/>
      <c r="G179" s="139"/>
    </row>
    <row r="180" spans="1:7" ht="14.25" customHeight="1" x14ac:dyDescent="0.35">
      <c r="A180" s="138" t="s">
        <v>145</v>
      </c>
      <c r="B180" s="139" t="s">
        <v>48</v>
      </c>
      <c r="C180" s="139">
        <v>13025</v>
      </c>
      <c r="D180" s="139"/>
      <c r="E180" s="139"/>
      <c r="F180" s="139"/>
      <c r="G180" s="139"/>
    </row>
    <row r="181" spans="1:7" ht="14.25" customHeight="1" x14ac:dyDescent="0.35">
      <c r="A181" s="138" t="s">
        <v>174</v>
      </c>
      <c r="B181" s="139" t="s">
        <v>55</v>
      </c>
      <c r="C181" s="139">
        <v>36012</v>
      </c>
      <c r="D181" s="139"/>
      <c r="E181" s="139"/>
      <c r="F181" s="139"/>
      <c r="G181" s="139"/>
    </row>
    <row r="182" spans="1:7" ht="14.25" customHeight="1" x14ac:dyDescent="0.35">
      <c r="A182" s="138" t="s">
        <v>66</v>
      </c>
      <c r="B182" s="139" t="s">
        <v>48</v>
      </c>
      <c r="C182" s="139">
        <v>11029</v>
      </c>
      <c r="D182" s="139"/>
      <c r="E182" s="139"/>
      <c r="F182" s="139"/>
      <c r="G182" s="139"/>
    </row>
    <row r="183" spans="1:7" ht="14.25" customHeight="1" x14ac:dyDescent="0.35">
      <c r="A183" s="138" t="s">
        <v>75</v>
      </c>
      <c r="B183" s="139" t="s">
        <v>50</v>
      </c>
      <c r="C183" s="139">
        <v>44048</v>
      </c>
      <c r="D183" s="139"/>
      <c r="E183" s="139"/>
      <c r="F183" s="139"/>
      <c r="G183" s="139"/>
    </row>
    <row r="184" spans="1:7" ht="14.25" customHeight="1" x14ac:dyDescent="0.35">
      <c r="A184" s="138" t="s">
        <v>203</v>
      </c>
      <c r="B184" s="139" t="s">
        <v>48</v>
      </c>
      <c r="C184" s="139">
        <v>11030</v>
      </c>
      <c r="D184" s="139"/>
      <c r="E184" s="139"/>
      <c r="F184" s="139"/>
      <c r="G184" s="139"/>
    </row>
    <row r="185" spans="1:7" ht="14.25" customHeight="1" x14ac:dyDescent="0.35">
      <c r="A185" s="138" t="s">
        <v>299</v>
      </c>
      <c r="B185" s="139" t="s">
        <v>59</v>
      </c>
      <c r="C185" s="139">
        <v>71045</v>
      </c>
      <c r="D185" s="139"/>
      <c r="E185" s="139"/>
      <c r="F185" s="139"/>
      <c r="G185" s="139"/>
    </row>
    <row r="186" spans="1:7" ht="14.25" customHeight="1" x14ac:dyDescent="0.35">
      <c r="A186" s="138" t="s">
        <v>152</v>
      </c>
      <c r="B186" s="139" t="s">
        <v>55</v>
      </c>
      <c r="C186" s="139">
        <v>38016</v>
      </c>
      <c r="D186" s="139"/>
      <c r="E186" s="139"/>
      <c r="F186" s="139"/>
      <c r="G186" s="139"/>
    </row>
    <row r="187" spans="1:7" ht="14.25" customHeight="1" x14ac:dyDescent="0.35">
      <c r="A187" s="138" t="s">
        <v>124</v>
      </c>
      <c r="B187" s="139" t="s">
        <v>48</v>
      </c>
      <c r="C187" s="139">
        <v>12026</v>
      </c>
      <c r="D187" s="139"/>
      <c r="E187" s="139"/>
      <c r="F187" s="139"/>
      <c r="G187" s="139"/>
    </row>
    <row r="188" spans="1:7" ht="14.25" customHeight="1" x14ac:dyDescent="0.35">
      <c r="A188" s="138" t="s">
        <v>236</v>
      </c>
      <c r="B188" s="139" t="s">
        <v>50</v>
      </c>
      <c r="C188" s="139">
        <v>41048</v>
      </c>
      <c r="D188" s="139"/>
      <c r="E188" s="139"/>
      <c r="F188" s="139"/>
      <c r="G188" s="139"/>
    </row>
    <row r="189" spans="1:7" ht="14.25" customHeight="1" x14ac:dyDescent="0.35">
      <c r="A189" s="138" t="s">
        <v>330</v>
      </c>
      <c r="B189" s="139" t="s">
        <v>48</v>
      </c>
      <c r="C189" s="139">
        <v>13029</v>
      </c>
      <c r="D189" s="139"/>
      <c r="E189" s="139"/>
      <c r="F189" s="139"/>
      <c r="G189" s="139"/>
    </row>
    <row r="190" spans="1:7" ht="14.25" customHeight="1" x14ac:dyDescent="0.35">
      <c r="A190" s="138" t="s">
        <v>64</v>
      </c>
      <c r="B190" s="139" t="s">
        <v>55</v>
      </c>
      <c r="C190" s="139">
        <v>35013</v>
      </c>
      <c r="D190" s="139"/>
      <c r="E190" s="139"/>
      <c r="F190" s="139"/>
      <c r="G190" s="139"/>
    </row>
    <row r="191" spans="1:7" ht="14.25" customHeight="1" x14ac:dyDescent="0.35">
      <c r="A191" s="138" t="s">
        <v>121</v>
      </c>
      <c r="B191" s="139" t="s">
        <v>50</v>
      </c>
      <c r="C191" s="139">
        <v>44052</v>
      </c>
      <c r="D191" s="139"/>
      <c r="E191" s="139"/>
      <c r="F191" s="139"/>
      <c r="G191" s="139"/>
    </row>
    <row r="192" spans="1:7" ht="14.25" customHeight="1" x14ac:dyDescent="0.35">
      <c r="A192" s="138" t="s">
        <v>79</v>
      </c>
      <c r="B192" s="139" t="s">
        <v>55</v>
      </c>
      <c r="C192" s="139">
        <v>31022</v>
      </c>
      <c r="D192" s="139"/>
      <c r="E192" s="139"/>
      <c r="F192" s="139"/>
      <c r="G192" s="139"/>
    </row>
    <row r="193" spans="1:7" ht="14.25" customHeight="1" x14ac:dyDescent="0.35">
      <c r="A193" s="138" t="s">
        <v>194</v>
      </c>
      <c r="B193" s="139" t="s">
        <v>55</v>
      </c>
      <c r="C193" s="139">
        <v>37010</v>
      </c>
      <c r="D193" s="139"/>
      <c r="E193" s="139"/>
      <c r="F193" s="139"/>
      <c r="G193" s="139"/>
    </row>
    <row r="194" spans="1:7" ht="14.25" customHeight="1" x14ac:dyDescent="0.35">
      <c r="A194" s="138" t="s">
        <v>214</v>
      </c>
      <c r="B194" s="139" t="s">
        <v>52</v>
      </c>
      <c r="C194" s="139">
        <v>23060</v>
      </c>
      <c r="D194" s="139"/>
      <c r="E194" s="139"/>
      <c r="F194" s="139"/>
      <c r="G194" s="139"/>
    </row>
    <row r="195" spans="1:7" ht="14.25" customHeight="1" x14ac:dyDescent="0.35">
      <c r="A195" s="138" t="s">
        <v>110</v>
      </c>
      <c r="B195" s="139" t="s">
        <v>52</v>
      </c>
      <c r="C195" s="139">
        <v>24086</v>
      </c>
      <c r="D195" s="139"/>
      <c r="E195" s="139"/>
      <c r="F195" s="139"/>
      <c r="G195" s="139"/>
    </row>
    <row r="196" spans="1:7" ht="14.25" customHeight="1" x14ac:dyDescent="0.35">
      <c r="A196" s="138" t="s">
        <v>159</v>
      </c>
      <c r="B196" s="139" t="s">
        <v>48</v>
      </c>
      <c r="C196" s="139">
        <v>13031</v>
      </c>
      <c r="D196" s="139"/>
      <c r="E196" s="139"/>
      <c r="F196" s="139"/>
      <c r="G196" s="139"/>
    </row>
    <row r="197" spans="1:7" ht="14.25" customHeight="1" x14ac:dyDescent="0.35">
      <c r="A197" s="138" t="s">
        <v>77</v>
      </c>
      <c r="B197" s="139" t="s">
        <v>50</v>
      </c>
      <c r="C197" s="139">
        <v>45035</v>
      </c>
      <c r="D197" s="139"/>
      <c r="E197" s="139"/>
      <c r="F197" s="139"/>
      <c r="G197" s="139"/>
    </row>
    <row r="198" spans="1:7" ht="14.25" customHeight="1" x14ac:dyDescent="0.35">
      <c r="A198" s="138" t="s">
        <v>200</v>
      </c>
      <c r="B198" s="139" t="s">
        <v>55</v>
      </c>
      <c r="C198" s="139">
        <v>35014</v>
      </c>
      <c r="D198" s="139"/>
      <c r="E198" s="139"/>
      <c r="F198" s="139"/>
      <c r="G198" s="139"/>
    </row>
    <row r="199" spans="1:7" ht="14.25" customHeight="1" x14ac:dyDescent="0.35">
      <c r="A199" s="138" t="s">
        <v>234</v>
      </c>
      <c r="B199" s="139" t="s">
        <v>59</v>
      </c>
      <c r="C199" s="139">
        <v>72042</v>
      </c>
      <c r="D199" s="139"/>
      <c r="E199" s="139"/>
      <c r="F199" s="139"/>
      <c r="G199" s="139"/>
    </row>
    <row r="200" spans="1:7" ht="14.25" customHeight="1" x14ac:dyDescent="0.35">
      <c r="A200" s="138" t="s">
        <v>230</v>
      </c>
      <c r="B200" s="139" t="s">
        <v>52</v>
      </c>
      <c r="C200" s="139">
        <v>23062</v>
      </c>
      <c r="D200" s="139"/>
      <c r="E200" s="139"/>
      <c r="F200" s="139"/>
      <c r="G200" s="139"/>
    </row>
    <row r="201" spans="1:7" ht="14.25" customHeight="1" x14ac:dyDescent="0.35">
      <c r="A201" s="138" t="s">
        <v>293</v>
      </c>
      <c r="B201" s="139" t="s">
        <v>52</v>
      </c>
      <c r="C201" s="139"/>
      <c r="D201" s="139"/>
      <c r="E201" s="139"/>
      <c r="F201" s="139"/>
      <c r="G201" s="139"/>
    </row>
    <row r="202" spans="1:7" ht="14.25" customHeight="1" x14ac:dyDescent="0.35">
      <c r="A202" s="138" t="s">
        <v>232</v>
      </c>
      <c r="B202" s="139" t="s">
        <v>59</v>
      </c>
      <c r="C202" s="139">
        <v>72030</v>
      </c>
      <c r="D202" s="139"/>
      <c r="E202" s="139"/>
      <c r="F202" s="139"/>
      <c r="G202" s="139"/>
    </row>
    <row r="203" spans="1:7" ht="14.25" customHeight="1" x14ac:dyDescent="0.35">
      <c r="A203" s="138" t="s">
        <v>310</v>
      </c>
      <c r="B203" s="139" t="s">
        <v>59</v>
      </c>
      <c r="C203" s="139">
        <v>72043</v>
      </c>
      <c r="D203" s="139"/>
      <c r="E203" s="139"/>
      <c r="F203" s="139"/>
      <c r="G203" s="139"/>
    </row>
    <row r="204" spans="1:7" ht="14.25" customHeight="1" x14ac:dyDescent="0.35">
      <c r="A204" s="138" t="s">
        <v>241</v>
      </c>
      <c r="B204" s="139" t="s">
        <v>52</v>
      </c>
      <c r="C204" s="139">
        <v>23064</v>
      </c>
      <c r="D204" s="139"/>
      <c r="E204" s="139"/>
      <c r="F204" s="139"/>
      <c r="G204" s="139"/>
    </row>
    <row r="205" spans="1:7" ht="14.25" customHeight="1" x14ac:dyDescent="0.35">
      <c r="A205" s="138" t="s">
        <v>251</v>
      </c>
      <c r="B205" s="139" t="s">
        <v>55</v>
      </c>
      <c r="C205" s="139">
        <v>37011</v>
      </c>
      <c r="D205" s="139"/>
      <c r="E205" s="139"/>
      <c r="F205" s="139"/>
      <c r="G205" s="139"/>
    </row>
    <row r="206" spans="1:7" ht="14.25" customHeight="1" x14ac:dyDescent="0.35">
      <c r="A206" s="138" t="s">
        <v>98</v>
      </c>
      <c r="B206" s="139" t="s">
        <v>55</v>
      </c>
      <c r="C206" s="139">
        <v>33021</v>
      </c>
      <c r="D206" s="139"/>
      <c r="E206" s="139"/>
      <c r="F206" s="139"/>
      <c r="G206" s="139"/>
    </row>
    <row r="207" spans="1:7" ht="14.25" customHeight="1" x14ac:dyDescent="0.35">
      <c r="A207" s="138" t="s">
        <v>282</v>
      </c>
      <c r="B207" s="139" t="s">
        <v>48</v>
      </c>
      <c r="C207" s="139">
        <v>12029</v>
      </c>
      <c r="D207" s="139"/>
      <c r="E207" s="139"/>
      <c r="F207" s="139"/>
      <c r="G207" s="139"/>
    </row>
    <row r="208" spans="1:7" ht="14.25" customHeight="1" x14ac:dyDescent="0.35">
      <c r="A208" s="138" t="s">
        <v>94</v>
      </c>
      <c r="B208" s="139" t="s">
        <v>48</v>
      </c>
      <c r="C208" s="139">
        <v>12041</v>
      </c>
      <c r="D208" s="139"/>
      <c r="E208" s="139"/>
      <c r="F208" s="139"/>
      <c r="G208" s="139"/>
    </row>
    <row r="209" spans="1:7" ht="14.25" customHeight="1" x14ac:dyDescent="0.35">
      <c r="A209" s="138" t="s">
        <v>284</v>
      </c>
      <c r="B209" s="139" t="s">
        <v>48</v>
      </c>
      <c r="C209" s="139">
        <v>11035</v>
      </c>
      <c r="D209" s="139"/>
      <c r="E209" s="139"/>
      <c r="F209" s="139"/>
      <c r="G209" s="139"/>
    </row>
    <row r="210" spans="1:7" ht="14.25" customHeight="1" x14ac:dyDescent="0.35">
      <c r="A210" s="138" t="s">
        <v>277</v>
      </c>
      <c r="B210" s="139" t="s">
        <v>48</v>
      </c>
      <c r="C210" s="139">
        <v>13035</v>
      </c>
      <c r="D210" s="139"/>
      <c r="E210" s="139"/>
      <c r="F210" s="139"/>
      <c r="G210" s="139"/>
    </row>
    <row r="211" spans="1:7" ht="14.25" customHeight="1" x14ac:dyDescent="0.35">
      <c r="A211" s="138" t="s">
        <v>204</v>
      </c>
      <c r="B211" s="139" t="s">
        <v>48</v>
      </c>
      <c r="C211" s="139">
        <v>13036</v>
      </c>
      <c r="D211" s="139"/>
      <c r="E211" s="139"/>
      <c r="F211" s="139"/>
      <c r="G211" s="139"/>
    </row>
    <row r="212" spans="1:7" ht="14.25" customHeight="1" x14ac:dyDescent="0.35">
      <c r="A212" s="138" t="s">
        <v>332</v>
      </c>
      <c r="B212" s="139" t="s">
        <v>59</v>
      </c>
      <c r="C212" s="139">
        <v>73066</v>
      </c>
      <c r="D212" s="139"/>
      <c r="E212" s="139"/>
      <c r="F212" s="139"/>
      <c r="G212" s="139"/>
    </row>
    <row r="213" spans="1:7" ht="14.25" customHeight="1" x14ac:dyDescent="0.35">
      <c r="A213" s="138" t="s">
        <v>267</v>
      </c>
      <c r="B213" s="139" t="s">
        <v>48</v>
      </c>
      <c r="C213" s="139">
        <v>13037</v>
      </c>
      <c r="D213" s="139"/>
      <c r="E213" s="139"/>
      <c r="F213" s="139"/>
      <c r="G213" s="139"/>
    </row>
    <row r="214" spans="1:7" ht="14.25" customHeight="1" x14ac:dyDescent="0.35">
      <c r="A214" s="138" t="s">
        <v>63</v>
      </c>
      <c r="B214" s="139" t="s">
        <v>55</v>
      </c>
      <c r="C214" s="139">
        <v>36015</v>
      </c>
      <c r="D214" s="139"/>
      <c r="E214" s="139"/>
      <c r="F214" s="139"/>
      <c r="G214" s="139"/>
    </row>
    <row r="215" spans="1:7" ht="14.25" customHeight="1" x14ac:dyDescent="0.35">
      <c r="A215" s="138" t="s">
        <v>141</v>
      </c>
      <c r="B215" s="139" t="s">
        <v>50</v>
      </c>
      <c r="C215" s="139">
        <v>45041</v>
      </c>
      <c r="D215" s="139"/>
      <c r="E215" s="139"/>
      <c r="F215" s="139"/>
      <c r="G215" s="139"/>
    </row>
    <row r="216" spans="1:7" ht="14.25" customHeight="1" x14ac:dyDescent="0.35">
      <c r="A216" s="138" t="s">
        <v>328</v>
      </c>
      <c r="B216" s="139" t="s">
        <v>52</v>
      </c>
      <c r="C216" s="139">
        <v>23097</v>
      </c>
      <c r="D216" s="139"/>
      <c r="E216" s="139"/>
      <c r="F216" s="139"/>
      <c r="G216" s="139"/>
    </row>
    <row r="217" spans="1:7" ht="14.25" customHeight="1" x14ac:dyDescent="0.35">
      <c r="A217" s="138" t="s">
        <v>78</v>
      </c>
      <c r="B217" s="139" t="s">
        <v>52</v>
      </c>
      <c r="C217" s="139">
        <v>24094</v>
      </c>
      <c r="D217" s="139"/>
      <c r="E217" s="139"/>
      <c r="F217" s="139"/>
      <c r="G217" s="139"/>
    </row>
    <row r="218" spans="1:7" ht="14.25" customHeight="1" x14ac:dyDescent="0.35">
      <c r="A218" s="138" t="s">
        <v>160</v>
      </c>
      <c r="B218" s="139" t="s">
        <v>48</v>
      </c>
      <c r="C218" s="139">
        <v>11037</v>
      </c>
      <c r="D218" s="139"/>
      <c r="E218" s="139"/>
      <c r="F218" s="139"/>
      <c r="G218" s="139"/>
    </row>
    <row r="219" spans="1:7" ht="14.25" customHeight="1" x14ac:dyDescent="0.35">
      <c r="A219" s="138" t="s">
        <v>169</v>
      </c>
      <c r="B219" s="139" t="s">
        <v>48</v>
      </c>
      <c r="C219" s="139">
        <v>11038</v>
      </c>
      <c r="D219" s="139"/>
      <c r="E219" s="139"/>
      <c r="F219" s="139"/>
      <c r="G219" s="139"/>
    </row>
    <row r="220" spans="1:7" ht="14.25" customHeight="1" x14ac:dyDescent="0.35">
      <c r="A220" s="138" t="s">
        <v>292</v>
      </c>
      <c r="B220" s="139" t="s">
        <v>52</v>
      </c>
      <c r="C220" s="139">
        <v>24134</v>
      </c>
      <c r="D220" s="139"/>
      <c r="E220" s="139"/>
      <c r="F220" s="139"/>
      <c r="G220" s="139"/>
    </row>
    <row r="221" spans="1:7" ht="14.25" customHeight="1" x14ac:dyDescent="0.35">
      <c r="A221" s="138" t="s">
        <v>311</v>
      </c>
      <c r="B221" s="139" t="s">
        <v>48</v>
      </c>
      <c r="C221" s="139">
        <v>11039</v>
      </c>
      <c r="D221" s="139"/>
      <c r="E221" s="139"/>
      <c r="F221" s="139"/>
      <c r="G221" s="139"/>
    </row>
    <row r="222" spans="1:7" ht="14.25" customHeight="1" x14ac:dyDescent="0.35">
      <c r="A222" s="138" t="s">
        <v>188</v>
      </c>
      <c r="B222" s="139" t="s">
        <v>48</v>
      </c>
      <c r="C222" s="139">
        <v>11040</v>
      </c>
      <c r="D222" s="139"/>
      <c r="E222" s="139"/>
      <c r="F222" s="139"/>
      <c r="G222" s="139"/>
    </row>
    <row r="223" spans="1:7" ht="14.25" customHeight="1" x14ac:dyDescent="0.35">
      <c r="A223" s="138" t="s">
        <v>220</v>
      </c>
      <c r="B223" s="139" t="s">
        <v>52</v>
      </c>
      <c r="C223" s="139">
        <v>23101</v>
      </c>
      <c r="D223" s="139"/>
      <c r="E223" s="139"/>
      <c r="F223" s="139"/>
      <c r="G223" s="139"/>
    </row>
    <row r="224" spans="1:7" ht="14.25" customHeight="1" x14ac:dyDescent="0.35">
      <c r="A224" s="138" t="s">
        <v>226</v>
      </c>
      <c r="B224" s="139" t="s">
        <v>50</v>
      </c>
      <c r="C224" s="139">
        <v>46020</v>
      </c>
      <c r="D224" s="139"/>
      <c r="E224" s="139"/>
      <c r="F224" s="139"/>
      <c r="G224" s="139"/>
    </row>
    <row r="225" spans="1:7" ht="14.25" customHeight="1" x14ac:dyDescent="0.35">
      <c r="A225" s="138" t="s">
        <v>183</v>
      </c>
      <c r="B225" s="139" t="s">
        <v>48</v>
      </c>
      <c r="C225" s="139">
        <v>12035</v>
      </c>
      <c r="D225" s="139"/>
      <c r="E225" s="139"/>
      <c r="F225" s="139"/>
      <c r="G225" s="139"/>
    </row>
    <row r="226" spans="1:7" ht="14.25" customHeight="1" x14ac:dyDescent="0.35">
      <c r="A226" s="138" t="s">
        <v>250</v>
      </c>
      <c r="B226" s="139" t="s">
        <v>50</v>
      </c>
      <c r="C226" s="139">
        <v>43014</v>
      </c>
      <c r="D226" s="139"/>
      <c r="E226" s="139"/>
      <c r="F226" s="139"/>
      <c r="G226" s="139"/>
    </row>
    <row r="227" spans="1:7" ht="14.25" customHeight="1" x14ac:dyDescent="0.35">
      <c r="A227" s="138" t="s">
        <v>202</v>
      </c>
      <c r="B227" s="139" t="s">
        <v>50</v>
      </c>
      <c r="C227" s="139">
        <v>41063</v>
      </c>
      <c r="D227" s="139"/>
      <c r="E227" s="139"/>
      <c r="F227" s="139"/>
      <c r="G227" s="139"/>
    </row>
    <row r="228" spans="1:7" ht="14.25" customHeight="1" x14ac:dyDescent="0.35">
      <c r="A228" s="138" t="s">
        <v>148</v>
      </c>
      <c r="B228" s="139" t="s">
        <v>50</v>
      </c>
      <c r="C228" s="139">
        <v>44064</v>
      </c>
      <c r="D228" s="139"/>
      <c r="E228" s="139"/>
      <c r="F228" s="139"/>
      <c r="G228" s="139"/>
    </row>
    <row r="229" spans="1:7" ht="14.25" customHeight="1" x14ac:dyDescent="0.35">
      <c r="A229" s="138" t="s">
        <v>57</v>
      </c>
      <c r="B229" s="139" t="s">
        <v>50</v>
      </c>
      <c r="C229" s="139">
        <v>46021</v>
      </c>
      <c r="D229" s="139"/>
      <c r="E229" s="139"/>
      <c r="F229" s="139"/>
      <c r="G229" s="139"/>
    </row>
    <row r="230" spans="1:7" ht="14.25" customHeight="1" x14ac:dyDescent="0.35">
      <c r="A230" s="138" t="s">
        <v>132</v>
      </c>
      <c r="B230" s="139" t="s">
        <v>52</v>
      </c>
      <c r="C230" s="139">
        <v>23077</v>
      </c>
      <c r="D230" s="139"/>
      <c r="E230" s="139"/>
      <c r="F230" s="139"/>
      <c r="G230" s="139"/>
    </row>
    <row r="231" spans="1:7" ht="14.25" customHeight="1" x14ac:dyDescent="0.35">
      <c r="A231" s="138" t="s">
        <v>189</v>
      </c>
      <c r="B231" s="139" t="s">
        <v>59</v>
      </c>
      <c r="C231" s="139">
        <v>71053</v>
      </c>
      <c r="D231" s="139"/>
      <c r="E231" s="139"/>
      <c r="F231" s="139"/>
      <c r="G231" s="139"/>
    </row>
    <row r="232" spans="1:7" ht="14.25" customHeight="1" x14ac:dyDescent="0.35">
      <c r="A232" s="138" t="s">
        <v>314</v>
      </c>
      <c r="B232" s="139" t="s">
        <v>55</v>
      </c>
      <c r="C232" s="139">
        <v>34043</v>
      </c>
      <c r="D232" s="139"/>
      <c r="E232" s="139"/>
      <c r="F232" s="139"/>
      <c r="G232" s="139"/>
    </row>
    <row r="233" spans="1:7" ht="14.25" customHeight="1" x14ac:dyDescent="0.35">
      <c r="A233" s="138" t="s">
        <v>336</v>
      </c>
      <c r="B233" s="139" t="s">
        <v>48</v>
      </c>
      <c r="C233" s="139">
        <v>11044</v>
      </c>
      <c r="D233" s="139"/>
      <c r="E233" s="139"/>
      <c r="F233" s="139"/>
      <c r="G233" s="139"/>
    </row>
    <row r="234" spans="1:7" ht="14.25" customHeight="1" x14ac:dyDescent="0.35">
      <c r="A234" s="138" t="s">
        <v>154</v>
      </c>
      <c r="B234" s="139" t="s">
        <v>55</v>
      </c>
      <c r="C234" s="139">
        <v>36019</v>
      </c>
      <c r="D234" s="139"/>
      <c r="E234" s="139"/>
      <c r="F234" s="139"/>
      <c r="G234" s="139"/>
    </row>
    <row r="235" spans="1:7" ht="14.25" customHeight="1" x14ac:dyDescent="0.35">
      <c r="A235" s="138" t="s">
        <v>208</v>
      </c>
      <c r="B235" s="139" t="s">
        <v>52</v>
      </c>
      <c r="C235" s="139">
        <v>23081</v>
      </c>
      <c r="D235" s="139"/>
      <c r="E235" s="139"/>
      <c r="F235" s="139"/>
      <c r="G235" s="139"/>
    </row>
    <row r="236" spans="1:7" ht="14.25" customHeight="1" x14ac:dyDescent="0.35">
      <c r="A236" s="138" t="s">
        <v>285</v>
      </c>
      <c r="B236" s="139" t="s">
        <v>50</v>
      </c>
      <c r="C236" s="139">
        <v>46024</v>
      </c>
      <c r="D236" s="139"/>
      <c r="E236" s="139"/>
      <c r="F236" s="139"/>
      <c r="G236" s="139"/>
    </row>
    <row r="237" spans="1:7" ht="14.25" customHeight="1" x14ac:dyDescent="0.35">
      <c r="A237" s="138" t="s">
        <v>166</v>
      </c>
      <c r="B237" s="139" t="s">
        <v>50</v>
      </c>
      <c r="C237" s="139">
        <v>46025</v>
      </c>
      <c r="D237" s="139"/>
      <c r="E237" s="139"/>
      <c r="F237" s="139"/>
      <c r="G237" s="139"/>
    </row>
    <row r="238" spans="1:7" ht="14.25" customHeight="1" x14ac:dyDescent="0.35">
      <c r="A238" s="138" t="s">
        <v>217</v>
      </c>
      <c r="B238" s="139" t="s">
        <v>52</v>
      </c>
      <c r="C238" s="139">
        <v>23086</v>
      </c>
      <c r="D238" s="139"/>
      <c r="E238" s="139"/>
      <c r="F238" s="139"/>
      <c r="G238" s="139"/>
    </row>
    <row r="239" spans="1:7" ht="14.25" customHeight="1" x14ac:dyDescent="0.35">
      <c r="A239" s="138" t="s">
        <v>87</v>
      </c>
      <c r="B239" s="139" t="s">
        <v>52</v>
      </c>
      <c r="C239" s="139">
        <v>24104</v>
      </c>
      <c r="D239" s="139"/>
      <c r="E239" s="139"/>
      <c r="F239" s="139"/>
      <c r="G239" s="139"/>
    </row>
    <row r="240" spans="1:7" ht="14.25" customHeight="1" x14ac:dyDescent="0.35">
      <c r="A240" s="138" t="s">
        <v>147</v>
      </c>
      <c r="B240" s="139" t="s">
        <v>59</v>
      </c>
      <c r="C240" s="139">
        <v>71057</v>
      </c>
      <c r="D240" s="139"/>
      <c r="E240" s="139"/>
      <c r="F240" s="139"/>
      <c r="G240" s="139"/>
    </row>
    <row r="241" spans="1:7" ht="14.25" customHeight="1" x14ac:dyDescent="0.35">
      <c r="A241" s="138" t="s">
        <v>102</v>
      </c>
      <c r="B241" s="139" t="s">
        <v>55</v>
      </c>
      <c r="C241" s="139">
        <v>37015</v>
      </c>
      <c r="D241" s="139"/>
      <c r="E241" s="139"/>
      <c r="F241" s="139"/>
      <c r="G241" s="139"/>
    </row>
    <row r="242" spans="1:7" ht="14.25" customHeight="1" x14ac:dyDescent="0.35">
      <c r="A242" s="138" t="s">
        <v>302</v>
      </c>
      <c r="B242" s="139" t="s">
        <v>52</v>
      </c>
      <c r="C242" s="139">
        <v>24135</v>
      </c>
      <c r="D242" s="139"/>
      <c r="E242" s="139"/>
      <c r="F242" s="139"/>
      <c r="G242" s="139"/>
    </row>
    <row r="243" spans="1:7" ht="14.25" customHeight="1" x14ac:dyDescent="0.35">
      <c r="A243" s="138" t="s">
        <v>104</v>
      </c>
      <c r="B243" s="139" t="s">
        <v>52</v>
      </c>
      <c r="C243" s="139">
        <v>24107</v>
      </c>
      <c r="D243" s="139"/>
      <c r="E243" s="139"/>
      <c r="F243" s="139"/>
      <c r="G243" s="139"/>
    </row>
    <row r="244" spans="1:7" ht="14.25" customHeight="1" x14ac:dyDescent="0.35">
      <c r="A244" s="138" t="s">
        <v>133</v>
      </c>
      <c r="B244" s="139" t="s">
        <v>59</v>
      </c>
      <c r="C244" s="139">
        <v>73083</v>
      </c>
      <c r="D244" s="139"/>
      <c r="E244" s="139"/>
      <c r="F244" s="139"/>
      <c r="G244" s="139"/>
    </row>
    <row r="245" spans="1:7" ht="14.25" customHeight="1" x14ac:dyDescent="0.35">
      <c r="A245" s="138" t="s">
        <v>93</v>
      </c>
      <c r="B245" s="139" t="s">
        <v>55</v>
      </c>
      <c r="C245" s="139">
        <v>31033</v>
      </c>
      <c r="D245" s="139"/>
      <c r="E245" s="139"/>
      <c r="F245" s="139"/>
      <c r="G245" s="139"/>
    </row>
    <row r="246" spans="1:7" ht="14.25" customHeight="1" x14ac:dyDescent="0.35">
      <c r="A246" s="138" t="s">
        <v>215</v>
      </c>
      <c r="B246" s="139" t="s">
        <v>52</v>
      </c>
      <c r="C246" s="139">
        <v>24109</v>
      </c>
      <c r="D246" s="139"/>
      <c r="E246" s="139"/>
      <c r="F246" s="139"/>
      <c r="G246" s="139"/>
    </row>
    <row r="247" spans="1:7" ht="14.25" customHeight="1" x14ac:dyDescent="0.35">
      <c r="A247" s="138" t="s">
        <v>61</v>
      </c>
      <c r="B247" s="139" t="s">
        <v>48</v>
      </c>
      <c r="C247" s="139">
        <v>13040</v>
      </c>
      <c r="D247" s="139"/>
      <c r="E247" s="139"/>
      <c r="F247" s="139"/>
      <c r="G247" s="139"/>
    </row>
    <row r="248" spans="1:7" ht="14.25" customHeight="1" x14ac:dyDescent="0.35">
      <c r="A248" s="138" t="s">
        <v>175</v>
      </c>
      <c r="B248" s="139" t="s">
        <v>55</v>
      </c>
      <c r="C248" s="139">
        <v>38025</v>
      </c>
      <c r="D248" s="139"/>
      <c r="E248" s="139"/>
      <c r="F248" s="139"/>
      <c r="G248" s="139"/>
    </row>
    <row r="249" spans="1:7" ht="14.25" customHeight="1" x14ac:dyDescent="0.35">
      <c r="A249" s="138" t="s">
        <v>74</v>
      </c>
      <c r="B249" s="139" t="s">
        <v>52</v>
      </c>
      <c r="C249" s="139">
        <v>23088</v>
      </c>
      <c r="D249" s="139"/>
      <c r="E249" s="139"/>
      <c r="F249" s="139"/>
      <c r="G249" s="139"/>
    </row>
    <row r="250" spans="1:7" ht="14.25" customHeight="1" x14ac:dyDescent="0.35">
      <c r="A250" s="138" t="s">
        <v>240</v>
      </c>
      <c r="B250" s="139" t="s">
        <v>55</v>
      </c>
      <c r="C250" s="139">
        <v>33041</v>
      </c>
      <c r="D250" s="139"/>
      <c r="E250" s="139"/>
      <c r="F250" s="139"/>
      <c r="G250" s="139"/>
    </row>
    <row r="251" spans="1:7" ht="14.25" customHeight="1" x14ac:dyDescent="0.35">
      <c r="A251" s="138" t="s">
        <v>318</v>
      </c>
      <c r="B251" s="139" t="s">
        <v>59</v>
      </c>
      <c r="C251" s="139">
        <v>73109</v>
      </c>
      <c r="D251" s="139"/>
      <c r="E251" s="139"/>
      <c r="F251" s="139"/>
      <c r="G251" s="139"/>
    </row>
    <row r="252" spans="1:7" ht="14.25" customHeight="1" x14ac:dyDescent="0.35">
      <c r="A252" s="138" t="s">
        <v>195</v>
      </c>
      <c r="B252" s="139" t="s">
        <v>48</v>
      </c>
      <c r="C252" s="139">
        <v>13044</v>
      </c>
      <c r="D252" s="139"/>
      <c r="E252" s="139"/>
      <c r="F252" s="139"/>
      <c r="G252" s="139"/>
    </row>
    <row r="253" spans="1:7" ht="14.25" customHeight="1" x14ac:dyDescent="0.35">
      <c r="A253" s="138" t="s">
        <v>264</v>
      </c>
      <c r="B253" s="139" t="s">
        <v>48</v>
      </c>
      <c r="C253" s="139">
        <v>13046</v>
      </c>
      <c r="D253" s="139"/>
      <c r="E253" s="139"/>
      <c r="F253" s="139"/>
      <c r="G253" s="139"/>
    </row>
    <row r="254" spans="1:7" ht="14.25" customHeight="1" x14ac:dyDescent="0.35">
      <c r="A254" s="138" t="s">
        <v>262</v>
      </c>
      <c r="B254" s="139" t="s">
        <v>50</v>
      </c>
      <c r="C254" s="139">
        <v>42023</v>
      </c>
      <c r="D254" s="139"/>
      <c r="E254" s="139"/>
      <c r="F254" s="139"/>
      <c r="G254" s="139"/>
    </row>
    <row r="255" spans="1:7" ht="14.25" customHeight="1" x14ac:dyDescent="0.35">
      <c r="A255" s="138" t="s">
        <v>146</v>
      </c>
      <c r="B255" s="139" t="s">
        <v>55</v>
      </c>
      <c r="C255" s="139">
        <v>34040</v>
      </c>
      <c r="D255" s="139"/>
      <c r="E255" s="139"/>
      <c r="F255" s="139"/>
      <c r="G255" s="139"/>
    </row>
    <row r="256" spans="1:7" ht="14.25" customHeight="1" x14ac:dyDescent="0.35">
      <c r="A256" s="138" t="s">
        <v>322</v>
      </c>
      <c r="B256" s="139" t="s">
        <v>59</v>
      </c>
      <c r="C256" s="139">
        <v>73098</v>
      </c>
      <c r="D256" s="139"/>
      <c r="E256" s="139"/>
      <c r="F256" s="139"/>
      <c r="G256" s="139"/>
    </row>
    <row r="257" spans="1:7" ht="14.25" customHeight="1" x14ac:dyDescent="0.35">
      <c r="A257" s="138" t="s">
        <v>162</v>
      </c>
      <c r="B257" s="139" t="s">
        <v>52</v>
      </c>
      <c r="C257" s="139">
        <v>23102</v>
      </c>
      <c r="D257" s="139"/>
      <c r="E257" s="139"/>
      <c r="F257" s="139"/>
      <c r="G257" s="139"/>
    </row>
    <row r="258" spans="1:7" ht="14.25" customHeight="1" x14ac:dyDescent="0.35">
      <c r="A258" s="138" t="s">
        <v>222</v>
      </c>
      <c r="B258" s="139" t="s">
        <v>55</v>
      </c>
      <c r="C258" s="139">
        <v>33029</v>
      </c>
      <c r="D258" s="139"/>
      <c r="E258" s="139"/>
      <c r="F258" s="139"/>
      <c r="G258" s="139"/>
    </row>
    <row r="259" spans="1:7" ht="14.25" customHeight="1" x14ac:dyDescent="0.35">
      <c r="A259" s="138" t="s">
        <v>101</v>
      </c>
      <c r="B259" s="139" t="s">
        <v>48</v>
      </c>
      <c r="C259" s="139">
        <v>13049</v>
      </c>
      <c r="D259" s="139"/>
      <c r="E259" s="139"/>
      <c r="F259" s="139"/>
      <c r="G259" s="139"/>
    </row>
    <row r="260" spans="1:7" ht="14.25" customHeight="1" x14ac:dyDescent="0.35">
      <c r="A260" s="138" t="s">
        <v>89</v>
      </c>
      <c r="B260" s="139" t="s">
        <v>50</v>
      </c>
      <c r="C260" s="139">
        <v>42025</v>
      </c>
      <c r="D260" s="139"/>
      <c r="E260" s="139"/>
      <c r="F260" s="139"/>
      <c r="G260" s="139"/>
    </row>
    <row r="261" spans="1:7" ht="14.25" customHeight="1" x14ac:dyDescent="0.35">
      <c r="A261" s="138" t="s">
        <v>143</v>
      </c>
      <c r="B261" s="139" t="s">
        <v>55</v>
      </c>
      <c r="C261" s="139">
        <v>34041</v>
      </c>
      <c r="D261" s="139"/>
      <c r="E261" s="139"/>
      <c r="F261" s="139"/>
      <c r="G261" s="139"/>
    </row>
    <row r="262" spans="1:7" ht="14.25" customHeight="1" x14ac:dyDescent="0.35">
      <c r="A262" s="138" t="s">
        <v>213</v>
      </c>
      <c r="B262" s="139" t="s">
        <v>52</v>
      </c>
      <c r="C262" s="139">
        <v>23103</v>
      </c>
      <c r="D262" s="139"/>
      <c r="E262" s="139"/>
      <c r="F262" s="139"/>
      <c r="G262" s="139"/>
    </row>
    <row r="263" spans="1:7" ht="14.25" customHeight="1" x14ac:dyDescent="0.35">
      <c r="A263" s="138" t="s">
        <v>205</v>
      </c>
      <c r="B263" s="139" t="s">
        <v>50</v>
      </c>
      <c r="C263" s="139">
        <v>42026</v>
      </c>
      <c r="D263" s="139"/>
      <c r="E263" s="139"/>
      <c r="F263" s="139"/>
      <c r="G263" s="139"/>
    </row>
    <row r="264" spans="1:7" ht="14.25" customHeight="1" x14ac:dyDescent="0.35">
      <c r="A264" s="138" t="s">
        <v>201</v>
      </c>
      <c r="B264" s="139" t="s">
        <v>55</v>
      </c>
      <c r="C264" s="139">
        <v>37017</v>
      </c>
      <c r="D264" s="139"/>
      <c r="E264" s="139"/>
      <c r="F264" s="139"/>
      <c r="G264" s="139"/>
    </row>
    <row r="265" spans="1:7" ht="14.25" customHeight="1" x14ac:dyDescent="0.35">
      <c r="A265" s="138" t="s">
        <v>151</v>
      </c>
      <c r="B265" s="139" t="s">
        <v>48</v>
      </c>
      <c r="C265" s="139">
        <v>11050</v>
      </c>
      <c r="D265" s="139"/>
      <c r="E265" s="139"/>
      <c r="F265" s="139"/>
      <c r="G265" s="139"/>
    </row>
    <row r="266" spans="1:7" ht="14.25" customHeight="1" x14ac:dyDescent="0.35">
      <c r="A266" s="138" t="s">
        <v>142</v>
      </c>
      <c r="B266" s="139" t="s">
        <v>48</v>
      </c>
      <c r="C266" s="139">
        <v>12040</v>
      </c>
      <c r="D266" s="139"/>
      <c r="E266" s="139"/>
      <c r="F266" s="139"/>
      <c r="G266" s="139"/>
    </row>
    <row r="267" spans="1:7" ht="14.25" customHeight="1" x14ac:dyDescent="0.35">
      <c r="A267" s="138" t="s">
        <v>115</v>
      </c>
      <c r="B267" s="139" t="s">
        <v>55</v>
      </c>
      <c r="C267" s="139">
        <v>37018</v>
      </c>
      <c r="D267" s="139"/>
      <c r="E267" s="139"/>
      <c r="F267" s="139"/>
      <c r="G267" s="139"/>
    </row>
    <row r="268" spans="1:7" ht="14.25" customHeight="1" x14ac:dyDescent="0.35">
      <c r="A268" s="138" t="s">
        <v>210</v>
      </c>
      <c r="B268" s="139" t="s">
        <v>48</v>
      </c>
      <c r="C268" s="139">
        <v>11052</v>
      </c>
      <c r="D268" s="139"/>
      <c r="E268" s="139"/>
      <c r="F268" s="139"/>
      <c r="G268" s="139"/>
    </row>
    <row r="269" spans="1:7" ht="14.25" customHeight="1" x14ac:dyDescent="0.35">
      <c r="A269" s="138" t="s">
        <v>246</v>
      </c>
      <c r="B269" s="139" t="s">
        <v>50</v>
      </c>
      <c r="C269" s="139">
        <v>45061</v>
      </c>
      <c r="D269" s="139"/>
      <c r="E269" s="139"/>
      <c r="F269" s="139"/>
      <c r="G269" s="139"/>
    </row>
    <row r="270" spans="1:7" ht="14.25" customHeight="1" x14ac:dyDescent="0.35">
      <c r="A270" s="138" t="s">
        <v>290</v>
      </c>
      <c r="B270" s="139" t="s">
        <v>48</v>
      </c>
      <c r="C270" s="139">
        <v>11053</v>
      </c>
      <c r="D270" s="139"/>
      <c r="E270" s="139"/>
      <c r="F270" s="139"/>
      <c r="G270" s="139"/>
    </row>
    <row r="271" spans="1:7" ht="14.25" customHeight="1" x14ac:dyDescent="0.35">
      <c r="A271" s="138" t="s">
        <v>305</v>
      </c>
      <c r="B271" s="139" t="s">
        <v>48</v>
      </c>
      <c r="C271" s="139">
        <v>11054</v>
      </c>
      <c r="D271" s="139"/>
      <c r="E271" s="139"/>
      <c r="F271" s="139"/>
      <c r="G271" s="139"/>
    </row>
    <row r="272" spans="1:7" ht="14.25" customHeight="1" x14ac:dyDescent="0.35">
      <c r="A272" s="138" t="s">
        <v>105</v>
      </c>
      <c r="B272" s="139" t="s">
        <v>52</v>
      </c>
      <c r="C272" s="139">
        <v>23094</v>
      </c>
      <c r="D272" s="139"/>
      <c r="E272" s="139"/>
      <c r="F272" s="139"/>
      <c r="G272" s="139"/>
    </row>
    <row r="273" spans="1:7" ht="14.25" customHeight="1" x14ac:dyDescent="0.35">
      <c r="A273" s="138" t="s">
        <v>164</v>
      </c>
      <c r="B273" s="139" t="s">
        <v>55</v>
      </c>
      <c r="C273" s="139">
        <v>31040</v>
      </c>
      <c r="D273" s="139"/>
      <c r="E273" s="139"/>
      <c r="F273" s="139"/>
      <c r="G273" s="139"/>
    </row>
    <row r="274" spans="1:7" ht="14.25" customHeight="1" x14ac:dyDescent="0.35">
      <c r="A274" s="138" t="s">
        <v>228</v>
      </c>
      <c r="B274" s="139" t="s">
        <v>50</v>
      </c>
      <c r="C274" s="139">
        <v>42028</v>
      </c>
      <c r="D274" s="139"/>
      <c r="E274" s="139"/>
      <c r="F274" s="139"/>
      <c r="G274" s="139"/>
    </row>
    <row r="275" spans="1:7" ht="14.25" customHeight="1" x14ac:dyDescent="0.35">
      <c r="A275" s="138" t="s">
        <v>269</v>
      </c>
      <c r="B275" s="139" t="s">
        <v>50</v>
      </c>
      <c r="C275" s="139">
        <v>43018</v>
      </c>
      <c r="D275" s="139"/>
      <c r="E275" s="139"/>
      <c r="F275" s="139"/>
      <c r="G275" s="139"/>
    </row>
    <row r="276" spans="1:7" ht="14.25" customHeight="1" x14ac:dyDescent="0.35">
      <c r="A276" s="138" t="s">
        <v>119</v>
      </c>
      <c r="B276" s="139" t="s">
        <v>52</v>
      </c>
      <c r="C276" s="139">
        <v>23096</v>
      </c>
      <c r="D276" s="139"/>
      <c r="E276" s="139"/>
      <c r="F276" s="139"/>
      <c r="G276" s="139"/>
    </row>
    <row r="277" spans="1:7" ht="14.25" customHeight="1" x14ac:dyDescent="0.35">
      <c r="A277" s="138" t="s">
        <v>291</v>
      </c>
      <c r="B277" s="139" t="s">
        <v>48</v>
      </c>
      <c r="C277" s="139">
        <v>11055</v>
      </c>
      <c r="D277" s="139"/>
      <c r="E277" s="139"/>
      <c r="F277" s="139"/>
      <c r="G277" s="139"/>
    </row>
    <row r="278" spans="1:7" ht="14.25" customHeight="1" x14ac:dyDescent="0.35">
      <c r="A278" s="138" t="s">
        <v>289</v>
      </c>
      <c r="B278" s="139" t="s">
        <v>59</v>
      </c>
      <c r="C278" s="139">
        <v>71066</v>
      </c>
      <c r="D278" s="139"/>
      <c r="E278" s="139"/>
      <c r="F278" s="139"/>
      <c r="G278" s="139"/>
    </row>
    <row r="279" spans="1:7" ht="14.25" customHeight="1" x14ac:dyDescent="0.35">
      <c r="A279" s="138" t="s">
        <v>137</v>
      </c>
      <c r="B279" s="139" t="s">
        <v>55</v>
      </c>
      <c r="C279" s="139">
        <v>33037</v>
      </c>
      <c r="D279" s="139"/>
      <c r="E279" s="139"/>
      <c r="F279" s="139"/>
      <c r="G279" s="139"/>
    </row>
    <row r="280" spans="1:7" ht="14.25" customHeight="1" x14ac:dyDescent="0.35">
      <c r="A280" s="138" t="s">
        <v>120</v>
      </c>
      <c r="B280" s="139" t="s">
        <v>50</v>
      </c>
      <c r="C280" s="139">
        <v>41081</v>
      </c>
      <c r="D280" s="139"/>
      <c r="E280" s="139"/>
      <c r="F280" s="139"/>
      <c r="G280" s="139"/>
    </row>
    <row r="281" spans="1:7" ht="14.25" customHeight="1" x14ac:dyDescent="0.35">
      <c r="A281" s="138" t="s">
        <v>255</v>
      </c>
      <c r="B281" s="139" t="s">
        <v>52</v>
      </c>
      <c r="C281" s="139">
        <v>24130</v>
      </c>
      <c r="D281" s="139"/>
      <c r="E281" s="139"/>
      <c r="F281" s="139"/>
      <c r="G281" s="139"/>
    </row>
    <row r="282" spans="1:7" ht="14.25" customHeight="1" x14ac:dyDescent="0.35">
      <c r="A282" s="138" t="s">
        <v>316</v>
      </c>
      <c r="B282" s="139" t="s">
        <v>55</v>
      </c>
      <c r="C282" s="139">
        <v>31042</v>
      </c>
      <c r="D282" s="139"/>
      <c r="E282" s="139"/>
      <c r="F282" s="139"/>
      <c r="G282" s="139"/>
    </row>
    <row r="283" spans="1:7" ht="14.25" customHeight="1" x14ac:dyDescent="0.35">
      <c r="A283" s="138" t="s">
        <v>111</v>
      </c>
      <c r="B283" s="139" t="s">
        <v>50</v>
      </c>
      <c r="C283" s="139">
        <v>44081</v>
      </c>
      <c r="D283" s="139"/>
      <c r="E283" s="139"/>
      <c r="F283" s="139"/>
      <c r="G283" s="139"/>
    </row>
    <row r="284" spans="1:7" ht="14.25" customHeight="1" x14ac:dyDescent="0.35">
      <c r="A284" s="138" t="s">
        <v>321</v>
      </c>
      <c r="B284" s="139" t="s">
        <v>59</v>
      </c>
      <c r="C284" s="139">
        <v>71067</v>
      </c>
      <c r="D284" s="139"/>
      <c r="E284" s="139"/>
      <c r="F284" s="139"/>
      <c r="G284" s="139"/>
    </row>
    <row r="285" spans="1:7" ht="14.25" customHeight="1" x14ac:dyDescent="0.35">
      <c r="A285" s="138" t="s">
        <v>149</v>
      </c>
      <c r="B285" s="139" t="s">
        <v>50</v>
      </c>
      <c r="C285" s="139">
        <v>45065</v>
      </c>
      <c r="D285" s="139"/>
      <c r="E285" s="139"/>
      <c r="F285" s="139"/>
      <c r="G285" s="139"/>
    </row>
    <row r="286" spans="1:7" ht="14.25" customHeight="1" x14ac:dyDescent="0.35">
      <c r="A286" s="138" t="s">
        <v>186</v>
      </c>
      <c r="B286" s="139" t="s">
        <v>55</v>
      </c>
      <c r="C286" s="139">
        <v>34042</v>
      </c>
      <c r="D286" s="139"/>
      <c r="E286" s="139"/>
      <c r="F286" s="139"/>
      <c r="G286" s="139"/>
    </row>
    <row r="287" spans="1:7" ht="14.25" customHeight="1" x14ac:dyDescent="0.35">
      <c r="A287" s="138"/>
      <c r="B287" s="139"/>
      <c r="C287" s="139"/>
      <c r="D287" s="139">
        <v>835</v>
      </c>
      <c r="E287" s="139">
        <v>13</v>
      </c>
      <c r="F287" s="139">
        <v>715</v>
      </c>
      <c r="G287" s="139">
        <v>0</v>
      </c>
    </row>
    <row r="288" spans="1:7"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2">
    <dataValidation type="custom" allowBlank="1" showDropDown="1" sqref="C2:C286" xr:uid="{00000000-0002-0000-1000-000000000000}">
      <formula1>AND(ISNUMBER(C2),(NOT(OR(NOT(ISERROR(DATEVALUE(C2))), AND(ISNUMBER(C2), LEFT(CELL("format", C2))="D")))))</formula1>
    </dataValidation>
    <dataValidation type="list" allowBlank="1" showDropDown="1" showErrorMessage="1" sqref="B2:B286" xr:uid="{00000000-0002-0000-1000-000001000000}">
      <formula1>"Oost-Vlaanderen,Vlaams-Brabant,Antwerpen,Limburg,West-Vlaanderen"</formula1>
    </dataValidation>
  </dataValidations>
  <pageMargins left="0.7" right="0.7" top="0.75" bottom="0.75" header="0" footer="0"/>
  <pageSetup orientation="landscape"/>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dimension ref="A1:G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17.453125" customWidth="1"/>
    <col min="2" max="2" width="15.81640625" customWidth="1"/>
    <col min="3" max="3" width="12" customWidth="1"/>
    <col min="4" max="4" width="11.54296875" customWidth="1"/>
    <col min="5" max="5" width="11.26953125" customWidth="1"/>
    <col min="6" max="6" width="12.08984375" customWidth="1"/>
    <col min="7" max="7" width="11.54296875" customWidth="1"/>
    <col min="8" max="8" width="8.7265625" customWidth="1"/>
  </cols>
  <sheetData>
    <row r="1" spans="1:7" ht="46.5" customHeight="1" x14ac:dyDescent="0.35">
      <c r="A1" s="128" t="s">
        <v>0</v>
      </c>
      <c r="B1" s="129" t="s">
        <v>1</v>
      </c>
      <c r="C1" s="128" t="s">
        <v>2</v>
      </c>
      <c r="D1" s="128" t="s">
        <v>35</v>
      </c>
      <c r="E1" s="128" t="s">
        <v>36</v>
      </c>
      <c r="F1" s="128" t="s">
        <v>41</v>
      </c>
      <c r="G1" s="128" t="s">
        <v>42</v>
      </c>
    </row>
    <row r="2" spans="1:7" ht="14.25" hidden="1" customHeight="1" x14ac:dyDescent="0.35">
      <c r="A2" s="130" t="s">
        <v>65</v>
      </c>
      <c r="B2" s="131" t="s">
        <v>50</v>
      </c>
      <c r="C2" s="131">
        <v>41002</v>
      </c>
      <c r="D2" s="131"/>
      <c r="E2" s="131"/>
      <c r="F2" s="131"/>
      <c r="G2" s="131"/>
    </row>
    <row r="3" spans="1:7" ht="14.25" hidden="1" customHeight="1" x14ac:dyDescent="0.35">
      <c r="A3" s="132" t="s">
        <v>231</v>
      </c>
      <c r="B3" s="133" t="s">
        <v>50</v>
      </c>
      <c r="C3" s="133">
        <v>44084</v>
      </c>
      <c r="D3" s="133"/>
      <c r="E3" s="133"/>
      <c r="F3" s="133"/>
      <c r="G3" s="133"/>
    </row>
    <row r="4" spans="1:7" ht="14.25" hidden="1" customHeight="1" x14ac:dyDescent="0.35">
      <c r="A4" s="130" t="s">
        <v>84</v>
      </c>
      <c r="B4" s="131" t="s">
        <v>52</v>
      </c>
      <c r="C4" s="131">
        <v>24001</v>
      </c>
      <c r="D4" s="131">
        <v>2</v>
      </c>
      <c r="E4" s="131">
        <v>2</v>
      </c>
      <c r="F4" s="131">
        <v>2</v>
      </c>
      <c r="G4" s="131">
        <v>2</v>
      </c>
    </row>
    <row r="5" spans="1:7" ht="14.25" hidden="1" customHeight="1" x14ac:dyDescent="0.35">
      <c r="A5" s="132" t="s">
        <v>335</v>
      </c>
      <c r="B5" s="133" t="s">
        <v>48</v>
      </c>
      <c r="C5" s="133">
        <v>11001</v>
      </c>
      <c r="D5" s="133"/>
      <c r="E5" s="133"/>
      <c r="F5" s="133"/>
      <c r="G5" s="133"/>
    </row>
    <row r="6" spans="1:7" ht="14.25" hidden="1" customHeight="1" x14ac:dyDescent="0.35">
      <c r="A6" s="130" t="s">
        <v>306</v>
      </c>
      <c r="B6" s="131" t="s">
        <v>52</v>
      </c>
      <c r="C6" s="131">
        <v>23105</v>
      </c>
      <c r="D6" s="131"/>
      <c r="E6" s="131"/>
      <c r="F6" s="131"/>
      <c r="G6" s="131"/>
    </row>
    <row r="7" spans="1:7" ht="14.25" customHeight="1" x14ac:dyDescent="0.35">
      <c r="A7" s="132" t="s">
        <v>279</v>
      </c>
      <c r="B7" s="133" t="s">
        <v>59</v>
      </c>
      <c r="C7" s="133">
        <v>73001</v>
      </c>
      <c r="D7" s="133">
        <v>1</v>
      </c>
      <c r="E7" s="133"/>
      <c r="F7" s="133">
        <v>2</v>
      </c>
      <c r="G7" s="133">
        <v>1</v>
      </c>
    </row>
    <row r="8" spans="1:7" ht="14.25" hidden="1" customHeight="1" x14ac:dyDescent="0.35">
      <c r="A8" s="130" t="s">
        <v>242</v>
      </c>
      <c r="B8" s="131" t="s">
        <v>55</v>
      </c>
      <c r="C8" s="131">
        <v>38002</v>
      </c>
      <c r="D8" s="131"/>
      <c r="E8" s="131"/>
      <c r="F8" s="131"/>
      <c r="G8" s="131"/>
    </row>
    <row r="9" spans="1:7" ht="14.25" hidden="1" customHeight="1" x14ac:dyDescent="0.35">
      <c r="A9" s="132" t="s">
        <v>48</v>
      </c>
      <c r="B9" s="133" t="s">
        <v>48</v>
      </c>
      <c r="C9" s="133">
        <v>11002</v>
      </c>
      <c r="D9" s="133"/>
      <c r="E9" s="133"/>
      <c r="F9" s="133"/>
      <c r="G9" s="133"/>
    </row>
    <row r="10" spans="1:7" ht="14.25" hidden="1" customHeight="1" x14ac:dyDescent="0.35">
      <c r="A10" s="130" t="s">
        <v>276</v>
      </c>
      <c r="B10" s="131" t="s">
        <v>55</v>
      </c>
      <c r="C10" s="131">
        <v>34002</v>
      </c>
      <c r="D10" s="131"/>
      <c r="E10" s="131"/>
      <c r="F10" s="131"/>
      <c r="G10" s="131"/>
    </row>
    <row r="11" spans="1:7" ht="14.25" hidden="1" customHeight="1" x14ac:dyDescent="0.35">
      <c r="A11" s="132" t="s">
        <v>199</v>
      </c>
      <c r="B11" s="133" t="s">
        <v>55</v>
      </c>
      <c r="C11" s="133">
        <v>37020</v>
      </c>
      <c r="D11" s="133"/>
      <c r="E11" s="133"/>
      <c r="F11" s="133"/>
      <c r="G11" s="133"/>
    </row>
    <row r="12" spans="1:7" ht="14.25" hidden="1" customHeight="1" x14ac:dyDescent="0.35">
      <c r="A12" s="130" t="s">
        <v>304</v>
      </c>
      <c r="B12" s="131" t="s">
        <v>48</v>
      </c>
      <c r="C12" s="131">
        <v>13001</v>
      </c>
      <c r="D12" s="131"/>
      <c r="E12" s="131"/>
      <c r="F12" s="131"/>
      <c r="G12" s="131"/>
    </row>
    <row r="13" spans="1:7" ht="14.25" customHeight="1" x14ac:dyDescent="0.35">
      <c r="A13" s="132" t="s">
        <v>307</v>
      </c>
      <c r="B13" s="133" t="s">
        <v>59</v>
      </c>
      <c r="C13" s="133">
        <v>71002</v>
      </c>
      <c r="D13" s="133"/>
      <c r="E13" s="133"/>
      <c r="F13" s="133"/>
      <c r="G13" s="133"/>
    </row>
    <row r="14" spans="1:7" ht="14.25" hidden="1" customHeight="1" x14ac:dyDescent="0.35">
      <c r="A14" s="130" t="s">
        <v>131</v>
      </c>
      <c r="B14" s="131" t="s">
        <v>52</v>
      </c>
      <c r="C14" s="131">
        <v>23002</v>
      </c>
      <c r="D14" s="131"/>
      <c r="E14" s="131"/>
      <c r="F14" s="131"/>
      <c r="G14" s="131"/>
    </row>
    <row r="15" spans="1:7" ht="14.25" hidden="1" customHeight="1" x14ac:dyDescent="0.35">
      <c r="A15" s="132" t="s">
        <v>177</v>
      </c>
      <c r="B15" s="133" t="s">
        <v>50</v>
      </c>
      <c r="C15" s="133">
        <v>43002</v>
      </c>
      <c r="D15" s="133"/>
      <c r="E15" s="133"/>
      <c r="F15" s="133"/>
      <c r="G15" s="133"/>
    </row>
    <row r="16" spans="1:7" ht="14.25" hidden="1" customHeight="1" x14ac:dyDescent="0.35">
      <c r="A16" s="130" t="s">
        <v>260</v>
      </c>
      <c r="B16" s="131" t="s">
        <v>55</v>
      </c>
      <c r="C16" s="131">
        <v>34003</v>
      </c>
      <c r="D16" s="131"/>
      <c r="E16" s="131"/>
      <c r="F16" s="131"/>
      <c r="G16" s="131"/>
    </row>
    <row r="17" spans="1:7" ht="14.25" hidden="1" customHeight="1" x14ac:dyDescent="0.35">
      <c r="A17" s="132" t="s">
        <v>317</v>
      </c>
      <c r="B17" s="133" t="s">
        <v>48</v>
      </c>
      <c r="C17" s="133">
        <v>13002</v>
      </c>
      <c r="D17" s="133"/>
      <c r="E17" s="133"/>
      <c r="F17" s="133"/>
      <c r="G17" s="133"/>
    </row>
    <row r="18" spans="1:7" ht="14.25" hidden="1" customHeight="1" x14ac:dyDescent="0.35">
      <c r="A18" s="130" t="s">
        <v>125</v>
      </c>
      <c r="B18" s="131" t="s">
        <v>48</v>
      </c>
      <c r="C18" s="131">
        <v>13003</v>
      </c>
      <c r="D18" s="131"/>
      <c r="E18" s="131"/>
      <c r="F18" s="131"/>
      <c r="G18" s="131"/>
    </row>
    <row r="19" spans="1:7" ht="14.25" hidden="1" customHeight="1" x14ac:dyDescent="0.35">
      <c r="A19" s="132" t="s">
        <v>112</v>
      </c>
      <c r="B19" s="133" t="s">
        <v>55</v>
      </c>
      <c r="C19" s="133">
        <v>31003</v>
      </c>
      <c r="D19" s="133"/>
      <c r="E19" s="133"/>
      <c r="F19" s="133"/>
      <c r="G19" s="133"/>
    </row>
    <row r="20" spans="1:7" ht="14.25" hidden="1" customHeight="1" x14ac:dyDescent="0.35">
      <c r="A20" s="130" t="s">
        <v>221</v>
      </c>
      <c r="B20" s="131" t="s">
        <v>48</v>
      </c>
      <c r="C20" s="131">
        <v>13004</v>
      </c>
      <c r="D20" s="131"/>
      <c r="E20" s="131"/>
      <c r="F20" s="131"/>
      <c r="G20" s="131"/>
    </row>
    <row r="21" spans="1:7" ht="14.25" hidden="1" customHeight="1" x14ac:dyDescent="0.35">
      <c r="A21" s="132" t="s">
        <v>128</v>
      </c>
      <c r="B21" s="133" t="s">
        <v>52</v>
      </c>
      <c r="C21" s="133">
        <v>23003</v>
      </c>
      <c r="D21" s="133"/>
      <c r="E21" s="133"/>
      <c r="F21" s="133"/>
      <c r="G21" s="133"/>
    </row>
    <row r="22" spans="1:7" ht="14.25" hidden="1" customHeight="1" x14ac:dyDescent="0.35">
      <c r="A22" s="130" t="s">
        <v>327</v>
      </c>
      <c r="B22" s="131" t="s">
        <v>52</v>
      </c>
      <c r="C22" s="131">
        <v>24007</v>
      </c>
      <c r="D22" s="131"/>
      <c r="E22" s="131"/>
      <c r="F22" s="131"/>
      <c r="G22" s="131"/>
    </row>
    <row r="23" spans="1:7" ht="14.25" hidden="1" customHeight="1" x14ac:dyDescent="0.35">
      <c r="A23" s="132" t="s">
        <v>249</v>
      </c>
      <c r="B23" s="133" t="s">
        <v>52</v>
      </c>
      <c r="C23" s="133">
        <v>24008</v>
      </c>
      <c r="D23" s="133">
        <v>2</v>
      </c>
      <c r="E23" s="133"/>
      <c r="F23" s="133">
        <v>2</v>
      </c>
      <c r="G23" s="133">
        <v>0</v>
      </c>
    </row>
    <row r="24" spans="1:7" ht="14.25" customHeight="1" x14ac:dyDescent="0.35">
      <c r="A24" s="130" t="s">
        <v>235</v>
      </c>
      <c r="B24" s="131" t="s">
        <v>59</v>
      </c>
      <c r="C24" s="131">
        <v>71004</v>
      </c>
      <c r="D24" s="131"/>
      <c r="E24" s="131"/>
      <c r="F24" s="131"/>
      <c r="G24" s="131"/>
    </row>
    <row r="25" spans="1:7" ht="14.25" hidden="1" customHeight="1" x14ac:dyDescent="0.35">
      <c r="A25" s="132" t="s">
        <v>136</v>
      </c>
      <c r="B25" s="133" t="s">
        <v>48</v>
      </c>
      <c r="C25" s="133">
        <v>12002</v>
      </c>
      <c r="D25" s="133"/>
      <c r="E25" s="133"/>
      <c r="F25" s="133"/>
      <c r="G25" s="133"/>
    </row>
    <row r="26" spans="1:7" ht="14.25" hidden="1" customHeight="1" x14ac:dyDescent="0.35">
      <c r="A26" s="130" t="s">
        <v>216</v>
      </c>
      <c r="B26" s="131" t="s">
        <v>50</v>
      </c>
      <c r="C26" s="131">
        <v>42003</v>
      </c>
      <c r="D26" s="131"/>
      <c r="E26" s="131"/>
      <c r="F26" s="131"/>
      <c r="G26" s="131"/>
    </row>
    <row r="27" spans="1:7" ht="14.25" hidden="1" customHeight="1" x14ac:dyDescent="0.35">
      <c r="A27" s="132" t="s">
        <v>259</v>
      </c>
      <c r="B27" s="133" t="s">
        <v>52</v>
      </c>
      <c r="C27" s="133">
        <v>24009</v>
      </c>
      <c r="D27" s="133">
        <v>1</v>
      </c>
      <c r="E27" s="133"/>
      <c r="F27" s="133">
        <v>2</v>
      </c>
      <c r="G27" s="133">
        <v>0</v>
      </c>
    </row>
    <row r="28" spans="1:7" ht="14.25" hidden="1" customHeight="1" x14ac:dyDescent="0.35">
      <c r="A28" s="130" t="s">
        <v>315</v>
      </c>
      <c r="B28" s="131" t="s">
        <v>52</v>
      </c>
      <c r="C28" s="131">
        <v>23009</v>
      </c>
      <c r="D28" s="131"/>
      <c r="E28" s="131"/>
      <c r="F28" s="131"/>
      <c r="G28" s="131"/>
    </row>
    <row r="29" spans="1:7" ht="14.25" hidden="1" customHeight="1" x14ac:dyDescent="0.35">
      <c r="A29" s="132" t="s">
        <v>67</v>
      </c>
      <c r="B29" s="133" t="s">
        <v>50</v>
      </c>
      <c r="C29" s="133">
        <v>46003</v>
      </c>
      <c r="D29" s="133">
        <v>6</v>
      </c>
      <c r="E29" s="133"/>
      <c r="F29" s="133">
        <v>5</v>
      </c>
      <c r="G29" s="133">
        <v>0</v>
      </c>
    </row>
    <row r="30" spans="1:7" ht="14.25" hidden="1" customHeight="1" x14ac:dyDescent="0.35">
      <c r="A30" s="130" t="s">
        <v>109</v>
      </c>
      <c r="B30" s="131" t="s">
        <v>52</v>
      </c>
      <c r="C30" s="131">
        <v>24011</v>
      </c>
      <c r="D30" s="131">
        <v>2</v>
      </c>
      <c r="E30" s="131">
        <v>1</v>
      </c>
      <c r="F30" s="131">
        <v>2</v>
      </c>
      <c r="G30" s="131">
        <v>1</v>
      </c>
    </row>
    <row r="31" spans="1:7" ht="14.25" customHeight="1" x14ac:dyDescent="0.35">
      <c r="A31" s="132" t="s">
        <v>237</v>
      </c>
      <c r="B31" s="133" t="s">
        <v>59</v>
      </c>
      <c r="C31" s="133">
        <v>73006</v>
      </c>
      <c r="D31" s="133">
        <v>2</v>
      </c>
      <c r="E31" s="133">
        <v>1</v>
      </c>
      <c r="F31" s="133">
        <v>2</v>
      </c>
      <c r="G31" s="133">
        <v>1</v>
      </c>
    </row>
    <row r="32" spans="1:7" ht="14.25" hidden="1" customHeight="1" x14ac:dyDescent="0.35">
      <c r="A32" s="130" t="s">
        <v>99</v>
      </c>
      <c r="B32" s="131" t="s">
        <v>55</v>
      </c>
      <c r="C32" s="131">
        <v>31004</v>
      </c>
      <c r="D32" s="131"/>
      <c r="E32" s="131"/>
      <c r="F32" s="131"/>
      <c r="G32" s="131"/>
    </row>
    <row r="33" spans="1:7" ht="14.25" customHeight="1" x14ac:dyDescent="0.35">
      <c r="A33" s="132" t="s">
        <v>329</v>
      </c>
      <c r="B33" s="133" t="s">
        <v>59</v>
      </c>
      <c r="C33" s="133">
        <v>72003</v>
      </c>
      <c r="D33" s="133"/>
      <c r="E33" s="133"/>
      <c r="F33" s="133"/>
      <c r="G33" s="133"/>
    </row>
    <row r="34" spans="1:7" ht="14.25" hidden="1" customHeight="1" x14ac:dyDescent="0.35">
      <c r="A34" s="130" t="s">
        <v>271</v>
      </c>
      <c r="B34" s="131" t="s">
        <v>48</v>
      </c>
      <c r="C34" s="131">
        <v>11004</v>
      </c>
      <c r="D34" s="131"/>
      <c r="E34" s="131"/>
      <c r="F34" s="131"/>
      <c r="G34" s="131"/>
    </row>
    <row r="35" spans="1:7" ht="14.25" hidden="1" customHeight="1" x14ac:dyDescent="0.35">
      <c r="A35" s="132" t="s">
        <v>97</v>
      </c>
      <c r="B35" s="133" t="s">
        <v>48</v>
      </c>
      <c r="C35" s="133">
        <v>12005</v>
      </c>
      <c r="D35" s="133"/>
      <c r="E35" s="133"/>
      <c r="F35" s="133"/>
      <c r="G35" s="133"/>
    </row>
    <row r="36" spans="1:7" ht="14.25" hidden="1" customHeight="1" x14ac:dyDescent="0.35">
      <c r="A36" s="130" t="s">
        <v>224</v>
      </c>
      <c r="B36" s="131" t="s">
        <v>48</v>
      </c>
      <c r="C36" s="131">
        <v>11005</v>
      </c>
      <c r="D36" s="131"/>
      <c r="E36" s="131"/>
      <c r="F36" s="131"/>
      <c r="G36" s="131"/>
    </row>
    <row r="37" spans="1:7" ht="14.25" hidden="1" customHeight="1" x14ac:dyDescent="0.35">
      <c r="A37" s="132" t="s">
        <v>157</v>
      </c>
      <c r="B37" s="133" t="s">
        <v>52</v>
      </c>
      <c r="C37" s="133">
        <v>24014</v>
      </c>
      <c r="D37" s="133"/>
      <c r="E37" s="133"/>
      <c r="F37" s="133"/>
      <c r="G37" s="133"/>
    </row>
    <row r="38" spans="1:7" ht="14.25" hidden="1" customHeight="1" x14ac:dyDescent="0.35">
      <c r="A38" s="130" t="s">
        <v>184</v>
      </c>
      <c r="B38" s="131" t="s">
        <v>48</v>
      </c>
      <c r="C38" s="131">
        <v>12007</v>
      </c>
      <c r="D38" s="131"/>
      <c r="E38" s="131"/>
      <c r="F38" s="131"/>
      <c r="G38" s="131"/>
    </row>
    <row r="39" spans="1:7" ht="14.25" hidden="1" customHeight="1" x14ac:dyDescent="0.35">
      <c r="A39" s="132" t="s">
        <v>170</v>
      </c>
      <c r="B39" s="133" t="s">
        <v>52</v>
      </c>
      <c r="C39" s="133">
        <v>24016</v>
      </c>
      <c r="D39" s="133">
        <v>2</v>
      </c>
      <c r="E39" s="133"/>
      <c r="F39" s="133">
        <v>3</v>
      </c>
      <c r="G39" s="133">
        <v>0</v>
      </c>
    </row>
    <row r="40" spans="1:7" ht="14.25" hidden="1" customHeight="1" x14ac:dyDescent="0.35">
      <c r="A40" s="130" t="s">
        <v>275</v>
      </c>
      <c r="B40" s="131" t="s">
        <v>50</v>
      </c>
      <c r="C40" s="131">
        <v>45059</v>
      </c>
      <c r="D40" s="131"/>
      <c r="E40" s="131"/>
      <c r="F40" s="131"/>
      <c r="G40" s="131"/>
    </row>
    <row r="41" spans="1:7" ht="14.25" hidden="1" customHeight="1" x14ac:dyDescent="0.35">
      <c r="A41" s="132" t="s">
        <v>106</v>
      </c>
      <c r="B41" s="133" t="s">
        <v>48</v>
      </c>
      <c r="C41" s="133">
        <v>11008</v>
      </c>
      <c r="D41" s="133"/>
      <c r="E41" s="133"/>
      <c r="F41" s="133"/>
      <c r="G41" s="133"/>
    </row>
    <row r="42" spans="1:7" ht="14.25" hidden="1" customHeight="1" x14ac:dyDescent="0.35">
      <c r="A42" s="130" t="s">
        <v>294</v>
      </c>
      <c r="B42" s="131" t="s">
        <v>48</v>
      </c>
      <c r="C42" s="131">
        <v>11009</v>
      </c>
      <c r="D42" s="131"/>
      <c r="E42" s="131"/>
      <c r="F42" s="131"/>
      <c r="G42" s="131"/>
    </row>
    <row r="43" spans="1:7" ht="14.25" hidden="1" customHeight="1" x14ac:dyDescent="0.35">
      <c r="A43" s="132" t="s">
        <v>219</v>
      </c>
      <c r="B43" s="133" t="s">
        <v>55</v>
      </c>
      <c r="C43" s="133">
        <v>35002</v>
      </c>
      <c r="D43" s="133"/>
      <c r="E43" s="133"/>
      <c r="F43" s="133"/>
      <c r="G43" s="133"/>
    </row>
    <row r="44" spans="1:7" ht="14.25" customHeight="1" x14ac:dyDescent="0.35">
      <c r="A44" s="130" t="s">
        <v>227</v>
      </c>
      <c r="B44" s="131" t="s">
        <v>59</v>
      </c>
      <c r="C44" s="131">
        <v>72004</v>
      </c>
      <c r="D44" s="131"/>
      <c r="E44" s="131"/>
      <c r="F44" s="131"/>
      <c r="G44" s="131"/>
    </row>
    <row r="45" spans="1:7" ht="14.25" hidden="1" customHeight="1" x14ac:dyDescent="0.35">
      <c r="A45" s="132" t="s">
        <v>54</v>
      </c>
      <c r="B45" s="133" t="s">
        <v>55</v>
      </c>
      <c r="C45" s="133">
        <v>31005</v>
      </c>
      <c r="D45" s="133"/>
      <c r="E45" s="133"/>
      <c r="F45" s="133"/>
      <c r="G45" s="133"/>
    </row>
    <row r="46" spans="1:7" ht="14.25" hidden="1" customHeight="1" x14ac:dyDescent="0.35">
      <c r="A46" s="130" t="s">
        <v>274</v>
      </c>
      <c r="B46" s="131" t="s">
        <v>50</v>
      </c>
      <c r="C46" s="131">
        <v>42004</v>
      </c>
      <c r="D46" s="131"/>
      <c r="E46" s="131"/>
      <c r="F46" s="131"/>
      <c r="G46" s="131"/>
    </row>
    <row r="47" spans="1:7" ht="14.25" hidden="1" customHeight="1" x14ac:dyDescent="0.35">
      <c r="A47" s="132" t="s">
        <v>96</v>
      </c>
      <c r="B47" s="133" t="s">
        <v>55</v>
      </c>
      <c r="C47" s="133">
        <v>31006</v>
      </c>
      <c r="D47" s="133"/>
      <c r="E47" s="133"/>
      <c r="F47" s="133"/>
      <c r="G47" s="133"/>
    </row>
    <row r="48" spans="1:7" ht="14.25" hidden="1" customHeight="1" x14ac:dyDescent="0.35">
      <c r="A48" s="130" t="s">
        <v>268</v>
      </c>
      <c r="B48" s="131" t="s">
        <v>55</v>
      </c>
      <c r="C48" s="131">
        <v>35029</v>
      </c>
      <c r="D48" s="131"/>
      <c r="E48" s="131"/>
      <c r="F48" s="131"/>
      <c r="G48" s="131"/>
    </row>
    <row r="49" spans="1:7" ht="14.25" hidden="1" customHeight="1" x14ac:dyDescent="0.35">
      <c r="A49" s="132" t="s">
        <v>135</v>
      </c>
      <c r="B49" s="133" t="s">
        <v>55</v>
      </c>
      <c r="C49" s="133">
        <v>38008</v>
      </c>
      <c r="D49" s="133"/>
      <c r="E49" s="133"/>
      <c r="F49" s="133"/>
      <c r="G49" s="133"/>
    </row>
    <row r="50" spans="1:7" ht="14.25" hidden="1" customHeight="1" x14ac:dyDescent="0.35">
      <c r="A50" s="130" t="s">
        <v>156</v>
      </c>
      <c r="B50" s="131" t="s">
        <v>55</v>
      </c>
      <c r="C50" s="131">
        <v>34009</v>
      </c>
      <c r="D50" s="131"/>
      <c r="E50" s="131"/>
      <c r="F50" s="131"/>
      <c r="G50" s="131"/>
    </row>
    <row r="51" spans="1:7" ht="14.25" hidden="1" customHeight="1" x14ac:dyDescent="0.35">
      <c r="A51" s="132" t="s">
        <v>62</v>
      </c>
      <c r="B51" s="133" t="s">
        <v>50</v>
      </c>
      <c r="C51" s="133">
        <v>44083</v>
      </c>
      <c r="D51" s="133"/>
      <c r="E51" s="133"/>
      <c r="F51" s="133"/>
      <c r="G51" s="133"/>
    </row>
    <row r="52" spans="1:7" ht="14.25" hidden="1" customHeight="1" x14ac:dyDescent="0.35">
      <c r="A52" s="130" t="s">
        <v>182</v>
      </c>
      <c r="B52" s="131" t="s">
        <v>50</v>
      </c>
      <c r="C52" s="131">
        <v>41011</v>
      </c>
      <c r="D52" s="131"/>
      <c r="E52" s="131"/>
      <c r="F52" s="131"/>
      <c r="G52" s="131"/>
    </row>
    <row r="53" spans="1:7" ht="14.25" hidden="1" customHeight="1" x14ac:dyDescent="0.35">
      <c r="A53" s="132" t="s">
        <v>80</v>
      </c>
      <c r="B53" s="133" t="s">
        <v>50</v>
      </c>
      <c r="C53" s="133">
        <v>42006</v>
      </c>
      <c r="D53" s="133"/>
      <c r="E53" s="133"/>
      <c r="F53" s="133"/>
      <c r="G53" s="133"/>
    </row>
    <row r="54" spans="1:7" ht="14.25" hidden="1" customHeight="1" x14ac:dyDescent="0.35">
      <c r="A54" s="130" t="s">
        <v>168</v>
      </c>
      <c r="B54" s="131" t="s">
        <v>55</v>
      </c>
      <c r="C54" s="131">
        <v>37002</v>
      </c>
      <c r="D54" s="131"/>
      <c r="E54" s="131"/>
      <c r="F54" s="131"/>
      <c r="G54" s="131"/>
    </row>
    <row r="55" spans="1:7" ht="14.25" hidden="1" customHeight="1" x14ac:dyDescent="0.35">
      <c r="A55" s="132" t="s">
        <v>301</v>
      </c>
      <c r="B55" s="133" t="s">
        <v>48</v>
      </c>
      <c r="C55" s="133">
        <v>13006</v>
      </c>
      <c r="D55" s="133"/>
      <c r="E55" s="133"/>
      <c r="F55" s="133"/>
      <c r="G55" s="133"/>
    </row>
    <row r="56" spans="1:7" ht="14.25" hidden="1" customHeight="1" x14ac:dyDescent="0.35">
      <c r="A56" s="130" t="s">
        <v>71</v>
      </c>
      <c r="B56" s="131" t="s">
        <v>50</v>
      </c>
      <c r="C56" s="131">
        <v>44013</v>
      </c>
      <c r="D56" s="131"/>
      <c r="E56" s="131"/>
      <c r="F56" s="131"/>
      <c r="G56" s="131"/>
    </row>
    <row r="57" spans="1:7" ht="14.25" customHeight="1" x14ac:dyDescent="0.35">
      <c r="A57" s="132" t="s">
        <v>309</v>
      </c>
      <c r="B57" s="133" t="s">
        <v>59</v>
      </c>
      <c r="C57" s="133">
        <v>71011</v>
      </c>
      <c r="D57" s="133"/>
      <c r="E57" s="133"/>
      <c r="F57" s="133"/>
      <c r="G57" s="133"/>
    </row>
    <row r="58" spans="1:7" ht="14.25" hidden="1" customHeight="1" x14ac:dyDescent="0.35">
      <c r="A58" s="130" t="s">
        <v>88</v>
      </c>
      <c r="B58" s="131" t="s">
        <v>52</v>
      </c>
      <c r="C58" s="131">
        <v>24020</v>
      </c>
      <c r="D58" s="131">
        <v>4</v>
      </c>
      <c r="E58" s="131">
        <v>4</v>
      </c>
      <c r="F58" s="131">
        <v>3</v>
      </c>
      <c r="G58" s="131">
        <v>2</v>
      </c>
    </row>
    <row r="59" spans="1:7" ht="14.25" hidden="1" customHeight="1" x14ac:dyDescent="0.35">
      <c r="A59" s="132" t="s">
        <v>280</v>
      </c>
      <c r="B59" s="133" t="s">
        <v>55</v>
      </c>
      <c r="C59" s="133">
        <v>32003</v>
      </c>
      <c r="D59" s="133"/>
      <c r="E59" s="133"/>
      <c r="F59" s="133"/>
      <c r="G59" s="133"/>
    </row>
    <row r="60" spans="1:7" ht="14.25" hidden="1" customHeight="1" x14ac:dyDescent="0.35">
      <c r="A60" s="130" t="s">
        <v>85</v>
      </c>
      <c r="B60" s="131" t="s">
        <v>52</v>
      </c>
      <c r="C60" s="131">
        <v>23016</v>
      </c>
      <c r="D60" s="131"/>
      <c r="E60" s="131"/>
      <c r="F60" s="131"/>
      <c r="G60" s="131"/>
    </row>
    <row r="61" spans="1:7" ht="14.25" customHeight="1" x14ac:dyDescent="0.35">
      <c r="A61" s="132" t="s">
        <v>333</v>
      </c>
      <c r="B61" s="133" t="s">
        <v>59</v>
      </c>
      <c r="C61" s="133">
        <v>72041</v>
      </c>
      <c r="D61" s="133"/>
      <c r="E61" s="133"/>
      <c r="F61" s="133"/>
      <c r="G61" s="133"/>
    </row>
    <row r="62" spans="1:7" ht="14.25" hidden="1" customHeight="1" x14ac:dyDescent="0.35">
      <c r="A62" s="130" t="s">
        <v>298</v>
      </c>
      <c r="B62" s="131" t="s">
        <v>52</v>
      </c>
      <c r="C62" s="131">
        <v>23098</v>
      </c>
      <c r="D62" s="131"/>
      <c r="E62" s="131"/>
      <c r="F62" s="131"/>
      <c r="G62" s="131"/>
    </row>
    <row r="63" spans="1:7" ht="14.25" hidden="1" customHeight="1" x14ac:dyDescent="0.35">
      <c r="A63" s="132" t="s">
        <v>140</v>
      </c>
      <c r="B63" s="133" t="s">
        <v>48</v>
      </c>
      <c r="C63" s="133">
        <v>12009</v>
      </c>
      <c r="D63" s="133"/>
      <c r="E63" s="133"/>
      <c r="F63" s="133"/>
      <c r="G63" s="133"/>
    </row>
    <row r="64" spans="1:7" ht="14.25" hidden="1" customHeight="1" x14ac:dyDescent="0.35">
      <c r="A64" s="130" t="s">
        <v>123</v>
      </c>
      <c r="B64" s="131" t="s">
        <v>48</v>
      </c>
      <c r="C64" s="131">
        <v>11013</v>
      </c>
      <c r="D64" s="131"/>
      <c r="E64" s="131"/>
      <c r="F64" s="131"/>
      <c r="G64" s="131"/>
    </row>
    <row r="65" spans="1:7" ht="14.25" hidden="1" customHeight="1" x14ac:dyDescent="0.35">
      <c r="A65" s="132" t="s">
        <v>118</v>
      </c>
      <c r="B65" s="133" t="s">
        <v>50</v>
      </c>
      <c r="C65" s="133">
        <v>43005</v>
      </c>
      <c r="D65" s="133"/>
      <c r="E65" s="133"/>
      <c r="F65" s="133"/>
      <c r="G65" s="133"/>
    </row>
    <row r="66" spans="1:7" ht="14.25" hidden="1" customHeight="1" x14ac:dyDescent="0.35">
      <c r="A66" s="130" t="s">
        <v>116</v>
      </c>
      <c r="B66" s="131" t="s">
        <v>50</v>
      </c>
      <c r="C66" s="131">
        <v>41082</v>
      </c>
      <c r="D66" s="131"/>
      <c r="E66" s="131"/>
      <c r="F66" s="131"/>
      <c r="G66" s="131"/>
    </row>
    <row r="67" spans="1:7" ht="14.25" hidden="1" customHeight="1" x14ac:dyDescent="0.35">
      <c r="A67" s="132" t="s">
        <v>180</v>
      </c>
      <c r="B67" s="133" t="s">
        <v>48</v>
      </c>
      <c r="C67" s="133">
        <v>11016</v>
      </c>
      <c r="D67" s="133"/>
      <c r="E67" s="133"/>
      <c r="F67" s="133"/>
      <c r="G67" s="133"/>
    </row>
    <row r="68" spans="1:7" ht="14.25" hidden="1" customHeight="1" x14ac:dyDescent="0.35">
      <c r="A68" s="130" t="s">
        <v>90</v>
      </c>
      <c r="B68" s="131" t="s">
        <v>50</v>
      </c>
      <c r="C68" s="131">
        <v>44019</v>
      </c>
      <c r="D68" s="131"/>
      <c r="E68" s="131"/>
      <c r="F68" s="131"/>
      <c r="G68" s="131"/>
    </row>
    <row r="69" spans="1:7" ht="14.25" hidden="1" customHeight="1" x14ac:dyDescent="0.35">
      <c r="A69" s="132" t="s">
        <v>209</v>
      </c>
      <c r="B69" s="133" t="s">
        <v>50</v>
      </c>
      <c r="C69" s="133">
        <v>44020</v>
      </c>
      <c r="D69" s="133"/>
      <c r="E69" s="133"/>
      <c r="F69" s="133"/>
      <c r="G69" s="133"/>
    </row>
    <row r="70" spans="1:7" ht="14.25" hidden="1" customHeight="1" x14ac:dyDescent="0.35">
      <c r="A70" s="130" t="s">
        <v>91</v>
      </c>
      <c r="B70" s="131" t="s">
        <v>48</v>
      </c>
      <c r="C70" s="131">
        <v>13008</v>
      </c>
      <c r="D70" s="131"/>
      <c r="E70" s="131"/>
      <c r="F70" s="131"/>
      <c r="G70" s="131"/>
    </row>
    <row r="71" spans="1:7" ht="14.25" hidden="1" customHeight="1" x14ac:dyDescent="0.35">
      <c r="A71" s="132" t="s">
        <v>245</v>
      </c>
      <c r="B71" s="133" t="s">
        <v>52</v>
      </c>
      <c r="C71" s="133">
        <v>24028</v>
      </c>
      <c r="D71" s="133">
        <v>1</v>
      </c>
      <c r="E71" s="133"/>
      <c r="F71" s="133">
        <v>2</v>
      </c>
      <c r="G71" s="133">
        <v>0</v>
      </c>
    </row>
    <row r="72" spans="1:7" ht="14.25" customHeight="1" x14ac:dyDescent="0.35">
      <c r="A72" s="130" t="s">
        <v>95</v>
      </c>
      <c r="B72" s="131" t="s">
        <v>59</v>
      </c>
      <c r="C72" s="131">
        <v>71016</v>
      </c>
      <c r="D72" s="131"/>
      <c r="E72" s="131"/>
      <c r="F72" s="131"/>
      <c r="G72" s="131"/>
    </row>
    <row r="73" spans="1:7" ht="14.25" hidden="1" customHeight="1" x14ac:dyDescent="0.35">
      <c r="A73" s="132" t="s">
        <v>49</v>
      </c>
      <c r="B73" s="133" t="s">
        <v>50</v>
      </c>
      <c r="C73" s="133">
        <v>44021</v>
      </c>
      <c r="D73" s="133"/>
      <c r="E73" s="133"/>
      <c r="F73" s="133"/>
      <c r="G73" s="133"/>
    </row>
    <row r="74" spans="1:7" ht="14.25" hidden="1" customHeight="1" x14ac:dyDescent="0.35">
      <c r="A74" s="130" t="s">
        <v>144</v>
      </c>
      <c r="B74" s="131" t="s">
        <v>50</v>
      </c>
      <c r="C74" s="131">
        <v>41018</v>
      </c>
      <c r="D74" s="131"/>
      <c r="E74" s="131"/>
      <c r="F74" s="131"/>
      <c r="G74" s="131"/>
    </row>
    <row r="75" spans="1:7" ht="14.25" customHeight="1" x14ac:dyDescent="0.35">
      <c r="A75" s="132" t="s">
        <v>323</v>
      </c>
      <c r="B75" s="133" t="s">
        <v>59</v>
      </c>
      <c r="C75" s="133">
        <v>71017</v>
      </c>
      <c r="D75" s="133"/>
      <c r="E75" s="133"/>
      <c r="F75" s="133"/>
      <c r="G75" s="133"/>
    </row>
    <row r="76" spans="1:7" ht="14.25" hidden="1" customHeight="1" x14ac:dyDescent="0.35">
      <c r="A76" s="130" t="s">
        <v>206</v>
      </c>
      <c r="B76" s="131" t="s">
        <v>55</v>
      </c>
      <c r="C76" s="131">
        <v>35005</v>
      </c>
      <c r="D76" s="131"/>
      <c r="E76" s="131"/>
      <c r="F76" s="131"/>
      <c r="G76" s="131"/>
    </row>
    <row r="77" spans="1:7" ht="14.25" hidden="1" customHeight="1" x14ac:dyDescent="0.35">
      <c r="A77" s="132" t="s">
        <v>243</v>
      </c>
      <c r="B77" s="133" t="s">
        <v>52</v>
      </c>
      <c r="C77" s="133">
        <v>24137</v>
      </c>
      <c r="D77" s="133">
        <v>2</v>
      </c>
      <c r="E77" s="133"/>
      <c r="F77" s="133">
        <v>2</v>
      </c>
      <c r="G77" s="133">
        <v>0</v>
      </c>
    </row>
    <row r="78" spans="1:7" ht="14.25" hidden="1" customHeight="1" x14ac:dyDescent="0.35">
      <c r="A78" s="130" t="s">
        <v>107</v>
      </c>
      <c r="B78" s="131" t="s">
        <v>52</v>
      </c>
      <c r="C78" s="131">
        <v>23025</v>
      </c>
      <c r="D78" s="131"/>
      <c r="E78" s="131"/>
      <c r="F78" s="131"/>
      <c r="G78" s="131"/>
    </row>
    <row r="79" spans="1:7" ht="14.25" hidden="1" customHeight="1" x14ac:dyDescent="0.35">
      <c r="A79" s="132" t="s">
        <v>303</v>
      </c>
      <c r="B79" s="133" t="s">
        <v>48</v>
      </c>
      <c r="C79" s="133">
        <v>13010</v>
      </c>
      <c r="D79" s="133"/>
      <c r="E79" s="133"/>
      <c r="F79" s="133"/>
      <c r="G79" s="133"/>
    </row>
    <row r="80" spans="1:7" ht="14.25" hidden="1" customHeight="1" x14ac:dyDescent="0.35">
      <c r="A80" s="130" t="s">
        <v>92</v>
      </c>
      <c r="B80" s="131" t="s">
        <v>52</v>
      </c>
      <c r="C80" s="131">
        <v>24033</v>
      </c>
      <c r="D80" s="131">
        <v>2</v>
      </c>
      <c r="E80" s="131"/>
      <c r="F80" s="131">
        <v>2</v>
      </c>
      <c r="G80" s="131">
        <v>0</v>
      </c>
    </row>
    <row r="81" spans="1:7" ht="14.25" hidden="1" customHeight="1" x14ac:dyDescent="0.35">
      <c r="A81" s="132" t="s">
        <v>223</v>
      </c>
      <c r="B81" s="133" t="s">
        <v>50</v>
      </c>
      <c r="C81" s="133">
        <v>41024</v>
      </c>
      <c r="D81" s="133"/>
      <c r="E81" s="133"/>
      <c r="F81" s="133"/>
      <c r="G81" s="133"/>
    </row>
    <row r="82" spans="1:7" ht="14.25" customHeight="1" x14ac:dyDescent="0.35">
      <c r="A82" s="130" t="s">
        <v>324</v>
      </c>
      <c r="B82" s="131" t="s">
        <v>59</v>
      </c>
      <c r="C82" s="131">
        <v>71020</v>
      </c>
      <c r="D82" s="131"/>
      <c r="E82" s="131"/>
      <c r="F82" s="131"/>
      <c r="G82" s="131"/>
    </row>
    <row r="83" spans="1:7" ht="14.25" hidden="1" customHeight="1" x14ac:dyDescent="0.35">
      <c r="A83" s="132" t="s">
        <v>70</v>
      </c>
      <c r="B83" s="133" t="s">
        <v>52</v>
      </c>
      <c r="C83" s="133">
        <v>23027</v>
      </c>
      <c r="D83" s="133"/>
      <c r="E83" s="133"/>
      <c r="F83" s="133"/>
      <c r="G83" s="133"/>
    </row>
    <row r="84" spans="1:7" ht="14.25" hidden="1" customHeight="1" x14ac:dyDescent="0.35">
      <c r="A84" s="130" t="s">
        <v>127</v>
      </c>
      <c r="B84" s="131" t="s">
        <v>50</v>
      </c>
      <c r="C84" s="131">
        <v>42008</v>
      </c>
      <c r="D84" s="131"/>
      <c r="E84" s="131"/>
      <c r="F84" s="131"/>
      <c r="G84" s="131"/>
    </row>
    <row r="85" spans="1:7" ht="14.25" customHeight="1" x14ac:dyDescent="0.35">
      <c r="A85" s="132" t="s">
        <v>331</v>
      </c>
      <c r="B85" s="133" t="s">
        <v>59</v>
      </c>
      <c r="C85" s="133">
        <v>72037</v>
      </c>
      <c r="D85" s="133"/>
      <c r="E85" s="133"/>
      <c r="F85" s="133"/>
      <c r="G85" s="133"/>
    </row>
    <row r="86" spans="1:7" ht="14.25" hidden="1" customHeight="1" x14ac:dyDescent="0.35">
      <c r="A86" s="130" t="s">
        <v>73</v>
      </c>
      <c r="B86" s="131" t="s">
        <v>55</v>
      </c>
      <c r="C86" s="131">
        <v>34013</v>
      </c>
      <c r="D86" s="131"/>
      <c r="E86" s="131"/>
      <c r="F86" s="131"/>
      <c r="G86" s="131"/>
    </row>
    <row r="87" spans="1:7" ht="14.25" customHeight="1" x14ac:dyDescent="0.35">
      <c r="A87" s="132" t="s">
        <v>58</v>
      </c>
      <c r="B87" s="133" t="s">
        <v>59</v>
      </c>
      <c r="C87" s="133">
        <v>71022</v>
      </c>
      <c r="D87" s="133">
        <v>3</v>
      </c>
      <c r="E87" s="133">
        <v>3</v>
      </c>
      <c r="F87" s="133">
        <v>3</v>
      </c>
      <c r="G87" s="133">
        <v>2</v>
      </c>
    </row>
    <row r="88" spans="1:7" ht="14.25" customHeight="1" x14ac:dyDescent="0.35">
      <c r="A88" s="130" t="s">
        <v>265</v>
      </c>
      <c r="B88" s="131" t="s">
        <v>59</v>
      </c>
      <c r="C88" s="131">
        <v>72038</v>
      </c>
      <c r="D88" s="131"/>
      <c r="E88" s="131"/>
      <c r="F88" s="131"/>
      <c r="G88" s="131"/>
    </row>
    <row r="89" spans="1:7" ht="14.25" customHeight="1" x14ac:dyDescent="0.35">
      <c r="A89" s="132" t="s">
        <v>300</v>
      </c>
      <c r="B89" s="133" t="s">
        <v>59</v>
      </c>
      <c r="C89" s="133">
        <v>73022</v>
      </c>
      <c r="D89" s="133"/>
      <c r="E89" s="133"/>
      <c r="F89" s="133"/>
      <c r="G89" s="133"/>
    </row>
    <row r="90" spans="1:7" ht="14.25" hidden="1" customHeight="1" x14ac:dyDescent="0.35">
      <c r="A90" s="130" t="s">
        <v>108</v>
      </c>
      <c r="B90" s="131" t="s">
        <v>48</v>
      </c>
      <c r="C90" s="131">
        <v>12014</v>
      </c>
      <c r="D90" s="131"/>
      <c r="E90" s="131"/>
      <c r="F90" s="131"/>
      <c r="G90" s="131"/>
    </row>
    <row r="91" spans="1:7" ht="14.25" hidden="1" customHeight="1" x14ac:dyDescent="0.35">
      <c r="A91" s="132" t="s">
        <v>266</v>
      </c>
      <c r="B91" s="133" t="s">
        <v>48</v>
      </c>
      <c r="C91" s="133">
        <v>11018</v>
      </c>
      <c r="D91" s="133">
        <v>2</v>
      </c>
      <c r="E91" s="133">
        <v>2</v>
      </c>
      <c r="F91" s="133">
        <v>2</v>
      </c>
      <c r="G91" s="133">
        <v>2</v>
      </c>
    </row>
    <row r="92" spans="1:7" ht="14.25" hidden="1" customHeight="1" x14ac:dyDescent="0.35">
      <c r="A92" s="130" t="s">
        <v>69</v>
      </c>
      <c r="B92" s="131" t="s">
        <v>52</v>
      </c>
      <c r="C92" s="131">
        <v>24038</v>
      </c>
      <c r="D92" s="131">
        <v>2</v>
      </c>
      <c r="E92" s="131">
        <v>2</v>
      </c>
      <c r="F92" s="131">
        <v>2</v>
      </c>
      <c r="G92" s="131">
        <v>2</v>
      </c>
    </row>
    <row r="93" spans="1:7" ht="14.25" hidden="1" customHeight="1" x14ac:dyDescent="0.35">
      <c r="A93" s="132" t="s">
        <v>83</v>
      </c>
      <c r="B93" s="133" t="s">
        <v>48</v>
      </c>
      <c r="C93" s="133">
        <v>13011</v>
      </c>
      <c r="D93" s="133"/>
      <c r="E93" s="133"/>
      <c r="F93" s="133"/>
      <c r="G93" s="133"/>
    </row>
    <row r="94" spans="1:7" ht="14.25" hidden="1" customHeight="1" x14ac:dyDescent="0.35">
      <c r="A94" s="130" t="s">
        <v>326</v>
      </c>
      <c r="B94" s="131" t="s">
        <v>48</v>
      </c>
      <c r="C94" s="131">
        <v>13012</v>
      </c>
      <c r="D94" s="131"/>
      <c r="E94" s="131"/>
      <c r="F94" s="131"/>
      <c r="G94" s="131"/>
    </row>
    <row r="95" spans="1:7" ht="14.25" customHeight="1" x14ac:dyDescent="0.35">
      <c r="A95" s="132" t="s">
        <v>187</v>
      </c>
      <c r="B95" s="133" t="s">
        <v>59</v>
      </c>
      <c r="C95" s="133">
        <v>71024</v>
      </c>
      <c r="D95" s="133"/>
      <c r="E95" s="133"/>
      <c r="F95" s="133"/>
      <c r="G95" s="133"/>
    </row>
    <row r="96" spans="1:7" ht="14.25" hidden="1" customHeight="1" x14ac:dyDescent="0.35">
      <c r="A96" s="130" t="s">
        <v>272</v>
      </c>
      <c r="B96" s="131" t="s">
        <v>48</v>
      </c>
      <c r="C96" s="131">
        <v>13013</v>
      </c>
      <c r="D96" s="131"/>
      <c r="E96" s="131"/>
      <c r="F96" s="131"/>
      <c r="G96" s="131"/>
    </row>
    <row r="97" spans="1:7" ht="14.25" customHeight="1" x14ac:dyDescent="0.35">
      <c r="A97" s="132" t="s">
        <v>313</v>
      </c>
      <c r="B97" s="133" t="s">
        <v>59</v>
      </c>
      <c r="C97" s="133">
        <v>73028</v>
      </c>
      <c r="D97" s="133"/>
      <c r="E97" s="133"/>
      <c r="F97" s="133"/>
      <c r="G97" s="133"/>
    </row>
    <row r="98" spans="1:7" ht="14.25" hidden="1" customHeight="1" x14ac:dyDescent="0.35">
      <c r="A98" s="130" t="s">
        <v>113</v>
      </c>
      <c r="B98" s="131" t="s">
        <v>50</v>
      </c>
      <c r="C98" s="131">
        <v>41027</v>
      </c>
      <c r="D98" s="131"/>
      <c r="E98" s="131"/>
      <c r="F98" s="131"/>
      <c r="G98" s="131"/>
    </row>
    <row r="99" spans="1:7" ht="14.25" customHeight="1" x14ac:dyDescent="0.35">
      <c r="A99" s="132" t="s">
        <v>190</v>
      </c>
      <c r="B99" s="133" t="s">
        <v>59</v>
      </c>
      <c r="C99" s="133">
        <v>71070</v>
      </c>
      <c r="D99" s="133"/>
      <c r="E99" s="133"/>
      <c r="F99" s="133"/>
      <c r="G99" s="133"/>
    </row>
    <row r="100" spans="1:7" ht="14.25" hidden="1" customHeight="1" x14ac:dyDescent="0.35">
      <c r="A100" s="130" t="s">
        <v>167</v>
      </c>
      <c r="B100" s="131" t="s">
        <v>55</v>
      </c>
      <c r="C100" s="131">
        <v>33039</v>
      </c>
      <c r="D100" s="131"/>
      <c r="E100" s="131"/>
      <c r="F100" s="131"/>
      <c r="G100" s="131"/>
    </row>
    <row r="101" spans="1:7" ht="14.25" hidden="1" customHeight="1" x14ac:dyDescent="0.35">
      <c r="A101" s="132" t="s">
        <v>192</v>
      </c>
      <c r="B101" s="133" t="s">
        <v>52</v>
      </c>
      <c r="C101" s="133">
        <v>24041</v>
      </c>
      <c r="D101" s="133">
        <v>2</v>
      </c>
      <c r="E101" s="133">
        <v>1</v>
      </c>
      <c r="F101" s="133">
        <v>2</v>
      </c>
      <c r="G101" s="133">
        <v>1</v>
      </c>
    </row>
    <row r="102" spans="1:7" ht="14.25" hidden="1" customHeight="1" x14ac:dyDescent="0.35">
      <c r="A102" s="130" t="s">
        <v>153</v>
      </c>
      <c r="B102" s="131" t="s">
        <v>52</v>
      </c>
      <c r="C102" s="131">
        <v>23033</v>
      </c>
      <c r="D102" s="131">
        <v>1</v>
      </c>
      <c r="E102" s="131"/>
      <c r="F102" s="131">
        <v>1</v>
      </c>
      <c r="G102" s="131">
        <v>0</v>
      </c>
    </row>
    <row r="103" spans="1:7" ht="14.25" hidden="1" customHeight="1" x14ac:dyDescent="0.35">
      <c r="A103" s="132" t="s">
        <v>86</v>
      </c>
      <c r="B103" s="133" t="s">
        <v>52</v>
      </c>
      <c r="C103" s="133">
        <v>24043</v>
      </c>
      <c r="D103" s="133">
        <v>2</v>
      </c>
      <c r="E103" s="133">
        <v>2</v>
      </c>
      <c r="F103" s="133">
        <v>2</v>
      </c>
      <c r="G103" s="133">
        <v>2</v>
      </c>
    </row>
    <row r="104" spans="1:7" ht="14.25" hidden="1" customHeight="1" x14ac:dyDescent="0.35">
      <c r="A104" s="130" t="s">
        <v>150</v>
      </c>
      <c r="B104" s="131" t="s">
        <v>55</v>
      </c>
      <c r="C104" s="131">
        <v>36006</v>
      </c>
      <c r="D104" s="131"/>
      <c r="E104" s="131"/>
      <c r="F104" s="131"/>
      <c r="G104" s="131"/>
    </row>
    <row r="105" spans="1:7" ht="14.25" hidden="1" customHeight="1" x14ac:dyDescent="0.35">
      <c r="A105" s="132" t="s">
        <v>185</v>
      </c>
      <c r="B105" s="133" t="s">
        <v>48</v>
      </c>
      <c r="C105" s="133">
        <v>13014</v>
      </c>
      <c r="D105" s="133"/>
      <c r="E105" s="133"/>
      <c r="F105" s="133"/>
      <c r="G105" s="133"/>
    </row>
    <row r="106" spans="1:7" ht="14.25" hidden="1" customHeight="1" x14ac:dyDescent="0.35">
      <c r="A106" s="130" t="s">
        <v>297</v>
      </c>
      <c r="B106" s="131" t="s">
        <v>50</v>
      </c>
      <c r="C106" s="131">
        <v>45062</v>
      </c>
      <c r="D106" s="131"/>
      <c r="E106" s="131"/>
      <c r="F106" s="131"/>
      <c r="G106" s="131"/>
    </row>
    <row r="107" spans="1:7" ht="14.25" customHeight="1" x14ac:dyDescent="0.35">
      <c r="A107" s="132" t="s">
        <v>296</v>
      </c>
      <c r="B107" s="133" t="s">
        <v>59</v>
      </c>
      <c r="C107" s="133">
        <v>72039</v>
      </c>
      <c r="D107" s="133">
        <v>2</v>
      </c>
      <c r="E107" s="133"/>
      <c r="F107" s="133">
        <v>1</v>
      </c>
      <c r="G107" s="133">
        <v>0</v>
      </c>
    </row>
    <row r="108" spans="1:7" ht="14.25" hidden="1" customHeight="1" x14ac:dyDescent="0.35">
      <c r="A108" s="130" t="s">
        <v>261</v>
      </c>
      <c r="B108" s="131" t="s">
        <v>55</v>
      </c>
      <c r="C108" s="131">
        <v>32006</v>
      </c>
      <c r="D108" s="131"/>
      <c r="E108" s="131"/>
      <c r="F108" s="131"/>
      <c r="G108" s="131"/>
    </row>
    <row r="109" spans="1:7" ht="14.25" hidden="1" customHeight="1" x14ac:dyDescent="0.35">
      <c r="A109" s="132" t="s">
        <v>196</v>
      </c>
      <c r="B109" s="133" t="s">
        <v>48</v>
      </c>
      <c r="C109" s="133">
        <v>11021</v>
      </c>
      <c r="D109" s="133"/>
      <c r="E109" s="133"/>
      <c r="F109" s="133"/>
      <c r="G109" s="133"/>
    </row>
    <row r="110" spans="1:7" ht="14.25" hidden="1" customHeight="1" x14ac:dyDescent="0.35">
      <c r="A110" s="130" t="s">
        <v>134</v>
      </c>
      <c r="B110" s="131" t="s">
        <v>52</v>
      </c>
      <c r="C110" s="131">
        <v>24045</v>
      </c>
      <c r="D110" s="131">
        <v>6</v>
      </c>
      <c r="E110" s="131">
        <v>6</v>
      </c>
      <c r="F110" s="131">
        <v>6</v>
      </c>
      <c r="G110" s="131">
        <v>6</v>
      </c>
    </row>
    <row r="111" spans="1:7" ht="14.25" hidden="1" customHeight="1" x14ac:dyDescent="0.35">
      <c r="A111" s="132" t="s">
        <v>173</v>
      </c>
      <c r="B111" s="133" t="s">
        <v>48</v>
      </c>
      <c r="C111" s="133">
        <v>13016</v>
      </c>
      <c r="D111" s="133"/>
      <c r="E111" s="133"/>
      <c r="F111" s="133"/>
      <c r="G111" s="133"/>
    </row>
    <row r="112" spans="1:7" ht="14.25" hidden="1" customHeight="1" x14ac:dyDescent="0.35">
      <c r="A112" s="130" t="s">
        <v>212</v>
      </c>
      <c r="B112" s="131" t="s">
        <v>55</v>
      </c>
      <c r="C112" s="131">
        <v>35006</v>
      </c>
      <c r="D112" s="131"/>
      <c r="E112" s="131"/>
      <c r="F112" s="131"/>
      <c r="G112" s="131"/>
    </row>
    <row r="113" spans="1:7" ht="14.25" hidden="1" customHeight="1" x14ac:dyDescent="0.35">
      <c r="A113" s="132" t="s">
        <v>76</v>
      </c>
      <c r="B113" s="133" t="s">
        <v>55</v>
      </c>
      <c r="C113" s="133">
        <v>33011</v>
      </c>
      <c r="D113" s="133"/>
      <c r="E113" s="133"/>
      <c r="F113" s="133"/>
      <c r="G113" s="133"/>
    </row>
    <row r="114" spans="1:7" ht="14.25" hidden="1" customHeight="1" x14ac:dyDescent="0.35">
      <c r="A114" s="130" t="s">
        <v>263</v>
      </c>
      <c r="B114" s="131" t="s">
        <v>55</v>
      </c>
      <c r="C114" s="131">
        <v>36007</v>
      </c>
      <c r="D114" s="131"/>
      <c r="E114" s="131"/>
      <c r="F114" s="131"/>
      <c r="G114" s="131"/>
    </row>
    <row r="115" spans="1:7" ht="14.25" hidden="1" customHeight="1" x14ac:dyDescent="0.35">
      <c r="A115" s="132" t="s">
        <v>129</v>
      </c>
      <c r="B115" s="133" t="s">
        <v>55</v>
      </c>
      <c r="C115" s="133">
        <v>36008</v>
      </c>
      <c r="D115" s="133"/>
      <c r="E115" s="133"/>
      <c r="F115" s="133"/>
      <c r="G115" s="133"/>
    </row>
    <row r="116" spans="1:7" ht="14.25" hidden="1" customHeight="1" x14ac:dyDescent="0.35">
      <c r="A116" s="130" t="s">
        <v>273</v>
      </c>
      <c r="B116" s="131" t="s">
        <v>55</v>
      </c>
      <c r="C116" s="131">
        <v>31012</v>
      </c>
      <c r="D116" s="131"/>
      <c r="E116" s="131"/>
      <c r="F116" s="131"/>
      <c r="G116" s="131"/>
    </row>
    <row r="117" spans="1:7" ht="14.25" hidden="1" customHeight="1" x14ac:dyDescent="0.35">
      <c r="A117" s="132" t="s">
        <v>163</v>
      </c>
      <c r="B117" s="133" t="s">
        <v>48</v>
      </c>
      <c r="C117" s="133">
        <v>11022</v>
      </c>
      <c r="D117" s="133">
        <v>2</v>
      </c>
      <c r="E117" s="133">
        <v>2</v>
      </c>
      <c r="F117" s="133">
        <v>2</v>
      </c>
      <c r="G117" s="133">
        <v>2</v>
      </c>
    </row>
    <row r="118" spans="1:7" ht="14.25" hidden="1" customHeight="1" x14ac:dyDescent="0.35">
      <c r="A118" s="130" t="s">
        <v>207</v>
      </c>
      <c r="B118" s="131" t="s">
        <v>52</v>
      </c>
      <c r="C118" s="131">
        <v>23038</v>
      </c>
      <c r="D118" s="131"/>
      <c r="E118" s="131"/>
      <c r="F118" s="131"/>
      <c r="G118" s="131"/>
    </row>
    <row r="119" spans="1:7" ht="14.25" hidden="1" customHeight="1" x14ac:dyDescent="0.35">
      <c r="A119" s="132" t="s">
        <v>258</v>
      </c>
      <c r="B119" s="133" t="s">
        <v>52</v>
      </c>
      <c r="C119" s="133">
        <v>23039</v>
      </c>
      <c r="D119" s="133"/>
      <c r="E119" s="133"/>
      <c r="F119" s="133"/>
      <c r="G119" s="133"/>
    </row>
    <row r="120" spans="1:7" ht="14.25" hidden="1" customHeight="1" x14ac:dyDescent="0.35">
      <c r="A120" s="130" t="s">
        <v>312</v>
      </c>
      <c r="B120" s="131" t="s">
        <v>48</v>
      </c>
      <c r="C120" s="131">
        <v>11023</v>
      </c>
      <c r="D120" s="131"/>
      <c r="E120" s="131"/>
      <c r="F120" s="131"/>
      <c r="G120" s="131"/>
    </row>
    <row r="121" spans="1:7" ht="14.25" hidden="1" customHeight="1" x14ac:dyDescent="0.35">
      <c r="A121" s="132" t="s">
        <v>247</v>
      </c>
      <c r="B121" s="133" t="s">
        <v>50</v>
      </c>
      <c r="C121" s="133">
        <v>43007</v>
      </c>
      <c r="D121" s="133"/>
      <c r="E121" s="133"/>
      <c r="F121" s="133"/>
      <c r="G121" s="133"/>
    </row>
    <row r="122" spans="1:7" ht="14.25" hidden="1" customHeight="1" x14ac:dyDescent="0.35">
      <c r="A122" s="130" t="s">
        <v>181</v>
      </c>
      <c r="B122" s="131" t="s">
        <v>48</v>
      </c>
      <c r="C122" s="131">
        <v>13017</v>
      </c>
      <c r="D122" s="131"/>
      <c r="E122" s="131"/>
      <c r="F122" s="131"/>
      <c r="G122" s="131"/>
    </row>
    <row r="123" spans="1:7" ht="14.25" hidden="1" customHeight="1" x14ac:dyDescent="0.35">
      <c r="A123" s="132" t="s">
        <v>176</v>
      </c>
      <c r="B123" s="133" t="s">
        <v>52</v>
      </c>
      <c r="C123" s="133">
        <v>24048</v>
      </c>
      <c r="D123" s="133">
        <v>2</v>
      </c>
      <c r="E123" s="133"/>
      <c r="F123" s="133">
        <v>2</v>
      </c>
      <c r="G123" s="133">
        <v>0</v>
      </c>
    </row>
    <row r="124" spans="1:7" ht="14.25" customHeight="1" x14ac:dyDescent="0.35">
      <c r="A124" s="130" t="s">
        <v>325</v>
      </c>
      <c r="B124" s="131" t="s">
        <v>59</v>
      </c>
      <c r="C124" s="131">
        <v>72018</v>
      </c>
      <c r="D124" s="131"/>
      <c r="E124" s="131"/>
      <c r="F124" s="131"/>
      <c r="G124" s="131"/>
    </row>
    <row r="125" spans="1:7" ht="14.25" hidden="1" customHeight="1" x14ac:dyDescent="0.35">
      <c r="A125" s="132" t="s">
        <v>191</v>
      </c>
      <c r="B125" s="133" t="s">
        <v>50</v>
      </c>
      <c r="C125" s="133">
        <v>45060</v>
      </c>
      <c r="D125" s="133"/>
      <c r="E125" s="133"/>
      <c r="F125" s="133"/>
      <c r="G125" s="133"/>
    </row>
    <row r="126" spans="1:7" ht="14.25" hidden="1" customHeight="1" x14ac:dyDescent="0.35">
      <c r="A126" s="130" t="s">
        <v>103</v>
      </c>
      <c r="B126" s="131" t="s">
        <v>55</v>
      </c>
      <c r="C126" s="131">
        <v>31043</v>
      </c>
      <c r="D126" s="131"/>
      <c r="E126" s="131"/>
      <c r="F126" s="131"/>
      <c r="G126" s="131"/>
    </row>
    <row r="127" spans="1:7" ht="14.25" hidden="1" customHeight="1" x14ac:dyDescent="0.35">
      <c r="A127" s="132" t="s">
        <v>256</v>
      </c>
      <c r="B127" s="133" t="s">
        <v>55</v>
      </c>
      <c r="C127" s="133">
        <v>32010</v>
      </c>
      <c r="D127" s="133"/>
      <c r="E127" s="133"/>
      <c r="F127" s="133"/>
      <c r="G127" s="133"/>
    </row>
    <row r="128" spans="1:7" ht="14.25" hidden="1" customHeight="1" x14ac:dyDescent="0.35">
      <c r="A128" s="130" t="s">
        <v>100</v>
      </c>
      <c r="B128" s="131" t="s">
        <v>55</v>
      </c>
      <c r="C128" s="131">
        <v>38014</v>
      </c>
      <c r="D128" s="131"/>
      <c r="E128" s="131"/>
      <c r="F128" s="131"/>
      <c r="G128" s="131"/>
    </row>
    <row r="129" spans="1:7" ht="14.25" hidden="1" customHeight="1" x14ac:dyDescent="0.35">
      <c r="A129" s="132" t="s">
        <v>288</v>
      </c>
      <c r="B129" s="133" t="s">
        <v>48</v>
      </c>
      <c r="C129" s="133">
        <v>11024</v>
      </c>
      <c r="D129" s="133"/>
      <c r="E129" s="133"/>
      <c r="F129" s="133"/>
      <c r="G129" s="133"/>
    </row>
    <row r="130" spans="1:7" ht="14.25" hidden="1" customHeight="1" x14ac:dyDescent="0.35">
      <c r="A130" s="130" t="s">
        <v>138</v>
      </c>
      <c r="B130" s="131" t="s">
        <v>55</v>
      </c>
      <c r="C130" s="131">
        <v>32011</v>
      </c>
      <c r="D130" s="131"/>
      <c r="E130" s="131"/>
      <c r="F130" s="131"/>
      <c r="G130" s="131"/>
    </row>
    <row r="131" spans="1:7" ht="14.25" hidden="1" customHeight="1" x14ac:dyDescent="0.35">
      <c r="A131" s="132" t="s">
        <v>252</v>
      </c>
      <c r="B131" s="133" t="s">
        <v>52</v>
      </c>
      <c r="C131" s="133">
        <v>24054</v>
      </c>
      <c r="D131" s="133">
        <v>2</v>
      </c>
      <c r="E131" s="133"/>
      <c r="F131" s="133">
        <v>2</v>
      </c>
      <c r="G131" s="133">
        <v>0</v>
      </c>
    </row>
    <row r="132" spans="1:7" ht="14.25" hidden="1" customHeight="1" x14ac:dyDescent="0.35">
      <c r="A132" s="130" t="s">
        <v>117</v>
      </c>
      <c r="B132" s="131" t="s">
        <v>52</v>
      </c>
      <c r="C132" s="131">
        <v>24055</v>
      </c>
      <c r="D132" s="131">
        <v>2</v>
      </c>
      <c r="E132" s="131"/>
      <c r="F132" s="131">
        <v>2</v>
      </c>
      <c r="G132" s="131">
        <v>1</v>
      </c>
    </row>
    <row r="133" spans="1:7" ht="14.25" hidden="1" customHeight="1" x14ac:dyDescent="0.35">
      <c r="A133" s="132" t="s">
        <v>56</v>
      </c>
      <c r="B133" s="133" t="s">
        <v>55</v>
      </c>
      <c r="C133" s="133">
        <v>34022</v>
      </c>
      <c r="D133" s="133"/>
      <c r="E133" s="133"/>
      <c r="F133" s="133"/>
      <c r="G133" s="133"/>
    </row>
    <row r="134" spans="1:7" ht="14.25" hidden="1" customHeight="1" x14ac:dyDescent="0.35">
      <c r="A134" s="130" t="s">
        <v>270</v>
      </c>
      <c r="B134" s="131" t="s">
        <v>52</v>
      </c>
      <c r="C134" s="131">
        <v>23099</v>
      </c>
      <c r="D134" s="131"/>
      <c r="E134" s="131"/>
      <c r="F134" s="131"/>
      <c r="G134" s="131"/>
    </row>
    <row r="135" spans="1:7" ht="14.25" hidden="1" customHeight="1" x14ac:dyDescent="0.35">
      <c r="A135" s="132" t="s">
        <v>122</v>
      </c>
      <c r="B135" s="133" t="s">
        <v>50</v>
      </c>
      <c r="C135" s="133">
        <v>45068</v>
      </c>
      <c r="D135" s="133"/>
      <c r="E135" s="133"/>
      <c r="F135" s="133"/>
      <c r="G135" s="133"/>
    </row>
    <row r="136" spans="1:7" ht="14.25" hidden="1" customHeight="1" x14ac:dyDescent="0.35">
      <c r="A136" s="130" t="s">
        <v>158</v>
      </c>
      <c r="B136" s="131" t="s">
        <v>55</v>
      </c>
      <c r="C136" s="131">
        <v>34023</v>
      </c>
      <c r="D136" s="131"/>
      <c r="E136" s="131"/>
      <c r="F136" s="131"/>
      <c r="G136" s="131"/>
    </row>
    <row r="137" spans="1:7" ht="14.25" hidden="1" customHeight="1" x14ac:dyDescent="0.35">
      <c r="A137" s="132" t="s">
        <v>218</v>
      </c>
      <c r="B137" s="133" t="s">
        <v>48</v>
      </c>
      <c r="C137" s="133">
        <v>13053</v>
      </c>
      <c r="D137" s="133"/>
      <c r="E137" s="133"/>
      <c r="F137" s="133"/>
      <c r="G137" s="133"/>
    </row>
    <row r="138" spans="1:7" ht="14.25" hidden="1" customHeight="1" x14ac:dyDescent="0.35">
      <c r="A138" s="130" t="s">
        <v>155</v>
      </c>
      <c r="B138" s="131" t="s">
        <v>50</v>
      </c>
      <c r="C138" s="131">
        <v>42010</v>
      </c>
      <c r="D138" s="131"/>
      <c r="E138" s="131"/>
      <c r="F138" s="131"/>
      <c r="G138" s="131"/>
    </row>
    <row r="139" spans="1:7" ht="14.25" customHeight="1" x14ac:dyDescent="0.35">
      <c r="A139" s="132" t="s">
        <v>295</v>
      </c>
      <c r="B139" s="133" t="s">
        <v>59</v>
      </c>
      <c r="C139" s="133">
        <v>73042</v>
      </c>
      <c r="D139" s="133">
        <v>1</v>
      </c>
      <c r="E139" s="133">
        <v>1</v>
      </c>
      <c r="F139" s="133">
        <v>1</v>
      </c>
      <c r="G139" s="133">
        <v>1</v>
      </c>
    </row>
    <row r="140" spans="1:7" ht="14.25" hidden="1" customHeight="1" x14ac:dyDescent="0.35">
      <c r="A140" s="130" t="s">
        <v>81</v>
      </c>
      <c r="B140" s="131" t="s">
        <v>52</v>
      </c>
      <c r="C140" s="131">
        <v>24059</v>
      </c>
      <c r="D140" s="131">
        <v>2</v>
      </c>
      <c r="E140" s="131">
        <v>2</v>
      </c>
      <c r="F140" s="131">
        <v>2</v>
      </c>
      <c r="G140" s="131">
        <v>2</v>
      </c>
    </row>
    <row r="141" spans="1:7" ht="14.25" hidden="1" customHeight="1" x14ac:dyDescent="0.35">
      <c r="A141" s="132" t="s">
        <v>253</v>
      </c>
      <c r="B141" s="133" t="s">
        <v>55</v>
      </c>
      <c r="C141" s="133">
        <v>33040</v>
      </c>
      <c r="D141" s="133"/>
      <c r="E141" s="133"/>
      <c r="F141" s="133"/>
      <c r="G141" s="133"/>
    </row>
    <row r="142" spans="1:7" ht="14.25" hidden="1" customHeight="1" x14ac:dyDescent="0.35">
      <c r="A142" s="130" t="s">
        <v>114</v>
      </c>
      <c r="B142" s="131" t="s">
        <v>50</v>
      </c>
      <c r="C142" s="131">
        <v>42011</v>
      </c>
      <c r="D142" s="131"/>
      <c r="E142" s="131"/>
      <c r="F142" s="131"/>
      <c r="G142" s="131"/>
    </row>
    <row r="143" spans="1:7" ht="14.25" hidden="1" customHeight="1" x14ac:dyDescent="0.35">
      <c r="A143" s="132" t="s">
        <v>179</v>
      </c>
      <c r="B143" s="133" t="s">
        <v>50</v>
      </c>
      <c r="C143" s="133">
        <v>41034</v>
      </c>
      <c r="D143" s="133"/>
      <c r="E143" s="133"/>
      <c r="F143" s="133"/>
      <c r="G143" s="133"/>
    </row>
    <row r="144" spans="1:7" ht="14.25" hidden="1" customHeight="1" x14ac:dyDescent="0.35">
      <c r="A144" s="130" t="s">
        <v>171</v>
      </c>
      <c r="B144" s="131" t="s">
        <v>55</v>
      </c>
      <c r="C144" s="131">
        <v>36010</v>
      </c>
      <c r="D144" s="131"/>
      <c r="E144" s="131"/>
      <c r="F144" s="131"/>
      <c r="G144" s="131"/>
    </row>
    <row r="145" spans="1:7" ht="14.25" hidden="1" customHeight="1" x14ac:dyDescent="0.35">
      <c r="A145" s="132" t="s">
        <v>320</v>
      </c>
      <c r="B145" s="133" t="s">
        <v>55</v>
      </c>
      <c r="C145" s="133">
        <v>34025</v>
      </c>
      <c r="D145" s="133"/>
      <c r="E145" s="133"/>
      <c r="F145" s="133"/>
      <c r="G145" s="133"/>
    </row>
    <row r="146" spans="1:7" ht="14.25" hidden="1" customHeight="1" x14ac:dyDescent="0.35">
      <c r="A146" s="130" t="s">
        <v>257</v>
      </c>
      <c r="B146" s="131" t="s">
        <v>52</v>
      </c>
      <c r="C146" s="131">
        <v>23104</v>
      </c>
      <c r="D146" s="131"/>
      <c r="E146" s="131"/>
      <c r="F146" s="131"/>
      <c r="G146" s="131"/>
    </row>
    <row r="147" spans="1:7" ht="14.25" customHeight="1" x14ac:dyDescent="0.35">
      <c r="A147" s="132" t="s">
        <v>308</v>
      </c>
      <c r="B147" s="133" t="s">
        <v>59</v>
      </c>
      <c r="C147" s="133">
        <v>71034</v>
      </c>
      <c r="D147" s="133"/>
      <c r="E147" s="133"/>
      <c r="F147" s="133"/>
      <c r="G147" s="133"/>
    </row>
    <row r="148" spans="1:7" ht="14.25" hidden="1" customHeight="1" x14ac:dyDescent="0.35">
      <c r="A148" s="130" t="s">
        <v>51</v>
      </c>
      <c r="B148" s="131" t="s">
        <v>52</v>
      </c>
      <c r="C148" s="131">
        <v>24062</v>
      </c>
      <c r="D148" s="131"/>
      <c r="E148" s="131"/>
      <c r="F148" s="131"/>
      <c r="G148" s="131"/>
    </row>
    <row r="149" spans="1:7" ht="14.25" hidden="1" customHeight="1" x14ac:dyDescent="0.35">
      <c r="A149" s="132" t="s">
        <v>198</v>
      </c>
      <c r="B149" s="133" t="s">
        <v>55</v>
      </c>
      <c r="C149" s="133">
        <v>36011</v>
      </c>
      <c r="D149" s="133"/>
      <c r="E149" s="133"/>
      <c r="F149" s="133"/>
      <c r="G149" s="133"/>
    </row>
    <row r="150" spans="1:7" ht="14.25" hidden="1" customHeight="1" x14ac:dyDescent="0.35">
      <c r="A150" s="130" t="s">
        <v>334</v>
      </c>
      <c r="B150" s="131" t="s">
        <v>52</v>
      </c>
      <c r="C150" s="131">
        <v>23044</v>
      </c>
      <c r="D150" s="131"/>
      <c r="E150" s="131"/>
      <c r="F150" s="131"/>
      <c r="G150" s="131"/>
    </row>
    <row r="151" spans="1:7" ht="14.25" hidden="1" customHeight="1" x14ac:dyDescent="0.35">
      <c r="A151" s="132" t="s">
        <v>68</v>
      </c>
      <c r="B151" s="133" t="s">
        <v>48</v>
      </c>
      <c r="C151" s="133">
        <v>12021</v>
      </c>
      <c r="D151" s="133"/>
      <c r="E151" s="133"/>
      <c r="F151" s="133"/>
      <c r="G151" s="133"/>
    </row>
    <row r="152" spans="1:7" ht="14.25" hidden="1" customHeight="1" x14ac:dyDescent="0.35">
      <c r="A152" s="130" t="s">
        <v>248</v>
      </c>
      <c r="B152" s="131" t="s">
        <v>50</v>
      </c>
      <c r="C152" s="131">
        <v>45063</v>
      </c>
      <c r="D152" s="131"/>
      <c r="E152" s="131"/>
      <c r="F152" s="131"/>
      <c r="G152" s="131"/>
    </row>
    <row r="153" spans="1:7" ht="14.25" hidden="1" customHeight="1" x14ac:dyDescent="0.35">
      <c r="A153" s="132" t="s">
        <v>82</v>
      </c>
      <c r="B153" s="133" t="s">
        <v>50</v>
      </c>
      <c r="C153" s="133">
        <v>44085</v>
      </c>
      <c r="D153" s="133"/>
      <c r="E153" s="133"/>
      <c r="F153" s="133"/>
      <c r="G153" s="133"/>
    </row>
    <row r="154" spans="1:7" ht="14.25" hidden="1" customHeight="1" x14ac:dyDescent="0.35">
      <c r="A154" s="130" t="s">
        <v>161</v>
      </c>
      <c r="B154" s="131" t="s">
        <v>48</v>
      </c>
      <c r="C154" s="131">
        <v>13019</v>
      </c>
      <c r="D154" s="131"/>
      <c r="E154" s="131"/>
      <c r="F154" s="131"/>
      <c r="G154" s="131"/>
    </row>
    <row r="155" spans="1:7" ht="14.25" hidden="1" customHeight="1" x14ac:dyDescent="0.35">
      <c r="A155" s="132" t="s">
        <v>319</v>
      </c>
      <c r="B155" s="133" t="s">
        <v>52</v>
      </c>
      <c r="C155" s="133">
        <v>23100</v>
      </c>
      <c r="D155" s="133"/>
      <c r="E155" s="133"/>
      <c r="F155" s="133"/>
      <c r="G155" s="133"/>
    </row>
    <row r="156" spans="1:7" ht="14.25" hidden="1" customHeight="1" x14ac:dyDescent="0.35">
      <c r="A156" s="130" t="s">
        <v>254</v>
      </c>
      <c r="B156" s="131" t="s">
        <v>48</v>
      </c>
      <c r="C156" s="131">
        <v>11025</v>
      </c>
      <c r="D156" s="131"/>
      <c r="E156" s="131"/>
      <c r="F156" s="131"/>
      <c r="G156" s="131"/>
    </row>
    <row r="157" spans="1:7" ht="14.25" hidden="1" customHeight="1" x14ac:dyDescent="0.35">
      <c r="A157" s="132" t="s">
        <v>193</v>
      </c>
      <c r="B157" s="133" t="s">
        <v>52</v>
      </c>
      <c r="C157" s="133">
        <v>24133</v>
      </c>
      <c r="D157" s="133">
        <v>2</v>
      </c>
      <c r="E157" s="133"/>
      <c r="F157" s="133">
        <v>2</v>
      </c>
      <c r="G157" s="133">
        <v>0</v>
      </c>
    </row>
    <row r="158" spans="1:7" ht="14.25" hidden="1" customHeight="1" x14ac:dyDescent="0.35">
      <c r="A158" s="130" t="s">
        <v>239</v>
      </c>
      <c r="B158" s="131" t="s">
        <v>55</v>
      </c>
      <c r="C158" s="131">
        <v>32030</v>
      </c>
      <c r="D158" s="131"/>
      <c r="E158" s="131"/>
      <c r="F158" s="131"/>
      <c r="G158" s="131"/>
    </row>
    <row r="159" spans="1:7" ht="14.25" hidden="1" customHeight="1" x14ac:dyDescent="0.35">
      <c r="A159" s="132" t="s">
        <v>233</v>
      </c>
      <c r="B159" s="133" t="s">
        <v>50</v>
      </c>
      <c r="C159" s="133">
        <v>44034</v>
      </c>
      <c r="D159" s="133">
        <v>1</v>
      </c>
      <c r="E159" s="133"/>
      <c r="F159" s="133">
        <v>1</v>
      </c>
      <c r="G159" s="133">
        <v>0</v>
      </c>
    </row>
    <row r="160" spans="1:7" ht="14.25" hidden="1" customHeight="1" x14ac:dyDescent="0.35">
      <c r="A160" s="130" t="s">
        <v>72</v>
      </c>
      <c r="B160" s="131" t="s">
        <v>50</v>
      </c>
      <c r="C160" s="131">
        <v>46014</v>
      </c>
      <c r="D160" s="131"/>
      <c r="E160" s="131"/>
      <c r="F160" s="131"/>
      <c r="G160" s="131"/>
    </row>
    <row r="161" spans="1:7" ht="14.25" customHeight="1" x14ac:dyDescent="0.35">
      <c r="A161" s="132" t="s">
        <v>126</v>
      </c>
      <c r="B161" s="133" t="s">
        <v>59</v>
      </c>
      <c r="C161" s="133">
        <v>72020</v>
      </c>
      <c r="D161" s="133"/>
      <c r="E161" s="133"/>
      <c r="F161" s="133"/>
      <c r="G161" s="133"/>
    </row>
    <row r="162" spans="1:7" ht="14.25" hidden="1" customHeight="1" x14ac:dyDescent="0.35">
      <c r="A162" s="130" t="s">
        <v>283</v>
      </c>
      <c r="B162" s="131" t="s">
        <v>52</v>
      </c>
      <c r="C162" s="131">
        <v>23045</v>
      </c>
      <c r="D162" s="131"/>
      <c r="E162" s="131"/>
      <c r="F162" s="131"/>
      <c r="G162" s="131"/>
    </row>
    <row r="163" spans="1:7" ht="14.25" hidden="1" customHeight="1" x14ac:dyDescent="0.35">
      <c r="A163" s="132" t="s">
        <v>139</v>
      </c>
      <c r="B163" s="133" t="s">
        <v>52</v>
      </c>
      <c r="C163" s="133">
        <v>24066</v>
      </c>
      <c r="D163" s="133">
        <v>1</v>
      </c>
      <c r="E163" s="133"/>
      <c r="F163" s="133">
        <v>2</v>
      </c>
      <c r="G163" s="133">
        <v>0</v>
      </c>
    </row>
    <row r="164" spans="1:7" ht="14.25" customHeight="1" x14ac:dyDescent="0.35">
      <c r="A164" s="130" t="s">
        <v>286</v>
      </c>
      <c r="B164" s="131" t="s">
        <v>59</v>
      </c>
      <c r="C164" s="131">
        <v>71037</v>
      </c>
      <c r="D164" s="131"/>
      <c r="E164" s="131"/>
      <c r="F164" s="131"/>
      <c r="G164" s="131"/>
    </row>
    <row r="165" spans="1:7" ht="14.25" hidden="1" customHeight="1" x14ac:dyDescent="0.35">
      <c r="A165" s="132" t="s">
        <v>244</v>
      </c>
      <c r="B165" s="133" t="s">
        <v>50</v>
      </c>
      <c r="C165" s="133">
        <v>45064</v>
      </c>
      <c r="D165" s="133"/>
      <c r="E165" s="133"/>
      <c r="F165" s="133"/>
      <c r="G165" s="133"/>
    </row>
    <row r="166" spans="1:7" ht="14.25" customHeight="1" x14ac:dyDescent="0.35">
      <c r="A166" s="130" t="s">
        <v>211</v>
      </c>
      <c r="B166" s="131" t="s">
        <v>59</v>
      </c>
      <c r="C166" s="131">
        <v>72021</v>
      </c>
      <c r="D166" s="131"/>
      <c r="E166" s="131"/>
      <c r="F166" s="131"/>
      <c r="G166" s="131"/>
    </row>
    <row r="167" spans="1:7" ht="14.25" customHeight="1" x14ac:dyDescent="0.35">
      <c r="A167" s="132" t="s">
        <v>229</v>
      </c>
      <c r="B167" s="133" t="s">
        <v>59</v>
      </c>
      <c r="C167" s="133">
        <v>73107</v>
      </c>
      <c r="D167" s="133">
        <v>3</v>
      </c>
      <c r="E167" s="133">
        <v>2</v>
      </c>
      <c r="F167" s="133">
        <v>2</v>
      </c>
      <c r="G167" s="133">
        <v>1</v>
      </c>
    </row>
    <row r="168" spans="1:7" ht="14.25" hidden="1" customHeight="1" x14ac:dyDescent="0.35">
      <c r="A168" s="130" t="s">
        <v>278</v>
      </c>
      <c r="B168" s="131" t="s">
        <v>52</v>
      </c>
      <c r="C168" s="131">
        <v>23047</v>
      </c>
      <c r="D168" s="131"/>
      <c r="E168" s="131"/>
      <c r="F168" s="131"/>
      <c r="G168" s="131"/>
    </row>
    <row r="169" spans="1:7" ht="14.25" hidden="1" customHeight="1" x14ac:dyDescent="0.35">
      <c r="A169" s="132" t="s">
        <v>165</v>
      </c>
      <c r="B169" s="133" t="s">
        <v>50</v>
      </c>
      <c r="C169" s="133">
        <v>43010</v>
      </c>
      <c r="D169" s="133"/>
      <c r="E169" s="133"/>
      <c r="F169" s="133"/>
      <c r="G169" s="133"/>
    </row>
    <row r="170" spans="1:7" ht="14.25" hidden="1" customHeight="1" x14ac:dyDescent="0.35">
      <c r="A170" s="130" t="s">
        <v>178</v>
      </c>
      <c r="B170" s="131" t="s">
        <v>48</v>
      </c>
      <c r="C170" s="131">
        <v>11057</v>
      </c>
      <c r="D170" s="131"/>
      <c r="E170" s="131"/>
      <c r="F170" s="131"/>
      <c r="G170" s="131"/>
    </row>
    <row r="171" spans="1:7" ht="14.25" hidden="1" customHeight="1" x14ac:dyDescent="0.35">
      <c r="A171" s="132" t="s">
        <v>53</v>
      </c>
      <c r="B171" s="133" t="s">
        <v>48</v>
      </c>
      <c r="C171" s="133">
        <v>12025</v>
      </c>
      <c r="D171" s="133"/>
      <c r="E171" s="133"/>
      <c r="F171" s="133"/>
      <c r="G171" s="133"/>
    </row>
    <row r="172" spans="1:7" ht="14.25" hidden="1" customHeight="1" x14ac:dyDescent="0.35">
      <c r="A172" s="130" t="s">
        <v>172</v>
      </c>
      <c r="B172" s="131" t="s">
        <v>48</v>
      </c>
      <c r="C172" s="131">
        <v>13021</v>
      </c>
      <c r="D172" s="131"/>
      <c r="E172" s="131"/>
      <c r="F172" s="131"/>
      <c r="G172" s="131"/>
    </row>
    <row r="173" spans="1:7" ht="14.25" hidden="1" customHeight="1" x14ac:dyDescent="0.35">
      <c r="A173" s="132" t="s">
        <v>287</v>
      </c>
      <c r="B173" s="133" t="s">
        <v>52</v>
      </c>
      <c r="C173" s="133">
        <v>23050</v>
      </c>
      <c r="D173" s="133"/>
      <c r="E173" s="133"/>
      <c r="F173" s="133"/>
      <c r="G173" s="133"/>
    </row>
    <row r="174" spans="1:7" ht="14.25" hidden="1" customHeight="1" x14ac:dyDescent="0.35">
      <c r="A174" s="130" t="s">
        <v>130</v>
      </c>
      <c r="B174" s="131" t="s">
        <v>55</v>
      </c>
      <c r="C174" s="131">
        <v>34027</v>
      </c>
      <c r="D174" s="131"/>
      <c r="E174" s="131"/>
      <c r="F174" s="131"/>
      <c r="G174" s="131"/>
    </row>
    <row r="175" spans="1:7" ht="14.25" hidden="1" customHeight="1" x14ac:dyDescent="0.35">
      <c r="A175" s="132" t="s">
        <v>281</v>
      </c>
      <c r="B175" s="133" t="s">
        <v>52</v>
      </c>
      <c r="C175" s="133">
        <v>23052</v>
      </c>
      <c r="D175" s="133"/>
      <c r="E175" s="133"/>
      <c r="F175" s="133"/>
      <c r="G175" s="133"/>
    </row>
    <row r="176" spans="1:7" ht="14.25" hidden="1" customHeight="1" x14ac:dyDescent="0.35">
      <c r="A176" s="130" t="s">
        <v>60</v>
      </c>
      <c r="B176" s="131" t="s">
        <v>50</v>
      </c>
      <c r="C176" s="131">
        <v>44043</v>
      </c>
      <c r="D176" s="131"/>
      <c r="E176" s="131"/>
      <c r="F176" s="131"/>
      <c r="G176" s="131"/>
    </row>
    <row r="177" spans="1:7" ht="14.25" hidden="1" customHeight="1" x14ac:dyDescent="0.35">
      <c r="A177" s="132" t="s">
        <v>197</v>
      </c>
      <c r="B177" s="133" t="s">
        <v>48</v>
      </c>
      <c r="C177" s="133">
        <v>13023</v>
      </c>
      <c r="D177" s="133"/>
      <c r="E177" s="133"/>
      <c r="F177" s="133"/>
      <c r="G177" s="133"/>
    </row>
    <row r="178" spans="1:7" ht="14.25" hidden="1" customHeight="1" x14ac:dyDescent="0.35">
      <c r="A178" s="130" t="s">
        <v>238</v>
      </c>
      <c r="B178" s="131" t="s">
        <v>55</v>
      </c>
      <c r="C178" s="131">
        <v>33016</v>
      </c>
      <c r="D178" s="131"/>
      <c r="E178" s="131"/>
      <c r="F178" s="131"/>
      <c r="G178" s="131"/>
    </row>
    <row r="179" spans="1:7" ht="14.25" hidden="1" customHeight="1" x14ac:dyDescent="0.35">
      <c r="A179" s="132" t="s">
        <v>225</v>
      </c>
      <c r="B179" s="133" t="s">
        <v>55</v>
      </c>
      <c r="C179" s="133">
        <v>35011</v>
      </c>
      <c r="D179" s="133"/>
      <c r="E179" s="133"/>
      <c r="F179" s="133"/>
      <c r="G179" s="133"/>
    </row>
    <row r="180" spans="1:7" ht="14.25" hidden="1" customHeight="1" x14ac:dyDescent="0.35">
      <c r="A180" s="130" t="s">
        <v>145</v>
      </c>
      <c r="B180" s="131" t="s">
        <v>48</v>
      </c>
      <c r="C180" s="131">
        <v>13025</v>
      </c>
      <c r="D180" s="131"/>
      <c r="E180" s="131"/>
      <c r="F180" s="131"/>
      <c r="G180" s="131"/>
    </row>
    <row r="181" spans="1:7" ht="14.25" hidden="1" customHeight="1" x14ac:dyDescent="0.35">
      <c r="A181" s="132" t="s">
        <v>174</v>
      </c>
      <c r="B181" s="133" t="s">
        <v>55</v>
      </c>
      <c r="C181" s="133">
        <v>36012</v>
      </c>
      <c r="D181" s="133"/>
      <c r="E181" s="133"/>
      <c r="F181" s="133"/>
      <c r="G181" s="133"/>
    </row>
    <row r="182" spans="1:7" ht="14.25" hidden="1" customHeight="1" x14ac:dyDescent="0.35">
      <c r="A182" s="130" t="s">
        <v>66</v>
      </c>
      <c r="B182" s="131" t="s">
        <v>48</v>
      </c>
      <c r="C182" s="131">
        <v>11029</v>
      </c>
      <c r="D182" s="131"/>
      <c r="E182" s="131"/>
      <c r="F182" s="131"/>
      <c r="G182" s="131"/>
    </row>
    <row r="183" spans="1:7" ht="14.25" hidden="1" customHeight="1" x14ac:dyDescent="0.35">
      <c r="A183" s="132" t="s">
        <v>75</v>
      </c>
      <c r="B183" s="133" t="s">
        <v>50</v>
      </c>
      <c r="C183" s="133">
        <v>44048</v>
      </c>
      <c r="D183" s="133"/>
      <c r="E183" s="133"/>
      <c r="F183" s="133"/>
      <c r="G183" s="133"/>
    </row>
    <row r="184" spans="1:7" ht="14.25" hidden="1" customHeight="1" x14ac:dyDescent="0.35">
      <c r="A184" s="130" t="s">
        <v>203</v>
      </c>
      <c r="B184" s="131" t="s">
        <v>48</v>
      </c>
      <c r="C184" s="131">
        <v>11030</v>
      </c>
      <c r="D184" s="131">
        <v>2</v>
      </c>
      <c r="E184" s="131">
        <v>2</v>
      </c>
      <c r="F184" s="131">
        <v>2</v>
      </c>
      <c r="G184" s="131">
        <v>1</v>
      </c>
    </row>
    <row r="185" spans="1:7" ht="14.25" customHeight="1" x14ac:dyDescent="0.35">
      <c r="A185" s="132" t="s">
        <v>299</v>
      </c>
      <c r="B185" s="133" t="s">
        <v>59</v>
      </c>
      <c r="C185" s="133">
        <v>71045</v>
      </c>
      <c r="D185" s="133"/>
      <c r="E185" s="133"/>
      <c r="F185" s="133"/>
      <c r="G185" s="133"/>
    </row>
    <row r="186" spans="1:7" ht="14.25" hidden="1" customHeight="1" x14ac:dyDescent="0.35">
      <c r="A186" s="130" t="s">
        <v>152</v>
      </c>
      <c r="B186" s="131" t="s">
        <v>55</v>
      </c>
      <c r="C186" s="131">
        <v>38016</v>
      </c>
      <c r="D186" s="131"/>
      <c r="E186" s="131"/>
      <c r="F186" s="131"/>
      <c r="G186" s="131"/>
    </row>
    <row r="187" spans="1:7" ht="14.25" hidden="1" customHeight="1" x14ac:dyDescent="0.35">
      <c r="A187" s="132" t="s">
        <v>124</v>
      </c>
      <c r="B187" s="133" t="s">
        <v>48</v>
      </c>
      <c r="C187" s="133">
        <v>12026</v>
      </c>
      <c r="D187" s="133">
        <v>2</v>
      </c>
      <c r="E187" s="133"/>
      <c r="F187" s="133"/>
      <c r="G187" s="133"/>
    </row>
    <row r="188" spans="1:7" ht="14.25" hidden="1" customHeight="1" x14ac:dyDescent="0.35">
      <c r="A188" s="130" t="s">
        <v>236</v>
      </c>
      <c r="B188" s="131" t="s">
        <v>50</v>
      </c>
      <c r="C188" s="131">
        <v>41048</v>
      </c>
      <c r="D188" s="131"/>
      <c r="E188" s="131"/>
      <c r="F188" s="131"/>
      <c r="G188" s="131"/>
    </row>
    <row r="189" spans="1:7" ht="14.25" hidden="1" customHeight="1" x14ac:dyDescent="0.35">
      <c r="A189" s="132" t="s">
        <v>330</v>
      </c>
      <c r="B189" s="133" t="s">
        <v>48</v>
      </c>
      <c r="C189" s="133">
        <v>13029</v>
      </c>
      <c r="D189" s="133"/>
      <c r="E189" s="133"/>
      <c r="F189" s="133"/>
      <c r="G189" s="133"/>
    </row>
    <row r="190" spans="1:7" ht="14.25" hidden="1" customHeight="1" x14ac:dyDescent="0.35">
      <c r="A190" s="130" t="s">
        <v>64</v>
      </c>
      <c r="B190" s="131" t="s">
        <v>55</v>
      </c>
      <c r="C190" s="131">
        <v>35013</v>
      </c>
      <c r="D190" s="131"/>
      <c r="E190" s="131"/>
      <c r="F190" s="131"/>
      <c r="G190" s="131"/>
    </row>
    <row r="191" spans="1:7" ht="14.25" hidden="1" customHeight="1" x14ac:dyDescent="0.35">
      <c r="A191" s="132" t="s">
        <v>121</v>
      </c>
      <c r="B191" s="133" t="s">
        <v>50</v>
      </c>
      <c r="C191" s="133">
        <v>44052</v>
      </c>
      <c r="D191" s="133"/>
      <c r="E191" s="133"/>
      <c r="F191" s="133"/>
      <c r="G191" s="133"/>
    </row>
    <row r="192" spans="1:7" ht="14.25" hidden="1" customHeight="1" x14ac:dyDescent="0.35">
      <c r="A192" s="130" t="s">
        <v>79</v>
      </c>
      <c r="B192" s="131" t="s">
        <v>55</v>
      </c>
      <c r="C192" s="131">
        <v>31022</v>
      </c>
      <c r="D192" s="131"/>
      <c r="E192" s="131"/>
      <c r="F192" s="131"/>
      <c r="G192" s="131"/>
    </row>
    <row r="193" spans="1:7" ht="14.25" hidden="1" customHeight="1" x14ac:dyDescent="0.35">
      <c r="A193" s="132" t="s">
        <v>194</v>
      </c>
      <c r="B193" s="133" t="s">
        <v>55</v>
      </c>
      <c r="C193" s="133">
        <v>37010</v>
      </c>
      <c r="D193" s="133"/>
      <c r="E193" s="133"/>
      <c r="F193" s="133"/>
      <c r="G193" s="133"/>
    </row>
    <row r="194" spans="1:7" ht="14.25" hidden="1" customHeight="1" x14ac:dyDescent="0.35">
      <c r="A194" s="130" t="s">
        <v>214</v>
      </c>
      <c r="B194" s="131" t="s">
        <v>52</v>
      </c>
      <c r="C194" s="131">
        <v>23060</v>
      </c>
      <c r="D194" s="131"/>
      <c r="E194" s="131"/>
      <c r="F194" s="131"/>
      <c r="G194" s="131"/>
    </row>
    <row r="195" spans="1:7" ht="14.25" hidden="1" customHeight="1" x14ac:dyDescent="0.35">
      <c r="A195" s="132" t="s">
        <v>110</v>
      </c>
      <c r="B195" s="133" t="s">
        <v>52</v>
      </c>
      <c r="C195" s="133">
        <v>24086</v>
      </c>
      <c r="D195" s="133">
        <v>2</v>
      </c>
      <c r="E195" s="133"/>
      <c r="F195" s="133">
        <v>2</v>
      </c>
      <c r="G195" s="133">
        <v>0</v>
      </c>
    </row>
    <row r="196" spans="1:7" ht="14.25" hidden="1" customHeight="1" x14ac:dyDescent="0.35">
      <c r="A196" s="130" t="s">
        <v>159</v>
      </c>
      <c r="B196" s="131" t="s">
        <v>48</v>
      </c>
      <c r="C196" s="131">
        <v>13031</v>
      </c>
      <c r="D196" s="131"/>
      <c r="E196" s="131"/>
      <c r="F196" s="131"/>
      <c r="G196" s="131"/>
    </row>
    <row r="197" spans="1:7" ht="14.25" hidden="1" customHeight="1" x14ac:dyDescent="0.35">
      <c r="A197" s="132" t="s">
        <v>77</v>
      </c>
      <c r="B197" s="133" t="s">
        <v>50</v>
      </c>
      <c r="C197" s="133">
        <v>45035</v>
      </c>
      <c r="D197" s="133"/>
      <c r="E197" s="133"/>
      <c r="F197" s="133"/>
      <c r="G197" s="133"/>
    </row>
    <row r="198" spans="1:7" ht="14.25" hidden="1" customHeight="1" x14ac:dyDescent="0.35">
      <c r="A198" s="130" t="s">
        <v>200</v>
      </c>
      <c r="B198" s="131" t="s">
        <v>55</v>
      </c>
      <c r="C198" s="131">
        <v>35014</v>
      </c>
      <c r="D198" s="131"/>
      <c r="E198" s="131"/>
      <c r="F198" s="131"/>
      <c r="G198" s="131"/>
    </row>
    <row r="199" spans="1:7" ht="14.25" customHeight="1" x14ac:dyDescent="0.35">
      <c r="A199" s="132" t="s">
        <v>234</v>
      </c>
      <c r="B199" s="133" t="s">
        <v>59</v>
      </c>
      <c r="C199" s="133">
        <v>72042</v>
      </c>
      <c r="D199" s="133">
        <v>3</v>
      </c>
      <c r="E199" s="133">
        <v>3</v>
      </c>
      <c r="F199" s="133">
        <v>3</v>
      </c>
      <c r="G199" s="133">
        <v>3</v>
      </c>
    </row>
    <row r="200" spans="1:7" ht="14.25" hidden="1" customHeight="1" x14ac:dyDescent="0.35">
      <c r="A200" s="130" t="s">
        <v>230</v>
      </c>
      <c r="B200" s="131" t="s">
        <v>52</v>
      </c>
      <c r="C200" s="131">
        <v>23062</v>
      </c>
      <c r="D200" s="131">
        <v>2</v>
      </c>
      <c r="E200" s="131">
        <v>2</v>
      </c>
      <c r="F200" s="131">
        <v>2</v>
      </c>
      <c r="G200" s="131">
        <v>2</v>
      </c>
    </row>
    <row r="201" spans="1:7" ht="14.25" hidden="1" customHeight="1" x14ac:dyDescent="0.35">
      <c r="A201" s="132" t="s">
        <v>293</v>
      </c>
      <c r="B201" s="133" t="s">
        <v>52</v>
      </c>
      <c r="C201" s="133"/>
      <c r="D201" s="133"/>
      <c r="E201" s="133"/>
      <c r="F201" s="133"/>
      <c r="G201" s="133"/>
    </row>
    <row r="202" spans="1:7" ht="14.25" customHeight="1" x14ac:dyDescent="0.35">
      <c r="A202" s="130" t="s">
        <v>232</v>
      </c>
      <c r="B202" s="131" t="s">
        <v>59</v>
      </c>
      <c r="C202" s="131">
        <v>72030</v>
      </c>
      <c r="D202" s="131">
        <v>3</v>
      </c>
      <c r="E202" s="131">
        <v>3</v>
      </c>
      <c r="F202" s="131">
        <v>3</v>
      </c>
      <c r="G202" s="131">
        <v>3</v>
      </c>
    </row>
    <row r="203" spans="1:7" ht="14.25" customHeight="1" x14ac:dyDescent="0.35">
      <c r="A203" s="132" t="s">
        <v>310</v>
      </c>
      <c r="B203" s="133" t="s">
        <v>59</v>
      </c>
      <c r="C203" s="133">
        <v>72043</v>
      </c>
      <c r="D203" s="133">
        <v>1</v>
      </c>
      <c r="E203" s="133">
        <v>1</v>
      </c>
      <c r="F203" s="133">
        <v>1</v>
      </c>
      <c r="G203" s="133">
        <v>1</v>
      </c>
    </row>
    <row r="204" spans="1:7" ht="14.25" hidden="1" customHeight="1" x14ac:dyDescent="0.35">
      <c r="A204" s="130" t="s">
        <v>241</v>
      </c>
      <c r="B204" s="131" t="s">
        <v>52</v>
      </c>
      <c r="C204" s="131">
        <v>23064</v>
      </c>
      <c r="D204" s="131"/>
      <c r="E204" s="131"/>
      <c r="F204" s="131"/>
      <c r="G204" s="131"/>
    </row>
    <row r="205" spans="1:7" ht="14.25" hidden="1" customHeight="1" x14ac:dyDescent="0.35">
      <c r="A205" s="132" t="s">
        <v>251</v>
      </c>
      <c r="B205" s="133" t="s">
        <v>55</v>
      </c>
      <c r="C205" s="133">
        <v>37011</v>
      </c>
      <c r="D205" s="133"/>
      <c r="E205" s="133"/>
      <c r="F205" s="133"/>
      <c r="G205" s="133"/>
    </row>
    <row r="206" spans="1:7" ht="14.25" hidden="1" customHeight="1" x14ac:dyDescent="0.35">
      <c r="A206" s="130" t="s">
        <v>98</v>
      </c>
      <c r="B206" s="131" t="s">
        <v>55</v>
      </c>
      <c r="C206" s="131">
        <v>33021</v>
      </c>
      <c r="D206" s="131"/>
      <c r="E206" s="131"/>
      <c r="F206" s="131"/>
      <c r="G206" s="131"/>
    </row>
    <row r="207" spans="1:7" ht="14.25" hidden="1" customHeight="1" x14ac:dyDescent="0.35">
      <c r="A207" s="132" t="s">
        <v>282</v>
      </c>
      <c r="B207" s="133" t="s">
        <v>48</v>
      </c>
      <c r="C207" s="133">
        <v>12029</v>
      </c>
      <c r="D207" s="133"/>
      <c r="E207" s="133"/>
      <c r="F207" s="133"/>
      <c r="G207" s="133"/>
    </row>
    <row r="208" spans="1:7" ht="14.25" hidden="1" customHeight="1" x14ac:dyDescent="0.35">
      <c r="A208" s="130" t="s">
        <v>94</v>
      </c>
      <c r="B208" s="131" t="s">
        <v>48</v>
      </c>
      <c r="C208" s="131">
        <v>12041</v>
      </c>
      <c r="D208" s="131"/>
      <c r="E208" s="131"/>
      <c r="F208" s="131"/>
      <c r="G208" s="131"/>
    </row>
    <row r="209" spans="1:7" ht="14.25" hidden="1" customHeight="1" x14ac:dyDescent="0.35">
      <c r="A209" s="132" t="s">
        <v>284</v>
      </c>
      <c r="B209" s="133" t="s">
        <v>48</v>
      </c>
      <c r="C209" s="133">
        <v>11035</v>
      </c>
      <c r="D209" s="133"/>
      <c r="E209" s="133"/>
      <c r="F209" s="133"/>
      <c r="G209" s="133"/>
    </row>
    <row r="210" spans="1:7" ht="14.25" hidden="1" customHeight="1" x14ac:dyDescent="0.35">
      <c r="A210" s="130" t="s">
        <v>277</v>
      </c>
      <c r="B210" s="131" t="s">
        <v>48</v>
      </c>
      <c r="C210" s="131">
        <v>13035</v>
      </c>
      <c r="D210" s="131"/>
      <c r="E210" s="131"/>
      <c r="F210" s="131"/>
      <c r="G210" s="131"/>
    </row>
    <row r="211" spans="1:7" ht="14.25" hidden="1" customHeight="1" x14ac:dyDescent="0.35">
      <c r="A211" s="132" t="s">
        <v>204</v>
      </c>
      <c r="B211" s="133" t="s">
        <v>48</v>
      </c>
      <c r="C211" s="133">
        <v>13036</v>
      </c>
      <c r="D211" s="133"/>
      <c r="E211" s="133"/>
      <c r="F211" s="133"/>
      <c r="G211" s="133"/>
    </row>
    <row r="212" spans="1:7" ht="14.25" customHeight="1" x14ac:dyDescent="0.35">
      <c r="A212" s="130" t="s">
        <v>332</v>
      </c>
      <c r="B212" s="131" t="s">
        <v>59</v>
      </c>
      <c r="C212" s="131">
        <v>73066</v>
      </c>
      <c r="D212" s="131"/>
      <c r="E212" s="131"/>
      <c r="F212" s="131"/>
      <c r="G212" s="131"/>
    </row>
    <row r="213" spans="1:7" ht="14.25" hidden="1" customHeight="1" x14ac:dyDescent="0.35">
      <c r="A213" s="132" t="s">
        <v>267</v>
      </c>
      <c r="B213" s="133" t="s">
        <v>48</v>
      </c>
      <c r="C213" s="133">
        <v>13037</v>
      </c>
      <c r="D213" s="133"/>
      <c r="E213" s="133"/>
      <c r="F213" s="133"/>
      <c r="G213" s="133"/>
    </row>
    <row r="214" spans="1:7" ht="14.25" hidden="1" customHeight="1" x14ac:dyDescent="0.35">
      <c r="A214" s="130" t="s">
        <v>63</v>
      </c>
      <c r="B214" s="131" t="s">
        <v>55</v>
      </c>
      <c r="C214" s="131">
        <v>36015</v>
      </c>
      <c r="D214" s="131"/>
      <c r="E214" s="131"/>
      <c r="F214" s="131"/>
      <c r="G214" s="131"/>
    </row>
    <row r="215" spans="1:7" ht="14.25" hidden="1" customHeight="1" x14ac:dyDescent="0.35">
      <c r="A215" s="132" t="s">
        <v>141</v>
      </c>
      <c r="B215" s="133" t="s">
        <v>50</v>
      </c>
      <c r="C215" s="133">
        <v>45041</v>
      </c>
      <c r="D215" s="133"/>
      <c r="E215" s="133"/>
      <c r="F215" s="133"/>
      <c r="G215" s="133"/>
    </row>
    <row r="216" spans="1:7" ht="14.25" hidden="1" customHeight="1" x14ac:dyDescent="0.35">
      <c r="A216" s="130" t="s">
        <v>328</v>
      </c>
      <c r="B216" s="131" t="s">
        <v>52</v>
      </c>
      <c r="C216" s="131">
        <v>23097</v>
      </c>
      <c r="D216" s="131"/>
      <c r="E216" s="131"/>
      <c r="F216" s="131"/>
      <c r="G216" s="131"/>
    </row>
    <row r="217" spans="1:7" ht="14.25" hidden="1" customHeight="1" x14ac:dyDescent="0.35">
      <c r="A217" s="132" t="s">
        <v>78</v>
      </c>
      <c r="B217" s="133" t="s">
        <v>52</v>
      </c>
      <c r="C217" s="133">
        <v>24094</v>
      </c>
      <c r="D217" s="133">
        <v>3</v>
      </c>
      <c r="E217" s="133">
        <v>1</v>
      </c>
      <c r="F217" s="133">
        <v>2</v>
      </c>
      <c r="G217" s="133">
        <v>1</v>
      </c>
    </row>
    <row r="218" spans="1:7" ht="14.25" hidden="1" customHeight="1" x14ac:dyDescent="0.35">
      <c r="A218" s="130" t="s">
        <v>160</v>
      </c>
      <c r="B218" s="131" t="s">
        <v>48</v>
      </c>
      <c r="C218" s="131">
        <v>11037</v>
      </c>
      <c r="D218" s="131"/>
      <c r="E218" s="131"/>
      <c r="F218" s="131"/>
      <c r="G218" s="131"/>
    </row>
    <row r="219" spans="1:7" ht="14.25" hidden="1" customHeight="1" x14ac:dyDescent="0.35">
      <c r="A219" s="132" t="s">
        <v>169</v>
      </c>
      <c r="B219" s="133" t="s">
        <v>48</v>
      </c>
      <c r="C219" s="133">
        <v>11038</v>
      </c>
      <c r="D219" s="133">
        <v>2</v>
      </c>
      <c r="E219" s="133">
        <v>2</v>
      </c>
      <c r="F219" s="133">
        <v>2</v>
      </c>
      <c r="G219" s="133">
        <v>2</v>
      </c>
    </row>
    <row r="220" spans="1:7" ht="14.25" hidden="1" customHeight="1" x14ac:dyDescent="0.35">
      <c r="A220" s="130" t="s">
        <v>292</v>
      </c>
      <c r="B220" s="131" t="s">
        <v>52</v>
      </c>
      <c r="C220" s="131">
        <v>24134</v>
      </c>
      <c r="D220" s="131">
        <v>1</v>
      </c>
      <c r="E220" s="131"/>
      <c r="F220" s="131">
        <v>2</v>
      </c>
      <c r="G220" s="131">
        <v>2</v>
      </c>
    </row>
    <row r="221" spans="1:7" ht="14.25" hidden="1" customHeight="1" x14ac:dyDescent="0.35">
      <c r="A221" s="132" t="s">
        <v>311</v>
      </c>
      <c r="B221" s="133" t="s">
        <v>48</v>
      </c>
      <c r="C221" s="133">
        <v>11039</v>
      </c>
      <c r="D221" s="133"/>
      <c r="E221" s="133"/>
      <c r="F221" s="133"/>
      <c r="G221" s="133"/>
    </row>
    <row r="222" spans="1:7" ht="14.25" hidden="1" customHeight="1" x14ac:dyDescent="0.35">
      <c r="A222" s="130" t="s">
        <v>188</v>
      </c>
      <c r="B222" s="131" t="s">
        <v>48</v>
      </c>
      <c r="C222" s="131">
        <v>11040</v>
      </c>
      <c r="D222" s="131"/>
      <c r="E222" s="131"/>
      <c r="F222" s="131"/>
      <c r="G222" s="131"/>
    </row>
    <row r="223" spans="1:7" ht="14.25" hidden="1" customHeight="1" x14ac:dyDescent="0.35">
      <c r="A223" s="132" t="s">
        <v>220</v>
      </c>
      <c r="B223" s="133" t="s">
        <v>52</v>
      </c>
      <c r="C223" s="133">
        <v>23101</v>
      </c>
      <c r="D223" s="133"/>
      <c r="E223" s="133"/>
      <c r="F223" s="133"/>
      <c r="G223" s="133"/>
    </row>
    <row r="224" spans="1:7" ht="14.25" hidden="1" customHeight="1" x14ac:dyDescent="0.35">
      <c r="A224" s="130" t="s">
        <v>226</v>
      </c>
      <c r="B224" s="131" t="s">
        <v>50</v>
      </c>
      <c r="C224" s="131">
        <v>46020</v>
      </c>
      <c r="D224" s="131"/>
      <c r="E224" s="131"/>
      <c r="F224" s="131"/>
      <c r="G224" s="131"/>
    </row>
    <row r="225" spans="1:7" ht="14.25" hidden="1" customHeight="1" x14ac:dyDescent="0.35">
      <c r="A225" s="132" t="s">
        <v>183</v>
      </c>
      <c r="B225" s="133" t="s">
        <v>48</v>
      </c>
      <c r="C225" s="133">
        <v>12035</v>
      </c>
      <c r="D225" s="133"/>
      <c r="E225" s="133"/>
      <c r="F225" s="133"/>
      <c r="G225" s="133"/>
    </row>
    <row r="226" spans="1:7" ht="14.25" hidden="1" customHeight="1" x14ac:dyDescent="0.35">
      <c r="A226" s="130" t="s">
        <v>250</v>
      </c>
      <c r="B226" s="131" t="s">
        <v>50</v>
      </c>
      <c r="C226" s="131">
        <v>43014</v>
      </c>
      <c r="D226" s="131"/>
      <c r="E226" s="131"/>
      <c r="F226" s="131"/>
      <c r="G226" s="131"/>
    </row>
    <row r="227" spans="1:7" ht="14.25" hidden="1" customHeight="1" x14ac:dyDescent="0.35">
      <c r="A227" s="132" t="s">
        <v>202</v>
      </c>
      <c r="B227" s="133" t="s">
        <v>50</v>
      </c>
      <c r="C227" s="133">
        <v>41063</v>
      </c>
      <c r="D227" s="133"/>
      <c r="E227" s="133"/>
      <c r="F227" s="133"/>
      <c r="G227" s="133"/>
    </row>
    <row r="228" spans="1:7" ht="14.25" hidden="1" customHeight="1" x14ac:dyDescent="0.35">
      <c r="A228" s="130" t="s">
        <v>148</v>
      </c>
      <c r="B228" s="131" t="s">
        <v>50</v>
      </c>
      <c r="C228" s="131">
        <v>44064</v>
      </c>
      <c r="D228" s="131"/>
      <c r="E228" s="131"/>
      <c r="F228" s="131"/>
      <c r="G228" s="131"/>
    </row>
    <row r="229" spans="1:7" ht="14.25" hidden="1" customHeight="1" x14ac:dyDescent="0.35">
      <c r="A229" s="132" t="s">
        <v>57</v>
      </c>
      <c r="B229" s="133" t="s">
        <v>50</v>
      </c>
      <c r="C229" s="133">
        <v>46021</v>
      </c>
      <c r="D229" s="133">
        <v>1</v>
      </c>
      <c r="E229" s="133"/>
      <c r="F229" s="133">
        <v>1</v>
      </c>
      <c r="G229" s="133">
        <v>0</v>
      </c>
    </row>
    <row r="230" spans="1:7" ht="14.25" hidden="1" customHeight="1" x14ac:dyDescent="0.35">
      <c r="A230" s="130" t="s">
        <v>132</v>
      </c>
      <c r="B230" s="131" t="s">
        <v>52</v>
      </c>
      <c r="C230" s="131">
        <v>23077</v>
      </c>
      <c r="D230" s="131"/>
      <c r="E230" s="131"/>
      <c r="F230" s="131"/>
      <c r="G230" s="131"/>
    </row>
    <row r="231" spans="1:7" ht="14.25" customHeight="1" x14ac:dyDescent="0.35">
      <c r="A231" s="132" t="s">
        <v>189</v>
      </c>
      <c r="B231" s="133" t="s">
        <v>59</v>
      </c>
      <c r="C231" s="133">
        <v>71053</v>
      </c>
      <c r="D231" s="133"/>
      <c r="E231" s="133"/>
      <c r="F231" s="133"/>
      <c r="G231" s="133"/>
    </row>
    <row r="232" spans="1:7" ht="14.25" hidden="1" customHeight="1" x14ac:dyDescent="0.35">
      <c r="A232" s="130" t="s">
        <v>314</v>
      </c>
      <c r="B232" s="131" t="s">
        <v>55</v>
      </c>
      <c r="C232" s="131">
        <v>34043</v>
      </c>
      <c r="D232" s="131"/>
      <c r="E232" s="131"/>
      <c r="F232" s="131"/>
      <c r="G232" s="131"/>
    </row>
    <row r="233" spans="1:7" ht="14.25" hidden="1" customHeight="1" x14ac:dyDescent="0.35">
      <c r="A233" s="132" t="s">
        <v>336</v>
      </c>
      <c r="B233" s="133" t="s">
        <v>48</v>
      </c>
      <c r="C233" s="133">
        <v>11044</v>
      </c>
      <c r="D233" s="133"/>
      <c r="E233" s="133"/>
      <c r="F233" s="133"/>
      <c r="G233" s="133"/>
    </row>
    <row r="234" spans="1:7" ht="14.25" hidden="1" customHeight="1" x14ac:dyDescent="0.35">
      <c r="A234" s="130" t="s">
        <v>154</v>
      </c>
      <c r="B234" s="131" t="s">
        <v>55</v>
      </c>
      <c r="C234" s="131">
        <v>36019</v>
      </c>
      <c r="D234" s="131"/>
      <c r="E234" s="131"/>
      <c r="F234" s="131"/>
      <c r="G234" s="131"/>
    </row>
    <row r="235" spans="1:7" ht="14.25" hidden="1" customHeight="1" x14ac:dyDescent="0.35">
      <c r="A235" s="132" t="s">
        <v>208</v>
      </c>
      <c r="B235" s="133" t="s">
        <v>52</v>
      </c>
      <c r="C235" s="133">
        <v>23081</v>
      </c>
      <c r="D235" s="133"/>
      <c r="E235" s="133"/>
      <c r="F235" s="133"/>
      <c r="G235" s="133"/>
    </row>
    <row r="236" spans="1:7" ht="14.25" hidden="1" customHeight="1" x14ac:dyDescent="0.35">
      <c r="A236" s="130" t="s">
        <v>285</v>
      </c>
      <c r="B236" s="131" t="s">
        <v>50</v>
      </c>
      <c r="C236" s="131">
        <v>46024</v>
      </c>
      <c r="D236" s="131"/>
      <c r="E236" s="131"/>
      <c r="F236" s="131"/>
      <c r="G236" s="131"/>
    </row>
    <row r="237" spans="1:7" ht="14.25" hidden="1" customHeight="1" x14ac:dyDescent="0.35">
      <c r="A237" s="132" t="s">
        <v>166</v>
      </c>
      <c r="B237" s="133" t="s">
        <v>50</v>
      </c>
      <c r="C237" s="133">
        <v>46025</v>
      </c>
      <c r="D237" s="133"/>
      <c r="E237" s="133"/>
      <c r="F237" s="133"/>
      <c r="G237" s="133"/>
    </row>
    <row r="238" spans="1:7" ht="14.25" hidden="1" customHeight="1" x14ac:dyDescent="0.35">
      <c r="A238" s="130" t="s">
        <v>217</v>
      </c>
      <c r="B238" s="131" t="s">
        <v>52</v>
      </c>
      <c r="C238" s="131">
        <v>23086</v>
      </c>
      <c r="D238" s="131"/>
      <c r="E238" s="131"/>
      <c r="F238" s="131"/>
      <c r="G238" s="131"/>
    </row>
    <row r="239" spans="1:7" ht="14.25" hidden="1" customHeight="1" x14ac:dyDescent="0.35">
      <c r="A239" s="132" t="s">
        <v>87</v>
      </c>
      <c r="B239" s="133" t="s">
        <v>52</v>
      </c>
      <c r="C239" s="133">
        <v>24104</v>
      </c>
      <c r="D239" s="133">
        <v>1</v>
      </c>
      <c r="E239" s="133">
        <v>1</v>
      </c>
      <c r="F239" s="133">
        <v>2</v>
      </c>
      <c r="G239" s="133">
        <v>2</v>
      </c>
    </row>
    <row r="240" spans="1:7" ht="14.25" customHeight="1" x14ac:dyDescent="0.35">
      <c r="A240" s="130" t="s">
        <v>147</v>
      </c>
      <c r="B240" s="131" t="s">
        <v>59</v>
      </c>
      <c r="C240" s="131">
        <v>71057</v>
      </c>
      <c r="D240" s="131"/>
      <c r="E240" s="131"/>
      <c r="F240" s="131"/>
      <c r="G240" s="131"/>
    </row>
    <row r="241" spans="1:7" ht="14.25" hidden="1" customHeight="1" x14ac:dyDescent="0.35">
      <c r="A241" s="132" t="s">
        <v>102</v>
      </c>
      <c r="B241" s="133" t="s">
        <v>55</v>
      </c>
      <c r="C241" s="133">
        <v>37015</v>
      </c>
      <c r="D241" s="133"/>
      <c r="E241" s="133"/>
      <c r="F241" s="133"/>
      <c r="G241" s="133"/>
    </row>
    <row r="242" spans="1:7" ht="14.25" hidden="1" customHeight="1" x14ac:dyDescent="0.35">
      <c r="A242" s="130" t="s">
        <v>302</v>
      </c>
      <c r="B242" s="131" t="s">
        <v>52</v>
      </c>
      <c r="C242" s="131">
        <v>24135</v>
      </c>
      <c r="D242" s="131"/>
      <c r="E242" s="131"/>
      <c r="F242" s="131"/>
      <c r="G242" s="131"/>
    </row>
    <row r="243" spans="1:7" ht="14.25" hidden="1" customHeight="1" x14ac:dyDescent="0.35">
      <c r="A243" s="132" t="s">
        <v>104</v>
      </c>
      <c r="B243" s="133" t="s">
        <v>52</v>
      </c>
      <c r="C243" s="133">
        <v>24107</v>
      </c>
      <c r="D243" s="133">
        <v>2</v>
      </c>
      <c r="E243" s="133">
        <v>1</v>
      </c>
      <c r="F243" s="133">
        <v>2</v>
      </c>
      <c r="G243" s="133">
        <v>1</v>
      </c>
    </row>
    <row r="244" spans="1:7" ht="14.25" customHeight="1" x14ac:dyDescent="0.35">
      <c r="A244" s="130" t="s">
        <v>133</v>
      </c>
      <c r="B244" s="131" t="s">
        <v>59</v>
      </c>
      <c r="C244" s="131">
        <v>73083</v>
      </c>
      <c r="D244" s="131"/>
      <c r="E244" s="131"/>
      <c r="F244" s="131"/>
      <c r="G244" s="131"/>
    </row>
    <row r="245" spans="1:7" ht="14.25" hidden="1" customHeight="1" x14ac:dyDescent="0.35">
      <c r="A245" s="132" t="s">
        <v>93</v>
      </c>
      <c r="B245" s="133" t="s">
        <v>55</v>
      </c>
      <c r="C245" s="133">
        <v>31033</v>
      </c>
      <c r="D245" s="133"/>
      <c r="E245" s="133"/>
      <c r="F245" s="133"/>
      <c r="G245" s="133"/>
    </row>
    <row r="246" spans="1:7" ht="14.25" hidden="1" customHeight="1" x14ac:dyDescent="0.35">
      <c r="A246" s="130" t="s">
        <v>215</v>
      </c>
      <c r="B246" s="131" t="s">
        <v>52</v>
      </c>
      <c r="C246" s="131">
        <v>24109</v>
      </c>
      <c r="D246" s="131">
        <v>2</v>
      </c>
      <c r="E246" s="131">
        <v>1</v>
      </c>
      <c r="F246" s="131">
        <v>2</v>
      </c>
      <c r="G246" s="131">
        <v>2</v>
      </c>
    </row>
    <row r="247" spans="1:7" ht="14.25" hidden="1" customHeight="1" x14ac:dyDescent="0.35">
      <c r="A247" s="132" t="s">
        <v>61</v>
      </c>
      <c r="B247" s="133" t="s">
        <v>48</v>
      </c>
      <c r="C247" s="133">
        <v>13040</v>
      </c>
      <c r="D247" s="133"/>
      <c r="E247" s="133"/>
      <c r="F247" s="133"/>
      <c r="G247" s="133"/>
    </row>
    <row r="248" spans="1:7" ht="14.25" hidden="1" customHeight="1" x14ac:dyDescent="0.35">
      <c r="A248" s="130" t="s">
        <v>175</v>
      </c>
      <c r="B248" s="131" t="s">
        <v>55</v>
      </c>
      <c r="C248" s="131">
        <v>38025</v>
      </c>
      <c r="D248" s="131"/>
      <c r="E248" s="131"/>
      <c r="F248" s="131"/>
      <c r="G248" s="131"/>
    </row>
    <row r="249" spans="1:7" ht="14.25" hidden="1" customHeight="1" x14ac:dyDescent="0.35">
      <c r="A249" s="132" t="s">
        <v>74</v>
      </c>
      <c r="B249" s="133" t="s">
        <v>52</v>
      </c>
      <c r="C249" s="133">
        <v>23088</v>
      </c>
      <c r="D249" s="133"/>
      <c r="E249" s="133"/>
      <c r="F249" s="133"/>
      <c r="G249" s="133"/>
    </row>
    <row r="250" spans="1:7" ht="14.25" hidden="1" customHeight="1" x14ac:dyDescent="0.35">
      <c r="A250" s="130" t="s">
        <v>240</v>
      </c>
      <c r="B250" s="131" t="s">
        <v>55</v>
      </c>
      <c r="C250" s="131">
        <v>33041</v>
      </c>
      <c r="D250" s="131"/>
      <c r="E250" s="131"/>
      <c r="F250" s="131"/>
      <c r="G250" s="131"/>
    </row>
    <row r="251" spans="1:7" ht="14.25" customHeight="1" x14ac:dyDescent="0.35">
      <c r="A251" s="132" t="s">
        <v>318</v>
      </c>
      <c r="B251" s="133" t="s">
        <v>59</v>
      </c>
      <c r="C251" s="133">
        <v>73109</v>
      </c>
      <c r="D251" s="133"/>
      <c r="E251" s="133"/>
      <c r="F251" s="133"/>
      <c r="G251" s="133"/>
    </row>
    <row r="252" spans="1:7" ht="14.25" hidden="1" customHeight="1" x14ac:dyDescent="0.35">
      <c r="A252" s="130" t="s">
        <v>195</v>
      </c>
      <c r="B252" s="131" t="s">
        <v>48</v>
      </c>
      <c r="C252" s="131">
        <v>13044</v>
      </c>
      <c r="D252" s="131"/>
      <c r="E252" s="131"/>
      <c r="F252" s="131"/>
      <c r="G252" s="131"/>
    </row>
    <row r="253" spans="1:7" ht="14.25" hidden="1" customHeight="1" x14ac:dyDescent="0.35">
      <c r="A253" s="132" t="s">
        <v>264</v>
      </c>
      <c r="B253" s="133" t="s">
        <v>48</v>
      </c>
      <c r="C253" s="133">
        <v>13046</v>
      </c>
      <c r="D253" s="133"/>
      <c r="E253" s="133"/>
      <c r="F253" s="133"/>
      <c r="G253" s="133"/>
    </row>
    <row r="254" spans="1:7" ht="14.25" hidden="1" customHeight="1" x14ac:dyDescent="0.35">
      <c r="A254" s="130" t="s">
        <v>262</v>
      </c>
      <c r="B254" s="131" t="s">
        <v>50</v>
      </c>
      <c r="C254" s="131">
        <v>42023</v>
      </c>
      <c r="D254" s="131"/>
      <c r="E254" s="131"/>
      <c r="F254" s="131"/>
      <c r="G254" s="131"/>
    </row>
    <row r="255" spans="1:7" ht="14.25" hidden="1" customHeight="1" x14ac:dyDescent="0.35">
      <c r="A255" s="132" t="s">
        <v>146</v>
      </c>
      <c r="B255" s="133" t="s">
        <v>55</v>
      </c>
      <c r="C255" s="133">
        <v>34040</v>
      </c>
      <c r="D255" s="133"/>
      <c r="E255" s="133"/>
      <c r="F255" s="133"/>
      <c r="G255" s="133"/>
    </row>
    <row r="256" spans="1:7" ht="14.25" customHeight="1" x14ac:dyDescent="0.35">
      <c r="A256" s="130" t="s">
        <v>322</v>
      </c>
      <c r="B256" s="131" t="s">
        <v>59</v>
      </c>
      <c r="C256" s="131">
        <v>73098</v>
      </c>
      <c r="D256" s="131"/>
      <c r="E256" s="131"/>
      <c r="F256" s="131"/>
      <c r="G256" s="131"/>
    </row>
    <row r="257" spans="1:7" ht="14.25" hidden="1" customHeight="1" x14ac:dyDescent="0.35">
      <c r="A257" s="132" t="s">
        <v>162</v>
      </c>
      <c r="B257" s="133" t="s">
        <v>52</v>
      </c>
      <c r="C257" s="133">
        <v>23102</v>
      </c>
      <c r="D257" s="133"/>
      <c r="E257" s="133"/>
      <c r="F257" s="133"/>
      <c r="G257" s="133"/>
    </row>
    <row r="258" spans="1:7" ht="14.25" hidden="1" customHeight="1" x14ac:dyDescent="0.35">
      <c r="A258" s="130" t="s">
        <v>222</v>
      </c>
      <c r="B258" s="131" t="s">
        <v>55</v>
      </c>
      <c r="C258" s="131">
        <v>33029</v>
      </c>
      <c r="D258" s="131"/>
      <c r="E258" s="131"/>
      <c r="F258" s="131"/>
      <c r="G258" s="131"/>
    </row>
    <row r="259" spans="1:7" ht="14.25" hidden="1" customHeight="1" x14ac:dyDescent="0.35">
      <c r="A259" s="132" t="s">
        <v>101</v>
      </c>
      <c r="B259" s="133" t="s">
        <v>48</v>
      </c>
      <c r="C259" s="133">
        <v>13049</v>
      </c>
      <c r="D259" s="133"/>
      <c r="E259" s="133"/>
      <c r="F259" s="133"/>
      <c r="G259" s="133"/>
    </row>
    <row r="260" spans="1:7" ht="14.25" hidden="1" customHeight="1" x14ac:dyDescent="0.35">
      <c r="A260" s="130" t="s">
        <v>89</v>
      </c>
      <c r="B260" s="131" t="s">
        <v>50</v>
      </c>
      <c r="C260" s="131">
        <v>42025</v>
      </c>
      <c r="D260" s="131"/>
      <c r="E260" s="131"/>
      <c r="F260" s="131"/>
      <c r="G260" s="131"/>
    </row>
    <row r="261" spans="1:7" ht="14.25" hidden="1" customHeight="1" x14ac:dyDescent="0.35">
      <c r="A261" s="132" t="s">
        <v>143</v>
      </c>
      <c r="B261" s="133" t="s">
        <v>55</v>
      </c>
      <c r="C261" s="133">
        <v>34041</v>
      </c>
      <c r="D261" s="133"/>
      <c r="E261" s="133"/>
      <c r="F261" s="133"/>
      <c r="G261" s="133"/>
    </row>
    <row r="262" spans="1:7" ht="14.25" hidden="1" customHeight="1" x14ac:dyDescent="0.35">
      <c r="A262" s="130" t="s">
        <v>213</v>
      </c>
      <c r="B262" s="131" t="s">
        <v>52</v>
      </c>
      <c r="C262" s="131">
        <v>23103</v>
      </c>
      <c r="D262" s="131"/>
      <c r="E262" s="131"/>
      <c r="F262" s="131"/>
      <c r="G262" s="131"/>
    </row>
    <row r="263" spans="1:7" ht="14.25" hidden="1" customHeight="1" x14ac:dyDescent="0.35">
      <c r="A263" s="132" t="s">
        <v>205</v>
      </c>
      <c r="B263" s="133" t="s">
        <v>50</v>
      </c>
      <c r="C263" s="133">
        <v>42026</v>
      </c>
      <c r="D263" s="133"/>
      <c r="E263" s="133"/>
      <c r="F263" s="133"/>
      <c r="G263" s="133"/>
    </row>
    <row r="264" spans="1:7" ht="14.25" hidden="1" customHeight="1" x14ac:dyDescent="0.35">
      <c r="A264" s="130" t="s">
        <v>201</v>
      </c>
      <c r="B264" s="131" t="s">
        <v>55</v>
      </c>
      <c r="C264" s="131">
        <v>37017</v>
      </c>
      <c r="D264" s="131"/>
      <c r="E264" s="131"/>
      <c r="F264" s="131"/>
      <c r="G264" s="131"/>
    </row>
    <row r="265" spans="1:7" ht="14.25" hidden="1" customHeight="1" x14ac:dyDescent="0.35">
      <c r="A265" s="132" t="s">
        <v>151</v>
      </c>
      <c r="B265" s="133" t="s">
        <v>48</v>
      </c>
      <c r="C265" s="133">
        <v>11050</v>
      </c>
      <c r="D265" s="133"/>
      <c r="E265" s="133"/>
      <c r="F265" s="133"/>
      <c r="G265" s="133"/>
    </row>
    <row r="266" spans="1:7" ht="14.25" hidden="1" customHeight="1" x14ac:dyDescent="0.35">
      <c r="A266" s="130" t="s">
        <v>142</v>
      </c>
      <c r="B266" s="131" t="s">
        <v>48</v>
      </c>
      <c r="C266" s="131">
        <v>12040</v>
      </c>
      <c r="D266" s="131"/>
      <c r="E266" s="131"/>
      <c r="F266" s="131"/>
      <c r="G266" s="131"/>
    </row>
    <row r="267" spans="1:7" ht="14.25" hidden="1" customHeight="1" x14ac:dyDescent="0.35">
      <c r="A267" s="132" t="s">
        <v>115</v>
      </c>
      <c r="B267" s="133" t="s">
        <v>55</v>
      </c>
      <c r="C267" s="133">
        <v>37018</v>
      </c>
      <c r="D267" s="133"/>
      <c r="E267" s="133"/>
      <c r="F267" s="133"/>
      <c r="G267" s="133"/>
    </row>
    <row r="268" spans="1:7" ht="14.25" hidden="1" customHeight="1" x14ac:dyDescent="0.35">
      <c r="A268" s="130" t="s">
        <v>210</v>
      </c>
      <c r="B268" s="131" t="s">
        <v>48</v>
      </c>
      <c r="C268" s="131">
        <v>11052</v>
      </c>
      <c r="D268" s="131"/>
      <c r="E268" s="131"/>
      <c r="F268" s="131"/>
      <c r="G268" s="131"/>
    </row>
    <row r="269" spans="1:7" ht="14.25" hidden="1" customHeight="1" x14ac:dyDescent="0.35">
      <c r="A269" s="132" t="s">
        <v>246</v>
      </c>
      <c r="B269" s="133" t="s">
        <v>50</v>
      </c>
      <c r="C269" s="133">
        <v>45061</v>
      </c>
      <c r="D269" s="133"/>
      <c r="E269" s="133"/>
      <c r="F269" s="133"/>
      <c r="G269" s="133"/>
    </row>
    <row r="270" spans="1:7" ht="14.25" hidden="1" customHeight="1" x14ac:dyDescent="0.35">
      <c r="A270" s="130" t="s">
        <v>290</v>
      </c>
      <c r="B270" s="131" t="s">
        <v>48</v>
      </c>
      <c r="C270" s="131">
        <v>11053</v>
      </c>
      <c r="D270" s="131"/>
      <c r="E270" s="131"/>
      <c r="F270" s="131"/>
      <c r="G270" s="131"/>
    </row>
    <row r="271" spans="1:7" ht="14.25" hidden="1" customHeight="1" x14ac:dyDescent="0.35">
      <c r="A271" s="132" t="s">
        <v>305</v>
      </c>
      <c r="B271" s="133" t="s">
        <v>48</v>
      </c>
      <c r="C271" s="133">
        <v>11054</v>
      </c>
      <c r="D271" s="133"/>
      <c r="E271" s="133"/>
      <c r="F271" s="133"/>
      <c r="G271" s="133"/>
    </row>
    <row r="272" spans="1:7" ht="14.25" hidden="1" customHeight="1" x14ac:dyDescent="0.35">
      <c r="A272" s="130" t="s">
        <v>105</v>
      </c>
      <c r="B272" s="131" t="s">
        <v>52</v>
      </c>
      <c r="C272" s="131">
        <v>23094</v>
      </c>
      <c r="D272" s="131"/>
      <c r="E272" s="131"/>
      <c r="F272" s="131"/>
      <c r="G272" s="131"/>
    </row>
    <row r="273" spans="1:7" ht="14.25" hidden="1" customHeight="1" x14ac:dyDescent="0.35">
      <c r="A273" s="132" t="s">
        <v>164</v>
      </c>
      <c r="B273" s="133" t="s">
        <v>55</v>
      </c>
      <c r="C273" s="133">
        <v>31040</v>
      </c>
      <c r="D273" s="133"/>
      <c r="E273" s="133"/>
      <c r="F273" s="133"/>
      <c r="G273" s="133"/>
    </row>
    <row r="274" spans="1:7" ht="14.25" hidden="1" customHeight="1" x14ac:dyDescent="0.35">
      <c r="A274" s="130" t="s">
        <v>228</v>
      </c>
      <c r="B274" s="131" t="s">
        <v>50</v>
      </c>
      <c r="C274" s="131">
        <v>42028</v>
      </c>
      <c r="D274" s="131"/>
      <c r="E274" s="131"/>
      <c r="F274" s="131"/>
      <c r="G274" s="131"/>
    </row>
    <row r="275" spans="1:7" ht="14.25" hidden="1" customHeight="1" x14ac:dyDescent="0.35">
      <c r="A275" s="132" t="s">
        <v>269</v>
      </c>
      <c r="B275" s="133" t="s">
        <v>50</v>
      </c>
      <c r="C275" s="133">
        <v>43018</v>
      </c>
      <c r="D275" s="133"/>
      <c r="E275" s="133"/>
      <c r="F275" s="133"/>
      <c r="G275" s="133"/>
    </row>
    <row r="276" spans="1:7" ht="14.25" hidden="1" customHeight="1" x14ac:dyDescent="0.35">
      <c r="A276" s="130" t="s">
        <v>119</v>
      </c>
      <c r="B276" s="131" t="s">
        <v>52</v>
      </c>
      <c r="C276" s="131">
        <v>23096</v>
      </c>
      <c r="D276" s="131"/>
      <c r="E276" s="131"/>
      <c r="F276" s="131"/>
      <c r="G276" s="131"/>
    </row>
    <row r="277" spans="1:7" ht="14.25" hidden="1" customHeight="1" x14ac:dyDescent="0.35">
      <c r="A277" s="132" t="s">
        <v>291</v>
      </c>
      <c r="B277" s="133" t="s">
        <v>48</v>
      </c>
      <c r="C277" s="133">
        <v>11055</v>
      </c>
      <c r="D277" s="133"/>
      <c r="E277" s="133"/>
      <c r="F277" s="133"/>
      <c r="G277" s="133"/>
    </row>
    <row r="278" spans="1:7" ht="14.25" customHeight="1" x14ac:dyDescent="0.35">
      <c r="A278" s="130" t="s">
        <v>289</v>
      </c>
      <c r="B278" s="131" t="s">
        <v>59</v>
      </c>
      <c r="C278" s="131">
        <v>71066</v>
      </c>
      <c r="D278" s="131"/>
      <c r="E278" s="131"/>
      <c r="F278" s="131"/>
      <c r="G278" s="131"/>
    </row>
    <row r="279" spans="1:7" ht="14.25" hidden="1" customHeight="1" x14ac:dyDescent="0.35">
      <c r="A279" s="132" t="s">
        <v>137</v>
      </c>
      <c r="B279" s="133" t="s">
        <v>55</v>
      </c>
      <c r="C279" s="133">
        <v>33037</v>
      </c>
      <c r="D279" s="133"/>
      <c r="E279" s="133"/>
      <c r="F279" s="133"/>
      <c r="G279" s="133"/>
    </row>
    <row r="280" spans="1:7" ht="14.25" hidden="1" customHeight="1" x14ac:dyDescent="0.35">
      <c r="A280" s="130" t="s">
        <v>120</v>
      </c>
      <c r="B280" s="131" t="s">
        <v>50</v>
      </c>
      <c r="C280" s="131">
        <v>41081</v>
      </c>
      <c r="D280" s="131"/>
      <c r="E280" s="131"/>
      <c r="F280" s="131"/>
      <c r="G280" s="131"/>
    </row>
    <row r="281" spans="1:7" ht="14.25" hidden="1" customHeight="1" x14ac:dyDescent="0.35">
      <c r="A281" s="132" t="s">
        <v>255</v>
      </c>
      <c r="B281" s="133" t="s">
        <v>52</v>
      </c>
      <c r="C281" s="133">
        <v>24130</v>
      </c>
      <c r="D281" s="133">
        <v>2</v>
      </c>
      <c r="E281" s="133">
        <v>2</v>
      </c>
      <c r="F281" s="133">
        <v>2</v>
      </c>
      <c r="G281" s="133">
        <v>2</v>
      </c>
    </row>
    <row r="282" spans="1:7" ht="14.25" hidden="1" customHeight="1" x14ac:dyDescent="0.35">
      <c r="A282" s="130" t="s">
        <v>316</v>
      </c>
      <c r="B282" s="131" t="s">
        <v>55</v>
      </c>
      <c r="C282" s="131">
        <v>31042</v>
      </c>
      <c r="D282" s="131"/>
      <c r="E282" s="131"/>
      <c r="F282" s="131"/>
      <c r="G282" s="131"/>
    </row>
    <row r="283" spans="1:7" ht="14.25" hidden="1" customHeight="1" x14ac:dyDescent="0.35">
      <c r="A283" s="132" t="s">
        <v>111</v>
      </c>
      <c r="B283" s="133" t="s">
        <v>50</v>
      </c>
      <c r="C283" s="133">
        <v>44081</v>
      </c>
      <c r="D283" s="133"/>
      <c r="E283" s="133"/>
      <c r="F283" s="133"/>
      <c r="G283" s="133"/>
    </row>
    <row r="284" spans="1:7" ht="14.25" customHeight="1" x14ac:dyDescent="0.35">
      <c r="A284" s="130" t="s">
        <v>321</v>
      </c>
      <c r="B284" s="131" t="s">
        <v>59</v>
      </c>
      <c r="C284" s="131">
        <v>71067</v>
      </c>
      <c r="D284" s="131"/>
      <c r="E284" s="131"/>
      <c r="F284" s="131"/>
      <c r="G284" s="131"/>
    </row>
    <row r="285" spans="1:7" ht="14.25" hidden="1" customHeight="1" x14ac:dyDescent="0.35">
      <c r="A285" s="132" t="s">
        <v>149</v>
      </c>
      <c r="B285" s="133" t="s">
        <v>50</v>
      </c>
      <c r="C285" s="133">
        <v>45065</v>
      </c>
      <c r="D285" s="133"/>
      <c r="E285" s="133"/>
      <c r="F285" s="133"/>
      <c r="G285" s="133"/>
    </row>
    <row r="286" spans="1:7" ht="14.25" hidden="1" customHeight="1" x14ac:dyDescent="0.35">
      <c r="A286" s="130" t="s">
        <v>186</v>
      </c>
      <c r="B286" s="131" t="s">
        <v>55</v>
      </c>
      <c r="C286" s="131">
        <v>34042</v>
      </c>
      <c r="D286" s="131"/>
      <c r="E286" s="131"/>
      <c r="F286" s="131"/>
      <c r="G286" s="131"/>
    </row>
    <row r="287" spans="1:7" ht="14.25" hidden="1" customHeight="1" x14ac:dyDescent="0.35">
      <c r="A287" s="132"/>
      <c r="B287" s="133"/>
      <c r="C287" s="133"/>
      <c r="D287" s="133">
        <f t="shared" ref="D287:E287" si="0">SUM(D2:D286)</f>
        <v>94</v>
      </c>
      <c r="E287" s="133">
        <f t="shared" si="0"/>
        <v>50</v>
      </c>
      <c r="F287" s="133"/>
      <c r="G287" s="133"/>
    </row>
    <row r="288" spans="1:7"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G287" xr:uid="{00000000-0009-0000-0000-000011000000}">
    <filterColumn colId="1">
      <filters>
        <filter val="Limburg"/>
      </filters>
    </filterColumn>
  </autoFilter>
  <dataValidations count="2">
    <dataValidation type="custom" allowBlank="1" showDropDown="1" sqref="C2:C286" xr:uid="{00000000-0002-0000-1100-000000000000}">
      <formula1>AND(ISNUMBER(C2),(NOT(OR(NOT(ISERROR(DATEVALUE(C2))), AND(ISNUMBER(C2), LEFT(CELL("format", C2))="D")))))</formula1>
    </dataValidation>
    <dataValidation type="list" allowBlank="1" showDropDown="1" showErrorMessage="1" sqref="B2:B286" xr:uid="{00000000-0002-0000-1100-000001000000}">
      <formula1>"Oost-Vlaanderen,Vlaams-Brabant,Antwerpen,Limburg,West-Vlaanderen"</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18</vt:i4>
      </vt:variant>
    </vt:vector>
  </HeadingPairs>
  <TitlesOfParts>
    <vt:vector size="18" baseType="lpstr">
      <vt:lpstr>OVERZICHT</vt:lpstr>
      <vt:lpstr>overzicht voor jun 25</vt:lpstr>
      <vt:lpstr>Prognoses LEKP</vt:lpstr>
      <vt:lpstr>KERNCIJFERS</vt:lpstr>
      <vt:lpstr>BattMobility</vt:lpstr>
      <vt:lpstr>cambio</vt:lpstr>
      <vt:lpstr>Claus2you</vt:lpstr>
      <vt:lpstr>CoopStroom</vt:lpstr>
      <vt:lpstr>Cozywheels</vt:lpstr>
      <vt:lpstr>Dégage</vt:lpstr>
      <vt:lpstr>Flexigo</vt:lpstr>
      <vt:lpstr>GreenMobility</vt:lpstr>
      <vt:lpstr>Klimaan</vt:lpstr>
      <vt:lpstr>Mobilize Share</vt:lpstr>
      <vt:lpstr>Moovee</vt:lpstr>
      <vt:lpstr>Partago</vt:lpstr>
      <vt:lpstr>Poppy</vt:lpstr>
      <vt:lpstr>Stapp.in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Rodenbach</dc:creator>
  <cp:lastModifiedBy>Jeffrey Matthijs</cp:lastModifiedBy>
  <dcterms:created xsi:type="dcterms:W3CDTF">2023-06-14T10:19:45Z</dcterms:created>
  <dcterms:modified xsi:type="dcterms:W3CDTF">2026-06-28T17:07:50Z</dcterms:modified>
</cp:coreProperties>
</file>